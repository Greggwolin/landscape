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4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rescentbayholdings-my.sharepoint.com/personal/wolin_crescentbayholdings_com/Documents/5Models/2Excel/1Testing/Land/"/>
    </mc:Choice>
  </mc:AlternateContent>
  <xr:revisionPtr revIDLastSave="37" documentId="13_ncr:1_{3F3B62DB-2713-4403-B74B-76CF2C9EAB55}" xr6:coauthVersionLast="47" xr6:coauthVersionMax="47" xr10:uidLastSave="{B2D063AD-F312-2C4A-86D5-67B925EC74AA}"/>
  <bookViews>
    <workbookView xWindow="1500" yWindow="860" windowWidth="38380" windowHeight="26300" activeTab="2" xr2:uid="{640347F6-9EFA-4CAD-81E5-F779C9C2C182}"/>
  </bookViews>
  <sheets>
    <sheet name="Budgeting" sheetId="3" r:id="rId1"/>
    <sheet name="DATA" sheetId="1" r:id="rId2"/>
    <sheet name="cmr2" sheetId="9" r:id="rId3"/>
  </sheets>
  <definedNames>
    <definedName name="i_Date.Start">DATA!$G$7</definedName>
    <definedName name="list_Dates.Mo">_xlfn.ANCHORARRAY(DATA!$D$14)</definedName>
    <definedName name="list_Measures">#REF!</definedName>
    <definedName name="list_Period.Mo">_xlfn.ANCHORARRAY(DATA!$C$14)</definedName>
    <definedName name="list.Dates.Yr">_xlfn.ANCHORARRAY(DATA!$H$14)</definedName>
    <definedName name="list.Period.Qtr">_xlfn.ANCHORARRAY(DATA!$E$14)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28" i="3" l="1"/>
  <c r="Q7" i="3" s="1"/>
  <c r="K28" i="3"/>
  <c r="K7" i="3" s="1"/>
  <c r="F28" i="3"/>
  <c r="F7" i="3" s="1"/>
  <c r="AA3" i="9"/>
  <c r="AA4" i="9"/>
  <c r="AA5" i="9"/>
  <c r="AA6" i="9"/>
  <c r="AA7" i="9"/>
  <c r="AA8" i="9"/>
  <c r="AA9" i="9"/>
  <c r="AA10" i="9"/>
  <c r="AA11" i="9"/>
  <c r="AA12" i="9"/>
  <c r="AA13" i="9"/>
  <c r="AA14" i="9"/>
  <c r="AA15" i="9"/>
  <c r="AA16" i="9"/>
  <c r="AA17" i="9"/>
  <c r="AA18" i="9"/>
  <c r="AA2" i="9"/>
  <c r="C86" i="9"/>
  <c r="D86" i="9" s="1"/>
  <c r="G86" i="9" s="1"/>
  <c r="C85" i="9"/>
  <c r="D85" i="9" s="1"/>
  <c r="G85" i="9" s="1"/>
  <c r="D84" i="9"/>
  <c r="G84" i="9" s="1"/>
  <c r="C84" i="9"/>
  <c r="C83" i="9"/>
  <c r="D83" i="9" s="1"/>
  <c r="G83" i="9" s="1"/>
  <c r="D82" i="9"/>
  <c r="G82" i="9" s="1"/>
  <c r="D81" i="9"/>
  <c r="C81" i="9"/>
  <c r="D79" i="9"/>
  <c r="D88" i="9" l="1"/>
  <c r="G81" i="9"/>
  <c r="T13" i="3" l="1"/>
  <c r="H14" i="1" a="1"/>
  <c r="H14" i="1" s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F27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D14" i="1" a="1"/>
  <c r="D14" i="1" s="1"/>
  <c r="C14" i="1" a="1"/>
  <c r="C14" i="1" s="1"/>
  <c r="E14" i="1" s="1" a="1"/>
  <c r="E14" i="1" s="1"/>
  <c r="F14" i="1" l="1"/>
  <c r="G38" i="1"/>
  <c r="G39" i="1"/>
  <c r="F89" i="1"/>
  <c r="G88" i="1"/>
  <c r="F104" i="1"/>
  <c r="F56" i="1"/>
  <c r="G121" i="1"/>
  <c r="F119" i="1"/>
  <c r="F103" i="1"/>
  <c r="F87" i="1"/>
  <c r="F71" i="1"/>
  <c r="F55" i="1"/>
  <c r="F39" i="1"/>
  <c r="F23" i="1"/>
  <c r="G26" i="1"/>
  <c r="G42" i="1"/>
  <c r="G58" i="1"/>
  <c r="G74" i="1"/>
  <c r="G90" i="1"/>
  <c r="G106" i="1"/>
  <c r="G122" i="1"/>
  <c r="F107" i="1"/>
  <c r="F75" i="1"/>
  <c r="G118" i="1"/>
  <c r="F106" i="1"/>
  <c r="F58" i="1"/>
  <c r="G119" i="1"/>
  <c r="F121" i="1"/>
  <c r="G104" i="1"/>
  <c r="F88" i="1"/>
  <c r="F40" i="1"/>
  <c r="G105" i="1"/>
  <c r="F118" i="1"/>
  <c r="F102" i="1"/>
  <c r="F86" i="1"/>
  <c r="F70" i="1"/>
  <c r="F54" i="1"/>
  <c r="F38" i="1"/>
  <c r="F22" i="1"/>
  <c r="G27" i="1"/>
  <c r="G43" i="1"/>
  <c r="G59" i="1"/>
  <c r="G75" i="1"/>
  <c r="G91" i="1"/>
  <c r="G107" i="1"/>
  <c r="G123" i="1"/>
  <c r="G24" i="1"/>
  <c r="F120" i="1"/>
  <c r="G73" i="1"/>
  <c r="F133" i="1"/>
  <c r="F117" i="1"/>
  <c r="F101" i="1"/>
  <c r="F85" i="1"/>
  <c r="F69" i="1"/>
  <c r="F53" i="1"/>
  <c r="F37" i="1"/>
  <c r="F21" i="1"/>
  <c r="G28" i="1"/>
  <c r="G44" i="1"/>
  <c r="G60" i="1"/>
  <c r="G76" i="1"/>
  <c r="G92" i="1"/>
  <c r="G108" i="1"/>
  <c r="G124" i="1"/>
  <c r="G86" i="1"/>
  <c r="G87" i="1"/>
  <c r="F25" i="1"/>
  <c r="G120" i="1"/>
  <c r="F72" i="1"/>
  <c r="F24" i="1"/>
  <c r="G89" i="1"/>
  <c r="F132" i="1"/>
  <c r="F116" i="1"/>
  <c r="F100" i="1"/>
  <c r="F84" i="1"/>
  <c r="F68" i="1"/>
  <c r="F52" i="1"/>
  <c r="F36" i="1"/>
  <c r="F20" i="1"/>
  <c r="G29" i="1"/>
  <c r="G45" i="1"/>
  <c r="G61" i="1"/>
  <c r="G77" i="1"/>
  <c r="G93" i="1"/>
  <c r="G109" i="1"/>
  <c r="G125" i="1"/>
  <c r="F27" i="1"/>
  <c r="F74" i="1"/>
  <c r="F57" i="1"/>
  <c r="G40" i="1"/>
  <c r="F131" i="1"/>
  <c r="F115" i="1"/>
  <c r="F83" i="1"/>
  <c r="F67" i="1"/>
  <c r="F51" i="1"/>
  <c r="F35" i="1"/>
  <c r="F19" i="1"/>
  <c r="G14" i="1"/>
  <c r="G30" i="1"/>
  <c r="G46" i="1"/>
  <c r="G62" i="1"/>
  <c r="G78" i="1"/>
  <c r="G94" i="1"/>
  <c r="G110" i="1"/>
  <c r="G126" i="1"/>
  <c r="G56" i="1"/>
  <c r="F99" i="1"/>
  <c r="F130" i="1"/>
  <c r="F114" i="1"/>
  <c r="F98" i="1"/>
  <c r="F82" i="1"/>
  <c r="F66" i="1"/>
  <c r="F50" i="1"/>
  <c r="F34" i="1"/>
  <c r="F18" i="1"/>
  <c r="G15" i="1"/>
  <c r="G31" i="1"/>
  <c r="G47" i="1"/>
  <c r="G63" i="1"/>
  <c r="G79" i="1"/>
  <c r="G95" i="1"/>
  <c r="G111" i="1"/>
  <c r="G127" i="1"/>
  <c r="F129" i="1"/>
  <c r="F113" i="1"/>
  <c r="F97" i="1"/>
  <c r="F81" i="1"/>
  <c r="F65" i="1"/>
  <c r="F49" i="1"/>
  <c r="F33" i="1"/>
  <c r="F17" i="1"/>
  <c r="G16" i="1"/>
  <c r="G32" i="1"/>
  <c r="G48" i="1"/>
  <c r="G64" i="1"/>
  <c r="G80" i="1"/>
  <c r="G96" i="1"/>
  <c r="G112" i="1"/>
  <c r="G128" i="1"/>
  <c r="F128" i="1"/>
  <c r="F112" i="1"/>
  <c r="F96" i="1"/>
  <c r="F80" i="1"/>
  <c r="F64" i="1"/>
  <c r="F48" i="1"/>
  <c r="F32" i="1"/>
  <c r="F16" i="1"/>
  <c r="G17" i="1"/>
  <c r="G33" i="1"/>
  <c r="G49" i="1"/>
  <c r="G65" i="1"/>
  <c r="G81" i="1"/>
  <c r="G97" i="1"/>
  <c r="G113" i="1"/>
  <c r="G129" i="1"/>
  <c r="F123" i="1"/>
  <c r="F91" i="1"/>
  <c r="F43" i="1"/>
  <c r="G102" i="1"/>
  <c r="F90" i="1"/>
  <c r="F42" i="1"/>
  <c r="G103" i="1"/>
  <c r="F105" i="1"/>
  <c r="G57" i="1"/>
  <c r="F127" i="1"/>
  <c r="F111" i="1"/>
  <c r="F95" i="1"/>
  <c r="F79" i="1"/>
  <c r="F63" i="1"/>
  <c r="F47" i="1"/>
  <c r="F31" i="1"/>
  <c r="F15" i="1"/>
  <c r="G18" i="1"/>
  <c r="G34" i="1"/>
  <c r="G50" i="1"/>
  <c r="G66" i="1"/>
  <c r="G82" i="1"/>
  <c r="G98" i="1"/>
  <c r="G114" i="1"/>
  <c r="G130" i="1"/>
  <c r="G54" i="1"/>
  <c r="G55" i="1"/>
  <c r="F73" i="1"/>
  <c r="G72" i="1"/>
  <c r="F126" i="1"/>
  <c r="F110" i="1"/>
  <c r="F94" i="1"/>
  <c r="F78" i="1"/>
  <c r="F62" i="1"/>
  <c r="F46" i="1"/>
  <c r="F30" i="1"/>
  <c r="G19" i="1"/>
  <c r="G35" i="1"/>
  <c r="G51" i="1"/>
  <c r="G67" i="1"/>
  <c r="G83" i="1"/>
  <c r="G99" i="1"/>
  <c r="G115" i="1"/>
  <c r="G131" i="1"/>
  <c r="F59" i="1"/>
  <c r="G22" i="1"/>
  <c r="F26" i="1"/>
  <c r="G23" i="1"/>
  <c r="G41" i="1"/>
  <c r="F125" i="1"/>
  <c r="F109" i="1"/>
  <c r="F93" i="1"/>
  <c r="F77" i="1"/>
  <c r="F61" i="1"/>
  <c r="F45" i="1"/>
  <c r="F29" i="1"/>
  <c r="G20" i="1"/>
  <c r="G36" i="1"/>
  <c r="G52" i="1"/>
  <c r="G68" i="1"/>
  <c r="G84" i="1"/>
  <c r="G100" i="1"/>
  <c r="G116" i="1"/>
  <c r="G132" i="1"/>
  <c r="G70" i="1"/>
  <c r="F122" i="1"/>
  <c r="G71" i="1"/>
  <c r="F41" i="1"/>
  <c r="G25" i="1"/>
  <c r="F124" i="1"/>
  <c r="F108" i="1"/>
  <c r="F92" i="1"/>
  <c r="F76" i="1"/>
  <c r="F60" i="1"/>
  <c r="F44" i="1"/>
  <c r="F28" i="1"/>
  <c r="G21" i="1"/>
  <c r="G37" i="1"/>
  <c r="G53" i="1"/>
  <c r="G69" i="1"/>
  <c r="G85" i="1"/>
  <c r="G101" i="1"/>
  <c r="G117" i="1"/>
  <c r="G13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<sst xmlns="http://schemas.openxmlformats.org/spreadsheetml/2006/main" count="893" uniqueCount="431">
  <si>
    <t>Model Name</t>
  </si>
  <si>
    <t>Periodic Arrays and Validation Lists</t>
  </si>
  <si>
    <t>Analysis Start Date</t>
  </si>
  <si>
    <t>Analysis Term (Mos)</t>
  </si>
  <si>
    <t>Months</t>
  </si>
  <si>
    <t>list_Period.Mo</t>
  </si>
  <si>
    <t>list_Period.Qtr</t>
  </si>
  <si>
    <t>list_Period.Yr</t>
  </si>
  <si>
    <t>x</t>
  </si>
  <si>
    <t>list_Dates.Mo</t>
  </si>
  <si>
    <t>Year</t>
  </si>
  <si>
    <t>Quarters</t>
  </si>
  <si>
    <t>list_Date.Qtr</t>
  </si>
  <si>
    <t>Periocity</t>
  </si>
  <si>
    <t>list_Dates.Yr</t>
  </si>
  <si>
    <t>3. Product Development</t>
  </si>
  <si>
    <t>Proforma Results - Crescent GDG</t>
  </si>
  <si>
    <t>Proof of Concept and Patents</t>
  </si>
  <si>
    <t>Period</t>
  </si>
  <si>
    <t>CGDG</t>
  </si>
  <si>
    <t>CBTH1</t>
  </si>
  <si>
    <t>LP</t>
  </si>
  <si>
    <t>GP</t>
  </si>
  <si>
    <t>Cox-Goettl</t>
  </si>
  <si>
    <t>United States</t>
  </si>
  <si>
    <t>Cost of Product Design / Patent Application</t>
  </si>
  <si>
    <t>International</t>
  </si>
  <si>
    <t>Intital Patent Approval Date</t>
  </si>
  <si>
    <t>Patent Expiration Date</t>
  </si>
  <si>
    <t>Aftermarket - Installed Base</t>
  </si>
  <si>
    <t>Final Design, Tooling &amp; Product Launch</t>
  </si>
  <si>
    <t>Start Date: Final Design + Tooling + Launch</t>
  </si>
  <si>
    <t>Duration: Final Design + Tooling + Launch</t>
  </si>
  <si>
    <t>Filter Useful Life</t>
  </si>
  <si>
    <t>Budget: Final Design +Tooling + Launch</t>
  </si>
  <si>
    <t>Annual Growth of Base</t>
  </si>
  <si>
    <t xml:space="preserve">Sales Start </t>
  </si>
  <si>
    <t>Product Capture</t>
  </si>
  <si>
    <t>United States - Start</t>
  </si>
  <si>
    <t>4.  Technology Licensing</t>
  </si>
  <si>
    <t>United States - Annual Growth</t>
  </si>
  <si>
    <t>License of IP to Manufacturer</t>
  </si>
  <si>
    <t>International - Start</t>
  </si>
  <si>
    <t>Up-Front Payment</t>
  </si>
  <si>
    <t>International - Annual Growth</t>
  </si>
  <si>
    <t>Up-Front Payment Date</t>
  </si>
  <si>
    <t>License thru IP Expiration: % of Gross Sales</t>
  </si>
  <si>
    <t>2. Supply Chain &amp; Revenue</t>
  </si>
  <si>
    <t>Total Licensing Revenue [Base]</t>
  </si>
  <si>
    <t>Manufacturer</t>
  </si>
  <si>
    <t>License after IP Expiration: % of Gross Sales</t>
  </si>
  <si>
    <t>Production Cost / Unit</t>
  </si>
  <si>
    <t>Residual Licensing Revenue</t>
  </si>
  <si>
    <t>Production Cost Inflation / Yr</t>
  </si>
  <si>
    <t>Markup</t>
  </si>
  <si>
    <t>Wholesale Price</t>
  </si>
  <si>
    <t>Manufacturer: Margin</t>
  </si>
  <si>
    <t>Manufacturer: SG&amp;A</t>
  </si>
  <si>
    <t>Wholesaler</t>
  </si>
  <si>
    <t>Installer Price</t>
  </si>
  <si>
    <t>Installer</t>
  </si>
  <si>
    <t>Proforma Retail Price</t>
  </si>
  <si>
    <t>Current Cartridge Filter Price</t>
  </si>
  <si>
    <t>Price Override</t>
  </si>
  <si>
    <t>Starting Retail Price</t>
  </si>
  <si>
    <t>Retail Price Inflation</t>
  </si>
  <si>
    <t>Effective Margin</t>
  </si>
  <si>
    <t>Effective Markup</t>
  </si>
  <si>
    <t>Total</t>
  </si>
  <si>
    <t>Copper Mountain</t>
  </si>
  <si>
    <t>Prelim Underwriting Model</t>
  </si>
  <si>
    <t>Width x Depth</t>
  </si>
  <si>
    <t>SF</t>
  </si>
  <si>
    <t>TYPE</t>
  </si>
  <si>
    <t>DUA</t>
  </si>
  <si>
    <t>CODE</t>
  </si>
  <si>
    <t>Price</t>
  </si>
  <si>
    <t>Unit</t>
  </si>
  <si>
    <t>MDR</t>
  </si>
  <si>
    <t>$/FF</t>
  </si>
  <si>
    <t>MLDR</t>
  </si>
  <si>
    <t>Pricing</t>
  </si>
  <si>
    <t>Type</t>
  </si>
  <si>
    <t>LUC</t>
  </si>
  <si>
    <t>6/6-Pack</t>
  </si>
  <si>
    <t>MHDR</t>
  </si>
  <si>
    <t>$/Unit</t>
  </si>
  <si>
    <t>7/8-Pack</t>
  </si>
  <si>
    <t>Multifamily</t>
  </si>
  <si>
    <t>HDR</t>
  </si>
  <si>
    <t>Commercial</t>
  </si>
  <si>
    <t>COM</t>
  </si>
  <si>
    <t>$/Acre</t>
  </si>
  <si>
    <t>Public Facilities</t>
  </si>
  <si>
    <t>PF</t>
  </si>
  <si>
    <t>Mixed</t>
  </si>
  <si>
    <t>MU</t>
  </si>
  <si>
    <t>$/SF</t>
  </si>
  <si>
    <t>35x90</t>
  </si>
  <si>
    <t>35x100</t>
  </si>
  <si>
    <t>40x90</t>
  </si>
  <si>
    <t>40x100</t>
  </si>
  <si>
    <t>45x100</t>
  </si>
  <si>
    <t>50x115</t>
  </si>
  <si>
    <t>50x120</t>
  </si>
  <si>
    <t>55x115</t>
  </si>
  <si>
    <t>55x120</t>
  </si>
  <si>
    <t>55x125</t>
  </si>
  <si>
    <t>60x120</t>
  </si>
  <si>
    <t>60x125</t>
  </si>
  <si>
    <t>65x120</t>
  </si>
  <si>
    <t>65x125</t>
  </si>
  <si>
    <t>70x130</t>
  </si>
  <si>
    <t>70x120</t>
  </si>
  <si>
    <t>80x130</t>
  </si>
  <si>
    <t>80x140</t>
  </si>
  <si>
    <t>APN</t>
  </si>
  <si>
    <t>Manager</t>
  </si>
  <si>
    <t>Owner</t>
  </si>
  <si>
    <t>Acres</t>
  </si>
  <si>
    <t>T</t>
  </si>
  <si>
    <t>R</t>
  </si>
  <si>
    <t>S</t>
  </si>
  <si>
    <t>LegalDescription</t>
  </si>
  <si>
    <t>50225018A</t>
  </si>
  <si>
    <t>ANCCC</t>
  </si>
  <si>
    <t>ANCCC LLC</t>
  </si>
  <si>
    <t>05S</t>
  </si>
  <si>
    <t>05E</t>
  </si>
  <si>
    <t>SW SEC 34-5S-5E 160 AC</t>
  </si>
  <si>
    <t>50985003K</t>
  </si>
  <si>
    <t>06E</t>
  </si>
  <si>
    <t>NW SEC 14 5S 5E, 161.31 AC</t>
  </si>
  <si>
    <t>GIBSON COLLARD DEVELOPMENT IN S1/2 OF SEC 33-5S-5E TRACT 30</t>
  </si>
  <si>
    <t>GIBSON COLLARD DEVELOPMENT IN S1/2 OF SEC 33-5S-5E TRACT 32</t>
  </si>
  <si>
    <t>E1/2 E1/2 SE OF SEC 28-5S-5E 40.00 AC</t>
  </si>
  <si>
    <t>50985003F</t>
  </si>
  <si>
    <t>GIBSON COLLARD DEVELOPMENT IN S1/2 OF SEC 33-5S-5E TRACT 22</t>
  </si>
  <si>
    <t>GIBSON COLLARD DEVELOPMENT IN S1/2 OF SEC 33-5S-5E TRACT 24</t>
  </si>
  <si>
    <t>GIBSON COLLARD DEVELOPMENT IN S1/2 OF SEC 33-5S-5E TRACT 21</t>
  </si>
  <si>
    <t>GIBSON COLLARD DEVELOPMENT IN S1/2 OF SEC 33-5S-5E TRACT 23</t>
  </si>
  <si>
    <t>GIBSON COLLARD DEVELOPMENT IN S1/2 OF SEC 33-5S-5E TRACT 9</t>
  </si>
  <si>
    <t>50985003B</t>
  </si>
  <si>
    <t>GIBSON COLLARD DEVELOPMENT IN S1/2 OF SEC 33-5S-5E TRACT 8</t>
  </si>
  <si>
    <t>GIBSON COLLARD DEVELOPMENT IN S1/2 OF SEC 33-5S-5E TRACT 7</t>
  </si>
  <si>
    <t>50985003C</t>
  </si>
  <si>
    <t>GIBSON COLLARD DEVELOPMENT IN S1/2 OF SEC 33-5S-5E TRACT 10</t>
  </si>
  <si>
    <t>SE SE NE OF SEC 28-5S-5E 10 AC +/-</t>
  </si>
  <si>
    <t>S1/2 S1/2 NW OF SEC 27-5S-5E 40.00 AC</t>
  </si>
  <si>
    <t>Merril</t>
  </si>
  <si>
    <t>MERRILL PROPERTY DIVISION TRUST LLC</t>
  </si>
  <si>
    <t>S1/2 S1/2 W1/2 NE OF SEC 27-5S-5E 20.00 AC</t>
  </si>
  <si>
    <t>50225018B</t>
  </si>
  <si>
    <t>WHM COPPER MOUNTAIN INVESTMENTS LLC</t>
  </si>
  <si>
    <t>S1/2 S1/2 E1/2 NE OF SEC 27-5S-5E 20.00 AC</t>
  </si>
  <si>
    <t>NE AND S2 SEC 14 5S 5E, 483.93 AC</t>
  </si>
  <si>
    <t>N1/2 SE EXC N-338.68 SEC 17-5S-6E 57.30 AC</t>
  </si>
  <si>
    <t>50237006B</t>
  </si>
  <si>
    <t>E1/2 SW OF SEC 22-5S-5E 80.00 AC</t>
  </si>
  <si>
    <t>SE SEC 23 5S 5E 160AC</t>
  </si>
  <si>
    <t>NW SW OF SEC 22-5S-5E 40.00 AC</t>
  </si>
  <si>
    <t>COMM E1/4 COR SEC 17-5S-6E; TH S-0 DEG 10'09  E-275' TO POB TH S-0 DEG 10'09  E-63.68' TH S-89 DEG 17'52  W-96.80' TH S-89 DEG 17'52  W-2543.29' TH N-0 DEG 06'36  W-188.68' TH N-89 DEG 17'52  E-2139.90' TH S-0 DEG 10'09  E-125.0'; TH N-89 DEG 17'52  E-403.16'; TH N-89 DEG 17'52  E-96.84' TO POB SEC 17-5S-6E 9.86 AC + OR -</t>
  </si>
  <si>
    <t>LOTS 1 THRU 4 &amp; NW OF SEC 22-5S-5E 321.93 AC</t>
  </si>
  <si>
    <t>SW SW OF SEC 22-5S-5E 40.00 AC</t>
  </si>
  <si>
    <t>LOTS 1 THRU 7 &amp; SW NE &amp; S 1/2 NW &amp; SW &amp; W 1/2 SE OF SEC 13-5S-5E 667.65 AC</t>
  </si>
  <si>
    <t>LTS 1 THRU 5 SE NW E1/2 SW &amp; SE OF SEC 18-5S-6E EXC N-328.85' OF SE THEREOF 463.04 AC</t>
  </si>
  <si>
    <t>E-500' OF N-275' OF SE SEC 17-5S-6E 3.16 AC</t>
  </si>
  <si>
    <t>50237001E</t>
  </si>
  <si>
    <t>W1/2 OF SEC 17-5S-6E 320.00 AC</t>
  </si>
  <si>
    <t>50236004A</t>
  </si>
  <si>
    <t>N-150' OF SE OF SEC 17-5S-6E EXC E-500' THEREOF 7.37 AC</t>
  </si>
  <si>
    <t>50236001A</t>
  </si>
  <si>
    <t>LTS 1 THRU 4 &amp; S1/2 N1/2 OF SEC 23-5S-5E 316.96 AC</t>
  </si>
  <si>
    <t>50236009A</t>
  </si>
  <si>
    <t>LOTS 1 THRU 5 S1/2 NE SE NW &amp; SW OF SEC 24-5S-5E EXC E-330.12' OF SW THEREOF 460.91 AC</t>
  </si>
  <si>
    <t>TrustBank</t>
  </si>
  <si>
    <t>TB SPECIAL ASSET I LLC</t>
  </si>
  <si>
    <t>NE NW OF SEC 27-5S-5E 40.00 AC</t>
  </si>
  <si>
    <t>50236009B</t>
  </si>
  <si>
    <t>N1/2 E1/2 NE &amp; N1/2 S1/2 E1/2 NE OF SEC 27-5S-5E 60.00 AC</t>
  </si>
  <si>
    <t>NW NW OF SEC 27-5S-5E 40.00 AC</t>
  </si>
  <si>
    <t>50236001B</t>
  </si>
  <si>
    <t>N1//2 W1/2 NE &amp; N1/2 S1/2 W1/2 NE OF SEC 27-5S-5E 60.00 AC</t>
  </si>
  <si>
    <t>50236004B</t>
  </si>
  <si>
    <t>N1/2 S1/2 NW OF SEC 27-5S-5E 40.00 AC</t>
  </si>
  <si>
    <t>50237005A</t>
  </si>
  <si>
    <t>Vestin</t>
  </si>
  <si>
    <t>VREO XV LLC</t>
  </si>
  <si>
    <t>E1/2 SW SE OF SEC 28-5S-5E 20.00 AC</t>
  </si>
  <si>
    <t>SW OF SEC 28-5S-5E 160.00 AC</t>
  </si>
  <si>
    <t>NE OF SEC 33-5S-5E 160.00 AC</t>
  </si>
  <si>
    <t>E1/2 NW OF SEC 33-5S-5E 80.00 AC</t>
  </si>
  <si>
    <t>W1/2 NW OF SEC 33-5S-5E 80.00 AC</t>
  </si>
  <si>
    <t>50237005B</t>
  </si>
  <si>
    <t>W1/2 SW SE OF SEC 28-5S-5E 20.00 AC</t>
  </si>
  <si>
    <t>50237005C</t>
  </si>
  <si>
    <t>NW SE OF SEC 28-5S-5E 40.00 AC</t>
  </si>
  <si>
    <t>50237006A</t>
  </si>
  <si>
    <t>W1/2 E1/2 SE OF SEC 28-5S-5E 40.00 AC</t>
  </si>
  <si>
    <t>50237001A</t>
  </si>
  <si>
    <t>N1/2 NE OF SEC 28-5S-5E 80.00 AC +/-</t>
  </si>
  <si>
    <t>50237001B</t>
  </si>
  <si>
    <t>SW NE OF SEC 28-5S-5E 40.00 AC +/-</t>
  </si>
  <si>
    <t>NE &amp; S1/2 OF SEC 21-5S-5E 480.00 AC</t>
  </si>
  <si>
    <t>50237001C</t>
  </si>
  <si>
    <t>W1/2 SE NE OF SEC 28-5S-5E 20 AC +/-</t>
  </si>
  <si>
    <t>50237001D</t>
  </si>
  <si>
    <t>NE SE NE OF SEC 28-5S-5E 10 AC +/-</t>
  </si>
  <si>
    <t>LTS 1 THRU 3 S1/2 NE N1/2 SE &amp; S1/2 NW OF SEC 16-5S-5E 359.5 AC + OR -</t>
  </si>
  <si>
    <t>LTS 1 THRU 4 S1/2 N1/2 &amp; S1/2 OF SEC 15-5S-5E 641.8 AC</t>
  </si>
  <si>
    <t>50233001A</t>
  </si>
  <si>
    <t>Yount</t>
  </si>
  <si>
    <t>100 VAL VISTA MONTGOMERY LLC</t>
  </si>
  <si>
    <t>S1/2 SE NE NW &amp; E1/2 SE NW OF SEC 21-5S-5E 25.00 AC</t>
  </si>
  <si>
    <t>50233001B</t>
  </si>
  <si>
    <t>NE NW OF SEC 21-5S-5E EXC S1/2 SE NE NW OF SEC 21-5S-5E 35.00 AC</t>
  </si>
  <si>
    <t>NW NW OF SEC 21-5S-5E 40.00 AC</t>
  </si>
  <si>
    <t>50233003B</t>
  </si>
  <si>
    <t>W1/2 SE NW OF SEC 21-5S-5E EXC W-33' FOR R/W (1.00 AC + OR -) 19.00 AC</t>
  </si>
  <si>
    <t>50233003A</t>
  </si>
  <si>
    <t>SW NW OF SEC 21-5S-5E 40.00 AC</t>
  </si>
  <si>
    <t>50235002H</t>
  </si>
  <si>
    <t>140 VAL VISTA BURRIS LTD PSHIP</t>
  </si>
  <si>
    <t>SE OF SEC 24-5S-5E EXC NE OF SEC 24-5S-5E 120.00 AC</t>
  </si>
  <si>
    <t>BEG AT S1/4 CR OF SEC 24-5S-5E TH N-2639.10' TO CNTR OF SAID SEC 24 TH W-330.12' TH S-2638.88' TH E-330.12' TO POB 20.00 AC</t>
  </si>
  <si>
    <t>50225001D</t>
  </si>
  <si>
    <t>BRUCE &amp; KAREN LLC</t>
  </si>
  <si>
    <t>N1/2 NW SW OF SEC 23-5S-5E 20+/-AC</t>
  </si>
  <si>
    <t>50225021B</t>
  </si>
  <si>
    <t>LKY/COPPER MOUNTAIN INVESTMENT LTD PSHIP</t>
  </si>
  <si>
    <t>ALL OF SEC 36-5S-5E EXC SE SE SE SE AND THAT POR DESC AS FOLLOWED; COMM @ NW COR OF SEC 36- TH S-1316.64' TO POB TH S88D E-227.58' TO THE POINT OF A TANG-CUR CONCAVE  SW W/RAD OF 217.19' TH SWLY 325.21' TH S02D E-980.73' TO THE POINT OF A NON/TANG/CUR CONCAVE NW W/RAD OF 123.28' TH SWLY 192.9' TH W-360.55' TH N- 1313.81' TO POB THEREOF  624 AC</t>
  </si>
  <si>
    <t>50225007D</t>
  </si>
  <si>
    <t>NE1/4 OF SEC 26-5S-5E EXC S-265.72 OF E-1450 THEREOF 151.15 AC</t>
  </si>
  <si>
    <t>NE S25-5S-5E 160 AC</t>
  </si>
  <si>
    <t>50225005B</t>
  </si>
  <si>
    <t>W1/2 OF SEC 25-5S-5E EXC W-630 OF N-1855 OF S-2905 THEREOF 294 AC</t>
  </si>
  <si>
    <t>50225008B</t>
  </si>
  <si>
    <t>NW NW OF SEC 26-5S-5E 40.00 AC</t>
  </si>
  <si>
    <t>50225008C</t>
  </si>
  <si>
    <t>NE NW &amp; S1/2 OF THE NW OF SEC 26-5S-5E 120.00 AC</t>
  </si>
  <si>
    <t>SE SEC 25-5S-5E 160 AC</t>
  </si>
  <si>
    <t>50225001C</t>
  </si>
  <si>
    <t>RICHARD &amp; DANA LLC</t>
  </si>
  <si>
    <t>S1/2 NW SW OF SEC 23-5S-5E 20+/-AC</t>
  </si>
  <si>
    <t>50234001E</t>
  </si>
  <si>
    <t>ROBIN R YOUNT LTD</t>
  </si>
  <si>
    <t>S1/2 W1/2 E1/2 N1/2 N1/2 SE OF SEC 22-5S-5E 5.00 AC</t>
  </si>
  <si>
    <t>50234001D</t>
  </si>
  <si>
    <t>E1/2 W1/2 N1/2 N1/2 SE &amp; N1/2 W1/2 E1/2 N1/2 N1/2 SE &amp; E1/2 E1/2 N1/2 N1/2 SE SEC 22-5S-5E 25.00 AC</t>
  </si>
  <si>
    <t>50234001C</t>
  </si>
  <si>
    <t>W1/2 W1/2 N1/2 N1/2 SE OF SEC 22-5S-5E 10.00 AC</t>
  </si>
  <si>
    <t>50226001D</t>
  </si>
  <si>
    <t>RRY REAL ESTATE LLC</t>
  </si>
  <si>
    <t>S1/2 E1/2 SW SEC 16-5S-5E 40.00 AC</t>
  </si>
  <si>
    <t>50226002A</t>
  </si>
  <si>
    <t>SW SW SEC 16 5S 5E 40 AC</t>
  </si>
  <si>
    <t>50226001A</t>
  </si>
  <si>
    <t>S1/2 SE OF SEC 16-5S-5E 80 AC.</t>
  </si>
  <si>
    <t>RYG 120 LLC</t>
  </si>
  <si>
    <t>E2 SW SEC 23 5S 5E 80AC</t>
  </si>
  <si>
    <t>50225001B</t>
  </si>
  <si>
    <t>SW SW OF SEC 23-5S-5E 40 AC</t>
  </si>
  <si>
    <t>50234002B</t>
  </si>
  <si>
    <t>VAL VISTA/W BIANCO LTD  PSHIP LLLP</t>
  </si>
  <si>
    <t>E1/3 OF W1/2 SE AND W1/3 OF E1/2 SE OF SEC 22-5S-5E EXC N1/2 N1/2 SE 40.00 AC</t>
  </si>
  <si>
    <r>
      <t xml:space="preserve">Merril </t>
    </r>
    <r>
      <rPr>
        <sz val="8"/>
        <color theme="1"/>
        <rFont val="Arial"/>
        <family val="2"/>
      </rPr>
      <t>(ANCCC)</t>
    </r>
  </si>
  <si>
    <t>check</t>
  </si>
  <si>
    <t>CC&amp;N Legal Fee Management</t>
  </si>
  <si>
    <t>Analysis of Assured Water Supply</t>
  </si>
  <si>
    <t>GRD Application and Agreement</t>
  </si>
  <si>
    <t>Well Site Acquisition (two sites)</t>
  </si>
  <si>
    <t>Exploratory Well Drilling (aquifer verification)</t>
  </si>
  <si>
    <t>Wastewater Master Plan</t>
  </si>
  <si>
    <t>Wastewater Service Agreement (w/ City)</t>
  </si>
  <si>
    <t>Water Service Agreement (w/ AZ Water)</t>
  </si>
  <si>
    <t>Dry Utility Service Agreement (Electric / Cable)</t>
  </si>
  <si>
    <t>404 Jurisdiction Relinquishment</t>
  </si>
  <si>
    <t>Drainage Master Plan</t>
  </si>
  <si>
    <t>Traffic Master Plan</t>
  </si>
  <si>
    <t>Master Marketing Study</t>
  </si>
  <si>
    <t>Development Agreement &amp; PAD Amendments</t>
  </si>
  <si>
    <t>CFD Updates</t>
  </si>
  <si>
    <t>Development Cost Estimates</t>
  </si>
  <si>
    <t>10% Contingency</t>
  </si>
  <si>
    <t>Preliminary Project Budget</t>
  </si>
  <si>
    <t>20% Contingency</t>
  </si>
  <si>
    <t>Start</t>
  </si>
  <si>
    <t>Land Planning &amp; Design</t>
  </si>
  <si>
    <t>Master Marketing Studies</t>
  </si>
  <si>
    <t>Stage 1 - Master Planning &amp; Utilities</t>
  </si>
  <si>
    <t>Thru</t>
  </si>
  <si>
    <t>Offsite Sewer</t>
  </si>
  <si>
    <t>Offsite Water</t>
  </si>
  <si>
    <t>Offsite Transport</t>
  </si>
  <si>
    <t>Project Infrastructure - Phase 1</t>
  </si>
  <si>
    <t>Subdivision Infrastructure - Phase 1</t>
  </si>
  <si>
    <t>Offsite Transportation</t>
  </si>
  <si>
    <t>Offsite - Exactions</t>
  </si>
  <si>
    <t>Stage 2 - Project Engineering</t>
  </si>
  <si>
    <t>Stage</t>
  </si>
  <si>
    <t>Item</t>
  </si>
  <si>
    <t>Annexation Ordinance</t>
  </si>
  <si>
    <t>Pre-Annexation Agreement</t>
  </si>
  <si>
    <t>General Plan Amendment (Council Approved &amp; Adopted Ordinance)</t>
  </si>
  <si>
    <t>Development Agreement</t>
  </si>
  <si>
    <t>Participation / Cost Sharing Agreement with adjacent property owners</t>
  </si>
  <si>
    <t>School Agreement (Donation or Impact Fee)</t>
  </si>
  <si>
    <t>SHPO Clearance or Stipulations</t>
  </si>
  <si>
    <t>Federal “404” Clearance or Stipulations</t>
  </si>
  <si>
    <t>ADEQ / ADWR Conceptual Approval or Stipulations</t>
  </si>
  <si>
    <t>Irrigation District Conceptual Approval</t>
  </si>
  <si>
    <t>PAD Rezoning and Preliminary Plat Packaging and Narrative</t>
  </si>
  <si>
    <t>Approval of PAD Rezoning</t>
  </si>
  <si>
    <t>Approval of Map of Dedication (M.O.D.)</t>
  </si>
  <si>
    <t>Approval of Preliminary Plat</t>
  </si>
  <si>
    <t>Negotiated Approval Stipulations for PAD Rezoning, Preliminary Plat, and M.O.D.</t>
  </si>
  <si>
    <t>Copies of P&amp;Z and City Council Minutes, reflective of Public Hearing</t>
  </si>
  <si>
    <t>Adopted Ordinance on Rezoning</t>
  </si>
  <si>
    <t>Adopted Resolution on Preliminary Plat</t>
  </si>
  <si>
    <t>Approved Residential Standard Lot Size and Setback Table</t>
  </si>
  <si>
    <t>Architectural Design Standards and Guidelines for zoning approval</t>
  </si>
  <si>
    <t>Approval of Architecture &amp; Landscape Details</t>
  </si>
  <si>
    <t>Water Management</t>
  </si>
  <si>
    <t>100-year Assured Water Supply Certificate</t>
  </si>
  <si>
    <t>Flood Control District</t>
  </si>
  <si>
    <t>Conceptual Approval</t>
  </si>
  <si>
    <t>ADOT / MCDOT</t>
  </si>
  <si>
    <t>Title</t>
  </si>
  <si>
    <t>Title Report &amp; Schedule B Documents</t>
  </si>
  <si>
    <t>Certificate of Area &amp; Certified Legal Description</t>
  </si>
  <si>
    <t>Public Hearing/Marketing</t>
  </si>
  <si>
    <t>Elevation / Rendering Package and presentations</t>
  </si>
  <si>
    <t>Environmental &amp; Soils</t>
  </si>
  <si>
    <t>Soils Geotechnical Investigation Report</t>
  </si>
  <si>
    <t>Phase I Environmental Report</t>
  </si>
  <si>
    <t>Drainage</t>
  </si>
  <si>
    <t>Preliminary Drainage Report</t>
  </si>
  <si>
    <t>Preliminary Water Master Report</t>
  </si>
  <si>
    <t>Sewer</t>
  </si>
  <si>
    <t>Preliminary Sewer Master Report</t>
  </si>
  <si>
    <t>Earthworks</t>
  </si>
  <si>
    <t>Preliminary Earthworks Analysis</t>
  </si>
  <si>
    <t>Circulation</t>
  </si>
  <si>
    <t>Area Circulation Study &amp; Design Report</t>
  </si>
  <si>
    <t>Effluent</t>
  </si>
  <si>
    <t>Preliminary Effluent Usage Water Balance Analysis &amp; Report</t>
  </si>
  <si>
    <t>Irrigation</t>
  </si>
  <si>
    <t>Preliminary Irrigation Master Plan</t>
  </si>
  <si>
    <t>Traffic</t>
  </si>
  <si>
    <t>Traffic Impact Study</t>
  </si>
  <si>
    <t>Civil Engineer</t>
  </si>
  <si>
    <t>Certified Quantity Takeoffs</t>
  </si>
  <si>
    <t>Contractor</t>
  </si>
  <si>
    <t>Independent General Contractor / Construction Manager “Development Cost Estimate”</t>
  </si>
  <si>
    <t>Timeline</t>
  </si>
  <si>
    <t>Stage II Entitlement Timeline</t>
  </si>
  <si>
    <t>Land Development Timeline</t>
  </si>
  <si>
    <t>Engineering</t>
  </si>
  <si>
    <t>Aquifer Analysis and Well Impact Study</t>
  </si>
  <si>
    <t>Exploratory Well and Water Testing Report</t>
  </si>
  <si>
    <t>Permanent (below ground) Well Construction Plans</t>
  </si>
  <si>
    <t>Engineering Well Pumps, Electrical &amp; Site Improvement Plans</t>
  </si>
  <si>
    <t>Government Approval</t>
  </si>
  <si>
    <t>Water Quality Source Approval Letter (from Governmental Agencies)</t>
  </si>
  <si>
    <t>Water Quality Capacity Approval Letter (from Governmental Agencies)</t>
  </si>
  <si>
    <t>Final Well Drilling &amp; Water Quality/Quantity Report</t>
  </si>
  <si>
    <t>Master Water Demand Analysis Study</t>
  </si>
  <si>
    <t>Master Water System Design</t>
  </si>
  <si>
    <t>Water Transmission System Engineering</t>
  </si>
  <si>
    <t>Water Storage Tank and Booster Pump Engineering</t>
  </si>
  <si>
    <t>Water Distribution System Engineering</t>
  </si>
  <si>
    <t>Master Sewer Trunk Line System Design</t>
  </si>
  <si>
    <t>Major Sewer Trunk Line Engineering</t>
  </si>
  <si>
    <t>Sewer Lift Station &amp; Force Main Engineering</t>
  </si>
  <si>
    <t>Sewer Treatment Plant Design, Engineering, and Processing</t>
  </si>
  <si>
    <t>DEQ and CAAG Approval of Sewer System Design</t>
  </si>
  <si>
    <t>Permitting</t>
  </si>
  <si>
    <t>Section 208 Wastewater Treatment Plant Permitting</t>
  </si>
  <si>
    <t>Master Drainage Structural Design and Report</t>
  </si>
  <si>
    <t>Final Earthworks Analysis and Takeoffs</t>
  </si>
  <si>
    <t>Mass Grading Construction Plans</t>
  </si>
  <si>
    <t>Soils</t>
  </si>
  <si>
    <t>Final Geotechnical Soils Structural Report</t>
  </si>
  <si>
    <t>Environmental</t>
  </si>
  <si>
    <t>Phase 2 Environmental Report</t>
  </si>
  <si>
    <t>Flood Management</t>
  </si>
  <si>
    <t>CLOMR / LOMR Application Approval</t>
  </si>
  <si>
    <t>Flood Elevation Certificates / Letters</t>
  </si>
  <si>
    <t>Storm Water Pollution Prevention Plan (SWPPP) and O&amp;M Manual</t>
  </si>
  <si>
    <t>National Pollution Discharge Elimination System (NPDES) or AZPDES</t>
  </si>
  <si>
    <t>DEQ Notice of Intent to Construct Permit</t>
  </si>
  <si>
    <t>County Dust Control Permit</t>
  </si>
  <si>
    <t>Arterial and Collector Roadway Concrete and Paving Improvement Plans</t>
  </si>
  <si>
    <t>Off-site Engineering Improvement Plans</t>
  </si>
  <si>
    <t>Irrigation Relocation/Underground Plans</t>
  </si>
  <si>
    <t>Irrigation Easement/USA Fee Exchange</t>
  </si>
  <si>
    <t>Master Map of Dedication Approval and Recordation</t>
  </si>
  <si>
    <t>Reclaimed Water Storage and Delivery System Engineering</t>
  </si>
  <si>
    <t>ASR Recharge Well Improvement Plans</t>
  </si>
  <si>
    <t>Agreements</t>
  </si>
  <si>
    <t>Off-Site Impact Fee or Reimbursement Agreements with Municipalities</t>
  </si>
  <si>
    <t>Utility Payback / Buy-In Agreements with Municipality and / or nearby property owners</t>
  </si>
  <si>
    <t>Subdivision Grading, Paving and Drainage Improvement Plans</t>
  </si>
  <si>
    <t>Subdivision Retaining Wall Structural Plans</t>
  </si>
  <si>
    <t>Subdivision Water Improvement Plans</t>
  </si>
  <si>
    <t>Subdivision Sewer Improvements Plans</t>
  </si>
  <si>
    <t>Landscape Design</t>
  </si>
  <si>
    <t>Subdivision Landscape Improvement Plans</t>
  </si>
  <si>
    <t>Subdivision Final Site Plan Approval</t>
  </si>
  <si>
    <t>Subdivision Final Plat</t>
  </si>
  <si>
    <t>Utilities</t>
  </si>
  <si>
    <t>Coordinate the Approval of Project Dry Utility Plans (electric, telecom, CATV, gas)</t>
  </si>
  <si>
    <t>Utility Company Street Lighting Plans</t>
  </si>
  <si>
    <t>Community Development</t>
  </si>
  <si>
    <t>Master Community Enhancement Improvement Plans</t>
  </si>
  <si>
    <t>Community Recreation Center, Design and Construction Plans</t>
  </si>
  <si>
    <t>Master Community Landscape Improvement Plans</t>
  </si>
  <si>
    <t>Native Plant Inventory, Salvage and Revegetation</t>
  </si>
  <si>
    <t>Native Plant Nursery and Disposition Plan</t>
  </si>
  <si>
    <t>Community Perimeter Theme Wall and View Wall Plans</t>
  </si>
  <si>
    <t>Marketing</t>
  </si>
  <si>
    <t>Comprehensive Signage Plan</t>
  </si>
  <si>
    <t>Lighting</t>
  </si>
  <si>
    <t>Decorative Site Lighting Plans for streets, trails, and open space areas</t>
  </si>
  <si>
    <t>Contracting</t>
  </si>
  <si>
    <t>Establish Scope of Work and negotiate contract with Field Construction Manager</t>
  </si>
  <si>
    <t>Finalize Project and Subdivision Development Cost Estimate based on actual bids</t>
  </si>
  <si>
    <t>Authority</t>
  </si>
  <si>
    <t>Stage 3 - Construction</t>
  </si>
  <si>
    <t>City, Couty, State, District, Other</t>
  </si>
  <si>
    <t>Council, P/Z. DRB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</si>
</sst>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43" formatCode="_(* #,##0.00_);_(* \(#,##0.00\);_(* &quot;-&quot;??_);_(@_)"/>
    <numFmt numFmtId="164" formatCode="_(#,##0_);\(#,##0\);_(&quot;-&quot;_)"/>
    <numFmt numFmtId="165" formatCode="_(#,##0_);\(#,##0\);_(&quot;&quot;_)"/>
    <numFmt numFmtId="166" formatCode="_(###0_);\(###0\);_(&quot;&quot;_)"/>
    <numFmt numFmtId="167" formatCode="_(#,##0_);_(\(#,##0\);_(&quot;-&quot;??_);_(@_)"/>
    <numFmt numFmtId="168" formatCode="#&quot; yrs&quot;"/>
    <numFmt numFmtId="169" formatCode="_(#,##0_);_(\(#,##0\);_(&quot;-&quot;_)"/>
    <numFmt numFmtId="170" formatCode="yyyy"/>
    <numFmt numFmtId="171" formatCode="#&quot; mos&quot;"/>
    <numFmt numFmtId="172" formatCode="0.0%"/>
    <numFmt numFmtId="173" formatCode="&quot;Year&quot;\ 0"/>
    <numFmt numFmtId="174" formatCode="_(&quot;$&quot;#,##0_);_(\(&quot;$&quot;#,##0\);_(&quot;-&quot;_)"/>
  </numFmts>
  <fonts count="47">
    <font>
      <sz val="11"/>
      <color theme="1"/>
      <name val="Univers"/>
      <family val="2"/>
    </font>
    <font>
      <sz val="11"/>
      <color theme="1"/>
      <name val="Microsoft Sans Serif"/>
      <family val="2"/>
    </font>
    <font>
      <sz val="11"/>
      <color theme="1"/>
      <name val="Univers"/>
      <family val="2"/>
    </font>
    <font>
      <sz val="11"/>
      <color theme="0"/>
      <name val="Univers"/>
      <family val="2"/>
    </font>
    <font>
      <b/>
      <sz val="14"/>
      <color theme="2"/>
      <name val="Univers"/>
      <family val="2"/>
    </font>
    <font>
      <b/>
      <sz val="12"/>
      <color rgb="FF66FA7F"/>
      <name val="Univers"/>
      <family val="2"/>
    </font>
    <font>
      <sz val="10"/>
      <name val="Arial"/>
      <family val="2"/>
    </font>
    <font>
      <b/>
      <sz val="10"/>
      <color theme="0"/>
      <name val="Univers"/>
      <family val="2"/>
    </font>
    <font>
      <sz val="11"/>
      <name val="Univers"/>
      <family val="2"/>
    </font>
    <font>
      <sz val="10"/>
      <name val="Univers"/>
      <family val="2"/>
    </font>
    <font>
      <sz val="11"/>
      <color rgb="FF0000FF"/>
      <name val="Univers"/>
      <family val="2"/>
    </font>
    <font>
      <sz val="8"/>
      <color rgb="FF0000FF"/>
      <name val="Univers"/>
      <family val="2"/>
    </font>
    <font>
      <sz val="8"/>
      <color indexed="12"/>
      <name val="Univers"/>
      <family val="2"/>
    </font>
    <font>
      <sz val="12"/>
      <color theme="1"/>
      <name val="ArialMT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b/>
      <sz val="14"/>
      <color theme="8" tint="0.79998168889431442"/>
      <name val="Aptos"/>
      <family val="2"/>
    </font>
    <font>
      <b/>
      <sz val="11"/>
      <color theme="1"/>
      <name val="Aptos"/>
      <family val="2"/>
    </font>
    <font>
      <sz val="11"/>
      <color theme="1"/>
      <name val="Aptos"/>
      <family val="2"/>
    </font>
    <font>
      <b/>
      <sz val="16"/>
      <color rgb="FF53D2FF"/>
      <name val="Aptos"/>
      <family val="2"/>
    </font>
    <font>
      <sz val="14"/>
      <color theme="1"/>
      <name val="Aptos"/>
      <family val="2"/>
    </font>
    <font>
      <sz val="14"/>
      <color theme="8" tint="0.79998168889431442"/>
      <name val="Aptos"/>
      <family val="2"/>
    </font>
    <font>
      <b/>
      <sz val="12"/>
      <color theme="2" tint="-9.9978637043366805E-2"/>
      <name val="Aptos"/>
      <family val="2"/>
    </font>
    <font>
      <b/>
      <sz val="10"/>
      <name val="Aptos"/>
      <family val="2"/>
    </font>
    <font>
      <b/>
      <sz val="14"/>
      <color theme="1"/>
      <name val="Aptos"/>
      <family val="2"/>
    </font>
    <font>
      <b/>
      <sz val="12"/>
      <color theme="1"/>
      <name val="Aptos"/>
      <family val="2"/>
    </font>
    <font>
      <sz val="12"/>
      <name val="Aptos"/>
      <family val="2"/>
    </font>
    <font>
      <sz val="12"/>
      <color theme="1"/>
      <name val="Aptos"/>
      <family val="2"/>
    </font>
    <font>
      <sz val="12"/>
      <color rgb="FF3704FF"/>
      <name val="Aptos"/>
      <family val="2"/>
    </font>
    <font>
      <sz val="11"/>
      <color theme="1"/>
      <name val="Arial"/>
      <family val="2"/>
    </font>
    <font>
      <sz val="12"/>
      <color rgb="FF230CFF"/>
      <name val="Aptos"/>
      <family val="2"/>
    </font>
    <font>
      <b/>
      <sz val="10"/>
      <color theme="0" tint="-4.9989318521683403E-2"/>
      <name val="Aptos"/>
      <family val="2"/>
    </font>
    <font>
      <sz val="11"/>
      <color theme="0" tint="-0.34998626667073579"/>
      <name val="Aptos"/>
      <family val="2"/>
    </font>
    <font>
      <b/>
      <sz val="11"/>
      <name val="Aptos"/>
      <family val="2"/>
    </font>
    <font>
      <b/>
      <sz val="12"/>
      <name val="Aptos"/>
      <family val="2"/>
    </font>
    <font>
      <b/>
      <u/>
      <sz val="11"/>
      <color theme="1"/>
      <name val="Arial"/>
      <family val="2"/>
    </font>
    <font>
      <b/>
      <u/>
      <sz val="9"/>
      <color theme="1"/>
      <name val="Arial"/>
      <family val="2"/>
    </font>
    <font>
      <b/>
      <u/>
      <sz val="8"/>
      <color theme="1"/>
      <name val="Arial"/>
      <family val="2"/>
    </font>
    <font>
      <b/>
      <sz val="11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Symbol"/>
      <family val="1"/>
      <charset val="2"/>
    </font>
    <font>
      <b/>
      <sz val="11"/>
      <color theme="1"/>
      <name val="Calibri"/>
      <family val="2"/>
    </font>
    <font>
      <sz val="9"/>
      <color theme="1"/>
      <name val="Aptos"/>
      <family val="2"/>
    </font>
    <font>
      <sz val="16"/>
      <color theme="1"/>
      <name val="Calibri"/>
      <family val="2"/>
    </font>
    <font>
      <u val="double"/>
      <sz val="16"/>
      <color theme="1"/>
      <name val="Calibri"/>
      <family val="2"/>
    </font>
    <font>
      <b/>
      <sz val="11"/>
      <color theme="1"/>
      <name val="Univers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0FEF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DADB2"/>
        <bgColor indexed="64"/>
      </patternFill>
    </fill>
    <fill>
      <patternFill patternType="solid">
        <fgColor rgb="FF9FFFA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CCD8EA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F8DE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C5FFC9"/>
        <bgColor indexed="64"/>
      </patternFill>
    </fill>
  </fills>
  <borders count="53">
    <border>
      <left/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rgb="FFE1E1E1"/>
      </left>
      <right style="thick">
        <color rgb="FFE1E1E1"/>
      </right>
      <top style="thick">
        <color rgb="FFE1E1E1"/>
      </top>
      <bottom style="thick">
        <color rgb="FFE1E1E1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rgb="FFE1E1E1"/>
      </left>
      <right style="thick">
        <color rgb="FFE1E1E1"/>
      </right>
      <top style="thin">
        <color theme="2" tint="-0.499984740745262"/>
      </top>
      <bottom style="thick">
        <color rgb="FFE1E1E1"/>
      </bottom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0" tint="-0.34998626667073579"/>
      </top>
      <bottom style="thin">
        <color indexed="64"/>
      </bottom>
      <diagonal/>
    </border>
    <border>
      <left/>
      <right/>
      <top style="thin">
        <color theme="0" tint="-0.34998626667073579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34998626667073579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14">
    <xf numFmtId="0" fontId="0" fillId="0" borderId="0"/>
    <xf numFmtId="0" fontId="6" fillId="0" borderId="0"/>
    <xf numFmtId="164" fontId="8" fillId="5" borderId="4">
      <alignment horizontal="left" vertical="center" shrinkToFit="1"/>
    </xf>
    <xf numFmtId="167" fontId="2" fillId="0" borderId="0"/>
    <xf numFmtId="164" fontId="8" fillId="5" borderId="6">
      <alignment horizontal="left" vertical="center"/>
    </xf>
    <xf numFmtId="0" fontId="13" fillId="0" borderId="0"/>
    <xf numFmtId="41" fontId="14" fillId="0" borderId="0"/>
    <xf numFmtId="9" fontId="15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</cellStyleXfs>
  <cellXfs count="171">
    <xf numFmtId="0" fontId="0" fillId="0" borderId="0" xfId="0"/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left" vertical="center" indent="1"/>
    </xf>
    <xf numFmtId="0" fontId="5" fillId="3" borderId="0" xfId="0" applyFont="1" applyFill="1" applyAlignment="1">
      <alignment horizontal="left" vertical="center" indent="2"/>
    </xf>
    <xf numFmtId="0" fontId="7" fillId="4" borderId="1" xfId="1" applyFont="1" applyFill="1" applyBorder="1" applyAlignment="1">
      <alignment horizontal="centerContinuous" vertical="center"/>
    </xf>
    <xf numFmtId="0" fontId="7" fillId="4" borderId="2" xfId="1" applyFont="1" applyFill="1" applyBorder="1" applyAlignment="1">
      <alignment horizontal="centerContinuous" vertical="center"/>
    </xf>
    <xf numFmtId="14" fontId="10" fillId="7" borderId="3" xfId="2" applyNumberFormat="1" applyFont="1" applyFill="1" applyBorder="1" applyAlignment="1">
      <alignment horizontal="center" vertical="center" shrinkToFit="1"/>
    </xf>
    <xf numFmtId="1" fontId="10" fillId="7" borderId="3" xfId="2" applyNumberFormat="1" applyFont="1" applyFill="1" applyBorder="1" applyAlignment="1">
      <alignment horizontal="center" vertical="center" shrinkToFit="1"/>
    </xf>
    <xf numFmtId="164" fontId="9" fillId="6" borderId="2" xfId="2" applyFont="1" applyFill="1" applyBorder="1" applyAlignment="1">
      <alignment horizontal="left" vertical="center"/>
    </xf>
    <xf numFmtId="0" fontId="0" fillId="2" borderId="0" xfId="0" applyFill="1"/>
    <xf numFmtId="0" fontId="0" fillId="2" borderId="0" xfId="0" applyFill="1" applyAlignment="1">
      <alignment horizontal="center"/>
    </xf>
    <xf numFmtId="164" fontId="8" fillId="6" borderId="2" xfId="2" applyFill="1" applyBorder="1" applyAlignment="1">
      <alignment horizontal="left" vertical="center" indent="1" shrinkToFit="1"/>
    </xf>
    <xf numFmtId="164" fontId="8" fillId="0" borderId="0" xfId="2" applyFill="1" applyBorder="1" applyAlignment="1">
      <alignment horizontal="center" vertical="center" shrinkToFit="1"/>
    </xf>
    <xf numFmtId="14" fontId="8" fillId="0" borderId="0" xfId="2" applyNumberFormat="1" applyFill="1" applyBorder="1" applyAlignment="1">
      <alignment horizontal="center" vertical="center" shrinkToFit="1"/>
    </xf>
    <xf numFmtId="165" fontId="8" fillId="0" borderId="0" xfId="2" applyNumberFormat="1" applyFill="1" applyBorder="1" applyAlignment="1">
      <alignment horizontal="center" vertical="center" shrinkToFit="1"/>
    </xf>
    <xf numFmtId="166" fontId="8" fillId="0" borderId="0" xfId="2" applyNumberFormat="1" applyFill="1" applyBorder="1" applyAlignment="1">
      <alignment horizontal="center" vertical="center" shrinkToFit="1"/>
    </xf>
    <xf numFmtId="0" fontId="0" fillId="0" borderId="0" xfId="0" applyAlignment="1">
      <alignment horizontal="center"/>
    </xf>
    <xf numFmtId="0" fontId="12" fillId="8" borderId="3" xfId="0" applyFont="1" applyFill="1" applyBorder="1" applyAlignment="1">
      <alignment horizontal="center" vertical="center" shrinkToFit="1"/>
    </xf>
    <xf numFmtId="0" fontId="11" fillId="8" borderId="3" xfId="0" applyFont="1" applyFill="1" applyBorder="1" applyAlignment="1">
      <alignment horizontal="center" vertical="center" shrinkToFit="1"/>
    </xf>
    <xf numFmtId="164" fontId="8" fillId="6" borderId="1" xfId="2" applyFill="1" applyBorder="1" applyAlignment="1">
      <alignment horizontal="left" vertical="center"/>
    </xf>
    <xf numFmtId="0" fontId="16" fillId="3" borderId="0" xfId="0" quotePrefix="1" applyFont="1" applyFill="1" applyAlignment="1">
      <alignment vertical="top"/>
    </xf>
    <xf numFmtId="0" fontId="17" fillId="3" borderId="0" xfId="0" applyFont="1" applyFill="1"/>
    <xf numFmtId="0" fontId="17" fillId="3" borderId="7" xfId="0" applyFont="1" applyFill="1" applyBorder="1"/>
    <xf numFmtId="0" fontId="18" fillId="0" borderId="0" xfId="0" applyFont="1"/>
    <xf numFmtId="0" fontId="19" fillId="3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21" fillId="3" borderId="0" xfId="0" quotePrefix="1" applyFont="1" applyFill="1" applyAlignment="1">
      <alignment vertical="top"/>
    </xf>
    <xf numFmtId="0" fontId="22" fillId="3" borderId="0" xfId="0" applyFont="1" applyFill="1" applyAlignment="1">
      <alignment horizontal="left" vertical="top" indent="1"/>
    </xf>
    <xf numFmtId="0" fontId="18" fillId="3" borderId="0" xfId="0" applyFont="1" applyFill="1"/>
    <xf numFmtId="0" fontId="18" fillId="3" borderId="7" xfId="0" applyFont="1" applyFill="1" applyBorder="1"/>
    <xf numFmtId="0" fontId="23" fillId="0" borderId="0" xfId="0" applyFont="1" applyAlignment="1">
      <alignment horizontal="left" vertical="top" indent="2"/>
    </xf>
    <xf numFmtId="0" fontId="23" fillId="0" borderId="0" xfId="0" applyFont="1" applyAlignment="1">
      <alignment vertical="top"/>
    </xf>
    <xf numFmtId="0" fontId="18" fillId="0" borderId="8" xfId="0" applyFont="1" applyBorder="1"/>
    <xf numFmtId="0" fontId="18" fillId="0" borderId="2" xfId="0" applyFont="1" applyBorder="1"/>
    <xf numFmtId="0" fontId="24" fillId="9" borderId="9" xfId="0" applyFont="1" applyFill="1" applyBorder="1" applyAlignment="1">
      <alignment horizontal="left" vertical="center" indent="1"/>
    </xf>
    <xf numFmtId="0" fontId="24" fillId="9" borderId="10" xfId="0" applyFont="1" applyFill="1" applyBorder="1" applyAlignment="1">
      <alignment horizontal="left" vertical="center" indent="1"/>
    </xf>
    <xf numFmtId="0" fontId="25" fillId="9" borderId="11" xfId="0" applyFont="1" applyFill="1" applyBorder="1" applyAlignment="1">
      <alignment horizontal="left" vertical="center" indent="1"/>
    </xf>
    <xf numFmtId="0" fontId="24" fillId="9" borderId="11" xfId="0" applyFont="1" applyFill="1" applyBorder="1" applyAlignment="1">
      <alignment horizontal="left" vertical="center" indent="1"/>
    </xf>
    <xf numFmtId="0" fontId="26" fillId="0" borderId="0" xfId="0" applyFont="1" applyAlignment="1">
      <alignment horizontal="left" vertical="center" indent="2"/>
    </xf>
    <xf numFmtId="0" fontId="24" fillId="10" borderId="9" xfId="0" applyFont="1" applyFill="1" applyBorder="1" applyAlignment="1">
      <alignment horizontal="left" vertical="center" indent="1"/>
    </xf>
    <xf numFmtId="0" fontId="24" fillId="10" borderId="10" xfId="0" applyFont="1" applyFill="1" applyBorder="1" applyAlignment="1">
      <alignment horizontal="left" vertical="center" indent="1"/>
    </xf>
    <xf numFmtId="0" fontId="24" fillId="10" borderId="11" xfId="0" applyFont="1" applyFill="1" applyBorder="1" applyAlignment="1">
      <alignment horizontal="left" vertical="center" indent="1"/>
    </xf>
    <xf numFmtId="0" fontId="25" fillId="11" borderId="9" xfId="0" applyFont="1" applyFill="1" applyBorder="1" applyAlignment="1">
      <alignment horizontal="left" vertical="center" indent="1"/>
    </xf>
    <xf numFmtId="0" fontId="18" fillId="11" borderId="10" xfId="0" applyFont="1" applyFill="1" applyBorder="1"/>
    <xf numFmtId="0" fontId="25" fillId="11" borderId="11" xfId="0" applyFont="1" applyFill="1" applyBorder="1" applyAlignment="1">
      <alignment horizontal="left" vertical="center" indent="1"/>
    </xf>
    <xf numFmtId="0" fontId="17" fillId="11" borderId="11" xfId="0" applyFont="1" applyFill="1" applyBorder="1" applyAlignment="1">
      <alignment horizontal="left" vertical="center" indent="1"/>
    </xf>
    <xf numFmtId="0" fontId="25" fillId="11" borderId="9" xfId="0" applyFont="1" applyFill="1" applyBorder="1" applyAlignment="1">
      <alignment horizontal="left" vertical="center" indent="2"/>
    </xf>
    <xf numFmtId="0" fontId="25" fillId="13" borderId="9" xfId="0" applyFont="1" applyFill="1" applyBorder="1" applyAlignment="1">
      <alignment horizontal="left" vertical="center" indent="1"/>
    </xf>
    <xf numFmtId="0" fontId="25" fillId="13" borderId="12" xfId="0" applyFont="1" applyFill="1" applyBorder="1" applyAlignment="1">
      <alignment horizontal="left" vertical="center" indent="1"/>
    </xf>
    <xf numFmtId="168" fontId="17" fillId="13" borderId="12" xfId="0" applyNumberFormat="1" applyFont="1" applyFill="1" applyBorder="1" applyAlignment="1">
      <alignment horizontal="center" vertical="center"/>
    </xf>
    <xf numFmtId="0" fontId="17" fillId="13" borderId="12" xfId="0" applyFont="1" applyFill="1" applyBorder="1" applyAlignment="1">
      <alignment horizontal="center" vertical="center"/>
    </xf>
    <xf numFmtId="0" fontId="17" fillId="13" borderId="11" xfId="0" applyFont="1" applyFill="1" applyBorder="1" applyAlignment="1">
      <alignment horizontal="center" vertical="center"/>
    </xf>
    <xf numFmtId="0" fontId="27" fillId="14" borderId="13" xfId="0" applyFont="1" applyFill="1" applyBorder="1" applyAlignment="1">
      <alignment horizontal="left" vertical="center" indent="1"/>
    </xf>
    <xf numFmtId="0" fontId="18" fillId="14" borderId="14" xfId="0" applyFont="1" applyFill="1" applyBorder="1" applyAlignment="1">
      <alignment horizontal="left" vertical="center" indent="2"/>
    </xf>
    <xf numFmtId="0" fontId="27" fillId="14" borderId="15" xfId="0" applyFont="1" applyFill="1" applyBorder="1" applyAlignment="1">
      <alignment horizontal="left" vertical="center" indent="1"/>
    </xf>
    <xf numFmtId="0" fontId="18" fillId="14" borderId="16" xfId="0" applyFont="1" applyFill="1" applyBorder="1" applyAlignment="1">
      <alignment horizontal="left" vertical="center" indent="2"/>
    </xf>
    <xf numFmtId="169" fontId="28" fillId="15" borderId="17" xfId="0" applyNumberFormat="1" applyFont="1" applyFill="1" applyBorder="1" applyAlignment="1">
      <alignment horizontal="center" vertical="center"/>
    </xf>
    <xf numFmtId="1" fontId="18" fillId="14" borderId="13" xfId="9" applyNumberFormat="1" applyFont="1" applyFill="1" applyBorder="1" applyAlignment="1">
      <alignment horizontal="center" vertical="center"/>
    </xf>
    <xf numFmtId="1" fontId="18" fillId="14" borderId="19" xfId="9" applyNumberFormat="1" applyFont="1" applyFill="1" applyBorder="1" applyAlignment="1">
      <alignment horizontal="center" vertical="center"/>
    </xf>
    <xf numFmtId="170" fontId="18" fillId="14" borderId="13" xfId="9" applyNumberFormat="1" applyFont="1" applyFill="1" applyBorder="1" applyAlignment="1">
      <alignment horizontal="left" vertical="center" indent="1"/>
    </xf>
    <xf numFmtId="170" fontId="18" fillId="14" borderId="19" xfId="9" applyNumberFormat="1" applyFont="1" applyFill="1" applyBorder="1" applyAlignment="1">
      <alignment horizontal="left" vertical="center" indent="1"/>
    </xf>
    <xf numFmtId="169" fontId="26" fillId="14" borderId="22" xfId="0" applyNumberFormat="1" applyFont="1" applyFill="1" applyBorder="1" applyAlignment="1">
      <alignment horizontal="right" vertical="center"/>
    </xf>
    <xf numFmtId="169" fontId="26" fillId="14" borderId="23" xfId="0" applyNumberFormat="1" applyFont="1" applyFill="1" applyBorder="1" applyAlignment="1">
      <alignment horizontal="right" vertical="center"/>
    </xf>
    <xf numFmtId="169" fontId="26" fillId="14" borderId="24" xfId="0" applyNumberFormat="1" applyFont="1" applyFill="1" applyBorder="1" applyAlignment="1">
      <alignment horizontal="right" vertical="center"/>
    </xf>
    <xf numFmtId="169" fontId="26" fillId="14" borderId="20" xfId="0" applyNumberFormat="1" applyFont="1" applyFill="1" applyBorder="1" applyAlignment="1">
      <alignment horizontal="right" vertical="center"/>
    </xf>
    <xf numFmtId="169" fontId="26" fillId="14" borderId="25" xfId="0" applyNumberFormat="1" applyFont="1" applyFill="1" applyBorder="1" applyAlignment="1">
      <alignment horizontal="right" vertical="center"/>
    </xf>
    <xf numFmtId="169" fontId="26" fillId="14" borderId="26" xfId="0" applyNumberFormat="1" applyFont="1" applyFill="1" applyBorder="1" applyAlignment="1">
      <alignment horizontal="right" vertical="center"/>
    </xf>
    <xf numFmtId="0" fontId="27" fillId="14" borderId="19" xfId="0" applyFont="1" applyFill="1" applyBorder="1" applyAlignment="1">
      <alignment horizontal="left" vertical="center" indent="1"/>
    </xf>
    <xf numFmtId="0" fontId="18" fillId="14" borderId="26" xfId="0" applyFont="1" applyFill="1" applyBorder="1" applyAlignment="1">
      <alignment horizontal="left" vertical="center" indent="2"/>
    </xf>
    <xf numFmtId="169" fontId="28" fillId="15" borderId="18" xfId="0" applyNumberFormat="1" applyFont="1" applyFill="1" applyBorder="1" applyAlignment="1">
      <alignment horizontal="center" vertical="center"/>
    </xf>
    <xf numFmtId="0" fontId="27" fillId="14" borderId="28" xfId="0" applyFont="1" applyFill="1" applyBorder="1" applyAlignment="1">
      <alignment horizontal="left" vertical="center" indent="2"/>
    </xf>
    <xf numFmtId="0" fontId="18" fillId="14" borderId="29" xfId="0" applyFont="1" applyFill="1" applyBorder="1" applyAlignment="1">
      <alignment horizontal="left" vertical="center" indent="2"/>
    </xf>
    <xf numFmtId="14" fontId="30" fillId="15" borderId="30" xfId="0" applyNumberFormat="1" applyFont="1" applyFill="1" applyBorder="1" applyAlignment="1">
      <alignment horizontal="center" vertical="center"/>
    </xf>
    <xf numFmtId="0" fontId="27" fillId="14" borderId="31" xfId="0" applyFont="1" applyFill="1" applyBorder="1" applyAlignment="1">
      <alignment horizontal="left" vertical="center" indent="2"/>
    </xf>
    <xf numFmtId="0" fontId="18" fillId="14" borderId="32" xfId="0" applyFont="1" applyFill="1" applyBorder="1" applyAlignment="1">
      <alignment horizontal="left" vertical="center" indent="3"/>
    </xf>
    <xf numFmtId="14" fontId="27" fillId="14" borderId="27" xfId="0" applyNumberFormat="1" applyFont="1" applyFill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7" fillId="14" borderId="13" xfId="0" applyFont="1" applyFill="1" applyBorder="1" applyAlignment="1">
      <alignment horizontal="left" vertical="center" indent="2"/>
    </xf>
    <xf numFmtId="14" fontId="30" fillId="15" borderId="27" xfId="0" applyNumberFormat="1" applyFont="1" applyFill="1" applyBorder="1" applyAlignment="1">
      <alignment horizontal="center" vertical="center"/>
    </xf>
    <xf numFmtId="0" fontId="27" fillId="14" borderId="19" xfId="0" applyFont="1" applyFill="1" applyBorder="1" applyAlignment="1">
      <alignment horizontal="left" vertical="center" indent="2"/>
    </xf>
    <xf numFmtId="14" fontId="32" fillId="14" borderId="26" xfId="0" applyNumberFormat="1" applyFont="1" applyFill="1" applyBorder="1" applyAlignment="1">
      <alignment horizontal="left" vertical="center" indent="2"/>
    </xf>
    <xf numFmtId="171" fontId="28" fillId="15" borderId="18" xfId="0" applyNumberFormat="1" applyFont="1" applyFill="1" applyBorder="1" applyAlignment="1">
      <alignment horizontal="center" vertical="center"/>
    </xf>
    <xf numFmtId="10" fontId="18" fillId="14" borderId="26" xfId="0" applyNumberFormat="1" applyFont="1" applyFill="1" applyBorder="1" applyAlignment="1">
      <alignment horizontal="left" vertical="center" indent="2"/>
    </xf>
    <xf numFmtId="168" fontId="28" fillId="15" borderId="18" xfId="0" applyNumberFormat="1" applyFont="1" applyFill="1" applyBorder="1" applyAlignment="1">
      <alignment horizontal="center" vertical="center"/>
    </xf>
    <xf numFmtId="0" fontId="27" fillId="14" borderId="35" xfId="0" applyFont="1" applyFill="1" applyBorder="1" applyAlignment="1">
      <alignment horizontal="left" vertical="center" indent="1"/>
    </xf>
    <xf numFmtId="0" fontId="18" fillId="14" borderId="36" xfId="0" applyFont="1" applyFill="1" applyBorder="1" applyAlignment="1">
      <alignment horizontal="left" vertical="center" indent="2"/>
    </xf>
    <xf numFmtId="172" fontId="28" fillId="15" borderId="37" xfId="8" applyNumberFormat="1" applyFont="1" applyFill="1" applyBorder="1" applyAlignment="1">
      <alignment horizontal="center" vertical="center"/>
    </xf>
    <xf numFmtId="0" fontId="27" fillId="14" borderId="38" xfId="0" applyFont="1" applyFill="1" applyBorder="1" applyAlignment="1">
      <alignment horizontal="left" vertical="center" indent="2"/>
    </xf>
    <xf numFmtId="14" fontId="32" fillId="14" borderId="39" xfId="0" applyNumberFormat="1" applyFont="1" applyFill="1" applyBorder="1" applyAlignment="1">
      <alignment horizontal="right" vertical="center" indent="1"/>
    </xf>
    <xf numFmtId="173" fontId="28" fillId="15" borderId="34" xfId="0" applyNumberFormat="1" applyFont="1" applyFill="1" applyBorder="1" applyAlignment="1">
      <alignment horizontal="center" vertical="center"/>
    </xf>
    <xf numFmtId="10" fontId="28" fillId="15" borderId="40" xfId="8" applyNumberFormat="1" applyFont="1" applyFill="1" applyBorder="1" applyAlignment="1">
      <alignment horizontal="center" vertical="center"/>
    </xf>
    <xf numFmtId="0" fontId="27" fillId="14" borderId="41" xfId="0" applyFont="1" applyFill="1" applyBorder="1" applyAlignment="1">
      <alignment horizontal="left" vertical="center" indent="2"/>
    </xf>
    <xf numFmtId="0" fontId="18" fillId="14" borderId="42" xfId="0" applyFont="1" applyFill="1" applyBorder="1" applyAlignment="1">
      <alignment horizontal="left" vertical="center" indent="2"/>
    </xf>
    <xf numFmtId="10" fontId="28" fillId="15" borderId="43" xfId="8" applyNumberFormat="1" applyFont="1" applyFill="1" applyBorder="1" applyAlignment="1">
      <alignment horizontal="center" vertical="center"/>
    </xf>
    <xf numFmtId="0" fontId="27" fillId="14" borderId="28" xfId="0" applyFont="1" applyFill="1" applyBorder="1" applyAlignment="1">
      <alignment horizontal="left" vertical="center" indent="1"/>
    </xf>
    <xf numFmtId="10" fontId="28" fillId="15" borderId="44" xfId="8" applyNumberFormat="1" applyFont="1" applyFill="1" applyBorder="1" applyAlignment="1">
      <alignment horizontal="center" vertical="center"/>
    </xf>
    <xf numFmtId="0" fontId="27" fillId="14" borderId="19" xfId="0" applyFont="1" applyFill="1" applyBorder="1" applyAlignment="1">
      <alignment horizontal="left" vertical="center" indent="3"/>
    </xf>
    <xf numFmtId="0" fontId="18" fillId="14" borderId="39" xfId="0" applyFont="1" applyFill="1" applyBorder="1" applyAlignment="1">
      <alignment horizontal="left" vertical="center" indent="2"/>
    </xf>
    <xf numFmtId="10" fontId="28" fillId="15" borderId="33" xfId="8" applyNumberFormat="1" applyFont="1" applyFill="1" applyBorder="1" applyAlignment="1">
      <alignment horizontal="center" vertical="center"/>
    </xf>
    <xf numFmtId="0" fontId="27" fillId="0" borderId="0" xfId="0" applyFont="1"/>
    <xf numFmtId="172" fontId="28" fillId="15" borderId="18" xfId="8" applyNumberFormat="1" applyFont="1" applyFill="1" applyBorder="1" applyAlignment="1">
      <alignment horizontal="center" vertical="center"/>
    </xf>
    <xf numFmtId="0" fontId="27" fillId="14" borderId="19" xfId="0" applyFont="1" applyFill="1" applyBorder="1" applyAlignment="1">
      <alignment horizontal="left" vertical="center" indent="4"/>
    </xf>
    <xf numFmtId="174" fontId="27" fillId="16" borderId="18" xfId="8" applyNumberFormat="1" applyFont="1" applyFill="1" applyBorder="1" applyAlignment="1">
      <alignment horizontal="center" vertical="center"/>
    </xf>
    <xf numFmtId="0" fontId="24" fillId="11" borderId="9" xfId="0" applyFont="1" applyFill="1" applyBorder="1" applyAlignment="1">
      <alignment horizontal="left" vertical="center" indent="2"/>
    </xf>
    <xf numFmtId="174" fontId="28" fillId="15" borderId="18" xfId="8" applyNumberFormat="1" applyFont="1" applyFill="1" applyBorder="1" applyAlignment="1">
      <alignment horizontal="center" vertical="center"/>
    </xf>
    <xf numFmtId="0" fontId="27" fillId="14" borderId="38" xfId="0" applyFont="1" applyFill="1" applyBorder="1" applyAlignment="1">
      <alignment horizontal="left" vertical="center" indent="4"/>
    </xf>
    <xf numFmtId="174" fontId="27" fillId="16" borderId="34" xfId="8" applyNumberFormat="1" applyFont="1" applyFill="1" applyBorder="1" applyAlignment="1">
      <alignment horizontal="center" vertical="center"/>
    </xf>
    <xf numFmtId="172" fontId="28" fillId="15" borderId="27" xfId="8" applyNumberFormat="1" applyFont="1" applyFill="1" applyBorder="1" applyAlignment="1">
      <alignment horizontal="center" vertical="center"/>
    </xf>
    <xf numFmtId="9" fontId="28" fillId="15" borderId="18" xfId="8" applyFont="1" applyFill="1" applyBorder="1" applyAlignment="1">
      <alignment horizontal="center" vertical="center"/>
    </xf>
    <xf numFmtId="0" fontId="27" fillId="14" borderId="35" xfId="0" applyFont="1" applyFill="1" applyBorder="1" applyAlignment="1">
      <alignment horizontal="left" vertical="center" indent="2"/>
    </xf>
    <xf numFmtId="172" fontId="27" fillId="16" borderId="37" xfId="8" applyNumberFormat="1" applyFont="1" applyFill="1" applyBorder="1" applyAlignment="1">
      <alignment horizontal="center" vertical="center"/>
    </xf>
    <xf numFmtId="9" fontId="28" fillId="15" borderId="37" xfId="8" applyFont="1" applyFill="1" applyBorder="1" applyAlignment="1">
      <alignment horizontal="center" vertical="center"/>
    </xf>
    <xf numFmtId="0" fontId="24" fillId="12" borderId="9" xfId="0" applyFont="1" applyFill="1" applyBorder="1" applyAlignment="1">
      <alignment horizontal="left" vertical="center" indent="2"/>
    </xf>
    <xf numFmtId="0" fontId="18" fillId="12" borderId="10" xfId="0" applyFont="1" applyFill="1" applyBorder="1"/>
    <xf numFmtId="0" fontId="27" fillId="14" borderId="14" xfId="0" applyFont="1" applyFill="1" applyBorder="1" applyAlignment="1">
      <alignment horizontal="left" vertical="center" indent="2"/>
    </xf>
    <xf numFmtId="0" fontId="27" fillId="14" borderId="26" xfId="0" applyFont="1" applyFill="1" applyBorder="1" applyAlignment="1">
      <alignment horizontal="left" vertical="center" indent="2"/>
    </xf>
    <xf numFmtId="0" fontId="27" fillId="14" borderId="0" xfId="0" applyFont="1" applyFill="1" applyAlignment="1">
      <alignment horizontal="left" vertical="center" indent="2"/>
    </xf>
    <xf numFmtId="174" fontId="28" fillId="8" borderId="40" xfId="8" applyNumberFormat="1" applyFont="1" applyFill="1" applyBorder="1" applyAlignment="1">
      <alignment horizontal="center" vertical="center"/>
    </xf>
    <xf numFmtId="172" fontId="27" fillId="16" borderId="34" xfId="8" applyNumberFormat="1" applyFont="1" applyFill="1" applyBorder="1" applyAlignment="1">
      <alignment horizontal="center" vertical="center"/>
    </xf>
    <xf numFmtId="170" fontId="17" fillId="14" borderId="13" xfId="9" applyNumberFormat="1" applyFont="1" applyFill="1" applyBorder="1" applyAlignment="1">
      <alignment horizontal="left" vertical="center" indent="1"/>
    </xf>
    <xf numFmtId="170" fontId="17" fillId="14" borderId="46" xfId="9" applyNumberFormat="1" applyFont="1" applyFill="1" applyBorder="1" applyAlignment="1">
      <alignment horizontal="left" vertical="center" indent="1"/>
    </xf>
    <xf numFmtId="169" fontId="34" fillId="14" borderId="24" xfId="0" applyNumberFormat="1" applyFont="1" applyFill="1" applyBorder="1" applyAlignment="1">
      <alignment horizontal="right" vertical="center"/>
    </xf>
    <xf numFmtId="169" fontId="34" fillId="14" borderId="14" xfId="0" applyNumberFormat="1" applyFont="1" applyFill="1" applyBorder="1" applyAlignment="1">
      <alignment horizontal="right" vertical="center"/>
    </xf>
    <xf numFmtId="170" fontId="17" fillId="14" borderId="47" xfId="9" applyNumberFormat="1" applyFont="1" applyFill="1" applyBorder="1" applyAlignment="1">
      <alignment horizontal="left" vertical="center" indent="1"/>
    </xf>
    <xf numFmtId="170" fontId="17" fillId="14" borderId="48" xfId="9" applyNumberFormat="1" applyFont="1" applyFill="1" applyBorder="1" applyAlignment="1">
      <alignment horizontal="left" vertical="center" indent="1"/>
    </xf>
    <xf numFmtId="9" fontId="33" fillId="6" borderId="49" xfId="8" applyFont="1" applyFill="1" applyBorder="1" applyAlignment="1">
      <alignment horizontal="center" vertical="center"/>
    </xf>
    <xf numFmtId="9" fontId="33" fillId="6" borderId="50" xfId="8" applyFont="1" applyFill="1" applyBorder="1" applyAlignment="1">
      <alignment horizontal="center" vertical="center"/>
    </xf>
    <xf numFmtId="0" fontId="35" fillId="0" borderId="0" xfId="12" applyFont="1" applyAlignment="1">
      <alignment horizontal="left"/>
    </xf>
    <xf numFmtId="0" fontId="35" fillId="0" borderId="0" xfId="12" applyFont="1" applyAlignment="1">
      <alignment horizontal="center"/>
    </xf>
    <xf numFmtId="0" fontId="36" fillId="0" borderId="0" xfId="12" applyFont="1"/>
    <xf numFmtId="43" fontId="35" fillId="0" borderId="0" xfId="13" applyFont="1" applyAlignment="1">
      <alignment horizontal="right"/>
    </xf>
    <xf numFmtId="0" fontId="37" fillId="0" borderId="0" xfId="12" applyFont="1" applyAlignment="1">
      <alignment horizontal="right"/>
    </xf>
    <xf numFmtId="0" fontId="35" fillId="0" borderId="0" xfId="12" applyFont="1" applyAlignment="1">
      <alignment horizontal="right"/>
    </xf>
    <xf numFmtId="0" fontId="35" fillId="0" borderId="0" xfId="12" applyFont="1"/>
    <xf numFmtId="0" fontId="38" fillId="0" borderId="0" xfId="12" applyFont="1"/>
    <xf numFmtId="0" fontId="29" fillId="0" borderId="0" xfId="12" applyFont="1" applyAlignment="1">
      <alignment horizontal="left"/>
    </xf>
    <xf numFmtId="0" fontId="29" fillId="0" borderId="0" xfId="12" applyFont="1" applyAlignment="1">
      <alignment horizontal="center"/>
    </xf>
    <xf numFmtId="0" fontId="39" fillId="0" borderId="0" xfId="12" applyFont="1"/>
    <xf numFmtId="43" fontId="29" fillId="0" borderId="0" xfId="13" applyFont="1"/>
    <xf numFmtId="0" fontId="40" fillId="0" borderId="0" xfId="12" applyFont="1" applyAlignment="1">
      <alignment horizontal="right"/>
    </xf>
    <xf numFmtId="0" fontId="29" fillId="0" borderId="0" xfId="12" applyFont="1" applyAlignment="1">
      <alignment horizontal="right"/>
    </xf>
    <xf numFmtId="0" fontId="29" fillId="0" borderId="0" xfId="12" applyFont="1"/>
    <xf numFmtId="0" fontId="38" fillId="0" borderId="0" xfId="12" applyFont="1" applyAlignment="1">
      <alignment horizontal="right"/>
    </xf>
    <xf numFmtId="43" fontId="38" fillId="0" borderId="0" xfId="13" applyFont="1"/>
    <xf numFmtId="9" fontId="40" fillId="0" borderId="0" xfId="7" applyFont="1" applyAlignment="1">
      <alignment horizontal="right"/>
    </xf>
    <xf numFmtId="43" fontId="40" fillId="0" borderId="0" xfId="13" applyFont="1"/>
    <xf numFmtId="0" fontId="41" fillId="0" borderId="0" xfId="0" applyFont="1" applyAlignment="1">
      <alignment horizontal="left" vertical="center" indent="6"/>
    </xf>
    <xf numFmtId="6" fontId="42" fillId="0" borderId="0" xfId="0" applyNumberFormat="1" applyFont="1" applyAlignment="1">
      <alignment horizontal="left" vertical="center" indent="6"/>
    </xf>
    <xf numFmtId="169" fontId="28" fillId="15" borderId="18" xfId="0" applyNumberFormat="1" applyFont="1" applyFill="1" applyBorder="1" applyAlignment="1">
      <alignment horizontal="right" vertical="center"/>
    </xf>
    <xf numFmtId="0" fontId="25" fillId="17" borderId="9" xfId="0" applyFont="1" applyFill="1" applyBorder="1" applyAlignment="1">
      <alignment horizontal="left" vertical="center" indent="1"/>
    </xf>
    <xf numFmtId="169" fontId="28" fillId="15" borderId="21" xfId="0" applyNumberFormat="1" applyFont="1" applyFill="1" applyBorder="1" applyAlignment="1">
      <alignment horizontal="right" vertical="center"/>
    </xf>
    <xf numFmtId="0" fontId="27" fillId="14" borderId="51" xfId="0" applyFont="1" applyFill="1" applyBorder="1" applyAlignment="1">
      <alignment horizontal="left" vertical="center" indent="1"/>
    </xf>
    <xf numFmtId="0" fontId="27" fillId="14" borderId="45" xfId="0" applyFont="1" applyFill="1" applyBorder="1" applyAlignment="1">
      <alignment horizontal="left" vertical="center" indent="1"/>
    </xf>
    <xf numFmtId="0" fontId="27" fillId="14" borderId="52" xfId="0" applyFont="1" applyFill="1" applyBorder="1" applyAlignment="1">
      <alignment horizontal="left" vertical="center" indent="1"/>
    </xf>
    <xf numFmtId="0" fontId="43" fillId="17" borderId="10" xfId="0" applyFont="1" applyFill="1" applyBorder="1" applyAlignment="1">
      <alignment horizontal="center"/>
    </xf>
    <xf numFmtId="0" fontId="27" fillId="14" borderId="52" xfId="0" applyFont="1" applyFill="1" applyBorder="1" applyAlignment="1">
      <alignment horizontal="center" vertical="center"/>
    </xf>
    <xf numFmtId="6" fontId="44" fillId="0" borderId="0" xfId="0" applyNumberFormat="1" applyFont="1" applyAlignment="1">
      <alignment vertical="center"/>
    </xf>
    <xf numFmtId="6" fontId="45" fillId="0" borderId="0" xfId="0" applyNumberFormat="1" applyFont="1" applyAlignment="1">
      <alignment vertical="center"/>
    </xf>
    <xf numFmtId="8" fontId="0" fillId="0" borderId="0" xfId="0" applyNumberFormat="1"/>
    <xf numFmtId="169" fontId="24" fillId="17" borderId="11" xfId="0" applyNumberFormat="1" applyFont="1" applyFill="1" applyBorder="1" applyAlignment="1">
      <alignment horizontal="left" vertical="center" indent="1"/>
    </xf>
    <xf numFmtId="169" fontId="28" fillId="15" borderId="21" xfId="0" applyNumberFormat="1" applyFont="1" applyFill="1" applyBorder="1" applyAlignment="1">
      <alignment horizontal="right" vertical="center" indent="1"/>
    </xf>
    <xf numFmtId="0" fontId="46" fillId="0" borderId="0" xfId="0" applyFont="1"/>
    <xf numFmtId="0" fontId="46" fillId="0" borderId="0" xfId="0" applyFont="1" applyAlignment="1">
      <alignment horizontal="center"/>
    </xf>
    <xf numFmtId="0" fontId="7" fillId="4" borderId="1" xfId="1" applyFont="1" applyFill="1" applyBorder="1" applyAlignment="1">
      <alignment horizontal="center" vertical="center" shrinkToFit="1"/>
    </xf>
    <xf numFmtId="0" fontId="7" fillId="4" borderId="5" xfId="1" applyFont="1" applyFill="1" applyBorder="1" applyAlignment="1">
      <alignment horizontal="center" vertical="center" shrinkToFit="1"/>
    </xf>
    <xf numFmtId="0" fontId="25" fillId="0" borderId="0" xfId="0" applyFont="1" applyFill="1" applyBorder="1" applyAlignment="1">
      <alignment horizontal="left" vertical="center" indent="1"/>
    </xf>
    <xf numFmtId="0" fontId="43" fillId="0" borderId="0" xfId="0" applyFont="1" applyFill="1" applyBorder="1" applyAlignment="1">
      <alignment horizontal="center"/>
    </xf>
    <xf numFmtId="169" fontId="24" fillId="0" borderId="25" xfId="0" applyNumberFormat="1" applyFont="1" applyFill="1" applyBorder="1" applyAlignment="1">
      <alignment horizontal="left" vertical="center" indent="1"/>
    </xf>
    <xf numFmtId="0" fontId="18" fillId="0" borderId="0" xfId="0" applyFont="1" applyFill="1"/>
  </cellXfs>
  <cellStyles count="14">
    <cellStyle name="Comma 2" xfId="13" xr:uid="{F50841B9-AA34-437B-88C0-CA0FDB1BD7FF}"/>
    <cellStyle name="Comma 5" xfId="10" xr:uid="{3F4283AE-8711-475D-8D70-440411A93CFF}"/>
    <cellStyle name="Label: Input" xfId="2" xr:uid="{4FE3C1FC-201A-4288-A1BB-074B80405F9B}"/>
    <cellStyle name="Normal" xfId="0" builtinId="0"/>
    <cellStyle name="Normal 2" xfId="3" xr:uid="{349CB631-D082-41FC-A02B-45FFCFAAC170}"/>
    <cellStyle name="Normal 2 2" xfId="6" xr:uid="{973A293E-369C-41C2-9AFB-0C88245E7D96}"/>
    <cellStyle name="Normal 22" xfId="5" xr:uid="{189C16CD-A812-4FFD-B200-3D7C128B37CC}"/>
    <cellStyle name="Normal 3" xfId="12" xr:uid="{136AE917-82F7-43CF-9555-827583359F68}"/>
    <cellStyle name="Normal 7" xfId="9" xr:uid="{7FFC37F1-96EE-4FA4-9583-F715533BD81B}"/>
    <cellStyle name="Normal_PrescottLakes 2" xfId="1" xr:uid="{98AD5914-511A-4DAB-B97B-3846D589D7A3}"/>
    <cellStyle name="Percent" xfId="8" builtinId="5"/>
    <cellStyle name="Percent 3" xfId="7" xr:uid="{4C12F205-0E3D-4C32-B88A-12DC9DD741A6}"/>
    <cellStyle name="Percent 4" xfId="11" xr:uid="{76C5A66F-995F-4865-A555-622731F39A04}"/>
    <cellStyle name="Total: Bottom" xfId="4" xr:uid="{7A302A34-1980-4763-A2F0-2877CA778871}"/>
  </cellStyles>
  <dxfs count="2"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fill>
        <patternFill>
          <bgColor rgb="FFE6E6E6"/>
        </patternFill>
      </fill>
    </dxf>
  </dxfs>
  <tableStyles count="0" defaultTableStyle="TableStyleMedium2" defaultPivotStyle="PivotStyleLight16"/>
  <colors>
    <mruColors>
      <color rgb="FFF8FFB9"/>
      <color rgb="FFFFFFDE"/>
      <color rgb="FFC5FF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438150</xdr:colOff>
      <xdr:row>88</xdr:row>
      <xdr:rowOff>65570</xdr:rowOff>
    </xdr:from>
    <xdr:to>
      <xdr:col>13</xdr:col>
      <xdr:colOff>247650</xdr:colOff>
      <xdr:row>123</xdr:row>
      <xdr:rowOff>3833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23FEFD-19C3-41A8-B736-E3C6D0E4B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150" y="16010420"/>
          <a:ext cx="9801225" cy="64343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4A300BE-B9B0-441F-898E-4BDF1C809C4B}">
  <we:reference id="183b341e-30d4-4a70-b123-096b27bd28a8" version="1.0.0.0" store="EXCatalog" storeType="EXCatalog"/>
  <we:alternateReferences>
    <we:reference id="WA200006385" version="1.0.0.0" store="en-US" storeType="OMEX"/>
  </we:alternateReferences>
  <we:properties/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02E85-275C-4255-9D94-EA91A56D5874}">
  <sheetPr codeName="Sheet1"/>
  <dimension ref="A1:AY399"/>
  <sheetViews>
    <sheetView showGridLines="0" topLeftCell="B2" workbookViewId="0">
      <selection activeCell="C8" sqref="C8"/>
    </sheetView>
  </sheetViews>
  <sheetFormatPr baseColWidth="10" defaultColWidth="8.83203125" defaultRowHeight="15"/>
  <cols>
    <col min="1" max="1" width="9" hidden="1" customWidth="1"/>
    <col min="2" max="2" width="2.33203125" customWidth="1" collapsed="1"/>
    <col min="3" max="3" width="44.6640625" style="24" customWidth="1"/>
    <col min="4" max="4" width="4" style="24" bestFit="1" customWidth="1"/>
    <col min="5" max="5" width="3.83203125" style="24" bestFit="1" customWidth="1"/>
    <col min="6" max="6" width="15.83203125" style="24" customWidth="1"/>
    <col min="7" max="7" width="2.6640625" style="24" customWidth="1"/>
    <col min="8" max="8" width="35.33203125" style="24" customWidth="1"/>
    <col min="9" max="9" width="4" style="24" bestFit="1" customWidth="1"/>
    <col min="10" max="10" width="3.83203125" style="24" bestFit="1" customWidth="1"/>
    <col min="11" max="11" width="15.83203125" style="24" customWidth="1"/>
    <col min="12" max="13" width="2.6640625" style="24" customWidth="1"/>
    <col min="14" max="14" width="35.33203125" style="24" customWidth="1"/>
    <col min="15" max="15" width="4" style="24" bestFit="1" customWidth="1"/>
    <col min="16" max="16" width="3.83203125" style="24" bestFit="1" customWidth="1"/>
    <col min="17" max="17" width="15.83203125" style="24" customWidth="1"/>
    <col min="18" max="18" width="2.6640625" style="24" customWidth="1"/>
    <col min="19" max="19" width="44.1640625" style="24" bestFit="1" customWidth="1"/>
    <col min="20" max="20" width="11.5" style="24" customWidth="1"/>
    <col min="21" max="21" width="14.5" style="24" customWidth="1"/>
    <col min="22" max="22" width="2.83203125" style="24" customWidth="1"/>
    <col min="23" max="24" width="9" style="24"/>
    <col min="25" max="25" width="14.1640625" style="24" bestFit="1" customWidth="1"/>
    <col min="26" max="29" width="13" style="24" bestFit="1" customWidth="1"/>
    <col min="31" max="33" width="5.6640625" customWidth="1"/>
  </cols>
  <sheetData>
    <row r="1" spans="1:51" hidden="1">
      <c r="A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</row>
    <row r="2" spans="1:51" ht="22">
      <c r="A2" s="10"/>
      <c r="B2" s="25" t="s">
        <v>69</v>
      </c>
      <c r="C2" s="25"/>
      <c r="D2" s="25"/>
      <c r="E2" s="25"/>
      <c r="F2" s="26"/>
      <c r="G2" s="27"/>
      <c r="H2" s="25"/>
      <c r="I2" s="25"/>
      <c r="J2" s="25"/>
      <c r="K2" s="26"/>
      <c r="L2" s="27"/>
      <c r="M2" s="27"/>
      <c r="N2" s="25"/>
      <c r="O2" s="25"/>
      <c r="P2" s="25"/>
      <c r="Q2" s="26"/>
      <c r="R2" s="27"/>
      <c r="S2" s="26"/>
      <c r="T2" s="21"/>
      <c r="U2" s="27"/>
      <c r="V2" s="27"/>
      <c r="W2" s="27"/>
      <c r="X2" s="27"/>
      <c r="Y2" s="27"/>
      <c r="Z2" s="27"/>
      <c r="AA2" s="27"/>
      <c r="AB2" s="27"/>
      <c r="AC2" s="27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1" ht="16">
      <c r="A3" s="10"/>
      <c r="B3" s="28" t="s">
        <v>70</v>
      </c>
      <c r="C3" s="28"/>
      <c r="D3" s="28"/>
      <c r="E3" s="28"/>
      <c r="F3" s="29"/>
      <c r="G3" s="29"/>
      <c r="H3" s="28"/>
      <c r="I3" s="28"/>
      <c r="J3" s="28"/>
      <c r="K3" s="29"/>
      <c r="L3" s="29"/>
      <c r="M3" s="29"/>
      <c r="N3" s="28"/>
      <c r="O3" s="28"/>
      <c r="P3" s="28"/>
      <c r="Q3" s="29"/>
      <c r="R3" s="29"/>
      <c r="S3" s="29"/>
      <c r="T3" s="22"/>
      <c r="U3" s="29"/>
      <c r="V3" s="29"/>
      <c r="W3" s="29"/>
      <c r="X3" s="29"/>
      <c r="Y3" s="29"/>
      <c r="Z3" s="29"/>
      <c r="AA3" s="29"/>
      <c r="AB3" s="29"/>
      <c r="AC3" s="29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 ht="16" thickBot="1">
      <c r="A4" s="10"/>
      <c r="B4" s="23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23"/>
      <c r="U4" s="30"/>
      <c r="V4" s="30"/>
      <c r="W4" s="30"/>
      <c r="X4" s="30"/>
      <c r="Y4" s="30"/>
      <c r="Z4" s="30"/>
      <c r="AA4" s="30"/>
      <c r="AB4" s="30"/>
      <c r="AC4" s="30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 ht="17" thickTop="1" thickBot="1">
      <c r="A5" s="10"/>
      <c r="B5" s="31"/>
      <c r="C5" s="31"/>
      <c r="D5" s="31"/>
      <c r="E5" s="31"/>
      <c r="F5" s="32"/>
      <c r="G5" s="33"/>
      <c r="H5" s="31"/>
      <c r="I5" s="31"/>
      <c r="J5" s="31"/>
      <c r="K5" s="32"/>
      <c r="L5" s="33"/>
      <c r="N5" s="31"/>
      <c r="O5" s="31"/>
      <c r="P5" s="31"/>
      <c r="Q5" s="32"/>
      <c r="R5" s="33"/>
      <c r="S5" s="32"/>
      <c r="T5" s="33"/>
      <c r="U5" s="33"/>
      <c r="V5" s="34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 ht="24.75" customHeight="1" thickTop="1">
      <c r="A6" s="10"/>
      <c r="C6" s="35" t="s">
        <v>284</v>
      </c>
      <c r="D6" s="36"/>
      <c r="E6" s="36"/>
      <c r="F6" s="37"/>
      <c r="H6" s="35" t="s">
        <v>284</v>
      </c>
      <c r="I6" s="36"/>
      <c r="J6" s="36"/>
      <c r="K6" s="37"/>
      <c r="N6" s="35" t="s">
        <v>284</v>
      </c>
      <c r="O6" s="36"/>
      <c r="P6" s="36"/>
      <c r="Q6" s="37"/>
      <c r="S6" s="35" t="s">
        <v>15</v>
      </c>
      <c r="T6" s="36"/>
      <c r="U6" s="38"/>
      <c r="V6" s="39"/>
      <c r="W6" s="40" t="s">
        <v>16</v>
      </c>
      <c r="X6" s="41"/>
      <c r="Y6" s="41"/>
      <c r="Z6" s="41"/>
      <c r="AA6" s="41"/>
      <c r="AB6" s="41"/>
      <c r="AC6" s="42"/>
    </row>
    <row r="7" spans="1:51" ht="24" customHeight="1">
      <c r="A7" s="10"/>
      <c r="C7" s="151" t="s">
        <v>289</v>
      </c>
      <c r="D7" s="156" t="s">
        <v>286</v>
      </c>
      <c r="E7" s="156" t="s">
        <v>290</v>
      </c>
      <c r="F7" s="161">
        <f>SUM(F11:F28)</f>
        <v>1796820</v>
      </c>
      <c r="H7" s="151" t="s">
        <v>298</v>
      </c>
      <c r="I7" s="156" t="s">
        <v>286</v>
      </c>
      <c r="J7" s="156" t="s">
        <v>290</v>
      </c>
      <c r="K7" s="161">
        <f>SUM(K11:K28)</f>
        <v>1796820</v>
      </c>
      <c r="N7" s="151" t="s">
        <v>428</v>
      </c>
      <c r="O7" s="156" t="s">
        <v>286</v>
      </c>
      <c r="P7" s="156" t="s">
        <v>290</v>
      </c>
      <c r="Q7" s="161">
        <f>SUM(Q11:Q28)</f>
        <v>1796820</v>
      </c>
      <c r="S7" s="43" t="s">
        <v>17</v>
      </c>
      <c r="T7" s="44"/>
      <c r="U7" s="46"/>
      <c r="V7" s="39"/>
      <c r="W7" s="48" t="s">
        <v>18</v>
      </c>
      <c r="X7" s="49" t="s">
        <v>10</v>
      </c>
      <c r="Y7" s="50" t="s">
        <v>19</v>
      </c>
      <c r="Z7" s="51" t="s">
        <v>20</v>
      </c>
      <c r="AA7" s="51" t="s">
        <v>21</v>
      </c>
      <c r="AB7" s="51" t="s">
        <v>22</v>
      </c>
      <c r="AC7" s="52" t="s">
        <v>23</v>
      </c>
      <c r="AE7" s="17" t="s">
        <v>71</v>
      </c>
      <c r="AF7" s="17"/>
      <c r="AG7" s="17"/>
      <c r="AH7" s="17" t="s">
        <v>72</v>
      </c>
      <c r="AI7" s="17" t="s">
        <v>73</v>
      </c>
      <c r="AJ7" s="17" t="s">
        <v>74</v>
      </c>
      <c r="AK7" t="s">
        <v>75</v>
      </c>
      <c r="AM7" t="s">
        <v>76</v>
      </c>
      <c r="AN7" t="s">
        <v>77</v>
      </c>
    </row>
    <row r="8" spans="1:51" ht="19">
      <c r="A8" s="10"/>
      <c r="C8" s="167"/>
      <c r="D8" s="168"/>
      <c r="E8" s="168"/>
      <c r="F8" s="169"/>
      <c r="G8" s="170"/>
      <c r="H8" s="167"/>
      <c r="I8" s="168"/>
      <c r="J8" s="168"/>
      <c r="K8" s="169"/>
      <c r="L8" s="170"/>
      <c r="M8" s="170"/>
      <c r="N8" s="167"/>
      <c r="O8" s="168"/>
      <c r="P8" s="168"/>
      <c r="Q8" s="169"/>
      <c r="S8" s="55" t="s">
        <v>25</v>
      </c>
      <c r="T8" s="56"/>
      <c r="U8" s="57"/>
      <c r="V8" s="39"/>
      <c r="W8" s="58"/>
      <c r="X8" s="60"/>
      <c r="Y8" s="62"/>
      <c r="Z8" s="64"/>
      <c r="AA8" s="64"/>
      <c r="AB8" s="64"/>
      <c r="AC8" s="66"/>
      <c r="AE8" s="17">
        <v>35</v>
      </c>
      <c r="AF8" s="17" t="s">
        <v>8</v>
      </c>
      <c r="AG8" s="17">
        <v>90</v>
      </c>
      <c r="AH8" s="17">
        <v>3150</v>
      </c>
      <c r="AI8" s="17" t="s">
        <v>98</v>
      </c>
      <c r="AJ8" s="17">
        <v>7.6057142857142868</v>
      </c>
      <c r="AK8" t="s">
        <v>78</v>
      </c>
      <c r="AM8">
        <v>2300</v>
      </c>
      <c r="AN8" t="s">
        <v>79</v>
      </c>
    </row>
    <row r="9" spans="1:51" ht="19">
      <c r="A9" s="10"/>
      <c r="C9" s="167"/>
      <c r="D9" s="168"/>
      <c r="E9" s="168"/>
      <c r="F9" s="169"/>
      <c r="G9" s="170"/>
      <c r="H9" s="167"/>
      <c r="I9" s="168"/>
      <c r="J9" s="168"/>
      <c r="K9" s="169"/>
      <c r="L9" s="170"/>
      <c r="M9" s="170"/>
      <c r="N9" s="167"/>
      <c r="O9" s="168"/>
      <c r="P9" s="168"/>
      <c r="Q9" s="169"/>
      <c r="S9" s="71" t="s">
        <v>27</v>
      </c>
      <c r="T9" s="72"/>
      <c r="U9" s="73"/>
      <c r="V9" s="39"/>
      <c r="W9" s="59"/>
      <c r="X9" s="61"/>
      <c r="Y9" s="63"/>
      <c r="Z9" s="65"/>
      <c r="AA9" s="65"/>
      <c r="AB9" s="65"/>
      <c r="AC9" s="67"/>
      <c r="AE9" s="17">
        <v>35</v>
      </c>
      <c r="AF9" s="17" t="s">
        <v>8</v>
      </c>
      <c r="AG9" s="17">
        <v>100</v>
      </c>
      <c r="AH9" s="17">
        <v>3500</v>
      </c>
      <c r="AI9" s="17" t="s">
        <v>99</v>
      </c>
      <c r="AJ9" s="17">
        <v>6.8451428571428572</v>
      </c>
      <c r="AK9" t="s">
        <v>78</v>
      </c>
      <c r="AM9">
        <v>2275</v>
      </c>
      <c r="AN9" t="s">
        <v>79</v>
      </c>
    </row>
    <row r="10" spans="1:51" ht="19">
      <c r="A10" s="10"/>
      <c r="C10" s="167"/>
      <c r="D10" s="168"/>
      <c r="E10" s="168"/>
      <c r="F10" s="169"/>
      <c r="G10" s="170"/>
      <c r="H10" s="167"/>
      <c r="I10" s="168"/>
      <c r="J10" s="168"/>
      <c r="K10" s="169"/>
      <c r="L10" s="170"/>
      <c r="M10" s="170"/>
      <c r="N10" s="167"/>
      <c r="O10" s="168"/>
      <c r="P10" s="168"/>
      <c r="Q10" s="169"/>
      <c r="S10" s="74" t="s">
        <v>28</v>
      </c>
      <c r="T10" s="75"/>
      <c r="U10" s="76"/>
      <c r="V10" s="77"/>
      <c r="W10" s="59"/>
      <c r="X10" s="61"/>
      <c r="Y10" s="63"/>
      <c r="Z10" s="65"/>
      <c r="AA10" s="65"/>
      <c r="AB10" s="65"/>
      <c r="AC10" s="67"/>
      <c r="AE10" s="17">
        <v>40</v>
      </c>
      <c r="AF10" s="17" t="s">
        <v>8</v>
      </c>
      <c r="AG10" s="17">
        <v>90</v>
      </c>
      <c r="AH10" s="17">
        <v>3600</v>
      </c>
      <c r="AI10" s="17" t="s">
        <v>100</v>
      </c>
      <c r="AJ10" s="17">
        <v>6.6550000000000002</v>
      </c>
      <c r="AK10" t="s">
        <v>78</v>
      </c>
      <c r="AM10">
        <v>2250</v>
      </c>
      <c r="AN10" t="s">
        <v>79</v>
      </c>
    </row>
    <row r="11" spans="1:51" ht="16">
      <c r="A11" s="10"/>
      <c r="C11" s="154" t="s">
        <v>288</v>
      </c>
      <c r="D11" s="157">
        <v>1</v>
      </c>
      <c r="E11" s="157">
        <v>3</v>
      </c>
      <c r="F11" s="162">
        <v>50000</v>
      </c>
      <c r="H11" s="154" t="s">
        <v>291</v>
      </c>
      <c r="I11" s="157">
        <v>1</v>
      </c>
      <c r="J11" s="157">
        <v>3</v>
      </c>
      <c r="K11" s="162">
        <v>50000</v>
      </c>
      <c r="N11" s="154" t="s">
        <v>291</v>
      </c>
      <c r="O11" s="157">
        <v>1</v>
      </c>
      <c r="P11" s="157">
        <v>3</v>
      </c>
      <c r="Q11" s="162">
        <v>50000</v>
      </c>
      <c r="R11" s="78"/>
      <c r="S11" s="43" t="s">
        <v>30</v>
      </c>
      <c r="T11" s="44"/>
      <c r="U11" s="46"/>
      <c r="V11" s="39"/>
      <c r="W11" s="59"/>
      <c r="X11" s="61"/>
      <c r="Y11" s="63"/>
      <c r="Z11" s="65"/>
      <c r="AA11" s="65"/>
      <c r="AB11" s="65"/>
      <c r="AC11" s="67"/>
      <c r="AE11" s="17">
        <v>40</v>
      </c>
      <c r="AF11" s="17" t="s">
        <v>8</v>
      </c>
      <c r="AG11" s="17">
        <v>100</v>
      </c>
      <c r="AH11" s="17">
        <v>4000</v>
      </c>
      <c r="AI11" s="17" t="s">
        <v>101</v>
      </c>
      <c r="AJ11" s="17">
        <v>5.9895000000000005</v>
      </c>
      <c r="AK11" t="s">
        <v>78</v>
      </c>
      <c r="AM11">
        <v>2225</v>
      </c>
      <c r="AN11" t="s">
        <v>79</v>
      </c>
    </row>
    <row r="12" spans="1:51" ht="16">
      <c r="A12" s="10"/>
      <c r="C12" s="154" t="s">
        <v>287</v>
      </c>
      <c r="D12" s="157">
        <v>1</v>
      </c>
      <c r="E12" s="157">
        <v>6</v>
      </c>
      <c r="F12" s="162">
        <v>93750</v>
      </c>
      <c r="H12" s="154" t="s">
        <v>292</v>
      </c>
      <c r="I12" s="157">
        <v>1</v>
      </c>
      <c r="J12" s="157">
        <v>6</v>
      </c>
      <c r="K12" s="162">
        <v>93750</v>
      </c>
      <c r="N12" s="154" t="s">
        <v>292</v>
      </c>
      <c r="O12" s="157">
        <v>1</v>
      </c>
      <c r="P12" s="157">
        <v>6</v>
      </c>
      <c r="Q12" s="162">
        <v>93750</v>
      </c>
      <c r="S12" s="79" t="s">
        <v>31</v>
      </c>
      <c r="T12" s="69"/>
      <c r="U12" s="80"/>
      <c r="W12" s="59"/>
      <c r="X12" s="61"/>
      <c r="Y12" s="63"/>
      <c r="Z12" s="65"/>
      <c r="AA12" s="65"/>
      <c r="AB12" s="65"/>
      <c r="AC12" s="67"/>
      <c r="AE12" s="17">
        <v>45</v>
      </c>
      <c r="AF12" s="17" t="s">
        <v>8</v>
      </c>
      <c r="AG12" s="17">
        <v>100</v>
      </c>
      <c r="AH12" s="17">
        <v>4500</v>
      </c>
      <c r="AI12" s="17" t="s">
        <v>102</v>
      </c>
      <c r="AJ12" s="17">
        <v>5.3239999999999998</v>
      </c>
      <c r="AK12" t="s">
        <v>78</v>
      </c>
      <c r="AM12">
        <v>2200</v>
      </c>
      <c r="AN12" t="s">
        <v>79</v>
      </c>
    </row>
    <row r="13" spans="1:51" ht="16">
      <c r="A13" s="10"/>
      <c r="C13" s="154" t="s">
        <v>280</v>
      </c>
      <c r="D13" s="157">
        <v>3</v>
      </c>
      <c r="E13" s="157">
        <v>24</v>
      </c>
      <c r="F13" s="162">
        <v>150000</v>
      </c>
      <c r="H13" s="154" t="s">
        <v>296</v>
      </c>
      <c r="I13" s="157">
        <v>3</v>
      </c>
      <c r="J13" s="157">
        <v>24</v>
      </c>
      <c r="K13" s="162">
        <v>150000</v>
      </c>
      <c r="N13" s="154" t="s">
        <v>293</v>
      </c>
      <c r="O13" s="157">
        <v>3</v>
      </c>
      <c r="P13" s="157">
        <v>24</v>
      </c>
      <c r="Q13" s="162">
        <v>150000</v>
      </c>
      <c r="S13" s="81" t="s">
        <v>32</v>
      </c>
      <c r="T13" s="82">
        <f>EDATE(U12,U13)</f>
        <v>0</v>
      </c>
      <c r="U13" s="83"/>
      <c r="W13" s="59"/>
      <c r="X13" s="61"/>
      <c r="Y13" s="63"/>
      <c r="Z13" s="65"/>
      <c r="AA13" s="65"/>
      <c r="AB13" s="65"/>
      <c r="AC13" s="67"/>
      <c r="AE13" s="17">
        <v>50</v>
      </c>
      <c r="AF13" s="17" t="s">
        <v>8</v>
      </c>
      <c r="AG13" s="17">
        <v>115</v>
      </c>
      <c r="AH13" s="17">
        <v>5750</v>
      </c>
      <c r="AI13" s="17" t="s">
        <v>103</v>
      </c>
      <c r="AJ13" s="17">
        <v>4.1666086956521742</v>
      </c>
      <c r="AK13" t="s">
        <v>78</v>
      </c>
      <c r="AM13">
        <v>2175</v>
      </c>
      <c r="AN13" t="s">
        <v>79</v>
      </c>
    </row>
    <row r="14" spans="1:51" ht="16">
      <c r="A14" s="10"/>
      <c r="C14" s="154" t="s">
        <v>277</v>
      </c>
      <c r="D14" s="157">
        <v>3</v>
      </c>
      <c r="E14" s="157">
        <v>3</v>
      </c>
      <c r="F14" s="162">
        <v>72000</v>
      </c>
      <c r="G14" s="78"/>
      <c r="H14" s="154" t="s">
        <v>297</v>
      </c>
      <c r="I14" s="157">
        <v>3</v>
      </c>
      <c r="J14" s="157">
        <v>3</v>
      </c>
      <c r="K14" s="162">
        <v>72000</v>
      </c>
      <c r="L14" s="78"/>
      <c r="N14" s="154" t="s">
        <v>294</v>
      </c>
      <c r="O14" s="157">
        <v>3</v>
      </c>
      <c r="P14" s="157">
        <v>3</v>
      </c>
      <c r="Q14" s="162">
        <v>72000</v>
      </c>
      <c r="S14" s="81" t="s">
        <v>34</v>
      </c>
      <c r="T14" s="69"/>
      <c r="U14" s="70"/>
      <c r="W14" s="59"/>
      <c r="X14" s="61"/>
      <c r="Y14" s="63"/>
      <c r="Z14" s="65"/>
      <c r="AA14" s="65"/>
      <c r="AB14" s="65"/>
      <c r="AC14" s="67"/>
      <c r="AE14" s="17">
        <v>50</v>
      </c>
      <c r="AF14" s="17" t="s">
        <v>8</v>
      </c>
      <c r="AG14" s="17">
        <v>120</v>
      </c>
      <c r="AH14" s="17">
        <v>6000</v>
      </c>
      <c r="AI14" s="17" t="s">
        <v>104</v>
      </c>
      <c r="AJ14" s="17">
        <v>3.9930000000000003</v>
      </c>
      <c r="AK14" t="s">
        <v>78</v>
      </c>
      <c r="AM14">
        <v>2150</v>
      </c>
      <c r="AN14" t="s">
        <v>79</v>
      </c>
    </row>
    <row r="15" spans="1:51" ht="16">
      <c r="A15" s="10"/>
      <c r="C15" s="154" t="s">
        <v>278</v>
      </c>
      <c r="D15" s="157">
        <v>3</v>
      </c>
      <c r="E15" s="157">
        <v>3</v>
      </c>
      <c r="F15" s="162">
        <v>72000</v>
      </c>
      <c r="H15" s="154" t="s">
        <v>294</v>
      </c>
      <c r="I15" s="157">
        <v>3</v>
      </c>
      <c r="J15" s="157">
        <v>3</v>
      </c>
      <c r="K15" s="162">
        <v>72000</v>
      </c>
      <c r="N15" s="154" t="s">
        <v>295</v>
      </c>
      <c r="O15" s="157">
        <v>3</v>
      </c>
      <c r="P15" s="157">
        <v>3</v>
      </c>
      <c r="Q15" s="162">
        <v>72000</v>
      </c>
      <c r="S15" s="89" t="s">
        <v>36</v>
      </c>
      <c r="T15" s="90" t="e">
        <v>#REF!</v>
      </c>
      <c r="U15" s="91"/>
      <c r="W15" s="59"/>
      <c r="X15" s="61"/>
      <c r="Y15" s="63"/>
      <c r="Z15" s="65"/>
      <c r="AA15" s="65"/>
      <c r="AB15" s="65"/>
      <c r="AC15" s="67"/>
      <c r="AE15" s="17">
        <v>55</v>
      </c>
      <c r="AF15" s="17" t="s">
        <v>8</v>
      </c>
      <c r="AG15" s="17">
        <v>115</v>
      </c>
      <c r="AH15" s="17">
        <v>6325</v>
      </c>
      <c r="AI15" s="17" t="s">
        <v>105</v>
      </c>
      <c r="AJ15" s="17">
        <v>3.7878260869565223</v>
      </c>
      <c r="AK15" t="s">
        <v>78</v>
      </c>
      <c r="AM15">
        <v>2125</v>
      </c>
      <c r="AN15" t="s">
        <v>79</v>
      </c>
    </row>
    <row r="16" spans="1:51" ht="16">
      <c r="A16" s="10"/>
      <c r="C16" s="154" t="s">
        <v>272</v>
      </c>
      <c r="D16" s="157">
        <v>3</v>
      </c>
      <c r="E16" s="157">
        <v>3</v>
      </c>
      <c r="F16" s="162">
        <v>72000</v>
      </c>
      <c r="H16" s="154" t="s">
        <v>295</v>
      </c>
      <c r="I16" s="157">
        <v>3</v>
      </c>
      <c r="J16" s="157">
        <v>3</v>
      </c>
      <c r="K16" s="162">
        <v>72000</v>
      </c>
      <c r="N16" s="154" t="s">
        <v>272</v>
      </c>
      <c r="O16" s="157">
        <v>3</v>
      </c>
      <c r="P16" s="157">
        <v>3</v>
      </c>
      <c r="Q16" s="162">
        <v>72000</v>
      </c>
      <c r="W16" s="59"/>
      <c r="X16" s="61"/>
      <c r="Y16" s="63"/>
      <c r="Z16" s="65"/>
      <c r="AA16" s="65"/>
      <c r="AB16" s="65"/>
      <c r="AC16" s="67"/>
      <c r="AE16" s="17">
        <v>55</v>
      </c>
      <c r="AF16" s="17" t="s">
        <v>8</v>
      </c>
      <c r="AG16" s="17">
        <v>120</v>
      </c>
      <c r="AH16" s="17">
        <v>6600</v>
      </c>
      <c r="AI16" s="17" t="s">
        <v>106</v>
      </c>
      <c r="AJ16" s="17">
        <v>3.63</v>
      </c>
      <c r="AK16" t="s">
        <v>78</v>
      </c>
      <c r="AM16">
        <v>2100</v>
      </c>
      <c r="AN16" t="s">
        <v>79</v>
      </c>
    </row>
    <row r="17" spans="1:40" ht="19">
      <c r="A17" s="10"/>
      <c r="C17" s="154" t="s">
        <v>267</v>
      </c>
      <c r="D17" s="157"/>
      <c r="E17" s="157"/>
      <c r="F17" s="162">
        <v>90000</v>
      </c>
      <c r="H17" s="154" t="s">
        <v>272</v>
      </c>
      <c r="I17" s="157"/>
      <c r="J17" s="157"/>
      <c r="K17" s="162">
        <v>90000</v>
      </c>
      <c r="N17" s="154"/>
      <c r="O17" s="157"/>
      <c r="P17" s="157"/>
      <c r="Q17" s="162">
        <v>90000</v>
      </c>
      <c r="S17" s="35" t="s">
        <v>39</v>
      </c>
      <c r="T17" s="36"/>
      <c r="U17" s="38"/>
      <c r="W17" s="59"/>
      <c r="X17" s="61"/>
      <c r="Y17" s="63"/>
      <c r="Z17" s="65"/>
      <c r="AA17" s="65"/>
      <c r="AB17" s="65"/>
      <c r="AC17" s="67"/>
      <c r="AE17" s="17">
        <v>55</v>
      </c>
      <c r="AF17" s="17" t="s">
        <v>8</v>
      </c>
      <c r="AG17" s="17">
        <v>125</v>
      </c>
      <c r="AH17" s="17">
        <v>6875</v>
      </c>
      <c r="AI17" s="17" t="s">
        <v>107</v>
      </c>
      <c r="AJ17" s="17">
        <v>3.4848000000000003</v>
      </c>
      <c r="AK17" t="s">
        <v>78</v>
      </c>
      <c r="AM17">
        <v>2075</v>
      </c>
      <c r="AN17" t="s">
        <v>79</v>
      </c>
    </row>
    <row r="18" spans="1:40" ht="16">
      <c r="A18" s="10"/>
      <c r="C18" s="154" t="s">
        <v>268</v>
      </c>
      <c r="D18" s="157"/>
      <c r="E18" s="157"/>
      <c r="F18" s="162">
        <v>24000</v>
      </c>
      <c r="H18" s="154"/>
      <c r="I18" s="157"/>
      <c r="J18" s="157"/>
      <c r="K18" s="162">
        <v>24000</v>
      </c>
      <c r="N18" s="154"/>
      <c r="O18" s="157"/>
      <c r="P18" s="157"/>
      <c r="Q18" s="162">
        <v>24000</v>
      </c>
      <c r="S18" s="47" t="s">
        <v>41</v>
      </c>
      <c r="T18" s="44"/>
      <c r="U18" s="46"/>
      <c r="W18" s="59"/>
      <c r="X18" s="61"/>
      <c r="Y18" s="63"/>
      <c r="Z18" s="65"/>
      <c r="AA18" s="65"/>
      <c r="AB18" s="65"/>
      <c r="AC18" s="67"/>
      <c r="AE18" s="17">
        <v>60</v>
      </c>
      <c r="AF18" s="17" t="s">
        <v>8</v>
      </c>
      <c r="AG18" s="17">
        <v>120</v>
      </c>
      <c r="AH18" s="17">
        <v>7200</v>
      </c>
      <c r="AI18" s="17" t="s">
        <v>108</v>
      </c>
      <c r="AJ18" s="17">
        <v>3.3275000000000001</v>
      </c>
      <c r="AK18" t="s">
        <v>78</v>
      </c>
      <c r="AM18">
        <v>2050</v>
      </c>
      <c r="AN18" t="s">
        <v>79</v>
      </c>
    </row>
    <row r="19" spans="1:40" ht="16">
      <c r="A19" s="10"/>
      <c r="C19" s="154" t="s">
        <v>269</v>
      </c>
      <c r="D19" s="157"/>
      <c r="E19" s="157"/>
      <c r="F19" s="162">
        <v>9600</v>
      </c>
      <c r="H19" s="154"/>
      <c r="I19" s="157"/>
      <c r="J19" s="157"/>
      <c r="K19" s="162">
        <v>9600</v>
      </c>
      <c r="N19" s="154"/>
      <c r="O19" s="157"/>
      <c r="P19" s="157"/>
      <c r="Q19" s="162">
        <v>9600</v>
      </c>
      <c r="S19" s="98" t="s">
        <v>43</v>
      </c>
      <c r="T19" s="54"/>
      <c r="U19" s="70"/>
      <c r="W19" s="59"/>
      <c r="X19" s="61"/>
      <c r="Y19" s="63"/>
      <c r="Z19" s="65"/>
      <c r="AA19" s="65"/>
      <c r="AB19" s="65"/>
      <c r="AC19" s="67"/>
      <c r="AE19" s="17">
        <v>60</v>
      </c>
      <c r="AF19" s="17" t="s">
        <v>8</v>
      </c>
      <c r="AG19" s="17">
        <v>125</v>
      </c>
      <c r="AH19" s="17">
        <v>7500</v>
      </c>
      <c r="AI19" s="17" t="s">
        <v>109</v>
      </c>
      <c r="AJ19" s="17">
        <v>3.1944000000000004</v>
      </c>
      <c r="AK19" t="s">
        <v>78</v>
      </c>
      <c r="AM19">
        <v>2025</v>
      </c>
      <c r="AN19" t="s">
        <v>79</v>
      </c>
    </row>
    <row r="20" spans="1:40" ht="16">
      <c r="A20" s="10"/>
      <c r="C20" s="154" t="s">
        <v>270</v>
      </c>
      <c r="D20" s="157"/>
      <c r="E20" s="157"/>
      <c r="F20" s="162">
        <v>120000</v>
      </c>
      <c r="H20" s="154"/>
      <c r="I20" s="157"/>
      <c r="J20" s="157"/>
      <c r="K20" s="162">
        <v>120000</v>
      </c>
      <c r="N20" s="154"/>
      <c r="O20" s="157"/>
      <c r="P20" s="157"/>
      <c r="Q20" s="162">
        <v>120000</v>
      </c>
      <c r="S20" s="98" t="s">
        <v>45</v>
      </c>
      <c r="T20" s="69"/>
      <c r="U20" s="70"/>
      <c r="W20" s="59"/>
      <c r="X20" s="61"/>
      <c r="Y20" s="63"/>
      <c r="Z20" s="65"/>
      <c r="AA20" s="65"/>
      <c r="AB20" s="65"/>
      <c r="AC20" s="67"/>
      <c r="AE20" s="17">
        <v>65</v>
      </c>
      <c r="AF20" s="17" t="s">
        <v>8</v>
      </c>
      <c r="AG20" s="17">
        <v>120</v>
      </c>
      <c r="AH20" s="17">
        <v>7800</v>
      </c>
      <c r="AI20" s="17" t="s">
        <v>110</v>
      </c>
      <c r="AJ20" s="17">
        <v>3.0715384615384616</v>
      </c>
      <c r="AK20" t="s">
        <v>78</v>
      </c>
      <c r="AM20">
        <v>2000</v>
      </c>
      <c r="AN20" t="s">
        <v>79</v>
      </c>
    </row>
    <row r="21" spans="1:40" ht="16">
      <c r="A21" s="10"/>
      <c r="C21" s="154" t="s">
        <v>271</v>
      </c>
      <c r="D21" s="157"/>
      <c r="E21" s="157"/>
      <c r="F21" s="162">
        <v>600000</v>
      </c>
      <c r="H21" s="154"/>
      <c r="I21" s="157"/>
      <c r="J21" s="157"/>
      <c r="K21" s="162">
        <v>600000</v>
      </c>
      <c r="N21" s="154"/>
      <c r="O21" s="157"/>
      <c r="P21" s="157"/>
      <c r="Q21" s="162">
        <v>600000</v>
      </c>
      <c r="S21" s="98" t="s">
        <v>46</v>
      </c>
      <c r="T21" s="69"/>
      <c r="U21" s="102"/>
      <c r="W21" s="59"/>
      <c r="X21" s="61"/>
      <c r="Y21" s="63"/>
      <c r="Z21" s="65"/>
      <c r="AA21" s="65"/>
      <c r="AB21" s="65"/>
      <c r="AC21" s="67"/>
      <c r="AE21" s="17">
        <v>65</v>
      </c>
      <c r="AF21" s="17" t="s">
        <v>8</v>
      </c>
      <c r="AG21" s="17">
        <v>125</v>
      </c>
      <c r="AH21" s="17">
        <v>8125</v>
      </c>
      <c r="AI21" s="17" t="s">
        <v>111</v>
      </c>
      <c r="AJ21" s="17">
        <v>2.9486769230769232</v>
      </c>
      <c r="AK21" t="s">
        <v>78</v>
      </c>
      <c r="AM21">
        <v>1975</v>
      </c>
      <c r="AN21" t="s">
        <v>79</v>
      </c>
    </row>
    <row r="22" spans="1:40" ht="16">
      <c r="A22" s="10"/>
      <c r="C22" s="154" t="s">
        <v>273</v>
      </c>
      <c r="D22" s="157"/>
      <c r="E22" s="157"/>
      <c r="F22" s="162">
        <v>18000</v>
      </c>
      <c r="H22" s="154"/>
      <c r="I22" s="157"/>
      <c r="J22" s="157"/>
      <c r="K22" s="162">
        <v>18000</v>
      </c>
      <c r="N22" s="154"/>
      <c r="O22" s="157"/>
      <c r="P22" s="157"/>
      <c r="Q22" s="162">
        <v>18000</v>
      </c>
      <c r="S22" s="103" t="s">
        <v>48</v>
      </c>
      <c r="T22" s="69"/>
      <c r="U22" s="104"/>
      <c r="W22" s="59"/>
      <c r="X22" s="61"/>
      <c r="Y22" s="63"/>
      <c r="Z22" s="65"/>
      <c r="AA22" s="65"/>
      <c r="AB22" s="65"/>
      <c r="AC22" s="67"/>
      <c r="AE22" s="17">
        <v>70</v>
      </c>
      <c r="AF22" s="17" t="s">
        <v>8</v>
      </c>
      <c r="AG22" s="17">
        <v>130</v>
      </c>
      <c r="AH22" s="17">
        <v>9100</v>
      </c>
      <c r="AI22" s="17" t="s">
        <v>112</v>
      </c>
      <c r="AJ22" s="17">
        <v>2.6327472527472531</v>
      </c>
      <c r="AK22" t="s">
        <v>80</v>
      </c>
      <c r="AN22" t="s">
        <v>79</v>
      </c>
    </row>
    <row r="23" spans="1:40" ht="16">
      <c r="A23" s="10"/>
      <c r="C23" s="154" t="s">
        <v>274</v>
      </c>
      <c r="D23" s="157"/>
      <c r="E23" s="157"/>
      <c r="F23" s="162">
        <v>18000</v>
      </c>
      <c r="H23" s="154"/>
      <c r="I23" s="157"/>
      <c r="J23" s="157"/>
      <c r="K23" s="162">
        <v>18000</v>
      </c>
      <c r="N23" s="154"/>
      <c r="O23" s="157"/>
      <c r="P23" s="157"/>
      <c r="Q23" s="162">
        <v>18000</v>
      </c>
      <c r="S23" s="98" t="s">
        <v>50</v>
      </c>
      <c r="T23" s="69"/>
      <c r="U23" s="102"/>
      <c r="W23" s="59"/>
      <c r="X23" s="61"/>
      <c r="Y23" s="63"/>
      <c r="Z23" s="65"/>
      <c r="AA23" s="65"/>
      <c r="AB23" s="65"/>
      <c r="AC23" s="67"/>
      <c r="AE23" s="17">
        <v>70</v>
      </c>
      <c r="AF23" s="17" t="s">
        <v>8</v>
      </c>
      <c r="AG23" s="17">
        <v>120</v>
      </c>
      <c r="AH23" s="17">
        <v>8400</v>
      </c>
      <c r="AI23" s="17" t="s">
        <v>113</v>
      </c>
      <c r="AJ23" s="17">
        <v>2.8521428571428573</v>
      </c>
      <c r="AK23" t="s">
        <v>80</v>
      </c>
      <c r="AN23" t="s">
        <v>79</v>
      </c>
    </row>
    <row r="24" spans="1:40" ht="16">
      <c r="A24" s="10"/>
      <c r="C24" s="154" t="s">
        <v>275</v>
      </c>
      <c r="D24" s="157"/>
      <c r="E24" s="157"/>
      <c r="F24" s="162">
        <v>36000</v>
      </c>
      <c r="H24" s="154"/>
      <c r="I24" s="157"/>
      <c r="J24" s="157"/>
      <c r="K24" s="162">
        <v>36000</v>
      </c>
      <c r="N24" s="154"/>
      <c r="O24" s="157"/>
      <c r="P24" s="157"/>
      <c r="Q24" s="162">
        <v>36000</v>
      </c>
      <c r="S24" s="107" t="s">
        <v>52</v>
      </c>
      <c r="T24" s="99"/>
      <c r="U24" s="108"/>
      <c r="W24" s="59"/>
      <c r="X24" s="61"/>
      <c r="Y24" s="63"/>
      <c r="Z24" s="65"/>
      <c r="AA24" s="65"/>
      <c r="AB24" s="65"/>
      <c r="AC24" s="67"/>
      <c r="AE24" s="17">
        <v>80</v>
      </c>
      <c r="AF24" s="17" t="s">
        <v>8</v>
      </c>
      <c r="AG24" s="17">
        <v>130</v>
      </c>
      <c r="AH24" s="17">
        <v>10400</v>
      </c>
      <c r="AI24" s="17" t="s">
        <v>114</v>
      </c>
      <c r="AJ24" s="17">
        <v>2.3036538461538463</v>
      </c>
      <c r="AK24" t="s">
        <v>80</v>
      </c>
      <c r="AN24" t="s">
        <v>79</v>
      </c>
    </row>
    <row r="25" spans="1:40" ht="16">
      <c r="A25" s="10"/>
      <c r="C25" s="154" t="s">
        <v>276</v>
      </c>
      <c r="D25" s="157"/>
      <c r="E25" s="157"/>
      <c r="F25" s="162">
        <v>12000</v>
      </c>
      <c r="H25" s="154"/>
      <c r="I25" s="157"/>
      <c r="J25" s="157"/>
      <c r="K25" s="162">
        <v>12000</v>
      </c>
      <c r="N25" s="154"/>
      <c r="O25" s="157"/>
      <c r="P25" s="157"/>
      <c r="Q25" s="162">
        <v>12000</v>
      </c>
      <c r="S25" s="32"/>
      <c r="T25" s="32"/>
      <c r="U25" s="32"/>
      <c r="W25" s="59"/>
      <c r="X25" s="61"/>
      <c r="Y25" s="63"/>
      <c r="Z25" s="65"/>
      <c r="AA25" s="65"/>
      <c r="AB25" s="65"/>
      <c r="AC25" s="67"/>
      <c r="AE25" s="17">
        <v>80</v>
      </c>
      <c r="AF25" s="17" t="s">
        <v>8</v>
      </c>
      <c r="AG25" s="17">
        <v>140</v>
      </c>
      <c r="AH25" s="17">
        <v>11200</v>
      </c>
      <c r="AI25" s="17" t="s">
        <v>115</v>
      </c>
      <c r="AJ25" s="17">
        <v>2.1391071428571431</v>
      </c>
      <c r="AK25" t="s">
        <v>80</v>
      </c>
      <c r="AN25" t="s">
        <v>79</v>
      </c>
    </row>
    <row r="26" spans="1:40" ht="16">
      <c r="A26" s="10"/>
      <c r="C26" s="154" t="s">
        <v>281</v>
      </c>
      <c r="D26" s="157"/>
      <c r="E26" s="157"/>
      <c r="F26" s="162">
        <v>36000</v>
      </c>
      <c r="H26" s="154"/>
      <c r="I26" s="157"/>
      <c r="J26" s="157"/>
      <c r="K26" s="162">
        <v>36000</v>
      </c>
      <c r="N26" s="154"/>
      <c r="O26" s="157"/>
      <c r="P26" s="157"/>
      <c r="Q26" s="162">
        <v>36000</v>
      </c>
      <c r="W26" s="59"/>
      <c r="X26" s="61"/>
      <c r="Y26" s="63"/>
      <c r="Z26" s="65"/>
      <c r="AA26" s="65"/>
      <c r="AB26" s="65"/>
      <c r="AC26" s="67"/>
      <c r="AE26" s="17"/>
      <c r="AF26" s="17"/>
      <c r="AG26" s="17"/>
      <c r="AH26" s="17"/>
      <c r="AI26" s="17"/>
      <c r="AJ26" s="17"/>
    </row>
    <row r="27" spans="1:40" ht="16">
      <c r="A27" s="10"/>
      <c r="C27" s="154" t="s">
        <v>282</v>
      </c>
      <c r="D27" s="157"/>
      <c r="E27" s="157"/>
      <c r="F27" s="162">
        <v>24000</v>
      </c>
      <c r="H27" s="154"/>
      <c r="I27" s="157"/>
      <c r="J27" s="157"/>
      <c r="K27" s="162">
        <v>24000</v>
      </c>
      <c r="N27" s="154"/>
      <c r="O27" s="157"/>
      <c r="P27" s="157"/>
      <c r="Q27" s="162">
        <v>24000</v>
      </c>
      <c r="S27" s="43" t="s">
        <v>29</v>
      </c>
      <c r="T27" s="44"/>
      <c r="U27" s="45"/>
      <c r="W27" s="59"/>
      <c r="X27" s="61"/>
      <c r="Y27" s="63"/>
      <c r="Z27" s="65"/>
      <c r="AA27" s="65"/>
      <c r="AB27" s="65"/>
      <c r="AC27" s="67"/>
      <c r="AE27" s="17"/>
      <c r="AF27" s="17"/>
      <c r="AG27" s="17"/>
      <c r="AH27" s="17"/>
      <c r="AI27" s="17"/>
      <c r="AJ27" s="17"/>
      <c r="AM27" t="s">
        <v>81</v>
      </c>
    </row>
    <row r="28" spans="1:40" ht="16">
      <c r="A28" s="10"/>
      <c r="C28" s="154" t="s">
        <v>285</v>
      </c>
      <c r="D28" s="157"/>
      <c r="E28" s="157"/>
      <c r="F28" s="162">
        <f>SUM(F11:F27)*0.2</f>
        <v>299470</v>
      </c>
      <c r="H28" s="154"/>
      <c r="I28" s="157"/>
      <c r="J28" s="157"/>
      <c r="K28" s="162">
        <f>SUM(K11:K27)*0.2</f>
        <v>299470</v>
      </c>
      <c r="N28" s="154"/>
      <c r="O28" s="157"/>
      <c r="P28" s="157"/>
      <c r="Q28" s="162">
        <f>SUM(Q11:Q27)*0.2</f>
        <v>299470</v>
      </c>
      <c r="S28" s="53" t="s">
        <v>24</v>
      </c>
      <c r="T28" s="54"/>
      <c r="U28" s="70"/>
      <c r="W28" s="59"/>
      <c r="X28" s="61"/>
      <c r="Y28" s="63"/>
      <c r="Z28" s="65"/>
      <c r="AA28" s="65"/>
      <c r="AB28" s="65"/>
      <c r="AC28" s="67"/>
      <c r="AE28" t="s">
        <v>82</v>
      </c>
      <c r="AJ28" t="s">
        <v>74</v>
      </c>
      <c r="AK28" t="s">
        <v>83</v>
      </c>
      <c r="AM28" t="s">
        <v>76</v>
      </c>
      <c r="AN28" t="s">
        <v>77</v>
      </c>
    </row>
    <row r="29" spans="1:40" ht="16">
      <c r="A29" s="10"/>
      <c r="C29" s="154"/>
      <c r="D29" s="157"/>
      <c r="E29" s="157"/>
      <c r="F29" s="162"/>
      <c r="H29" s="154"/>
      <c r="I29" s="157"/>
      <c r="J29" s="157"/>
      <c r="K29" s="162"/>
      <c r="N29" s="154"/>
      <c r="O29" s="157"/>
      <c r="P29" s="157"/>
      <c r="Q29" s="162"/>
      <c r="S29" s="68" t="s">
        <v>26</v>
      </c>
      <c r="T29" s="69"/>
      <c r="U29" s="70"/>
      <c r="W29" s="59"/>
      <c r="X29" s="61"/>
      <c r="Y29" s="63"/>
      <c r="Z29" s="65"/>
      <c r="AA29" s="65"/>
      <c r="AB29" s="65"/>
      <c r="AC29" s="67"/>
      <c r="AE29" t="s">
        <v>84</v>
      </c>
      <c r="AJ29">
        <v>8.5</v>
      </c>
      <c r="AK29" t="s">
        <v>85</v>
      </c>
      <c r="AM29">
        <v>70000</v>
      </c>
      <c r="AN29" t="s">
        <v>86</v>
      </c>
    </row>
    <row r="30" spans="1:40" ht="16">
      <c r="A30" s="10"/>
      <c r="C30" s="154"/>
      <c r="D30" s="157"/>
      <c r="E30" s="157"/>
      <c r="F30" s="162"/>
      <c r="H30" s="154"/>
      <c r="I30" s="157"/>
      <c r="J30" s="157"/>
      <c r="K30" s="162"/>
      <c r="N30" s="154"/>
      <c r="O30" s="157"/>
      <c r="P30" s="157"/>
      <c r="Q30" s="162"/>
      <c r="S30" s="68" t="s">
        <v>33</v>
      </c>
      <c r="T30" s="84"/>
      <c r="U30" s="85"/>
      <c r="W30" s="59"/>
      <c r="X30" s="61"/>
      <c r="Y30" s="63"/>
      <c r="Z30" s="65"/>
      <c r="AA30" s="65"/>
      <c r="AB30" s="65"/>
      <c r="AC30" s="67"/>
      <c r="AE30" t="s">
        <v>87</v>
      </c>
      <c r="AJ30">
        <v>10.5</v>
      </c>
      <c r="AK30" t="s">
        <v>85</v>
      </c>
      <c r="AM30">
        <v>60000</v>
      </c>
      <c r="AN30" t="s">
        <v>86</v>
      </c>
    </row>
    <row r="31" spans="1:40" ht="16">
      <c r="A31" s="10"/>
      <c r="C31" s="154"/>
      <c r="D31" s="157"/>
      <c r="E31" s="157"/>
      <c r="F31" s="162"/>
      <c r="H31" s="154"/>
      <c r="I31" s="157"/>
      <c r="J31" s="157"/>
      <c r="K31" s="162"/>
      <c r="N31" s="154"/>
      <c r="O31" s="157"/>
      <c r="P31" s="157"/>
      <c r="Q31" s="162"/>
      <c r="S31" s="86" t="s">
        <v>35</v>
      </c>
      <c r="T31" s="87"/>
      <c r="U31" s="88"/>
      <c r="W31" s="59"/>
      <c r="X31" s="61"/>
      <c r="Y31" s="63"/>
      <c r="Z31" s="65"/>
      <c r="AA31" s="65"/>
      <c r="AB31" s="65"/>
      <c r="AC31" s="67"/>
      <c r="AE31" t="s">
        <v>88</v>
      </c>
      <c r="AJ31">
        <v>20</v>
      </c>
      <c r="AK31" t="s">
        <v>89</v>
      </c>
      <c r="AM31">
        <v>40000</v>
      </c>
      <c r="AN31" t="s">
        <v>86</v>
      </c>
    </row>
    <row r="32" spans="1:40" ht="16">
      <c r="A32" s="10"/>
      <c r="C32" s="154"/>
      <c r="D32" s="157"/>
      <c r="E32" s="157"/>
      <c r="F32" s="162"/>
      <c r="H32" s="154"/>
      <c r="I32" s="157"/>
      <c r="J32" s="157"/>
      <c r="K32" s="162"/>
      <c r="N32" s="154"/>
      <c r="O32" s="157"/>
      <c r="P32" s="157"/>
      <c r="Q32" s="162"/>
      <c r="S32" s="43" t="s">
        <v>37</v>
      </c>
      <c r="T32" s="44"/>
      <c r="U32" s="45"/>
      <c r="W32" s="59"/>
      <c r="X32" s="61"/>
      <c r="Y32" s="63"/>
      <c r="Z32" s="65"/>
      <c r="AA32" s="65"/>
      <c r="AB32" s="65"/>
      <c r="AC32" s="67"/>
    </row>
    <row r="33" spans="1:40" ht="16">
      <c r="A33" s="10"/>
      <c r="C33" s="154"/>
      <c r="D33" s="157"/>
      <c r="E33" s="157"/>
      <c r="F33" s="162"/>
      <c r="H33" s="154"/>
      <c r="I33" s="157"/>
      <c r="J33" s="157"/>
      <c r="K33" s="162"/>
      <c r="N33" s="154"/>
      <c r="O33" s="157"/>
      <c r="P33" s="157"/>
      <c r="Q33" s="162"/>
      <c r="S33" s="53" t="s">
        <v>38</v>
      </c>
      <c r="T33" s="54"/>
      <c r="U33" s="92"/>
      <c r="W33" s="59"/>
      <c r="X33" s="61"/>
      <c r="Y33" s="63"/>
      <c r="Z33" s="65"/>
      <c r="AA33" s="65"/>
      <c r="AB33" s="65"/>
      <c r="AC33" s="67"/>
    </row>
    <row r="34" spans="1:40" ht="16">
      <c r="A34" s="10"/>
      <c r="C34" s="154"/>
      <c r="D34" s="157"/>
      <c r="E34" s="157"/>
      <c r="F34" s="162"/>
      <c r="H34" s="154"/>
      <c r="I34" s="157"/>
      <c r="J34" s="157"/>
      <c r="K34" s="162"/>
      <c r="N34" s="154"/>
      <c r="O34" s="157"/>
      <c r="P34" s="157"/>
      <c r="Q34" s="162"/>
      <c r="S34" s="93" t="s">
        <v>40</v>
      </c>
      <c r="T34" s="94"/>
      <c r="U34" s="95"/>
      <c r="W34" s="59"/>
      <c r="X34" s="61"/>
      <c r="Y34" s="63"/>
      <c r="Z34" s="65"/>
      <c r="AA34" s="65"/>
      <c r="AB34" s="65"/>
      <c r="AC34" s="67"/>
      <c r="AM34" t="s">
        <v>81</v>
      </c>
    </row>
    <row r="35" spans="1:40" ht="16">
      <c r="A35" s="10"/>
      <c r="C35" s="154"/>
      <c r="D35" s="157"/>
      <c r="E35" s="157"/>
      <c r="F35" s="162"/>
      <c r="H35" s="154"/>
      <c r="I35" s="157"/>
      <c r="J35" s="157"/>
      <c r="K35" s="162"/>
      <c r="N35" s="154"/>
      <c r="O35" s="157"/>
      <c r="P35" s="157"/>
      <c r="Q35" s="162"/>
      <c r="S35" s="96" t="s">
        <v>42</v>
      </c>
      <c r="T35" s="72"/>
      <c r="U35" s="97"/>
      <c r="W35" s="59"/>
      <c r="X35" s="61"/>
      <c r="Y35" s="63"/>
      <c r="Z35" s="65"/>
      <c r="AA35" s="65"/>
      <c r="AB35" s="65"/>
      <c r="AC35" s="67"/>
      <c r="AE35" t="s">
        <v>82</v>
      </c>
      <c r="AK35" t="s">
        <v>83</v>
      </c>
      <c r="AM35" t="s">
        <v>76</v>
      </c>
      <c r="AN35" t="s">
        <v>77</v>
      </c>
    </row>
    <row r="36" spans="1:40" ht="16">
      <c r="A36" s="10"/>
      <c r="C36" s="154"/>
      <c r="D36" s="157"/>
      <c r="E36" s="157"/>
      <c r="F36" s="162"/>
      <c r="H36" s="154"/>
      <c r="I36" s="157"/>
      <c r="J36" s="157"/>
      <c r="K36" s="162"/>
      <c r="N36" s="154"/>
      <c r="O36" s="157"/>
      <c r="P36" s="157"/>
      <c r="Q36" s="162"/>
      <c r="S36" s="89" t="s">
        <v>44</v>
      </c>
      <c r="T36" s="99"/>
      <c r="U36" s="100"/>
      <c r="W36" s="59"/>
      <c r="X36" s="61"/>
      <c r="Y36" s="63"/>
      <c r="Z36" s="65"/>
      <c r="AA36" s="65"/>
      <c r="AB36" s="65"/>
      <c r="AC36" s="67"/>
      <c r="AE36" t="s">
        <v>90</v>
      </c>
      <c r="AK36" t="s">
        <v>91</v>
      </c>
      <c r="AM36">
        <v>70000</v>
      </c>
      <c r="AN36" t="s">
        <v>92</v>
      </c>
    </row>
    <row r="37" spans="1:40" ht="16">
      <c r="A37" s="10"/>
      <c r="C37" s="154"/>
      <c r="D37" s="157"/>
      <c r="E37" s="157"/>
      <c r="F37" s="162"/>
      <c r="H37" s="154"/>
      <c r="I37" s="157"/>
      <c r="J37" s="157"/>
      <c r="K37" s="162"/>
      <c r="N37" s="154"/>
      <c r="O37" s="157"/>
      <c r="P37" s="157"/>
      <c r="Q37" s="162"/>
      <c r="U37" s="101"/>
      <c r="W37" s="59"/>
      <c r="X37" s="61"/>
      <c r="Y37" s="63"/>
      <c r="Z37" s="65"/>
      <c r="AA37" s="65"/>
      <c r="AB37" s="65"/>
      <c r="AC37" s="67"/>
      <c r="AE37" t="s">
        <v>93</v>
      </c>
      <c r="AK37" t="s">
        <v>94</v>
      </c>
      <c r="AM37">
        <v>0</v>
      </c>
    </row>
    <row r="38" spans="1:40" ht="19">
      <c r="A38" s="10"/>
      <c r="C38" s="154"/>
      <c r="D38" s="157"/>
      <c r="E38" s="157"/>
      <c r="F38" s="162"/>
      <c r="H38" s="154"/>
      <c r="I38" s="157"/>
      <c r="J38" s="157"/>
      <c r="K38" s="162"/>
      <c r="N38" s="154"/>
      <c r="O38" s="157"/>
      <c r="P38" s="157"/>
      <c r="Q38" s="162"/>
      <c r="S38" s="35" t="s">
        <v>47</v>
      </c>
      <c r="T38" s="36"/>
      <c r="U38" s="37"/>
      <c r="W38" s="59"/>
      <c r="X38" s="61"/>
      <c r="Y38" s="63"/>
      <c r="Z38" s="65"/>
      <c r="AA38" s="65"/>
      <c r="AB38" s="65"/>
      <c r="AC38" s="67"/>
      <c r="AE38" t="s">
        <v>95</v>
      </c>
      <c r="AK38" t="s">
        <v>96</v>
      </c>
      <c r="AM38">
        <v>10</v>
      </c>
      <c r="AN38" t="s">
        <v>97</v>
      </c>
    </row>
    <row r="39" spans="1:40" ht="19">
      <c r="A39" s="10"/>
      <c r="B39" s="24"/>
      <c r="C39" s="154"/>
      <c r="D39" s="157"/>
      <c r="E39" s="157"/>
      <c r="F39" s="162"/>
      <c r="H39" s="154"/>
      <c r="I39" s="157"/>
      <c r="J39" s="157"/>
      <c r="K39" s="162"/>
      <c r="N39" s="154"/>
      <c r="O39" s="157"/>
      <c r="P39" s="157"/>
      <c r="Q39" s="162"/>
      <c r="S39" s="105" t="s">
        <v>49</v>
      </c>
      <c r="T39" s="44"/>
      <c r="U39" s="45"/>
      <c r="W39" s="59"/>
      <c r="X39" s="61"/>
      <c r="Y39" s="63"/>
      <c r="Z39" s="65"/>
      <c r="AA39" s="65"/>
      <c r="AB39" s="65"/>
      <c r="AC39" s="67"/>
    </row>
    <row r="40" spans="1:40" ht="16">
      <c r="A40" s="10"/>
      <c r="B40" s="24"/>
      <c r="C40" s="154"/>
      <c r="D40" s="157"/>
      <c r="E40" s="157"/>
      <c r="F40" s="162"/>
      <c r="H40" s="154"/>
      <c r="I40" s="157"/>
      <c r="J40" s="157"/>
      <c r="K40" s="162"/>
      <c r="N40" s="154"/>
      <c r="O40" s="157"/>
      <c r="P40" s="157"/>
      <c r="Q40" s="162"/>
      <c r="S40" s="79" t="s">
        <v>51</v>
      </c>
      <c r="T40" s="54"/>
      <c r="U40" s="106"/>
      <c r="W40" s="59"/>
      <c r="X40" s="61"/>
      <c r="Y40" s="63"/>
      <c r="Z40" s="65"/>
      <c r="AA40" s="65"/>
      <c r="AB40" s="65"/>
      <c r="AC40" s="67"/>
    </row>
    <row r="41" spans="1:40" ht="16">
      <c r="A41" s="10"/>
      <c r="B41" s="24"/>
      <c r="C41" s="154"/>
      <c r="D41" s="157"/>
      <c r="E41" s="157"/>
      <c r="F41" s="162"/>
      <c r="H41" s="154"/>
      <c r="I41" s="157"/>
      <c r="J41" s="157"/>
      <c r="K41" s="162"/>
      <c r="N41" s="154"/>
      <c r="O41" s="157"/>
      <c r="P41" s="157"/>
      <c r="Q41" s="162"/>
      <c r="S41" s="98" t="s">
        <v>53</v>
      </c>
      <c r="T41" s="69"/>
      <c r="U41" s="109"/>
      <c r="W41" s="59"/>
      <c r="X41" s="61"/>
      <c r="Y41" s="63"/>
      <c r="Z41" s="65"/>
      <c r="AA41" s="65"/>
      <c r="AB41" s="65"/>
      <c r="AC41" s="67"/>
    </row>
    <row r="42" spans="1:40" ht="16">
      <c r="A42" s="10"/>
      <c r="C42" s="154"/>
      <c r="D42" s="157"/>
      <c r="E42" s="157"/>
      <c r="F42" s="162"/>
      <c r="H42" s="154"/>
      <c r="I42" s="157"/>
      <c r="J42" s="157"/>
      <c r="K42" s="162"/>
      <c r="N42" s="154"/>
      <c r="O42" s="157"/>
      <c r="P42" s="157"/>
      <c r="Q42" s="162"/>
      <c r="S42" s="81" t="s">
        <v>54</v>
      </c>
      <c r="T42" s="69"/>
      <c r="U42" s="110"/>
      <c r="W42" s="121"/>
      <c r="X42" s="122"/>
      <c r="Y42" s="123"/>
      <c r="Z42" s="123"/>
      <c r="AA42" s="123"/>
      <c r="AB42" s="123"/>
      <c r="AC42" s="124"/>
    </row>
    <row r="43" spans="1:40" ht="16">
      <c r="A43" s="10"/>
      <c r="C43" s="154"/>
      <c r="D43" s="157"/>
      <c r="E43" s="157"/>
      <c r="F43" s="162"/>
      <c r="H43" s="154"/>
      <c r="I43" s="157"/>
      <c r="J43" s="157"/>
      <c r="K43" s="162"/>
      <c r="N43" s="154"/>
      <c r="O43" s="157"/>
      <c r="P43" s="157"/>
      <c r="Q43" s="162"/>
      <c r="S43" s="81" t="s">
        <v>55</v>
      </c>
      <c r="T43" s="69"/>
      <c r="U43" s="104"/>
      <c r="W43" s="125"/>
      <c r="X43" s="126"/>
      <c r="Y43" s="127"/>
      <c r="Z43" s="127"/>
      <c r="AA43" s="127"/>
      <c r="AB43" s="127"/>
      <c r="AC43" s="128"/>
    </row>
    <row r="44" spans="1:40" ht="16">
      <c r="A44" s="10"/>
      <c r="C44" s="154"/>
      <c r="D44" s="157"/>
      <c r="E44" s="157"/>
      <c r="F44" s="162"/>
      <c r="H44" s="154"/>
      <c r="I44" s="157"/>
      <c r="J44" s="157"/>
      <c r="K44" s="162"/>
      <c r="N44" s="154"/>
      <c r="O44" s="157"/>
      <c r="P44" s="157"/>
      <c r="Q44" s="162"/>
      <c r="S44" s="111" t="s">
        <v>56</v>
      </c>
      <c r="T44" s="87"/>
      <c r="U44" s="112"/>
    </row>
    <row r="45" spans="1:40" ht="16">
      <c r="A45" s="10"/>
      <c r="C45" s="154"/>
      <c r="D45" s="157"/>
      <c r="E45" s="157"/>
      <c r="F45" s="162"/>
      <c r="H45" s="154"/>
      <c r="I45" s="157"/>
      <c r="J45" s="157"/>
      <c r="K45" s="162"/>
      <c r="N45" s="154"/>
      <c r="O45" s="157"/>
      <c r="P45" s="157"/>
      <c r="Q45" s="162"/>
      <c r="R45"/>
      <c r="S45" s="111" t="s">
        <v>57</v>
      </c>
      <c r="T45" s="87"/>
      <c r="U45" s="113"/>
    </row>
    <row r="46" spans="1:40" ht="19">
      <c r="A46" s="10"/>
      <c r="C46" s="154"/>
      <c r="D46" s="155"/>
      <c r="E46" s="155"/>
      <c r="F46" s="162"/>
      <c r="H46" s="154"/>
      <c r="I46" s="155"/>
      <c r="J46" s="155"/>
      <c r="K46" s="162"/>
      <c r="N46" s="154"/>
      <c r="O46" s="155"/>
      <c r="P46" s="155"/>
      <c r="Q46" s="162"/>
      <c r="R46"/>
      <c r="S46" s="114" t="s">
        <v>58</v>
      </c>
      <c r="T46" s="115"/>
      <c r="U46" s="45"/>
    </row>
    <row r="47" spans="1:40" ht="16">
      <c r="A47" s="10"/>
      <c r="C47" s="154"/>
      <c r="D47" s="155"/>
      <c r="E47" s="155"/>
      <c r="F47" s="162"/>
      <c r="H47" s="154"/>
      <c r="I47" s="155"/>
      <c r="J47" s="155"/>
      <c r="K47" s="162"/>
      <c r="N47" s="154"/>
      <c r="O47" s="155"/>
      <c r="P47" s="155"/>
      <c r="Q47" s="162"/>
      <c r="R47"/>
      <c r="S47" s="79" t="s">
        <v>54</v>
      </c>
      <c r="T47" s="54"/>
      <c r="U47" s="109"/>
    </row>
    <row r="48" spans="1:40" ht="16">
      <c r="C48" s="154"/>
      <c r="D48" s="155"/>
      <c r="E48" s="155"/>
      <c r="F48" s="162"/>
      <c r="G48"/>
      <c r="H48" s="154"/>
      <c r="I48" s="155"/>
      <c r="J48" s="155"/>
      <c r="K48" s="162"/>
      <c r="L48"/>
      <c r="M48"/>
      <c r="N48" s="154"/>
      <c r="O48" s="155"/>
      <c r="P48" s="155"/>
      <c r="Q48" s="162"/>
      <c r="S48" s="81" t="s">
        <v>59</v>
      </c>
      <c r="T48" s="69"/>
      <c r="U48" s="104"/>
    </row>
    <row r="49" spans="3:21" ht="19">
      <c r="C49" s="154"/>
      <c r="D49" s="155"/>
      <c r="E49" s="155"/>
      <c r="F49" s="162"/>
      <c r="G49"/>
      <c r="H49" s="154"/>
      <c r="I49" s="155"/>
      <c r="J49" s="155"/>
      <c r="K49" s="162"/>
      <c r="L49"/>
      <c r="M49"/>
      <c r="N49" s="154"/>
      <c r="O49" s="155"/>
      <c r="P49" s="155"/>
      <c r="Q49" s="162"/>
      <c r="S49" s="105" t="s">
        <v>60</v>
      </c>
      <c r="T49" s="44"/>
      <c r="U49" s="45"/>
    </row>
    <row r="50" spans="3:21" ht="16">
      <c r="C50" s="154"/>
      <c r="D50" s="155"/>
      <c r="E50" s="155"/>
      <c r="F50" s="162"/>
      <c r="G50"/>
      <c r="H50" s="154"/>
      <c r="I50" s="155"/>
      <c r="J50" s="155"/>
      <c r="K50" s="162"/>
      <c r="L50"/>
      <c r="M50"/>
      <c r="N50" s="154"/>
      <c r="O50" s="155"/>
      <c r="P50" s="155"/>
      <c r="Q50" s="162"/>
      <c r="S50" s="79" t="s">
        <v>54</v>
      </c>
      <c r="T50" s="116"/>
      <c r="U50" s="109"/>
    </row>
    <row r="51" spans="3:21" ht="16">
      <c r="C51" s="154"/>
      <c r="D51" s="155"/>
      <c r="E51" s="155"/>
      <c r="F51" s="162"/>
      <c r="H51" s="154"/>
      <c r="I51" s="155"/>
      <c r="J51" s="155"/>
      <c r="K51" s="162"/>
      <c r="N51" s="154"/>
      <c r="O51" s="155"/>
      <c r="P51" s="155"/>
      <c r="Q51" s="162"/>
      <c r="S51" s="81" t="s">
        <v>61</v>
      </c>
      <c r="T51" s="117"/>
      <c r="U51" s="104"/>
    </row>
    <row r="52" spans="3:21" ht="16">
      <c r="C52" s="154"/>
      <c r="D52" s="155"/>
      <c r="E52" s="155"/>
      <c r="F52" s="152"/>
      <c r="H52" s="154"/>
      <c r="I52" s="155"/>
      <c r="J52" s="155"/>
      <c r="K52" s="152"/>
      <c r="N52" s="154"/>
      <c r="O52" s="155"/>
      <c r="P52" s="155"/>
      <c r="Q52" s="152"/>
      <c r="S52" s="81" t="s">
        <v>62</v>
      </c>
      <c r="T52" s="118"/>
      <c r="U52" s="104"/>
    </row>
    <row r="53" spans="3:21" ht="19">
      <c r="C53" s="154"/>
      <c r="D53" s="155"/>
      <c r="E53" s="155"/>
      <c r="F53" s="152"/>
      <c r="H53" s="154"/>
      <c r="I53" s="155"/>
      <c r="J53" s="155"/>
      <c r="K53" s="152"/>
      <c r="N53" s="154"/>
      <c r="O53" s="155"/>
      <c r="P53" s="155"/>
      <c r="Q53" s="152"/>
      <c r="S53" s="105" t="s">
        <v>63</v>
      </c>
      <c r="T53" s="44"/>
      <c r="U53" s="45"/>
    </row>
    <row r="54" spans="3:21" ht="16">
      <c r="C54" s="154"/>
      <c r="D54" s="155"/>
      <c r="E54" s="155"/>
      <c r="F54" s="152"/>
      <c r="H54" s="154"/>
      <c r="I54" s="155"/>
      <c r="J54" s="155"/>
      <c r="K54" s="152"/>
      <c r="N54" s="154"/>
      <c r="O54" s="155"/>
      <c r="P54" s="155"/>
      <c r="Q54" s="152"/>
      <c r="S54" s="79" t="s">
        <v>64</v>
      </c>
      <c r="T54" s="54"/>
      <c r="U54" s="119"/>
    </row>
    <row r="55" spans="3:21" ht="16">
      <c r="C55" s="154"/>
      <c r="D55" s="155"/>
      <c r="E55" s="155"/>
      <c r="F55" s="152"/>
      <c r="H55" s="154"/>
      <c r="I55" s="155"/>
      <c r="J55" s="155"/>
      <c r="K55" s="152"/>
      <c r="N55" s="154"/>
      <c r="O55" s="155"/>
      <c r="P55" s="155"/>
      <c r="Q55" s="152"/>
      <c r="S55" s="98" t="s">
        <v>65</v>
      </c>
      <c r="T55" s="69"/>
      <c r="U55" s="109"/>
    </row>
    <row r="56" spans="3:21" ht="16">
      <c r="C56" s="154"/>
      <c r="D56" s="155"/>
      <c r="E56" s="155"/>
      <c r="F56" s="152"/>
      <c r="H56" s="154"/>
      <c r="I56" s="155"/>
      <c r="J56" s="155"/>
      <c r="K56" s="152"/>
      <c r="N56" s="154"/>
      <c r="O56" s="155"/>
      <c r="P56" s="155"/>
      <c r="Q56" s="152"/>
      <c r="S56" s="81" t="s">
        <v>55</v>
      </c>
      <c r="T56" s="69"/>
      <c r="U56" s="104"/>
    </row>
    <row r="57" spans="3:21" ht="16">
      <c r="C57" s="154" t="s">
        <v>282</v>
      </c>
      <c r="D57" s="153"/>
      <c r="E57" s="153"/>
      <c r="F57" s="150">
        <v>20000</v>
      </c>
      <c r="H57" s="154" t="s">
        <v>282</v>
      </c>
      <c r="I57" s="153"/>
      <c r="J57" s="153"/>
      <c r="K57" s="150">
        <v>20000</v>
      </c>
      <c r="N57" s="154" t="s">
        <v>282</v>
      </c>
      <c r="O57" s="153"/>
      <c r="P57" s="153"/>
      <c r="Q57" s="150">
        <v>20000</v>
      </c>
      <c r="S57" s="111" t="s">
        <v>66</v>
      </c>
      <c r="T57" s="87"/>
      <c r="U57" s="112"/>
    </row>
    <row r="58" spans="3:21" ht="16">
      <c r="C58" s="154" t="s">
        <v>285</v>
      </c>
      <c r="D58" s="153"/>
      <c r="E58" s="153"/>
      <c r="F58" s="150">
        <v>110800</v>
      </c>
      <c r="H58" s="154" t="s">
        <v>285</v>
      </c>
      <c r="I58" s="153"/>
      <c r="J58" s="153"/>
      <c r="K58" s="150">
        <v>110800</v>
      </c>
      <c r="N58" s="154" t="s">
        <v>285</v>
      </c>
      <c r="O58" s="153"/>
      <c r="P58" s="153"/>
      <c r="Q58" s="150">
        <v>110800</v>
      </c>
      <c r="S58" s="89" t="s">
        <v>67</v>
      </c>
      <c r="T58" s="99"/>
      <c r="U58" s="120"/>
    </row>
    <row r="59" spans="3:21" ht="16">
      <c r="C59" s="68"/>
      <c r="D59" s="68"/>
      <c r="E59" s="68"/>
      <c r="F59" s="150"/>
      <c r="H59" s="68"/>
      <c r="I59" s="68"/>
      <c r="J59" s="68"/>
      <c r="K59" s="150"/>
      <c r="N59" s="68"/>
      <c r="O59" s="68"/>
      <c r="P59" s="68"/>
      <c r="Q59" s="150"/>
    </row>
    <row r="60" spans="3:21" ht="16">
      <c r="C60" s="68"/>
      <c r="D60" s="68"/>
      <c r="E60" s="68"/>
      <c r="F60" s="150"/>
      <c r="H60" s="68"/>
      <c r="I60" s="68"/>
      <c r="J60" s="68"/>
      <c r="K60" s="150"/>
      <c r="N60" s="68"/>
      <c r="O60" s="68"/>
      <c r="P60" s="68"/>
      <c r="Q60" s="150"/>
    </row>
    <row r="61" spans="3:21" ht="16">
      <c r="C61" s="68"/>
      <c r="D61" s="68"/>
      <c r="E61" s="68"/>
      <c r="F61" s="150"/>
      <c r="H61" s="68"/>
      <c r="I61" s="68"/>
      <c r="J61" s="68"/>
      <c r="K61" s="150"/>
      <c r="N61" s="68"/>
      <c r="O61" s="68"/>
      <c r="P61" s="68"/>
      <c r="Q61" s="150"/>
    </row>
    <row r="62" spans="3:21" ht="16">
      <c r="C62" s="68"/>
      <c r="D62" s="68"/>
      <c r="E62" s="68"/>
      <c r="F62" s="150"/>
      <c r="H62" s="68"/>
      <c r="I62" s="68"/>
      <c r="J62" s="68"/>
      <c r="K62" s="150"/>
      <c r="N62" s="68"/>
      <c r="O62" s="68"/>
      <c r="P62" s="68"/>
      <c r="Q62" s="150"/>
    </row>
    <row r="63" spans="3:21" ht="16">
      <c r="C63" s="68"/>
      <c r="D63" s="68"/>
      <c r="E63" s="68"/>
      <c r="F63" s="150"/>
      <c r="H63" s="68"/>
      <c r="I63" s="68"/>
      <c r="J63" s="68"/>
      <c r="K63" s="150"/>
      <c r="N63" s="68"/>
      <c r="O63" s="68"/>
      <c r="P63" s="68"/>
      <c r="Q63" s="150"/>
    </row>
    <row r="64" spans="3:21" ht="16">
      <c r="C64" s="68"/>
      <c r="D64" s="68"/>
      <c r="E64" s="68"/>
      <c r="F64" s="150"/>
      <c r="H64" s="68"/>
      <c r="I64" s="68"/>
      <c r="J64" s="68"/>
      <c r="K64" s="150"/>
      <c r="N64" s="68"/>
      <c r="O64" s="68"/>
      <c r="P64" s="68"/>
      <c r="Q64" s="150"/>
    </row>
    <row r="65" spans="3:17" ht="16">
      <c r="C65" s="68"/>
      <c r="D65" s="68"/>
      <c r="E65" s="68"/>
      <c r="F65" s="150"/>
      <c r="H65" s="68"/>
      <c r="I65" s="68"/>
      <c r="J65" s="68"/>
      <c r="K65" s="150"/>
      <c r="N65" s="68"/>
      <c r="O65" s="68"/>
      <c r="P65" s="68"/>
      <c r="Q65" s="150"/>
    </row>
    <row r="66" spans="3:17" ht="16">
      <c r="C66" s="68"/>
      <c r="D66" s="68"/>
      <c r="E66" s="68"/>
      <c r="F66" s="150"/>
      <c r="H66" s="68"/>
      <c r="I66" s="68"/>
      <c r="J66" s="68"/>
      <c r="K66" s="150"/>
      <c r="N66" s="68"/>
      <c r="O66" s="68"/>
      <c r="P66" s="68"/>
      <c r="Q66" s="150"/>
    </row>
    <row r="67" spans="3:17" ht="16">
      <c r="C67" s="68"/>
      <c r="D67" s="68"/>
      <c r="E67" s="68"/>
      <c r="F67" s="150"/>
      <c r="H67" s="68"/>
      <c r="I67" s="68"/>
      <c r="J67" s="68"/>
      <c r="K67" s="150"/>
      <c r="N67" s="68"/>
      <c r="O67" s="68"/>
      <c r="P67" s="68"/>
      <c r="Q67" s="150"/>
    </row>
    <row r="68" spans="3:17" ht="16">
      <c r="C68" s="68"/>
      <c r="D68" s="68"/>
      <c r="E68" s="68"/>
      <c r="F68" s="150"/>
      <c r="H68" s="68"/>
      <c r="I68" s="68"/>
      <c r="J68" s="68"/>
      <c r="K68" s="150"/>
      <c r="N68" s="68"/>
      <c r="O68" s="68"/>
      <c r="P68" s="68"/>
      <c r="Q68" s="150"/>
    </row>
    <row r="69" spans="3:17" ht="16">
      <c r="C69" s="68"/>
      <c r="D69" s="68"/>
      <c r="E69" s="68"/>
      <c r="F69" s="150"/>
      <c r="H69" s="68"/>
      <c r="I69" s="68"/>
      <c r="J69" s="68"/>
      <c r="K69" s="150"/>
      <c r="N69" s="68"/>
      <c r="O69" s="68"/>
      <c r="P69" s="68"/>
      <c r="Q69" s="150"/>
    </row>
    <row r="70" spans="3:17" ht="16">
      <c r="C70" s="68"/>
      <c r="D70" s="68"/>
      <c r="E70" s="68"/>
      <c r="F70" s="150"/>
      <c r="H70" s="68"/>
      <c r="I70" s="68"/>
      <c r="J70" s="68"/>
      <c r="K70" s="150"/>
      <c r="N70" s="68"/>
      <c r="O70" s="68"/>
      <c r="P70" s="68"/>
      <c r="Q70" s="150"/>
    </row>
    <row r="399" spans="1:1">
      <c r="A399" s="10"/>
    </row>
  </sheetData>
  <conditionalFormatting sqref="W8:AC41">
    <cfRule type="expression" dxfId="1" priority="3">
      <formula>MOD(ROW(), 2) = 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9BE6F-23F2-445F-83F5-C81D0FFE1AD5}">
  <sheetPr codeName="Sheet2"/>
  <dimension ref="A1:BB401"/>
  <sheetViews>
    <sheetView topLeftCell="B2" workbookViewId="0">
      <selection activeCell="S34" sqref="S34"/>
    </sheetView>
  </sheetViews>
  <sheetFormatPr baseColWidth="10" defaultColWidth="8.83203125" defaultRowHeight="14" zeroHeight="1"/>
  <cols>
    <col min="1" max="1" width="0" hidden="1" customWidth="1"/>
    <col min="2" max="2" width="2.6640625" customWidth="1"/>
    <col min="3" max="5" width="10.6640625" customWidth="1"/>
    <col min="17" max="17" width="7.1640625" style="17" bestFit="1" customWidth="1"/>
    <col min="18" max="18" width="28.83203125" bestFit="1" customWidth="1"/>
    <col min="19" max="19" width="22.33203125" customWidth="1"/>
    <col min="20" max="20" width="79.6640625" bestFit="1" customWidth="1"/>
    <col min="21" max="21" width="10.33203125" bestFit="1" customWidth="1"/>
  </cols>
  <sheetData>
    <row r="1" spans="1:54" hidden="1">
      <c r="A1" s="10"/>
      <c r="B1" s="10"/>
      <c r="C1" s="10"/>
      <c r="D1" s="10"/>
      <c r="E1" s="10"/>
      <c r="F1" s="10"/>
      <c r="G1" s="10"/>
      <c r="H1" s="10"/>
      <c r="I1" s="10"/>
      <c r="J1" s="10"/>
      <c r="K1" s="11"/>
      <c r="L1" s="10"/>
      <c r="M1" s="10"/>
      <c r="N1" s="10"/>
      <c r="O1" s="10"/>
      <c r="P1" s="10"/>
      <c r="Q1" s="11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</row>
    <row r="2" spans="1:54">
      <c r="A2" s="10"/>
      <c r="B2" s="1"/>
      <c r="C2" s="1"/>
      <c r="D2" s="1"/>
      <c r="E2" s="1"/>
      <c r="F2" s="1"/>
      <c r="G2" s="1"/>
      <c r="H2" s="1"/>
      <c r="I2" s="1"/>
      <c r="J2" s="1"/>
      <c r="K2" s="2"/>
      <c r="L2" s="1"/>
      <c r="M2" s="1"/>
      <c r="N2" s="1"/>
      <c r="O2" s="1"/>
      <c r="P2" s="1"/>
      <c r="Q2" s="2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</row>
    <row r="3" spans="1:54" ht="17">
      <c r="A3" s="10"/>
      <c r="B3" s="3" t="s">
        <v>0</v>
      </c>
      <c r="C3" s="1"/>
      <c r="D3" s="1"/>
      <c r="E3" s="1"/>
      <c r="F3" s="1"/>
      <c r="G3" s="1"/>
      <c r="H3" s="1"/>
      <c r="I3" s="1"/>
      <c r="J3" s="1"/>
      <c r="K3" s="2"/>
      <c r="L3" s="1"/>
      <c r="M3" s="1"/>
      <c r="N3" s="1"/>
      <c r="O3" s="1"/>
      <c r="P3" s="1"/>
      <c r="Q3" s="2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</row>
    <row r="4" spans="1:54" ht="16">
      <c r="A4" s="10"/>
      <c r="B4" s="4" t="s">
        <v>1</v>
      </c>
      <c r="C4" s="1"/>
      <c r="D4" s="1"/>
      <c r="E4" s="1"/>
      <c r="F4" s="1"/>
      <c r="G4" s="1"/>
      <c r="H4" s="1"/>
      <c r="I4" s="1"/>
      <c r="J4" s="1"/>
      <c r="K4" s="2"/>
      <c r="L4" s="1"/>
      <c r="M4" s="1"/>
      <c r="N4" s="1"/>
      <c r="O4" s="1"/>
      <c r="P4" s="1"/>
      <c r="Q4" s="2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</row>
    <row r="5" spans="1:54">
      <c r="A5" s="10"/>
      <c r="B5" s="1"/>
      <c r="C5" s="1"/>
      <c r="D5" s="1"/>
      <c r="E5" s="1"/>
      <c r="F5" s="1"/>
      <c r="G5" s="1"/>
      <c r="H5" s="1"/>
      <c r="I5" s="1"/>
      <c r="J5" s="1"/>
      <c r="K5" s="2"/>
      <c r="L5" s="1"/>
      <c r="M5" s="1"/>
      <c r="N5" s="1"/>
      <c r="O5" s="1"/>
      <c r="P5" s="1"/>
      <c r="Q5" s="2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</row>
    <row r="6" spans="1:54" ht="15" thickBot="1">
      <c r="A6" s="10"/>
    </row>
    <row r="7" spans="1:54" ht="20.25" customHeight="1" thickTop="1" thickBot="1">
      <c r="A7" s="10"/>
      <c r="C7" s="20" t="s">
        <v>2</v>
      </c>
      <c r="D7" s="9"/>
      <c r="E7" s="9"/>
      <c r="F7" s="12"/>
      <c r="G7" s="7">
        <v>44562</v>
      </c>
    </row>
    <row r="8" spans="1:54" ht="16" thickTop="1" thickBot="1">
      <c r="A8" s="10"/>
      <c r="C8" t="s">
        <v>3</v>
      </c>
      <c r="G8" s="8">
        <v>120</v>
      </c>
    </row>
    <row r="9" spans="1:54" ht="16" thickTop="1" thickBot="1">
      <c r="A9" s="10"/>
    </row>
    <row r="10" spans="1:54" ht="16" thickTop="1" thickBot="1">
      <c r="A10" s="10"/>
      <c r="C10" s="5" t="s">
        <v>13</v>
      </c>
      <c r="D10" s="6"/>
      <c r="E10" s="6"/>
      <c r="F10" s="6"/>
      <c r="G10" s="6"/>
      <c r="H10" s="6"/>
      <c r="Q10" s="164" t="s">
        <v>299</v>
      </c>
      <c r="R10" s="163" t="s">
        <v>427</v>
      </c>
      <c r="S10" s="163"/>
      <c r="T10" s="163" t="s">
        <v>300</v>
      </c>
      <c r="U10" s="163"/>
    </row>
    <row r="11" spans="1:54" ht="16" thickTop="1" thickBot="1">
      <c r="A11" s="10"/>
      <c r="C11" s="165" t="s">
        <v>4</v>
      </c>
      <c r="D11" s="166"/>
      <c r="E11" s="165" t="s">
        <v>11</v>
      </c>
      <c r="F11" s="166"/>
      <c r="G11" s="165" t="s">
        <v>10</v>
      </c>
      <c r="H11" s="166"/>
      <c r="Q11" s="17">
        <v>1</v>
      </c>
      <c r="R11" t="s">
        <v>429</v>
      </c>
      <c r="T11" t="s">
        <v>301</v>
      </c>
    </row>
    <row r="12" spans="1:54" ht="16" thickTop="1" thickBot="1">
      <c r="A12" s="10"/>
      <c r="C12" s="18" t="s">
        <v>5</v>
      </c>
      <c r="D12" s="18" t="s">
        <v>9</v>
      </c>
      <c r="E12" s="19" t="s">
        <v>6</v>
      </c>
      <c r="F12" s="19" t="s">
        <v>12</v>
      </c>
      <c r="G12" s="19" t="s">
        <v>7</v>
      </c>
      <c r="H12" s="19" t="s">
        <v>14</v>
      </c>
      <c r="Q12" s="17">
        <v>1</v>
      </c>
      <c r="R12" t="s">
        <v>429</v>
      </c>
      <c r="T12" t="s">
        <v>302</v>
      </c>
    </row>
    <row r="13" spans="1:54" ht="15" thickTop="1">
      <c r="Q13" s="17">
        <v>1</v>
      </c>
      <c r="R13" t="s">
        <v>429</v>
      </c>
      <c r="T13" t="s">
        <v>303</v>
      </c>
    </row>
    <row r="14" spans="1:54">
      <c r="A14" s="10"/>
      <c r="C14" s="13" cm="1">
        <f t="array" ref="C14:C133">_xlfn.SEQUENCE(G8)</f>
        <v>1</v>
      </c>
      <c r="D14" s="14" cm="1">
        <f t="array" ref="D14:D133">EDATE(i_Date.Start,_xlfn.SEQUENCE($G8,1,0))</f>
        <v>44562</v>
      </c>
      <c r="E14" s="13" cm="1">
        <f t="array" ref="E14:E133">INT(INT(_xlfn.ANCHORARRAY(C14)+2)/3)</f>
        <v>1</v>
      </c>
      <c r="F14" s="15" t="str">
        <f>IF(E14&gt;0,"Q"&amp;ROUNDUP(MONTH(D14)/3,0)&amp;"-"&amp;YEAR(D14)-2000,"")</f>
        <v>Q1-22</v>
      </c>
      <c r="G14" s="15">
        <f t="shared" ref="G14:G77" si="0">IF(C14=0,0,MIN(INT(YEARFRAC(D$14,EDATE(D14,12),3))))</f>
        <v>1</v>
      </c>
      <c r="H14" s="16" cm="1">
        <f t="array" ref="H14:H133">YEAR(EDATE(i_Date.Start,_xlfn.SEQUENCE($G8,1,0)))</f>
        <v>2022</v>
      </c>
      <c r="Q14" s="17">
        <v>1</v>
      </c>
      <c r="R14" t="s">
        <v>429</v>
      </c>
      <c r="T14" t="s">
        <v>304</v>
      </c>
    </row>
    <row r="15" spans="1:54">
      <c r="A15" s="10"/>
      <c r="C15" s="13">
        <v>2</v>
      </c>
      <c r="D15" s="14">
        <v>44593</v>
      </c>
      <c r="E15" s="13">
        <v>1</v>
      </c>
      <c r="F15" s="15" t="str">
        <f t="shared" ref="F15:F78" si="1">IF(E15&gt;0,"Q"&amp;ROUNDUP(MONTH(D15)/3,0)&amp;"-"&amp;YEAR(D15)-2000,0)</f>
        <v>Q1-22</v>
      </c>
      <c r="G15" s="15">
        <f t="shared" si="0"/>
        <v>1</v>
      </c>
      <c r="H15" s="16">
        <v>2022</v>
      </c>
      <c r="Q15" s="17">
        <v>1</v>
      </c>
      <c r="R15" t="s">
        <v>429</v>
      </c>
      <c r="T15" t="s">
        <v>305</v>
      </c>
    </row>
    <row r="16" spans="1:54">
      <c r="A16" s="10"/>
      <c r="C16" s="13">
        <v>3</v>
      </c>
      <c r="D16" s="14">
        <v>44621</v>
      </c>
      <c r="E16" s="13">
        <v>1</v>
      </c>
      <c r="F16" s="15" t="str">
        <f t="shared" si="1"/>
        <v>Q1-22</v>
      </c>
      <c r="G16" s="15">
        <f t="shared" si="0"/>
        <v>1</v>
      </c>
      <c r="H16" s="16">
        <v>2022</v>
      </c>
      <c r="Q16" s="17">
        <v>1</v>
      </c>
      <c r="R16" t="s">
        <v>429</v>
      </c>
      <c r="T16" t="s">
        <v>306</v>
      </c>
    </row>
    <row r="17" spans="1:20">
      <c r="A17" s="10"/>
      <c r="C17" s="13">
        <v>4</v>
      </c>
      <c r="D17" s="14">
        <v>44652</v>
      </c>
      <c r="E17" s="13">
        <v>2</v>
      </c>
      <c r="F17" s="15" t="str">
        <f t="shared" si="1"/>
        <v>Q2-22</v>
      </c>
      <c r="G17" s="15">
        <f t="shared" si="0"/>
        <v>1</v>
      </c>
      <c r="H17" s="16">
        <v>2022</v>
      </c>
      <c r="Q17" s="17">
        <v>1</v>
      </c>
      <c r="R17" t="s">
        <v>429</v>
      </c>
      <c r="T17" t="s">
        <v>307</v>
      </c>
    </row>
    <row r="18" spans="1:20">
      <c r="A18" s="10"/>
      <c r="C18" s="13">
        <v>5</v>
      </c>
      <c r="D18" s="14">
        <v>44682</v>
      </c>
      <c r="E18" s="13">
        <v>2</v>
      </c>
      <c r="F18" s="15" t="str">
        <f t="shared" si="1"/>
        <v>Q2-22</v>
      </c>
      <c r="G18" s="15">
        <f t="shared" si="0"/>
        <v>1</v>
      </c>
      <c r="H18" s="16">
        <v>2022</v>
      </c>
      <c r="Q18" s="17">
        <v>1</v>
      </c>
      <c r="R18" t="s">
        <v>429</v>
      </c>
      <c r="T18" t="s">
        <v>308</v>
      </c>
    </row>
    <row r="19" spans="1:20">
      <c r="A19" s="10"/>
      <c r="C19" s="13">
        <v>6</v>
      </c>
      <c r="D19" s="14">
        <v>44713</v>
      </c>
      <c r="E19" s="13">
        <v>2</v>
      </c>
      <c r="F19" s="15" t="str">
        <f t="shared" si="1"/>
        <v>Q2-22</v>
      </c>
      <c r="G19" s="15">
        <f t="shared" si="0"/>
        <v>1</v>
      </c>
      <c r="H19" s="16">
        <v>2022</v>
      </c>
      <c r="Q19" s="17">
        <v>1</v>
      </c>
      <c r="R19" t="s">
        <v>429</v>
      </c>
      <c r="T19" t="s">
        <v>309</v>
      </c>
    </row>
    <row r="20" spans="1:20">
      <c r="A20" s="10"/>
      <c r="C20" s="13">
        <v>7</v>
      </c>
      <c r="D20" s="14">
        <v>44743</v>
      </c>
      <c r="E20" s="13">
        <v>3</v>
      </c>
      <c r="F20" s="15" t="str">
        <f t="shared" si="1"/>
        <v>Q3-22</v>
      </c>
      <c r="G20" s="15">
        <f t="shared" si="0"/>
        <v>1</v>
      </c>
      <c r="H20" s="16">
        <v>2022</v>
      </c>
      <c r="Q20" s="17">
        <v>1</v>
      </c>
      <c r="R20" t="s">
        <v>429</v>
      </c>
      <c r="T20" t="s">
        <v>310</v>
      </c>
    </row>
    <row r="21" spans="1:20">
      <c r="A21" s="10"/>
      <c r="C21" s="13">
        <v>8</v>
      </c>
      <c r="D21" s="14">
        <v>44774</v>
      </c>
      <c r="E21" s="13">
        <v>3</v>
      </c>
      <c r="F21" s="15" t="str">
        <f t="shared" si="1"/>
        <v>Q3-22</v>
      </c>
      <c r="G21" s="15">
        <f t="shared" si="0"/>
        <v>1</v>
      </c>
      <c r="H21" s="16">
        <v>2022</v>
      </c>
      <c r="Q21" s="17">
        <v>1</v>
      </c>
      <c r="R21" t="s">
        <v>430</v>
      </c>
      <c r="T21" t="s">
        <v>311</v>
      </c>
    </row>
    <row r="22" spans="1:20">
      <c r="A22" s="10"/>
      <c r="C22" s="13">
        <v>9</v>
      </c>
      <c r="D22" s="14">
        <v>44805</v>
      </c>
      <c r="E22" s="13">
        <v>3</v>
      </c>
      <c r="F22" s="15" t="str">
        <f t="shared" si="1"/>
        <v>Q3-22</v>
      </c>
      <c r="G22" s="15">
        <f t="shared" si="0"/>
        <v>1</v>
      </c>
      <c r="H22" s="16">
        <v>2022</v>
      </c>
      <c r="Q22" s="17">
        <v>1</v>
      </c>
      <c r="R22" t="s">
        <v>430</v>
      </c>
      <c r="T22" t="s">
        <v>312</v>
      </c>
    </row>
    <row r="23" spans="1:20">
      <c r="A23" s="10"/>
      <c r="C23" s="13">
        <v>10</v>
      </c>
      <c r="D23" s="14">
        <v>44835</v>
      </c>
      <c r="E23" s="13">
        <v>4</v>
      </c>
      <c r="F23" s="15" t="str">
        <f t="shared" si="1"/>
        <v>Q4-22</v>
      </c>
      <c r="G23" s="15">
        <f t="shared" si="0"/>
        <v>1</v>
      </c>
      <c r="H23" s="16">
        <v>2022</v>
      </c>
      <c r="Q23" s="17">
        <v>1</v>
      </c>
      <c r="R23" t="s">
        <v>430</v>
      </c>
      <c r="T23" t="s">
        <v>313</v>
      </c>
    </row>
    <row r="24" spans="1:20">
      <c r="A24" s="10"/>
      <c r="C24" s="13">
        <v>11</v>
      </c>
      <c r="D24" s="14">
        <v>44866</v>
      </c>
      <c r="E24" s="13">
        <v>4</v>
      </c>
      <c r="F24" s="15" t="str">
        <f t="shared" si="1"/>
        <v>Q4-22</v>
      </c>
      <c r="G24" s="15">
        <f t="shared" si="0"/>
        <v>1</v>
      </c>
      <c r="H24" s="16">
        <v>2022</v>
      </c>
      <c r="Q24" s="17">
        <v>1</v>
      </c>
      <c r="R24" t="s">
        <v>430</v>
      </c>
      <c r="T24" t="s">
        <v>314</v>
      </c>
    </row>
    <row r="25" spans="1:20">
      <c r="A25" s="10"/>
      <c r="C25" s="13">
        <v>12</v>
      </c>
      <c r="D25" s="14">
        <v>44896</v>
      </c>
      <c r="E25" s="13">
        <v>4</v>
      </c>
      <c r="F25" s="15" t="str">
        <f t="shared" si="1"/>
        <v>Q4-22</v>
      </c>
      <c r="G25" s="15">
        <f t="shared" si="0"/>
        <v>1</v>
      </c>
      <c r="H25" s="16">
        <v>2022</v>
      </c>
      <c r="Q25" s="17">
        <v>1</v>
      </c>
      <c r="R25" t="s">
        <v>430</v>
      </c>
      <c r="T25" t="s">
        <v>315</v>
      </c>
    </row>
    <row r="26" spans="1:20">
      <c r="A26" s="10"/>
      <c r="C26" s="13">
        <v>13</v>
      </c>
      <c r="D26" s="14">
        <v>44927</v>
      </c>
      <c r="E26" s="13">
        <v>5</v>
      </c>
      <c r="F26" s="15" t="str">
        <f t="shared" si="1"/>
        <v>Q1-23</v>
      </c>
      <c r="G26" s="15">
        <f t="shared" si="0"/>
        <v>2</v>
      </c>
      <c r="H26" s="16">
        <v>2023</v>
      </c>
      <c r="Q26" s="17">
        <v>1</v>
      </c>
      <c r="R26" t="s">
        <v>430</v>
      </c>
      <c r="T26" t="s">
        <v>316</v>
      </c>
    </row>
    <row r="27" spans="1:20">
      <c r="A27" s="10"/>
      <c r="C27" s="13">
        <v>14</v>
      </c>
      <c r="D27" s="14">
        <v>44958</v>
      </c>
      <c r="E27" s="13">
        <v>5</v>
      </c>
      <c r="F27" s="15" t="str">
        <f t="shared" si="1"/>
        <v>Q1-23</v>
      </c>
      <c r="G27" s="15">
        <f t="shared" si="0"/>
        <v>2</v>
      </c>
      <c r="H27" s="16">
        <v>2023</v>
      </c>
      <c r="Q27" s="17">
        <v>1</v>
      </c>
      <c r="R27" t="s">
        <v>430</v>
      </c>
      <c r="T27" t="s">
        <v>317</v>
      </c>
    </row>
    <row r="28" spans="1:20">
      <c r="A28" s="10"/>
      <c r="C28" s="13">
        <v>15</v>
      </c>
      <c r="D28" s="14">
        <v>44986</v>
      </c>
      <c r="E28" s="13">
        <v>5</v>
      </c>
      <c r="F28" s="15" t="str">
        <f t="shared" si="1"/>
        <v>Q1-23</v>
      </c>
      <c r="G28" s="15">
        <f t="shared" si="0"/>
        <v>2</v>
      </c>
      <c r="H28" s="16">
        <v>2023</v>
      </c>
      <c r="Q28" s="17">
        <v>1</v>
      </c>
      <c r="R28" t="s">
        <v>430</v>
      </c>
      <c r="T28" t="s">
        <v>318</v>
      </c>
    </row>
    <row r="29" spans="1:20">
      <c r="A29" s="10"/>
      <c r="C29" s="13">
        <v>16</v>
      </c>
      <c r="D29" s="14">
        <v>45017</v>
      </c>
      <c r="E29" s="13">
        <v>6</v>
      </c>
      <c r="F29" s="15" t="str">
        <f t="shared" si="1"/>
        <v>Q2-23</v>
      </c>
      <c r="G29" s="15">
        <f t="shared" si="0"/>
        <v>2</v>
      </c>
      <c r="H29" s="16">
        <v>2023</v>
      </c>
      <c r="Q29" s="17">
        <v>1</v>
      </c>
      <c r="R29" t="s">
        <v>430</v>
      </c>
      <c r="T29" t="s">
        <v>319</v>
      </c>
    </row>
    <row r="30" spans="1:20">
      <c r="A30" s="10"/>
      <c r="C30" s="13">
        <v>17</v>
      </c>
      <c r="D30" s="14">
        <v>45047</v>
      </c>
      <c r="E30" s="13">
        <v>6</v>
      </c>
      <c r="F30" s="15" t="str">
        <f t="shared" si="1"/>
        <v>Q2-23</v>
      </c>
      <c r="G30" s="15">
        <f t="shared" si="0"/>
        <v>2</v>
      </c>
      <c r="H30" s="16">
        <v>2023</v>
      </c>
      <c r="Q30" s="17">
        <v>1</v>
      </c>
      <c r="R30" t="s">
        <v>430</v>
      </c>
      <c r="T30" t="s">
        <v>320</v>
      </c>
    </row>
    <row r="31" spans="1:20">
      <c r="A31" s="10"/>
      <c r="C31" s="13">
        <v>18</v>
      </c>
      <c r="D31" s="14">
        <v>45078</v>
      </c>
      <c r="E31" s="13">
        <v>6</v>
      </c>
      <c r="F31" s="15" t="str">
        <f t="shared" si="1"/>
        <v>Q2-23</v>
      </c>
      <c r="G31" s="15">
        <f t="shared" si="0"/>
        <v>2</v>
      </c>
      <c r="H31" s="16">
        <v>2023</v>
      </c>
      <c r="Q31" s="17">
        <v>1</v>
      </c>
      <c r="R31" t="s">
        <v>430</v>
      </c>
      <c r="T31" t="s">
        <v>321</v>
      </c>
    </row>
    <row r="32" spans="1:20">
      <c r="A32" s="10"/>
      <c r="C32" s="13">
        <v>19</v>
      </c>
      <c r="D32" s="14">
        <v>45108</v>
      </c>
      <c r="E32" s="13">
        <v>7</v>
      </c>
      <c r="F32" s="15" t="str">
        <f t="shared" si="1"/>
        <v>Q3-23</v>
      </c>
      <c r="G32" s="15">
        <f t="shared" si="0"/>
        <v>2</v>
      </c>
      <c r="H32" s="16">
        <v>2023</v>
      </c>
      <c r="Q32" s="17">
        <v>1</v>
      </c>
      <c r="R32" t="s">
        <v>429</v>
      </c>
      <c r="T32" t="s">
        <v>323</v>
      </c>
    </row>
    <row r="33" spans="1:20">
      <c r="A33" s="10"/>
      <c r="C33" s="13">
        <v>20</v>
      </c>
      <c r="D33" s="14">
        <v>45139</v>
      </c>
      <c r="E33" s="13">
        <v>7</v>
      </c>
      <c r="F33" s="15" t="str">
        <f t="shared" si="1"/>
        <v>Q3-23</v>
      </c>
      <c r="G33" s="15">
        <f t="shared" si="0"/>
        <v>2</v>
      </c>
      <c r="H33" s="16">
        <v>2023</v>
      </c>
      <c r="Q33" s="17">
        <v>1</v>
      </c>
      <c r="R33" t="s">
        <v>324</v>
      </c>
      <c r="T33" t="s">
        <v>325</v>
      </c>
    </row>
    <row r="34" spans="1:20">
      <c r="A34" s="10"/>
      <c r="C34" s="13">
        <v>21</v>
      </c>
      <c r="D34" s="14">
        <v>45170</v>
      </c>
      <c r="E34" s="13">
        <v>7</v>
      </c>
      <c r="F34" s="15" t="str">
        <f t="shared" si="1"/>
        <v>Q3-23</v>
      </c>
      <c r="G34" s="15">
        <f t="shared" si="0"/>
        <v>2</v>
      </c>
      <c r="H34" s="16">
        <v>2023</v>
      </c>
      <c r="Q34" s="17">
        <v>1</v>
      </c>
      <c r="R34" t="s">
        <v>326</v>
      </c>
      <c r="T34" t="s">
        <v>325</v>
      </c>
    </row>
    <row r="35" spans="1:20">
      <c r="A35" s="10"/>
      <c r="C35" s="13">
        <v>22</v>
      </c>
      <c r="D35" s="14">
        <v>45200</v>
      </c>
      <c r="E35" s="13">
        <v>8</v>
      </c>
      <c r="F35" s="15" t="str">
        <f t="shared" si="1"/>
        <v>Q4-23</v>
      </c>
      <c r="G35" s="15">
        <f t="shared" si="0"/>
        <v>2</v>
      </c>
      <c r="H35" s="16">
        <v>2023</v>
      </c>
      <c r="Q35" s="17">
        <v>1</v>
      </c>
      <c r="R35" t="s">
        <v>327</v>
      </c>
      <c r="S35" t="s">
        <v>327</v>
      </c>
      <c r="T35" t="s">
        <v>328</v>
      </c>
    </row>
    <row r="36" spans="1:20">
      <c r="A36" s="10"/>
      <c r="C36" s="13">
        <v>23</v>
      </c>
      <c r="D36" s="14">
        <v>45231</v>
      </c>
      <c r="E36" s="13">
        <v>8</v>
      </c>
      <c r="F36" s="15" t="str">
        <f t="shared" si="1"/>
        <v>Q4-23</v>
      </c>
      <c r="G36" s="15">
        <f t="shared" si="0"/>
        <v>2</v>
      </c>
      <c r="H36" s="16">
        <v>2023</v>
      </c>
      <c r="Q36" s="17">
        <v>1</v>
      </c>
      <c r="R36" t="s">
        <v>327</v>
      </c>
      <c r="S36" t="s">
        <v>327</v>
      </c>
      <c r="T36" t="s">
        <v>329</v>
      </c>
    </row>
    <row r="37" spans="1:20">
      <c r="A37" s="10"/>
      <c r="C37" s="13">
        <v>24</v>
      </c>
      <c r="D37" s="14">
        <v>45261</v>
      </c>
      <c r="E37" s="13">
        <v>8</v>
      </c>
      <c r="F37" s="15" t="str">
        <f t="shared" si="1"/>
        <v>Q4-23</v>
      </c>
      <c r="G37" s="15">
        <f t="shared" si="0"/>
        <v>2</v>
      </c>
      <c r="H37" s="16">
        <v>2023</v>
      </c>
      <c r="Q37" s="17">
        <v>1</v>
      </c>
      <c r="R37" t="s">
        <v>330</v>
      </c>
      <c r="T37" t="s">
        <v>331</v>
      </c>
    </row>
    <row r="38" spans="1:20">
      <c r="A38" s="10"/>
      <c r="C38" s="13">
        <v>25</v>
      </c>
      <c r="D38" s="14">
        <v>45292</v>
      </c>
      <c r="E38" s="13">
        <v>9</v>
      </c>
      <c r="F38" s="15" t="str">
        <f t="shared" si="1"/>
        <v>Q1-24</v>
      </c>
      <c r="G38" s="15">
        <f t="shared" si="0"/>
        <v>3</v>
      </c>
      <c r="H38" s="16">
        <v>2024</v>
      </c>
      <c r="Q38" s="17">
        <v>1</v>
      </c>
      <c r="R38" t="s">
        <v>332</v>
      </c>
      <c r="T38" t="s">
        <v>333</v>
      </c>
    </row>
    <row r="39" spans="1:20">
      <c r="A39" s="10"/>
      <c r="C39" s="13">
        <v>26</v>
      </c>
      <c r="D39" s="14">
        <v>45323</v>
      </c>
      <c r="E39" s="13">
        <v>9</v>
      </c>
      <c r="F39" s="15" t="str">
        <f t="shared" si="1"/>
        <v>Q1-24</v>
      </c>
      <c r="G39" s="15">
        <f t="shared" si="0"/>
        <v>3</v>
      </c>
      <c r="H39" s="16">
        <v>2024</v>
      </c>
      <c r="Q39" s="17">
        <v>1</v>
      </c>
      <c r="R39" t="s">
        <v>332</v>
      </c>
      <c r="T39" t="s">
        <v>334</v>
      </c>
    </row>
    <row r="40" spans="1:20">
      <c r="A40" s="10"/>
      <c r="C40" s="13">
        <v>27</v>
      </c>
      <c r="D40" s="14">
        <v>45352</v>
      </c>
      <c r="E40" s="13">
        <v>9</v>
      </c>
      <c r="F40" s="15" t="str">
        <f t="shared" si="1"/>
        <v>Q1-24</v>
      </c>
      <c r="G40" s="15">
        <f t="shared" si="0"/>
        <v>3</v>
      </c>
      <c r="H40" s="16">
        <v>2024</v>
      </c>
      <c r="Q40" s="17">
        <v>1</v>
      </c>
      <c r="R40" t="s">
        <v>335</v>
      </c>
      <c r="T40" t="s">
        <v>336</v>
      </c>
    </row>
    <row r="41" spans="1:20">
      <c r="A41" s="10"/>
      <c r="C41" s="13">
        <v>28</v>
      </c>
      <c r="D41" s="14">
        <v>45383</v>
      </c>
      <c r="E41" s="13">
        <v>10</v>
      </c>
      <c r="F41" s="15" t="str">
        <f t="shared" si="1"/>
        <v>Q2-24</v>
      </c>
      <c r="G41" s="15">
        <f t="shared" si="0"/>
        <v>3</v>
      </c>
      <c r="H41" s="16">
        <v>2024</v>
      </c>
      <c r="Q41" s="17">
        <v>1</v>
      </c>
      <c r="R41" t="s">
        <v>322</v>
      </c>
      <c r="T41" t="s">
        <v>337</v>
      </c>
    </row>
    <row r="42" spans="1:20">
      <c r="A42" s="10"/>
      <c r="C42" s="13">
        <v>29</v>
      </c>
      <c r="D42" s="14">
        <v>45413</v>
      </c>
      <c r="E42" s="13">
        <v>10</v>
      </c>
      <c r="F42" s="15" t="str">
        <f t="shared" si="1"/>
        <v>Q2-24</v>
      </c>
      <c r="G42" s="15">
        <f t="shared" si="0"/>
        <v>3</v>
      </c>
      <c r="H42" s="16">
        <v>2024</v>
      </c>
      <c r="Q42" s="17">
        <v>1</v>
      </c>
      <c r="R42" t="s">
        <v>338</v>
      </c>
      <c r="T42" t="s">
        <v>339</v>
      </c>
    </row>
    <row r="43" spans="1:20">
      <c r="A43" s="10"/>
      <c r="C43" s="13">
        <v>30</v>
      </c>
      <c r="D43" s="14">
        <v>45444</v>
      </c>
      <c r="E43" s="13">
        <v>10</v>
      </c>
      <c r="F43" s="15" t="str">
        <f t="shared" si="1"/>
        <v>Q2-24</v>
      </c>
      <c r="G43" s="15">
        <f t="shared" si="0"/>
        <v>3</v>
      </c>
      <c r="H43" s="16">
        <v>2024</v>
      </c>
      <c r="Q43" s="17">
        <v>1</v>
      </c>
      <c r="R43" t="s">
        <v>340</v>
      </c>
      <c r="T43" t="s">
        <v>341</v>
      </c>
    </row>
    <row r="44" spans="1:20">
      <c r="A44" s="10"/>
      <c r="C44" s="13">
        <v>31</v>
      </c>
      <c r="D44" s="14">
        <v>45474</v>
      </c>
      <c r="E44" s="13">
        <v>11</v>
      </c>
      <c r="F44" s="15" t="str">
        <f t="shared" si="1"/>
        <v>Q3-24</v>
      </c>
      <c r="G44" s="15">
        <f t="shared" si="0"/>
        <v>3</v>
      </c>
      <c r="H44" s="16">
        <v>2024</v>
      </c>
      <c r="Q44" s="17">
        <v>1</v>
      </c>
      <c r="R44" t="s">
        <v>342</v>
      </c>
      <c r="T44" t="s">
        <v>343</v>
      </c>
    </row>
    <row r="45" spans="1:20">
      <c r="A45" s="10"/>
      <c r="C45" s="13">
        <v>32</v>
      </c>
      <c r="D45" s="14">
        <v>45505</v>
      </c>
      <c r="E45" s="13">
        <v>11</v>
      </c>
      <c r="F45" s="15" t="str">
        <f t="shared" si="1"/>
        <v>Q3-24</v>
      </c>
      <c r="G45" s="15">
        <f t="shared" si="0"/>
        <v>3</v>
      </c>
      <c r="H45" s="16">
        <v>2024</v>
      </c>
      <c r="Q45" s="17">
        <v>1</v>
      </c>
      <c r="R45" t="s">
        <v>344</v>
      </c>
      <c r="T45" t="s">
        <v>345</v>
      </c>
    </row>
    <row r="46" spans="1:20">
      <c r="A46" s="10"/>
      <c r="C46" s="13">
        <v>33</v>
      </c>
      <c r="D46" s="14">
        <v>45536</v>
      </c>
      <c r="E46" s="13">
        <v>11</v>
      </c>
      <c r="F46" s="15" t="str">
        <f t="shared" si="1"/>
        <v>Q3-24</v>
      </c>
      <c r="G46" s="15">
        <f t="shared" si="0"/>
        <v>3</v>
      </c>
      <c r="H46" s="16">
        <v>2024</v>
      </c>
      <c r="Q46" s="17">
        <v>1</v>
      </c>
      <c r="R46" t="s">
        <v>346</v>
      </c>
      <c r="T46" t="s">
        <v>347</v>
      </c>
    </row>
    <row r="47" spans="1:20">
      <c r="A47" s="10"/>
      <c r="C47" s="13">
        <v>34</v>
      </c>
      <c r="D47" s="14">
        <v>45566</v>
      </c>
      <c r="E47" s="13">
        <v>12</v>
      </c>
      <c r="F47" s="15" t="str">
        <f t="shared" si="1"/>
        <v>Q4-24</v>
      </c>
      <c r="G47" s="15">
        <f t="shared" si="0"/>
        <v>3</v>
      </c>
      <c r="H47" s="16">
        <v>2024</v>
      </c>
      <c r="Q47" s="17">
        <v>1</v>
      </c>
      <c r="R47" t="s">
        <v>348</v>
      </c>
      <c r="T47" t="s">
        <v>349</v>
      </c>
    </row>
    <row r="48" spans="1:20">
      <c r="A48" s="10"/>
      <c r="C48" s="13">
        <v>35</v>
      </c>
      <c r="D48" s="14">
        <v>45597</v>
      </c>
      <c r="E48" s="13">
        <v>12</v>
      </c>
      <c r="F48" s="15" t="str">
        <f t="shared" si="1"/>
        <v>Q4-24</v>
      </c>
      <c r="G48" s="15">
        <f t="shared" si="0"/>
        <v>3</v>
      </c>
      <c r="H48" s="16">
        <v>2024</v>
      </c>
      <c r="Q48" s="17">
        <v>1</v>
      </c>
      <c r="R48" t="s">
        <v>350</v>
      </c>
      <c r="T48" t="s">
        <v>351</v>
      </c>
    </row>
    <row r="49" spans="1:20">
      <c r="A49" s="10"/>
      <c r="C49" s="13">
        <v>36</v>
      </c>
      <c r="D49" s="14">
        <v>45627</v>
      </c>
      <c r="E49" s="13">
        <v>12</v>
      </c>
      <c r="F49" s="15" t="str">
        <f t="shared" si="1"/>
        <v>Q4-24</v>
      </c>
      <c r="G49" s="15">
        <f t="shared" si="0"/>
        <v>3</v>
      </c>
      <c r="H49" s="16">
        <v>2024</v>
      </c>
      <c r="Q49" s="17">
        <v>1</v>
      </c>
      <c r="R49" t="s">
        <v>352</v>
      </c>
      <c r="T49" t="s">
        <v>353</v>
      </c>
    </row>
    <row r="50" spans="1:20">
      <c r="A50" s="10"/>
      <c r="C50" s="13">
        <v>37</v>
      </c>
      <c r="D50" s="14">
        <v>45658</v>
      </c>
      <c r="E50" s="13">
        <v>13</v>
      </c>
      <c r="F50" s="15" t="str">
        <f t="shared" si="1"/>
        <v>Q1-25</v>
      </c>
      <c r="G50" s="15">
        <f t="shared" si="0"/>
        <v>4</v>
      </c>
      <c r="H50" s="16">
        <v>2025</v>
      </c>
      <c r="Q50" s="17">
        <v>1</v>
      </c>
      <c r="R50" t="s">
        <v>354</v>
      </c>
      <c r="T50" t="s">
        <v>355</v>
      </c>
    </row>
    <row r="51" spans="1:20">
      <c r="A51" s="10"/>
      <c r="C51" s="13">
        <v>38</v>
      </c>
      <c r="D51" s="14">
        <v>45689</v>
      </c>
      <c r="E51" s="13">
        <v>13</v>
      </c>
      <c r="F51" s="15" t="str">
        <f t="shared" si="1"/>
        <v>Q1-25</v>
      </c>
      <c r="G51" s="15">
        <f t="shared" si="0"/>
        <v>4</v>
      </c>
      <c r="H51" s="16">
        <v>2025</v>
      </c>
      <c r="Q51" s="17">
        <v>1</v>
      </c>
      <c r="R51" t="s">
        <v>354</v>
      </c>
      <c r="T51" t="s">
        <v>356</v>
      </c>
    </row>
    <row r="52" spans="1:20">
      <c r="A52" s="10"/>
      <c r="C52" s="13">
        <v>39</v>
      </c>
      <c r="D52" s="14">
        <v>45717</v>
      </c>
      <c r="E52" s="13">
        <v>13</v>
      </c>
      <c r="F52" s="15" t="str">
        <f t="shared" si="1"/>
        <v>Q1-25</v>
      </c>
      <c r="G52" s="15">
        <f t="shared" si="0"/>
        <v>4</v>
      </c>
      <c r="H52" s="16">
        <v>2025</v>
      </c>
      <c r="Q52" s="17">
        <v>2</v>
      </c>
      <c r="R52" t="s">
        <v>357</v>
      </c>
      <c r="T52" t="s">
        <v>358</v>
      </c>
    </row>
    <row r="53" spans="1:20">
      <c r="A53" s="10"/>
      <c r="C53" s="13">
        <v>40</v>
      </c>
      <c r="D53" s="14">
        <v>45748</v>
      </c>
      <c r="E53" s="13">
        <v>14</v>
      </c>
      <c r="F53" s="15" t="str">
        <f t="shared" si="1"/>
        <v>Q2-25</v>
      </c>
      <c r="G53" s="15">
        <f t="shared" si="0"/>
        <v>4</v>
      </c>
      <c r="H53" s="16">
        <v>2025</v>
      </c>
      <c r="Q53" s="17">
        <v>2</v>
      </c>
      <c r="R53" t="s">
        <v>357</v>
      </c>
      <c r="T53" t="s">
        <v>359</v>
      </c>
    </row>
    <row r="54" spans="1:20">
      <c r="A54" s="10"/>
      <c r="C54" s="13">
        <v>41</v>
      </c>
      <c r="D54" s="14">
        <v>45778</v>
      </c>
      <c r="E54" s="13">
        <v>14</v>
      </c>
      <c r="F54" s="15" t="str">
        <f t="shared" si="1"/>
        <v>Q2-25</v>
      </c>
      <c r="G54" s="15">
        <f t="shared" si="0"/>
        <v>4</v>
      </c>
      <c r="H54" s="16">
        <v>2025</v>
      </c>
      <c r="Q54" s="17">
        <v>2</v>
      </c>
      <c r="R54" t="s">
        <v>357</v>
      </c>
      <c r="T54" t="s">
        <v>360</v>
      </c>
    </row>
    <row r="55" spans="1:20">
      <c r="A55" s="10"/>
      <c r="C55" s="13">
        <v>42</v>
      </c>
      <c r="D55" s="14">
        <v>45809</v>
      </c>
      <c r="E55" s="13">
        <v>14</v>
      </c>
      <c r="F55" s="15" t="str">
        <f t="shared" si="1"/>
        <v>Q2-25</v>
      </c>
      <c r="G55" s="15">
        <f t="shared" si="0"/>
        <v>4</v>
      </c>
      <c r="H55" s="16">
        <v>2025</v>
      </c>
      <c r="Q55" s="17">
        <v>2</v>
      </c>
      <c r="R55" t="s">
        <v>357</v>
      </c>
      <c r="T55" t="s">
        <v>361</v>
      </c>
    </row>
    <row r="56" spans="1:20">
      <c r="A56" s="10"/>
      <c r="C56" s="13">
        <v>43</v>
      </c>
      <c r="D56" s="14">
        <v>45839</v>
      </c>
      <c r="E56" s="13">
        <v>15</v>
      </c>
      <c r="F56" s="15" t="str">
        <f t="shared" si="1"/>
        <v>Q3-25</v>
      </c>
      <c r="G56" s="15">
        <f t="shared" si="0"/>
        <v>4</v>
      </c>
      <c r="H56" s="16">
        <v>2025</v>
      </c>
      <c r="Q56" s="17">
        <v>2</v>
      </c>
      <c r="R56" t="s">
        <v>362</v>
      </c>
      <c r="T56" t="s">
        <v>363</v>
      </c>
    </row>
    <row r="57" spans="1:20">
      <c r="A57" s="10"/>
      <c r="C57" s="13">
        <v>44</v>
      </c>
      <c r="D57" s="14">
        <v>45870</v>
      </c>
      <c r="E57" s="13">
        <v>15</v>
      </c>
      <c r="F57" s="15" t="str">
        <f t="shared" si="1"/>
        <v>Q3-25</v>
      </c>
      <c r="G57" s="15">
        <f t="shared" si="0"/>
        <v>4</v>
      </c>
      <c r="H57" s="16">
        <v>2025</v>
      </c>
      <c r="Q57" s="17">
        <v>2</v>
      </c>
      <c r="R57" t="s">
        <v>362</v>
      </c>
      <c r="T57" t="s">
        <v>364</v>
      </c>
    </row>
    <row r="58" spans="1:20">
      <c r="A58" s="10"/>
      <c r="C58" s="13">
        <v>45</v>
      </c>
      <c r="D58" s="14">
        <v>45901</v>
      </c>
      <c r="E58" s="13">
        <v>15</v>
      </c>
      <c r="F58" s="15" t="str">
        <f t="shared" si="1"/>
        <v>Q3-25</v>
      </c>
      <c r="G58" s="15">
        <f t="shared" si="0"/>
        <v>4</v>
      </c>
      <c r="H58" s="16">
        <v>2025</v>
      </c>
      <c r="Q58" s="17">
        <v>2</v>
      </c>
      <c r="R58" t="s">
        <v>357</v>
      </c>
      <c r="T58" t="s">
        <v>365</v>
      </c>
    </row>
    <row r="59" spans="1:20">
      <c r="A59" s="10"/>
      <c r="C59" s="13">
        <v>46</v>
      </c>
      <c r="D59" s="14">
        <v>45931</v>
      </c>
      <c r="E59" s="13">
        <v>16</v>
      </c>
      <c r="F59" s="15" t="str">
        <f t="shared" si="1"/>
        <v>Q4-25</v>
      </c>
      <c r="G59" s="15">
        <f t="shared" si="0"/>
        <v>4</v>
      </c>
      <c r="H59" s="16">
        <v>2025</v>
      </c>
      <c r="Q59" s="17">
        <v>2</v>
      </c>
      <c r="R59" t="s">
        <v>357</v>
      </c>
      <c r="T59" t="s">
        <v>366</v>
      </c>
    </row>
    <row r="60" spans="1:20">
      <c r="A60" s="10"/>
      <c r="C60" s="13">
        <v>47</v>
      </c>
      <c r="D60" s="14">
        <v>45962</v>
      </c>
      <c r="E60" s="13">
        <v>16</v>
      </c>
      <c r="F60" s="15" t="str">
        <f t="shared" si="1"/>
        <v>Q4-25</v>
      </c>
      <c r="G60" s="15">
        <f t="shared" si="0"/>
        <v>4</v>
      </c>
      <c r="H60" s="16">
        <v>2025</v>
      </c>
      <c r="Q60" s="17">
        <v>2</v>
      </c>
      <c r="R60" t="s">
        <v>357</v>
      </c>
      <c r="T60" t="s">
        <v>367</v>
      </c>
    </row>
    <row r="61" spans="1:20">
      <c r="A61" s="10"/>
      <c r="C61" s="13">
        <v>48</v>
      </c>
      <c r="D61" s="14">
        <v>45992</v>
      </c>
      <c r="E61" s="13">
        <v>16</v>
      </c>
      <c r="F61" s="15" t="str">
        <f t="shared" si="1"/>
        <v>Q4-25</v>
      </c>
      <c r="G61" s="15">
        <f t="shared" si="0"/>
        <v>4</v>
      </c>
      <c r="H61" s="16">
        <v>2025</v>
      </c>
      <c r="Q61" s="17">
        <v>2</v>
      </c>
      <c r="R61" t="s">
        <v>357</v>
      </c>
      <c r="T61" t="s">
        <v>368</v>
      </c>
    </row>
    <row r="62" spans="1:20">
      <c r="A62" s="10"/>
      <c r="C62" s="13">
        <v>49</v>
      </c>
      <c r="D62" s="14">
        <v>46023</v>
      </c>
      <c r="E62" s="13">
        <v>17</v>
      </c>
      <c r="F62" s="15" t="str">
        <f t="shared" si="1"/>
        <v>Q1-26</v>
      </c>
      <c r="G62" s="15">
        <f t="shared" si="0"/>
        <v>5</v>
      </c>
      <c r="H62" s="16">
        <v>2026</v>
      </c>
      <c r="Q62" s="17">
        <v>2</v>
      </c>
      <c r="R62" t="s">
        <v>357</v>
      </c>
      <c r="T62" t="s">
        <v>369</v>
      </c>
    </row>
    <row r="63" spans="1:20">
      <c r="A63" s="10"/>
      <c r="C63" s="13">
        <v>50</v>
      </c>
      <c r="D63" s="14">
        <v>46054</v>
      </c>
      <c r="E63" s="13">
        <v>17</v>
      </c>
      <c r="F63" s="15" t="str">
        <f t="shared" si="1"/>
        <v>Q1-26</v>
      </c>
      <c r="G63" s="15">
        <f t="shared" si="0"/>
        <v>5</v>
      </c>
      <c r="H63" s="16">
        <v>2026</v>
      </c>
      <c r="Q63" s="17">
        <v>2</v>
      </c>
      <c r="R63" t="s">
        <v>357</v>
      </c>
      <c r="T63" t="s">
        <v>370</v>
      </c>
    </row>
    <row r="64" spans="1:20">
      <c r="A64" s="10"/>
      <c r="C64" s="13">
        <v>51</v>
      </c>
      <c r="D64" s="14">
        <v>46082</v>
      </c>
      <c r="E64" s="13">
        <v>17</v>
      </c>
      <c r="F64" s="15" t="str">
        <f t="shared" si="1"/>
        <v>Q1-26</v>
      </c>
      <c r="G64" s="15">
        <f t="shared" si="0"/>
        <v>5</v>
      </c>
      <c r="H64" s="16">
        <v>2026</v>
      </c>
      <c r="Q64" s="17">
        <v>2</v>
      </c>
      <c r="R64" t="s">
        <v>357</v>
      </c>
      <c r="T64" t="s">
        <v>371</v>
      </c>
    </row>
    <row r="65" spans="1:20">
      <c r="A65" s="10"/>
      <c r="C65" s="13">
        <v>52</v>
      </c>
      <c r="D65" s="14">
        <v>46113</v>
      </c>
      <c r="E65" s="13">
        <v>18</v>
      </c>
      <c r="F65" s="15" t="str">
        <f t="shared" si="1"/>
        <v>Q2-26</v>
      </c>
      <c r="G65" s="15">
        <f t="shared" si="0"/>
        <v>5</v>
      </c>
      <c r="H65" s="16">
        <v>2026</v>
      </c>
      <c r="Q65" s="17">
        <v>2</v>
      </c>
      <c r="R65" t="s">
        <v>357</v>
      </c>
      <c r="T65" t="s">
        <v>372</v>
      </c>
    </row>
    <row r="66" spans="1:20">
      <c r="A66" s="10"/>
      <c r="C66" s="13">
        <v>53</v>
      </c>
      <c r="D66" s="14">
        <v>46143</v>
      </c>
      <c r="E66" s="13">
        <v>18</v>
      </c>
      <c r="F66" s="15" t="str">
        <f t="shared" si="1"/>
        <v>Q2-26</v>
      </c>
      <c r="G66" s="15">
        <f t="shared" si="0"/>
        <v>5</v>
      </c>
      <c r="H66" s="16">
        <v>2026</v>
      </c>
      <c r="Q66" s="17">
        <v>2</v>
      </c>
      <c r="R66" t="s">
        <v>357</v>
      </c>
      <c r="T66" t="s">
        <v>373</v>
      </c>
    </row>
    <row r="67" spans="1:20">
      <c r="A67" s="10"/>
      <c r="C67" s="13">
        <v>54</v>
      </c>
      <c r="D67" s="14">
        <v>46174</v>
      </c>
      <c r="E67" s="13">
        <v>18</v>
      </c>
      <c r="F67" s="15" t="str">
        <f t="shared" si="1"/>
        <v>Q2-26</v>
      </c>
      <c r="G67" s="15">
        <f t="shared" si="0"/>
        <v>5</v>
      </c>
      <c r="H67" s="16">
        <v>2026</v>
      </c>
      <c r="Q67" s="17">
        <v>2</v>
      </c>
      <c r="R67" t="s">
        <v>357</v>
      </c>
      <c r="T67" t="s">
        <v>374</v>
      </c>
    </row>
    <row r="68" spans="1:20">
      <c r="A68" s="10"/>
      <c r="C68" s="13">
        <v>55</v>
      </c>
      <c r="D68" s="14">
        <v>46204</v>
      </c>
      <c r="E68" s="13">
        <v>19</v>
      </c>
      <c r="F68" s="15" t="str">
        <f t="shared" si="1"/>
        <v>Q3-26</v>
      </c>
      <c r="G68" s="15">
        <f t="shared" si="0"/>
        <v>5</v>
      </c>
      <c r="H68" s="16">
        <v>2026</v>
      </c>
      <c r="Q68" s="17">
        <v>2</v>
      </c>
      <c r="R68" t="s">
        <v>362</v>
      </c>
      <c r="T68" t="s">
        <v>375</v>
      </c>
    </row>
    <row r="69" spans="1:20">
      <c r="A69" s="10"/>
      <c r="C69" s="13">
        <v>56</v>
      </c>
      <c r="D69" s="14">
        <v>46235</v>
      </c>
      <c r="E69" s="13">
        <v>19</v>
      </c>
      <c r="F69" s="15" t="str">
        <f t="shared" si="1"/>
        <v>Q3-26</v>
      </c>
      <c r="G69" s="15">
        <f t="shared" si="0"/>
        <v>5</v>
      </c>
      <c r="H69" s="16">
        <v>2026</v>
      </c>
      <c r="Q69" s="17">
        <v>2</v>
      </c>
      <c r="R69" t="s">
        <v>376</v>
      </c>
      <c r="T69" t="s">
        <v>377</v>
      </c>
    </row>
    <row r="70" spans="1:20">
      <c r="A70" s="10"/>
      <c r="C70" s="13">
        <v>57</v>
      </c>
      <c r="D70" s="14">
        <v>46266</v>
      </c>
      <c r="E70" s="13">
        <v>19</v>
      </c>
      <c r="F70" s="15" t="str">
        <f t="shared" si="1"/>
        <v>Q3-26</v>
      </c>
      <c r="G70" s="15">
        <f t="shared" si="0"/>
        <v>5</v>
      </c>
      <c r="H70" s="16">
        <v>2026</v>
      </c>
      <c r="Q70" s="17">
        <v>2</v>
      </c>
      <c r="R70" t="s">
        <v>357</v>
      </c>
      <c r="T70" t="s">
        <v>378</v>
      </c>
    </row>
    <row r="71" spans="1:20">
      <c r="A71" s="10"/>
      <c r="C71" s="13">
        <v>58</v>
      </c>
      <c r="D71" s="14">
        <v>46296</v>
      </c>
      <c r="E71" s="13">
        <v>20</v>
      </c>
      <c r="F71" s="15" t="str">
        <f t="shared" si="1"/>
        <v>Q4-26</v>
      </c>
      <c r="G71" s="15">
        <f t="shared" si="0"/>
        <v>5</v>
      </c>
      <c r="H71" s="16">
        <v>2026</v>
      </c>
      <c r="Q71" s="17">
        <v>2</v>
      </c>
      <c r="R71" t="s">
        <v>357</v>
      </c>
      <c r="T71" t="s">
        <v>379</v>
      </c>
    </row>
    <row r="72" spans="1:20">
      <c r="A72" s="10"/>
      <c r="C72" s="13">
        <v>59</v>
      </c>
      <c r="D72" s="14">
        <v>46327</v>
      </c>
      <c r="E72" s="13">
        <v>20</v>
      </c>
      <c r="F72" s="15" t="str">
        <f t="shared" si="1"/>
        <v>Q4-26</v>
      </c>
      <c r="G72" s="15">
        <f t="shared" si="0"/>
        <v>5</v>
      </c>
      <c r="H72" s="16">
        <v>2026</v>
      </c>
      <c r="Q72" s="17">
        <v>2</v>
      </c>
      <c r="R72" t="s">
        <v>357</v>
      </c>
      <c r="T72" t="s">
        <v>380</v>
      </c>
    </row>
    <row r="73" spans="1:20">
      <c r="A73" s="10"/>
      <c r="C73" s="13">
        <v>60</v>
      </c>
      <c r="D73" s="14">
        <v>46357</v>
      </c>
      <c r="E73" s="13">
        <v>20</v>
      </c>
      <c r="F73" s="15" t="str">
        <f t="shared" si="1"/>
        <v>Q4-26</v>
      </c>
      <c r="G73" s="15">
        <f t="shared" si="0"/>
        <v>5</v>
      </c>
      <c r="H73" s="16">
        <v>2026</v>
      </c>
      <c r="Q73" s="17">
        <v>2</v>
      </c>
      <c r="R73" t="s">
        <v>381</v>
      </c>
      <c r="T73" t="s">
        <v>382</v>
      </c>
    </row>
    <row r="74" spans="1:20">
      <c r="A74" s="10"/>
      <c r="C74" s="13">
        <v>61</v>
      </c>
      <c r="D74" s="14">
        <v>46388</v>
      </c>
      <c r="E74" s="13">
        <v>21</v>
      </c>
      <c r="F74" s="15" t="str">
        <f t="shared" si="1"/>
        <v>Q1-27</v>
      </c>
      <c r="G74" s="15">
        <f t="shared" si="0"/>
        <v>6</v>
      </c>
      <c r="H74" s="16">
        <v>2027</v>
      </c>
      <c r="Q74" s="17">
        <v>2</v>
      </c>
      <c r="R74" t="s">
        <v>383</v>
      </c>
      <c r="T74" t="s">
        <v>384</v>
      </c>
    </row>
    <row r="75" spans="1:20">
      <c r="A75" s="10"/>
      <c r="C75" s="13">
        <v>62</v>
      </c>
      <c r="D75" s="14">
        <v>46419</v>
      </c>
      <c r="E75" s="13">
        <v>21</v>
      </c>
      <c r="F75" s="15" t="str">
        <f t="shared" si="1"/>
        <v>Q1-27</v>
      </c>
      <c r="G75" s="15">
        <f t="shared" si="0"/>
        <v>6</v>
      </c>
      <c r="H75" s="16">
        <v>2027</v>
      </c>
      <c r="Q75" s="17">
        <v>2</v>
      </c>
      <c r="R75" t="s">
        <v>385</v>
      </c>
      <c r="T75" t="s">
        <v>386</v>
      </c>
    </row>
    <row r="76" spans="1:20">
      <c r="A76" s="10"/>
      <c r="C76" s="13">
        <v>63</v>
      </c>
      <c r="D76" s="14">
        <v>46447</v>
      </c>
      <c r="E76" s="13">
        <v>21</v>
      </c>
      <c r="F76" s="15" t="str">
        <f t="shared" si="1"/>
        <v>Q1-27</v>
      </c>
      <c r="G76" s="15">
        <f t="shared" si="0"/>
        <v>6</v>
      </c>
      <c r="H76" s="16">
        <v>2027</v>
      </c>
      <c r="Q76" s="17">
        <v>2</v>
      </c>
      <c r="R76" t="s">
        <v>385</v>
      </c>
      <c r="T76" t="s">
        <v>387</v>
      </c>
    </row>
    <row r="77" spans="1:20">
      <c r="A77" s="10"/>
      <c r="C77" s="13">
        <v>64</v>
      </c>
      <c r="D77" s="14">
        <v>46478</v>
      </c>
      <c r="E77" s="13">
        <v>22</v>
      </c>
      <c r="F77" s="15" t="str">
        <f t="shared" si="1"/>
        <v>Q2-27</v>
      </c>
      <c r="G77" s="15">
        <f t="shared" si="0"/>
        <v>6</v>
      </c>
      <c r="H77" s="16">
        <v>2027</v>
      </c>
      <c r="Q77" s="17">
        <v>2</v>
      </c>
      <c r="R77" t="s">
        <v>383</v>
      </c>
      <c r="T77" t="s">
        <v>388</v>
      </c>
    </row>
    <row r="78" spans="1:20">
      <c r="A78" s="10"/>
      <c r="C78" s="13">
        <v>65</v>
      </c>
      <c r="D78" s="14">
        <v>46508</v>
      </c>
      <c r="E78" s="13">
        <v>22</v>
      </c>
      <c r="F78" s="15" t="str">
        <f t="shared" si="1"/>
        <v>Q2-27</v>
      </c>
      <c r="G78" s="15">
        <f t="shared" ref="G78:G133" si="2">IF(C78=0,0,MIN(INT(YEARFRAC(D$14,EDATE(D78,12),3))))</f>
        <v>6</v>
      </c>
      <c r="H78" s="16">
        <v>2027</v>
      </c>
      <c r="Q78" s="17">
        <v>2</v>
      </c>
      <c r="R78" t="s">
        <v>383</v>
      </c>
      <c r="T78" t="s">
        <v>389</v>
      </c>
    </row>
    <row r="79" spans="1:20">
      <c r="A79" s="10"/>
      <c r="C79" s="13">
        <v>66</v>
      </c>
      <c r="D79" s="14">
        <v>46539</v>
      </c>
      <c r="E79" s="13">
        <v>22</v>
      </c>
      <c r="F79" s="15" t="str">
        <f t="shared" ref="F79:F142" si="3">IF(E79&gt;0,"Q"&amp;ROUNDUP(MONTH(D79)/3,0)&amp;"-"&amp;YEAR(D79)-2000,0)</f>
        <v>Q2-27</v>
      </c>
      <c r="G79" s="15">
        <f t="shared" si="2"/>
        <v>6</v>
      </c>
      <c r="H79" s="16">
        <v>2027</v>
      </c>
      <c r="Q79" s="17">
        <v>2</v>
      </c>
      <c r="R79" t="s">
        <v>376</v>
      </c>
      <c r="T79" t="s">
        <v>390</v>
      </c>
    </row>
    <row r="80" spans="1:20">
      <c r="A80" s="10"/>
      <c r="C80" s="13">
        <v>67</v>
      </c>
      <c r="D80" s="14">
        <v>46569</v>
      </c>
      <c r="E80" s="13">
        <v>23</v>
      </c>
      <c r="F80" s="15" t="str">
        <f t="shared" si="3"/>
        <v>Q3-27</v>
      </c>
      <c r="G80" s="15">
        <f t="shared" si="2"/>
        <v>6</v>
      </c>
      <c r="H80" s="16">
        <v>2027</v>
      </c>
      <c r="Q80" s="17">
        <v>2</v>
      </c>
      <c r="R80" t="s">
        <v>376</v>
      </c>
      <c r="T80" t="s">
        <v>391</v>
      </c>
    </row>
    <row r="81" spans="1:20">
      <c r="A81" s="10"/>
      <c r="C81" s="13">
        <v>68</v>
      </c>
      <c r="D81" s="14">
        <v>46600</v>
      </c>
      <c r="E81" s="13">
        <v>23</v>
      </c>
      <c r="F81" s="15" t="str">
        <f t="shared" si="3"/>
        <v>Q3-27</v>
      </c>
      <c r="G81" s="15">
        <f t="shared" si="2"/>
        <v>6</v>
      </c>
      <c r="H81" s="16">
        <v>2027</v>
      </c>
      <c r="Q81" s="17">
        <v>2</v>
      </c>
      <c r="R81" t="s">
        <v>357</v>
      </c>
      <c r="T81" t="s">
        <v>392</v>
      </c>
    </row>
    <row r="82" spans="1:20">
      <c r="A82" s="10"/>
      <c r="C82" s="13">
        <v>69</v>
      </c>
      <c r="D82" s="14">
        <v>46631</v>
      </c>
      <c r="E82" s="13">
        <v>23</v>
      </c>
      <c r="F82" s="15" t="str">
        <f t="shared" si="3"/>
        <v>Q3-27</v>
      </c>
      <c r="G82" s="15">
        <f t="shared" si="2"/>
        <v>6</v>
      </c>
      <c r="H82" s="16">
        <v>2027</v>
      </c>
      <c r="Q82" s="17">
        <v>2</v>
      </c>
      <c r="R82" t="s">
        <v>357</v>
      </c>
      <c r="T82" t="s">
        <v>393</v>
      </c>
    </row>
    <row r="83" spans="1:20">
      <c r="A83" s="10"/>
      <c r="C83" s="13">
        <v>70</v>
      </c>
      <c r="D83" s="14">
        <v>46661</v>
      </c>
      <c r="E83" s="13">
        <v>24</v>
      </c>
      <c r="F83" s="15" t="str">
        <f t="shared" si="3"/>
        <v>Q4-27</v>
      </c>
      <c r="G83" s="15">
        <f t="shared" si="2"/>
        <v>6</v>
      </c>
      <c r="H83" s="16">
        <v>2027</v>
      </c>
      <c r="Q83" s="17">
        <v>2</v>
      </c>
      <c r="R83" t="s">
        <v>346</v>
      </c>
      <c r="T83" t="s">
        <v>394</v>
      </c>
    </row>
    <row r="84" spans="1:20">
      <c r="A84" s="10"/>
      <c r="C84" s="13">
        <v>71</v>
      </c>
      <c r="D84" s="14">
        <v>46692</v>
      </c>
      <c r="E84" s="13">
        <v>24</v>
      </c>
      <c r="F84" s="15" t="str">
        <f t="shared" si="3"/>
        <v>Q4-27</v>
      </c>
      <c r="G84" s="15">
        <f t="shared" si="2"/>
        <v>6</v>
      </c>
      <c r="H84" s="16">
        <v>2027</v>
      </c>
      <c r="Q84" s="17">
        <v>2</v>
      </c>
      <c r="R84" t="s">
        <v>346</v>
      </c>
      <c r="T84" t="s">
        <v>395</v>
      </c>
    </row>
    <row r="85" spans="1:20">
      <c r="A85" s="10"/>
      <c r="C85" s="13">
        <v>72</v>
      </c>
      <c r="D85" s="14">
        <v>46722</v>
      </c>
      <c r="E85" s="13">
        <v>24</v>
      </c>
      <c r="F85" s="15" t="str">
        <f t="shared" si="3"/>
        <v>Q4-27</v>
      </c>
      <c r="G85" s="15">
        <f t="shared" si="2"/>
        <v>6</v>
      </c>
      <c r="H85" s="16">
        <v>2027</v>
      </c>
      <c r="Q85" s="17">
        <v>2</v>
      </c>
      <c r="R85" t="s">
        <v>357</v>
      </c>
      <c r="T85" t="s">
        <v>396</v>
      </c>
    </row>
    <row r="86" spans="1:20">
      <c r="A86" s="10"/>
      <c r="C86" s="13">
        <v>73</v>
      </c>
      <c r="D86" s="14">
        <v>46753</v>
      </c>
      <c r="E86" s="13">
        <v>25</v>
      </c>
      <c r="F86" s="15" t="str">
        <f t="shared" si="3"/>
        <v>Q1-28</v>
      </c>
      <c r="G86" s="15">
        <f t="shared" si="2"/>
        <v>7</v>
      </c>
      <c r="H86" s="16">
        <v>2028</v>
      </c>
      <c r="Q86" s="17">
        <v>2</v>
      </c>
      <c r="R86" t="s">
        <v>322</v>
      </c>
      <c r="T86" t="s">
        <v>397</v>
      </c>
    </row>
    <row r="87" spans="1:20">
      <c r="A87" s="10"/>
      <c r="C87" s="13">
        <v>74</v>
      </c>
      <c r="D87" s="14">
        <v>46784</v>
      </c>
      <c r="E87" s="13">
        <v>25</v>
      </c>
      <c r="F87" s="15" t="str">
        <f t="shared" si="3"/>
        <v>Q1-28</v>
      </c>
      <c r="G87" s="15">
        <f t="shared" si="2"/>
        <v>7</v>
      </c>
      <c r="H87" s="16">
        <v>2028</v>
      </c>
      <c r="Q87" s="17">
        <v>2</v>
      </c>
      <c r="R87" t="s">
        <v>322</v>
      </c>
      <c r="T87" t="s">
        <v>398</v>
      </c>
    </row>
    <row r="88" spans="1:20">
      <c r="A88" s="10"/>
      <c r="C88" s="13">
        <v>75</v>
      </c>
      <c r="D88" s="14">
        <v>46813</v>
      </c>
      <c r="E88" s="13">
        <v>25</v>
      </c>
      <c r="F88" s="15" t="str">
        <f t="shared" si="3"/>
        <v>Q1-28</v>
      </c>
      <c r="G88" s="15">
        <f t="shared" si="2"/>
        <v>7</v>
      </c>
      <c r="H88" s="16">
        <v>2028</v>
      </c>
      <c r="Q88" s="17">
        <v>2</v>
      </c>
      <c r="R88" t="s">
        <v>399</v>
      </c>
      <c r="T88" t="s">
        <v>400</v>
      </c>
    </row>
    <row r="89" spans="1:20">
      <c r="A89" s="10"/>
      <c r="C89" s="13">
        <v>76</v>
      </c>
      <c r="D89" s="14">
        <v>46844</v>
      </c>
      <c r="E89" s="13">
        <v>26</v>
      </c>
      <c r="F89" s="15" t="str">
        <f t="shared" si="3"/>
        <v>Q2-28</v>
      </c>
      <c r="G89" s="15">
        <f t="shared" si="2"/>
        <v>7</v>
      </c>
      <c r="H89" s="16">
        <v>2028</v>
      </c>
      <c r="Q89" s="17">
        <v>2</v>
      </c>
      <c r="R89" t="s">
        <v>399</v>
      </c>
      <c r="T89" t="s">
        <v>401</v>
      </c>
    </row>
    <row r="90" spans="1:20">
      <c r="A90" s="10"/>
      <c r="C90" s="13">
        <v>77</v>
      </c>
      <c r="D90" s="14">
        <v>46874</v>
      </c>
      <c r="E90" s="13">
        <v>26</v>
      </c>
      <c r="F90" s="15" t="str">
        <f t="shared" si="3"/>
        <v>Q2-28</v>
      </c>
      <c r="G90" s="15">
        <f t="shared" si="2"/>
        <v>7</v>
      </c>
      <c r="H90" s="16">
        <v>2028</v>
      </c>
      <c r="Q90" s="17">
        <v>2</v>
      </c>
      <c r="R90" t="s">
        <v>357</v>
      </c>
      <c r="T90" t="s">
        <v>402</v>
      </c>
    </row>
    <row r="91" spans="1:20">
      <c r="A91" s="10"/>
      <c r="C91" s="13">
        <v>78</v>
      </c>
      <c r="D91" s="14">
        <v>46905</v>
      </c>
      <c r="E91" s="13">
        <v>26</v>
      </c>
      <c r="F91" s="15" t="str">
        <f t="shared" si="3"/>
        <v>Q2-28</v>
      </c>
      <c r="G91" s="15">
        <f t="shared" si="2"/>
        <v>7</v>
      </c>
      <c r="H91" s="16">
        <v>2028</v>
      </c>
      <c r="Q91" s="17">
        <v>2</v>
      </c>
      <c r="R91" t="s">
        <v>357</v>
      </c>
      <c r="T91" t="s">
        <v>403</v>
      </c>
    </row>
    <row r="92" spans="1:20">
      <c r="A92" s="10"/>
      <c r="C92" s="13">
        <v>79</v>
      </c>
      <c r="D92" s="14">
        <v>46935</v>
      </c>
      <c r="E92" s="13">
        <v>27</v>
      </c>
      <c r="F92" s="15" t="str">
        <f t="shared" si="3"/>
        <v>Q3-28</v>
      </c>
      <c r="G92" s="15">
        <f t="shared" si="2"/>
        <v>7</v>
      </c>
      <c r="H92" s="16">
        <v>2028</v>
      </c>
      <c r="Q92" s="17">
        <v>2</v>
      </c>
      <c r="R92" t="s">
        <v>357</v>
      </c>
      <c r="T92" t="s">
        <v>404</v>
      </c>
    </row>
    <row r="93" spans="1:20">
      <c r="A93" s="10"/>
      <c r="C93" s="13">
        <v>80</v>
      </c>
      <c r="D93" s="14">
        <v>46966</v>
      </c>
      <c r="E93" s="13">
        <v>27</v>
      </c>
      <c r="F93" s="15" t="str">
        <f t="shared" si="3"/>
        <v>Q3-28</v>
      </c>
      <c r="G93" s="15">
        <f t="shared" si="2"/>
        <v>7</v>
      </c>
      <c r="H93" s="16">
        <v>2028</v>
      </c>
      <c r="Q93" s="17">
        <v>2</v>
      </c>
      <c r="R93" t="s">
        <v>357</v>
      </c>
      <c r="T93" t="s">
        <v>405</v>
      </c>
    </row>
    <row r="94" spans="1:20">
      <c r="A94" s="10"/>
      <c r="C94" s="13">
        <v>81</v>
      </c>
      <c r="D94" s="14">
        <v>46997</v>
      </c>
      <c r="E94" s="13">
        <v>27</v>
      </c>
      <c r="F94" s="15" t="str">
        <f t="shared" si="3"/>
        <v>Q3-28</v>
      </c>
      <c r="G94" s="15">
        <f t="shared" si="2"/>
        <v>7</v>
      </c>
      <c r="H94" s="16">
        <v>2028</v>
      </c>
      <c r="Q94" s="17">
        <v>2</v>
      </c>
      <c r="R94" t="s">
        <v>406</v>
      </c>
      <c r="T94" t="s">
        <v>407</v>
      </c>
    </row>
    <row r="95" spans="1:20">
      <c r="A95" s="10"/>
      <c r="C95" s="13">
        <v>82</v>
      </c>
      <c r="D95" s="14">
        <v>47027</v>
      </c>
      <c r="E95" s="13">
        <v>28</v>
      </c>
      <c r="F95" s="15" t="str">
        <f t="shared" si="3"/>
        <v>Q4-28</v>
      </c>
      <c r="G95" s="15">
        <f t="shared" si="2"/>
        <v>7</v>
      </c>
      <c r="H95" s="16">
        <v>2028</v>
      </c>
      <c r="Q95" s="17">
        <v>2</v>
      </c>
      <c r="R95" t="s">
        <v>362</v>
      </c>
      <c r="T95" t="s">
        <v>408</v>
      </c>
    </row>
    <row r="96" spans="1:20">
      <c r="A96" s="10"/>
      <c r="C96" s="13">
        <v>83</v>
      </c>
      <c r="D96" s="14">
        <v>47058</v>
      </c>
      <c r="E96" s="13">
        <v>28</v>
      </c>
      <c r="F96" s="15" t="str">
        <f t="shared" si="3"/>
        <v>Q4-28</v>
      </c>
      <c r="G96" s="15">
        <f t="shared" si="2"/>
        <v>7</v>
      </c>
      <c r="H96" s="16">
        <v>2028</v>
      </c>
      <c r="Q96" s="17">
        <v>2</v>
      </c>
      <c r="R96" t="s">
        <v>362</v>
      </c>
      <c r="T96" t="s">
        <v>409</v>
      </c>
    </row>
    <row r="97" spans="1:20">
      <c r="A97" s="10"/>
      <c r="C97" s="13">
        <v>84</v>
      </c>
      <c r="D97" s="14">
        <v>47088</v>
      </c>
      <c r="E97" s="13">
        <v>28</v>
      </c>
      <c r="F97" s="15" t="str">
        <f t="shared" si="3"/>
        <v>Q4-28</v>
      </c>
      <c r="G97" s="15">
        <f t="shared" si="2"/>
        <v>7</v>
      </c>
      <c r="H97" s="16">
        <v>2028</v>
      </c>
      <c r="Q97" s="17">
        <v>2</v>
      </c>
      <c r="R97" t="s">
        <v>410</v>
      </c>
      <c r="T97" t="s">
        <v>411</v>
      </c>
    </row>
    <row r="98" spans="1:20">
      <c r="A98" s="10"/>
      <c r="C98" s="13">
        <v>85</v>
      </c>
      <c r="D98" s="14">
        <v>47119</v>
      </c>
      <c r="E98" s="13">
        <v>29</v>
      </c>
      <c r="F98" s="15" t="str">
        <f t="shared" si="3"/>
        <v>Q1-29</v>
      </c>
      <c r="G98" s="15">
        <f t="shared" si="2"/>
        <v>8</v>
      </c>
      <c r="H98" s="16">
        <v>2029</v>
      </c>
      <c r="Q98" s="17">
        <v>2</v>
      </c>
      <c r="R98" t="s">
        <v>410</v>
      </c>
      <c r="T98" t="s">
        <v>412</v>
      </c>
    </row>
    <row r="99" spans="1:20">
      <c r="A99" s="10"/>
      <c r="C99" s="13">
        <v>86</v>
      </c>
      <c r="D99" s="14">
        <v>47150</v>
      </c>
      <c r="E99" s="13">
        <v>29</v>
      </c>
      <c r="F99" s="15" t="str">
        <f t="shared" si="3"/>
        <v>Q1-29</v>
      </c>
      <c r="G99" s="15">
        <f t="shared" si="2"/>
        <v>8</v>
      </c>
      <c r="H99" s="16">
        <v>2029</v>
      </c>
      <c r="Q99" s="17">
        <v>2</v>
      </c>
      <c r="R99" t="s">
        <v>413</v>
      </c>
      <c r="T99" t="s">
        <v>414</v>
      </c>
    </row>
    <row r="100" spans="1:20">
      <c r="A100" s="10"/>
      <c r="C100" s="13">
        <v>87</v>
      </c>
      <c r="D100" s="14">
        <v>47178</v>
      </c>
      <c r="E100" s="13">
        <v>29</v>
      </c>
      <c r="F100" s="15" t="str">
        <f t="shared" si="3"/>
        <v>Q1-29</v>
      </c>
      <c r="G100" s="15">
        <f t="shared" si="2"/>
        <v>8</v>
      </c>
      <c r="H100" s="16">
        <v>2029</v>
      </c>
      <c r="Q100" s="17">
        <v>2</v>
      </c>
      <c r="R100" t="s">
        <v>413</v>
      </c>
      <c r="T100" t="s">
        <v>415</v>
      </c>
    </row>
    <row r="101" spans="1:20">
      <c r="A101" s="10"/>
      <c r="C101" s="13">
        <v>88</v>
      </c>
      <c r="D101" s="14">
        <v>47209</v>
      </c>
      <c r="E101" s="13">
        <v>30</v>
      </c>
      <c r="F101" s="15" t="str">
        <f t="shared" si="3"/>
        <v>Q2-29</v>
      </c>
      <c r="G101" s="15">
        <f t="shared" si="2"/>
        <v>8</v>
      </c>
      <c r="H101" s="16">
        <v>2029</v>
      </c>
      <c r="Q101" s="17">
        <v>2</v>
      </c>
      <c r="R101" t="s">
        <v>406</v>
      </c>
      <c r="T101" t="s">
        <v>416</v>
      </c>
    </row>
    <row r="102" spans="1:20">
      <c r="A102" s="10"/>
      <c r="C102" s="13">
        <v>89</v>
      </c>
      <c r="D102" s="14">
        <v>47239</v>
      </c>
      <c r="E102" s="13">
        <v>30</v>
      </c>
      <c r="F102" s="15" t="str">
        <f t="shared" si="3"/>
        <v>Q2-29</v>
      </c>
      <c r="G102" s="15">
        <f t="shared" si="2"/>
        <v>8</v>
      </c>
      <c r="H102" s="16">
        <v>2029</v>
      </c>
      <c r="Q102" s="17">
        <v>2</v>
      </c>
      <c r="R102" t="s">
        <v>383</v>
      </c>
      <c r="T102" t="s">
        <v>417</v>
      </c>
    </row>
    <row r="103" spans="1:20">
      <c r="A103" s="10"/>
      <c r="C103" s="13">
        <v>90</v>
      </c>
      <c r="D103" s="14">
        <v>47270</v>
      </c>
      <c r="E103" s="13">
        <v>30</v>
      </c>
      <c r="F103" s="15" t="str">
        <f t="shared" si="3"/>
        <v>Q2-29</v>
      </c>
      <c r="G103" s="15">
        <f t="shared" si="2"/>
        <v>8</v>
      </c>
      <c r="H103" s="16">
        <v>2029</v>
      </c>
      <c r="Q103" s="17">
        <v>2</v>
      </c>
      <c r="R103" t="s">
        <v>383</v>
      </c>
      <c r="T103" t="s">
        <v>418</v>
      </c>
    </row>
    <row r="104" spans="1:20">
      <c r="A104" s="10"/>
      <c r="C104" s="13">
        <v>91</v>
      </c>
      <c r="D104" s="14">
        <v>47300</v>
      </c>
      <c r="E104" s="13">
        <v>31</v>
      </c>
      <c r="F104" s="15" t="str">
        <f t="shared" si="3"/>
        <v>Q3-29</v>
      </c>
      <c r="G104" s="15">
        <f t="shared" si="2"/>
        <v>8</v>
      </c>
      <c r="H104" s="16">
        <v>2029</v>
      </c>
      <c r="Q104" s="17">
        <v>2</v>
      </c>
      <c r="R104" t="s">
        <v>406</v>
      </c>
      <c r="T104" t="s">
        <v>419</v>
      </c>
    </row>
    <row r="105" spans="1:20">
      <c r="A105" s="10"/>
      <c r="C105" s="13">
        <v>92</v>
      </c>
      <c r="D105" s="14">
        <v>47331</v>
      </c>
      <c r="E105" s="13">
        <v>31</v>
      </c>
      <c r="F105" s="15" t="str">
        <f t="shared" si="3"/>
        <v>Q3-29</v>
      </c>
      <c r="G105" s="15">
        <f t="shared" si="2"/>
        <v>8</v>
      </c>
      <c r="H105" s="16">
        <v>2029</v>
      </c>
      <c r="Q105" s="17">
        <v>2</v>
      </c>
      <c r="R105" t="s">
        <v>420</v>
      </c>
      <c r="T105" t="s">
        <v>421</v>
      </c>
    </row>
    <row r="106" spans="1:20">
      <c r="A106" s="10"/>
      <c r="C106" s="13">
        <v>93</v>
      </c>
      <c r="D106" s="14">
        <v>47362</v>
      </c>
      <c r="E106" s="13">
        <v>31</v>
      </c>
      <c r="F106" s="15" t="str">
        <f t="shared" si="3"/>
        <v>Q3-29</v>
      </c>
      <c r="G106" s="15">
        <f t="shared" si="2"/>
        <v>8</v>
      </c>
      <c r="H106" s="16">
        <v>2029</v>
      </c>
      <c r="Q106" s="17">
        <v>2</v>
      </c>
      <c r="R106" t="s">
        <v>422</v>
      </c>
      <c r="T106" t="s">
        <v>423</v>
      </c>
    </row>
    <row r="107" spans="1:20">
      <c r="A107" s="10"/>
      <c r="C107" s="13">
        <v>94</v>
      </c>
      <c r="D107" s="14">
        <v>47392</v>
      </c>
      <c r="E107" s="13">
        <v>32</v>
      </c>
      <c r="F107" s="15" t="str">
        <f t="shared" si="3"/>
        <v>Q4-29</v>
      </c>
      <c r="G107" s="15">
        <f t="shared" si="2"/>
        <v>8</v>
      </c>
      <c r="H107" s="16">
        <v>2029</v>
      </c>
      <c r="Q107" s="17">
        <v>2</v>
      </c>
      <c r="R107" t="s">
        <v>424</v>
      </c>
      <c r="T107" t="s">
        <v>425</v>
      </c>
    </row>
    <row r="108" spans="1:20">
      <c r="A108" s="10"/>
      <c r="C108" s="13">
        <v>95</v>
      </c>
      <c r="D108" s="14">
        <v>47423</v>
      </c>
      <c r="E108" s="13">
        <v>32</v>
      </c>
      <c r="F108" s="15" t="str">
        <f t="shared" si="3"/>
        <v>Q4-29</v>
      </c>
      <c r="G108" s="15">
        <f t="shared" si="2"/>
        <v>8</v>
      </c>
      <c r="H108" s="16">
        <v>2029</v>
      </c>
      <c r="Q108" s="17">
        <v>2</v>
      </c>
      <c r="R108" t="s">
        <v>424</v>
      </c>
      <c r="T108" t="s">
        <v>426</v>
      </c>
    </row>
    <row r="109" spans="1:20">
      <c r="A109" s="10"/>
      <c r="C109" s="13">
        <v>96</v>
      </c>
      <c r="D109" s="14">
        <v>47453</v>
      </c>
      <c r="E109" s="13">
        <v>32</v>
      </c>
      <c r="F109" s="15" t="str">
        <f t="shared" si="3"/>
        <v>Q4-29</v>
      </c>
      <c r="G109" s="15">
        <f t="shared" si="2"/>
        <v>8</v>
      </c>
      <c r="H109" s="16">
        <v>2029</v>
      </c>
    </row>
    <row r="110" spans="1:20">
      <c r="A110" s="10"/>
      <c r="C110" s="13">
        <v>97</v>
      </c>
      <c r="D110" s="14">
        <v>47484</v>
      </c>
      <c r="E110" s="13">
        <v>33</v>
      </c>
      <c r="F110" s="15" t="str">
        <f t="shared" si="3"/>
        <v>Q1-30</v>
      </c>
      <c r="G110" s="15">
        <f t="shared" si="2"/>
        <v>9</v>
      </c>
      <c r="H110" s="16">
        <v>2030</v>
      </c>
    </row>
    <row r="111" spans="1:20">
      <c r="A111" s="10"/>
      <c r="C111" s="13">
        <v>98</v>
      </c>
      <c r="D111" s="14">
        <v>47515</v>
      </c>
      <c r="E111" s="13">
        <v>33</v>
      </c>
      <c r="F111" s="15" t="str">
        <f t="shared" si="3"/>
        <v>Q1-30</v>
      </c>
      <c r="G111" s="15">
        <f t="shared" si="2"/>
        <v>9</v>
      </c>
      <c r="H111" s="16">
        <v>2030</v>
      </c>
    </row>
    <row r="112" spans="1:20">
      <c r="A112" s="10"/>
      <c r="C112" s="13">
        <v>99</v>
      </c>
      <c r="D112" s="14">
        <v>47543</v>
      </c>
      <c r="E112" s="13">
        <v>33</v>
      </c>
      <c r="F112" s="15" t="str">
        <f t="shared" si="3"/>
        <v>Q1-30</v>
      </c>
      <c r="G112" s="15">
        <f t="shared" si="2"/>
        <v>9</v>
      </c>
      <c r="H112" s="16">
        <v>2030</v>
      </c>
    </row>
    <row r="113" spans="1:8">
      <c r="A113" s="10"/>
      <c r="C113" s="13">
        <v>100</v>
      </c>
      <c r="D113" s="14">
        <v>47574</v>
      </c>
      <c r="E113" s="13">
        <v>34</v>
      </c>
      <c r="F113" s="15" t="str">
        <f t="shared" si="3"/>
        <v>Q2-30</v>
      </c>
      <c r="G113" s="15">
        <f t="shared" si="2"/>
        <v>9</v>
      </c>
      <c r="H113" s="16">
        <v>2030</v>
      </c>
    </row>
    <row r="114" spans="1:8">
      <c r="A114" s="10"/>
      <c r="C114" s="13">
        <v>101</v>
      </c>
      <c r="D114" s="14">
        <v>47604</v>
      </c>
      <c r="E114" s="13">
        <v>34</v>
      </c>
      <c r="F114" s="15" t="str">
        <f t="shared" si="3"/>
        <v>Q2-30</v>
      </c>
      <c r="G114" s="15">
        <f t="shared" si="2"/>
        <v>9</v>
      </c>
      <c r="H114" s="16">
        <v>2030</v>
      </c>
    </row>
    <row r="115" spans="1:8">
      <c r="A115" s="10"/>
      <c r="C115" s="13">
        <v>102</v>
      </c>
      <c r="D115" s="14">
        <v>47635</v>
      </c>
      <c r="E115" s="13">
        <v>34</v>
      </c>
      <c r="F115" s="15" t="str">
        <f t="shared" si="3"/>
        <v>Q2-30</v>
      </c>
      <c r="G115" s="15">
        <f t="shared" si="2"/>
        <v>9</v>
      </c>
      <c r="H115" s="16">
        <v>2030</v>
      </c>
    </row>
    <row r="116" spans="1:8">
      <c r="A116" s="10"/>
      <c r="C116" s="13">
        <v>103</v>
      </c>
      <c r="D116" s="14">
        <v>47665</v>
      </c>
      <c r="E116" s="13">
        <v>35</v>
      </c>
      <c r="F116" s="15" t="str">
        <f t="shared" si="3"/>
        <v>Q3-30</v>
      </c>
      <c r="G116" s="15">
        <f t="shared" si="2"/>
        <v>9</v>
      </c>
      <c r="H116" s="16">
        <v>2030</v>
      </c>
    </row>
    <row r="117" spans="1:8">
      <c r="A117" s="10"/>
      <c r="C117" s="13">
        <v>104</v>
      </c>
      <c r="D117" s="14">
        <v>47696</v>
      </c>
      <c r="E117" s="13">
        <v>35</v>
      </c>
      <c r="F117" s="15" t="str">
        <f t="shared" si="3"/>
        <v>Q3-30</v>
      </c>
      <c r="G117" s="15">
        <f t="shared" si="2"/>
        <v>9</v>
      </c>
      <c r="H117" s="16">
        <v>2030</v>
      </c>
    </row>
    <row r="118" spans="1:8">
      <c r="A118" s="10"/>
      <c r="C118" s="13">
        <v>105</v>
      </c>
      <c r="D118" s="14">
        <v>47727</v>
      </c>
      <c r="E118" s="13">
        <v>35</v>
      </c>
      <c r="F118" s="15" t="str">
        <f t="shared" si="3"/>
        <v>Q3-30</v>
      </c>
      <c r="G118" s="15">
        <f t="shared" si="2"/>
        <v>9</v>
      </c>
      <c r="H118" s="16">
        <v>2030</v>
      </c>
    </row>
    <row r="119" spans="1:8">
      <c r="A119" s="10"/>
      <c r="C119" s="13">
        <v>106</v>
      </c>
      <c r="D119" s="14">
        <v>47757</v>
      </c>
      <c r="E119" s="13">
        <v>36</v>
      </c>
      <c r="F119" s="15" t="str">
        <f t="shared" si="3"/>
        <v>Q4-30</v>
      </c>
      <c r="G119" s="15">
        <f t="shared" si="2"/>
        <v>9</v>
      </c>
      <c r="H119" s="16">
        <v>2030</v>
      </c>
    </row>
    <row r="120" spans="1:8">
      <c r="A120" s="10"/>
      <c r="C120" s="13">
        <v>107</v>
      </c>
      <c r="D120" s="14">
        <v>47788</v>
      </c>
      <c r="E120" s="13">
        <v>36</v>
      </c>
      <c r="F120" s="15" t="str">
        <f t="shared" si="3"/>
        <v>Q4-30</v>
      </c>
      <c r="G120" s="15">
        <f t="shared" si="2"/>
        <v>9</v>
      </c>
      <c r="H120" s="16">
        <v>2030</v>
      </c>
    </row>
    <row r="121" spans="1:8">
      <c r="A121" s="10"/>
      <c r="C121" s="13">
        <v>108</v>
      </c>
      <c r="D121" s="14">
        <v>47818</v>
      </c>
      <c r="E121" s="13">
        <v>36</v>
      </c>
      <c r="F121" s="15" t="str">
        <f t="shared" si="3"/>
        <v>Q4-30</v>
      </c>
      <c r="G121" s="15">
        <f t="shared" si="2"/>
        <v>9</v>
      </c>
      <c r="H121" s="16">
        <v>2030</v>
      </c>
    </row>
    <row r="122" spans="1:8">
      <c r="A122" s="10"/>
      <c r="C122" s="13">
        <v>109</v>
      </c>
      <c r="D122" s="14">
        <v>47849</v>
      </c>
      <c r="E122" s="13">
        <v>37</v>
      </c>
      <c r="F122" s="15" t="str">
        <f t="shared" si="3"/>
        <v>Q1-31</v>
      </c>
      <c r="G122" s="15">
        <f t="shared" si="2"/>
        <v>10</v>
      </c>
      <c r="H122" s="16">
        <v>2031</v>
      </c>
    </row>
    <row r="123" spans="1:8">
      <c r="A123" s="10"/>
      <c r="C123" s="13">
        <v>110</v>
      </c>
      <c r="D123" s="14">
        <v>47880</v>
      </c>
      <c r="E123" s="13">
        <v>37</v>
      </c>
      <c r="F123" s="15" t="str">
        <f t="shared" si="3"/>
        <v>Q1-31</v>
      </c>
      <c r="G123" s="15">
        <f t="shared" si="2"/>
        <v>10</v>
      </c>
      <c r="H123" s="16">
        <v>2031</v>
      </c>
    </row>
    <row r="124" spans="1:8">
      <c r="A124" s="10"/>
      <c r="C124" s="13">
        <v>111</v>
      </c>
      <c r="D124" s="14">
        <v>47908</v>
      </c>
      <c r="E124" s="13">
        <v>37</v>
      </c>
      <c r="F124" s="15" t="str">
        <f t="shared" si="3"/>
        <v>Q1-31</v>
      </c>
      <c r="G124" s="15">
        <f t="shared" si="2"/>
        <v>10</v>
      </c>
      <c r="H124" s="16">
        <v>2031</v>
      </c>
    </row>
    <row r="125" spans="1:8">
      <c r="A125" s="10"/>
      <c r="C125" s="13">
        <v>112</v>
      </c>
      <c r="D125" s="14">
        <v>47939</v>
      </c>
      <c r="E125" s="13">
        <v>38</v>
      </c>
      <c r="F125" s="15" t="str">
        <f t="shared" si="3"/>
        <v>Q2-31</v>
      </c>
      <c r="G125" s="15">
        <f t="shared" si="2"/>
        <v>10</v>
      </c>
      <c r="H125" s="16">
        <v>2031</v>
      </c>
    </row>
    <row r="126" spans="1:8">
      <c r="A126" s="10"/>
      <c r="C126" s="13">
        <v>113</v>
      </c>
      <c r="D126" s="14">
        <v>47969</v>
      </c>
      <c r="E126" s="13">
        <v>38</v>
      </c>
      <c r="F126" s="15" t="str">
        <f t="shared" si="3"/>
        <v>Q2-31</v>
      </c>
      <c r="G126" s="15">
        <f t="shared" si="2"/>
        <v>10</v>
      </c>
      <c r="H126" s="16">
        <v>2031</v>
      </c>
    </row>
    <row r="127" spans="1:8">
      <c r="A127" s="10"/>
      <c r="C127" s="13">
        <v>114</v>
      </c>
      <c r="D127" s="14">
        <v>48000</v>
      </c>
      <c r="E127" s="13">
        <v>38</v>
      </c>
      <c r="F127" s="15" t="str">
        <f t="shared" si="3"/>
        <v>Q2-31</v>
      </c>
      <c r="G127" s="15">
        <f t="shared" si="2"/>
        <v>10</v>
      </c>
      <c r="H127" s="16">
        <v>2031</v>
      </c>
    </row>
    <row r="128" spans="1:8">
      <c r="A128" s="10"/>
      <c r="C128" s="13">
        <v>115</v>
      </c>
      <c r="D128" s="14">
        <v>48030</v>
      </c>
      <c r="E128" s="13">
        <v>39</v>
      </c>
      <c r="F128" s="15" t="str">
        <f t="shared" si="3"/>
        <v>Q3-31</v>
      </c>
      <c r="G128" s="15">
        <f t="shared" si="2"/>
        <v>10</v>
      </c>
      <c r="H128" s="16">
        <v>2031</v>
      </c>
    </row>
    <row r="129" spans="1:8">
      <c r="A129" s="10"/>
      <c r="C129" s="13">
        <v>116</v>
      </c>
      <c r="D129" s="14">
        <v>48061</v>
      </c>
      <c r="E129" s="13">
        <v>39</v>
      </c>
      <c r="F129" s="15" t="str">
        <f t="shared" si="3"/>
        <v>Q3-31</v>
      </c>
      <c r="G129" s="15">
        <f t="shared" si="2"/>
        <v>10</v>
      </c>
      <c r="H129" s="16">
        <v>2031</v>
      </c>
    </row>
    <row r="130" spans="1:8">
      <c r="A130" s="10"/>
      <c r="C130" s="13">
        <v>117</v>
      </c>
      <c r="D130" s="14">
        <v>48092</v>
      </c>
      <c r="E130" s="13">
        <v>39</v>
      </c>
      <c r="F130" s="15" t="str">
        <f t="shared" si="3"/>
        <v>Q3-31</v>
      </c>
      <c r="G130" s="15">
        <f t="shared" si="2"/>
        <v>10</v>
      </c>
      <c r="H130" s="16">
        <v>2031</v>
      </c>
    </row>
    <row r="131" spans="1:8">
      <c r="A131" s="10"/>
      <c r="C131" s="13">
        <v>118</v>
      </c>
      <c r="D131" s="14">
        <v>48122</v>
      </c>
      <c r="E131" s="13">
        <v>40</v>
      </c>
      <c r="F131" s="15" t="str">
        <f t="shared" si="3"/>
        <v>Q4-31</v>
      </c>
      <c r="G131" s="15">
        <f t="shared" si="2"/>
        <v>10</v>
      </c>
      <c r="H131" s="16">
        <v>2031</v>
      </c>
    </row>
    <row r="132" spans="1:8">
      <c r="A132" s="10"/>
      <c r="C132" s="13">
        <v>119</v>
      </c>
      <c r="D132" s="14">
        <v>48153</v>
      </c>
      <c r="E132" s="13">
        <v>40</v>
      </c>
      <c r="F132" s="15" t="str">
        <f t="shared" si="3"/>
        <v>Q4-31</v>
      </c>
      <c r="G132" s="15">
        <f t="shared" si="2"/>
        <v>10</v>
      </c>
      <c r="H132" s="16">
        <v>2031</v>
      </c>
    </row>
    <row r="133" spans="1:8">
      <c r="A133" s="10"/>
      <c r="C133" s="13">
        <v>120</v>
      </c>
      <c r="D133" s="14">
        <v>48183</v>
      </c>
      <c r="E133" s="13">
        <v>40</v>
      </c>
      <c r="F133" s="15" t="str">
        <f t="shared" si="3"/>
        <v>Q4-31</v>
      </c>
      <c r="G133" s="15">
        <f t="shared" si="2"/>
        <v>10</v>
      </c>
      <c r="H133" s="16">
        <v>2031</v>
      </c>
    </row>
    <row r="134" spans="1:8">
      <c r="A134" s="10"/>
      <c r="C134" s="13"/>
      <c r="D134" s="13"/>
      <c r="E134" s="13"/>
      <c r="F134" s="15">
        <f t="shared" si="3"/>
        <v>0</v>
      </c>
      <c r="G134" s="15">
        <f>IF(C134=0,0,MIN(INT(YEARFRAC(D$14,EDATE(D134,12),3))))</f>
        <v>0</v>
      </c>
      <c r="H134" s="16"/>
    </row>
    <row r="135" spans="1:8">
      <c r="A135" s="10"/>
      <c r="C135" s="13"/>
      <c r="D135" s="13"/>
      <c r="E135" s="13"/>
      <c r="F135" s="15">
        <f t="shared" si="3"/>
        <v>0</v>
      </c>
      <c r="G135" s="15">
        <f t="shared" ref="G135:G198" si="4">IF(C135=0,0,MIN(INT(YEARFRAC(D$14,EDATE(D135,12),3))))</f>
        <v>0</v>
      </c>
      <c r="H135" s="16"/>
    </row>
    <row r="136" spans="1:8">
      <c r="A136" s="10"/>
      <c r="C136" s="13"/>
      <c r="D136" s="13"/>
      <c r="E136" s="13"/>
      <c r="F136" s="15">
        <f t="shared" si="3"/>
        <v>0</v>
      </c>
      <c r="G136" s="15">
        <f t="shared" si="4"/>
        <v>0</v>
      </c>
      <c r="H136" s="16"/>
    </row>
    <row r="137" spans="1:8">
      <c r="A137" s="10"/>
      <c r="C137" s="13"/>
      <c r="D137" s="13"/>
      <c r="E137" s="13"/>
      <c r="F137" s="15">
        <f t="shared" si="3"/>
        <v>0</v>
      </c>
      <c r="G137" s="15">
        <f t="shared" si="4"/>
        <v>0</v>
      </c>
      <c r="H137" s="16"/>
    </row>
    <row r="138" spans="1:8">
      <c r="A138" s="10"/>
      <c r="C138" s="13"/>
      <c r="D138" s="13"/>
      <c r="E138" s="13"/>
      <c r="F138" s="15">
        <f t="shared" si="3"/>
        <v>0</v>
      </c>
      <c r="G138" s="15">
        <f t="shared" si="4"/>
        <v>0</v>
      </c>
      <c r="H138" s="16"/>
    </row>
    <row r="139" spans="1:8">
      <c r="A139" s="10"/>
      <c r="C139" s="13"/>
      <c r="D139" s="13"/>
      <c r="E139" s="13"/>
      <c r="F139" s="15">
        <f t="shared" si="3"/>
        <v>0</v>
      </c>
      <c r="G139" s="15">
        <f t="shared" si="4"/>
        <v>0</v>
      </c>
      <c r="H139" s="16"/>
    </row>
    <row r="140" spans="1:8">
      <c r="A140" s="10"/>
      <c r="C140" s="13"/>
      <c r="D140" s="13"/>
      <c r="E140" s="13"/>
      <c r="F140" s="15">
        <f t="shared" si="3"/>
        <v>0</v>
      </c>
      <c r="G140" s="15">
        <f t="shared" si="4"/>
        <v>0</v>
      </c>
      <c r="H140" s="16"/>
    </row>
    <row r="141" spans="1:8">
      <c r="A141" s="10"/>
      <c r="C141" s="13"/>
      <c r="D141" s="13"/>
      <c r="E141" s="13"/>
      <c r="F141" s="15">
        <f t="shared" si="3"/>
        <v>0</v>
      </c>
      <c r="G141" s="15">
        <f t="shared" si="4"/>
        <v>0</v>
      </c>
      <c r="H141" s="16"/>
    </row>
    <row r="142" spans="1:8">
      <c r="A142" s="10"/>
      <c r="C142" s="13"/>
      <c r="D142" s="13"/>
      <c r="E142" s="13"/>
      <c r="F142" s="15">
        <f t="shared" si="3"/>
        <v>0</v>
      </c>
      <c r="G142" s="15">
        <f t="shared" si="4"/>
        <v>0</v>
      </c>
      <c r="H142" s="16"/>
    </row>
    <row r="143" spans="1:8">
      <c r="A143" s="10"/>
      <c r="C143" s="13"/>
      <c r="D143" s="13"/>
      <c r="E143" s="13"/>
      <c r="F143" s="15">
        <f t="shared" ref="F143:F206" si="5">IF(E143&gt;0,"Q"&amp;ROUNDUP(MONTH(D143)/3,0)&amp;"-"&amp;YEAR(D143)-2000,0)</f>
        <v>0</v>
      </c>
      <c r="G143" s="15">
        <f t="shared" si="4"/>
        <v>0</v>
      </c>
      <c r="H143" s="16"/>
    </row>
    <row r="144" spans="1:8">
      <c r="A144" s="10"/>
      <c r="C144" s="13"/>
      <c r="D144" s="13"/>
      <c r="E144" s="13"/>
      <c r="F144" s="15">
        <f t="shared" si="5"/>
        <v>0</v>
      </c>
      <c r="G144" s="15">
        <f t="shared" si="4"/>
        <v>0</v>
      </c>
      <c r="H144" s="16"/>
    </row>
    <row r="145" spans="1:8">
      <c r="A145" s="10"/>
      <c r="C145" s="13"/>
      <c r="D145" s="13"/>
      <c r="E145" s="13"/>
      <c r="F145" s="15">
        <f t="shared" si="5"/>
        <v>0</v>
      </c>
      <c r="G145" s="15">
        <f t="shared" si="4"/>
        <v>0</v>
      </c>
      <c r="H145" s="16"/>
    </row>
    <row r="146" spans="1:8">
      <c r="A146" s="10"/>
      <c r="C146" s="13"/>
      <c r="D146" s="13"/>
      <c r="E146" s="13"/>
      <c r="F146" s="15">
        <f t="shared" si="5"/>
        <v>0</v>
      </c>
      <c r="G146" s="15">
        <f t="shared" si="4"/>
        <v>0</v>
      </c>
      <c r="H146" s="16"/>
    </row>
    <row r="147" spans="1:8">
      <c r="A147" s="10"/>
      <c r="C147" s="13"/>
      <c r="D147" s="13"/>
      <c r="E147" s="13"/>
      <c r="F147" s="15">
        <f t="shared" si="5"/>
        <v>0</v>
      </c>
      <c r="G147" s="15">
        <f t="shared" si="4"/>
        <v>0</v>
      </c>
      <c r="H147" s="16"/>
    </row>
    <row r="148" spans="1:8">
      <c r="A148" s="10"/>
      <c r="C148" s="13"/>
      <c r="D148" s="13"/>
      <c r="E148" s="13"/>
      <c r="F148" s="15">
        <f t="shared" si="5"/>
        <v>0</v>
      </c>
      <c r="G148" s="15">
        <f t="shared" si="4"/>
        <v>0</v>
      </c>
      <c r="H148" s="16"/>
    </row>
    <row r="149" spans="1:8">
      <c r="A149" s="10"/>
      <c r="C149" s="13"/>
      <c r="D149" s="13"/>
      <c r="E149" s="13"/>
      <c r="F149" s="15">
        <f t="shared" si="5"/>
        <v>0</v>
      </c>
      <c r="G149" s="15">
        <f t="shared" si="4"/>
        <v>0</v>
      </c>
      <c r="H149" s="16"/>
    </row>
    <row r="150" spans="1:8">
      <c r="A150" s="10"/>
      <c r="C150" s="13"/>
      <c r="D150" s="13"/>
      <c r="E150" s="13"/>
      <c r="F150" s="15">
        <f t="shared" si="5"/>
        <v>0</v>
      </c>
      <c r="G150" s="15">
        <f t="shared" si="4"/>
        <v>0</v>
      </c>
      <c r="H150" s="16"/>
    </row>
    <row r="151" spans="1:8">
      <c r="A151" s="10"/>
      <c r="C151" s="13"/>
      <c r="D151" s="13"/>
      <c r="E151" s="13"/>
      <c r="F151" s="15">
        <f t="shared" si="5"/>
        <v>0</v>
      </c>
      <c r="G151" s="15">
        <f t="shared" si="4"/>
        <v>0</v>
      </c>
      <c r="H151" s="16"/>
    </row>
    <row r="152" spans="1:8">
      <c r="A152" s="10"/>
      <c r="C152" s="13"/>
      <c r="D152" s="13"/>
      <c r="E152" s="13"/>
      <c r="F152" s="15">
        <f t="shared" si="5"/>
        <v>0</v>
      </c>
      <c r="G152" s="15">
        <f t="shared" si="4"/>
        <v>0</v>
      </c>
      <c r="H152" s="16"/>
    </row>
    <row r="153" spans="1:8">
      <c r="A153" s="10"/>
      <c r="C153" s="13"/>
      <c r="D153" s="13"/>
      <c r="E153" s="13"/>
      <c r="F153" s="15">
        <f t="shared" si="5"/>
        <v>0</v>
      </c>
      <c r="G153" s="15">
        <f t="shared" si="4"/>
        <v>0</v>
      </c>
      <c r="H153" s="16"/>
    </row>
    <row r="154" spans="1:8">
      <c r="A154" s="10"/>
      <c r="C154" s="13"/>
      <c r="D154" s="13"/>
      <c r="E154" s="13"/>
      <c r="F154" s="15">
        <f t="shared" si="5"/>
        <v>0</v>
      </c>
      <c r="G154" s="15">
        <f t="shared" si="4"/>
        <v>0</v>
      </c>
      <c r="H154" s="16"/>
    </row>
    <row r="155" spans="1:8">
      <c r="A155" s="10"/>
      <c r="C155" s="13"/>
      <c r="D155" s="13"/>
      <c r="E155" s="13"/>
      <c r="F155" s="15">
        <f t="shared" si="5"/>
        <v>0</v>
      </c>
      <c r="G155" s="15">
        <f t="shared" si="4"/>
        <v>0</v>
      </c>
      <c r="H155" s="16"/>
    </row>
    <row r="156" spans="1:8">
      <c r="A156" s="10"/>
      <c r="C156" s="13"/>
      <c r="D156" s="13"/>
      <c r="E156" s="13"/>
      <c r="F156" s="15">
        <f t="shared" si="5"/>
        <v>0</v>
      </c>
      <c r="G156" s="15">
        <f t="shared" si="4"/>
        <v>0</v>
      </c>
      <c r="H156" s="16"/>
    </row>
    <row r="157" spans="1:8">
      <c r="A157" s="10"/>
      <c r="C157" s="13"/>
      <c r="D157" s="13"/>
      <c r="E157" s="13"/>
      <c r="F157" s="15">
        <f t="shared" si="5"/>
        <v>0</v>
      </c>
      <c r="G157" s="15">
        <f t="shared" si="4"/>
        <v>0</v>
      </c>
      <c r="H157" s="16"/>
    </row>
    <row r="158" spans="1:8">
      <c r="A158" s="10"/>
      <c r="C158" s="13"/>
      <c r="D158" s="13"/>
      <c r="E158" s="13"/>
      <c r="F158" s="15">
        <f t="shared" si="5"/>
        <v>0</v>
      </c>
      <c r="G158" s="15">
        <f t="shared" si="4"/>
        <v>0</v>
      </c>
      <c r="H158" s="16"/>
    </row>
    <row r="159" spans="1:8">
      <c r="A159" s="10"/>
      <c r="C159" s="13"/>
      <c r="D159" s="13"/>
      <c r="E159" s="13"/>
      <c r="F159" s="15">
        <f t="shared" si="5"/>
        <v>0</v>
      </c>
      <c r="G159" s="15">
        <f t="shared" si="4"/>
        <v>0</v>
      </c>
      <c r="H159" s="16"/>
    </row>
    <row r="160" spans="1:8">
      <c r="A160" s="10"/>
      <c r="C160" s="13"/>
      <c r="D160" s="13"/>
      <c r="E160" s="13"/>
      <c r="F160" s="15">
        <f t="shared" si="5"/>
        <v>0</v>
      </c>
      <c r="G160" s="15">
        <f t="shared" si="4"/>
        <v>0</v>
      </c>
      <c r="H160" s="16"/>
    </row>
    <row r="161" spans="1:8">
      <c r="A161" s="10"/>
      <c r="C161" s="13"/>
      <c r="D161" s="13"/>
      <c r="E161" s="13"/>
      <c r="F161" s="15">
        <f t="shared" si="5"/>
        <v>0</v>
      </c>
      <c r="G161" s="15">
        <f t="shared" si="4"/>
        <v>0</v>
      </c>
      <c r="H161" s="16"/>
    </row>
    <row r="162" spans="1:8">
      <c r="A162" s="10"/>
      <c r="C162" s="13"/>
      <c r="D162" s="13"/>
      <c r="E162" s="13"/>
      <c r="F162" s="15">
        <f t="shared" si="5"/>
        <v>0</v>
      </c>
      <c r="G162" s="15">
        <f t="shared" si="4"/>
        <v>0</v>
      </c>
      <c r="H162" s="16"/>
    </row>
    <row r="163" spans="1:8">
      <c r="A163" s="10"/>
      <c r="C163" s="13"/>
      <c r="D163" s="13"/>
      <c r="E163" s="13"/>
      <c r="F163" s="15">
        <f t="shared" si="5"/>
        <v>0</v>
      </c>
      <c r="G163" s="15">
        <f t="shared" si="4"/>
        <v>0</v>
      </c>
      <c r="H163" s="16"/>
    </row>
    <row r="164" spans="1:8">
      <c r="A164" s="10"/>
      <c r="C164" s="13"/>
      <c r="D164" s="13"/>
      <c r="E164" s="13"/>
      <c r="F164" s="15">
        <f t="shared" si="5"/>
        <v>0</v>
      </c>
      <c r="G164" s="15">
        <f t="shared" si="4"/>
        <v>0</v>
      </c>
      <c r="H164" s="16"/>
    </row>
    <row r="165" spans="1:8">
      <c r="A165" s="10"/>
      <c r="C165" s="13"/>
      <c r="D165" s="13"/>
      <c r="E165" s="13"/>
      <c r="F165" s="15">
        <f t="shared" si="5"/>
        <v>0</v>
      </c>
      <c r="G165" s="15">
        <f t="shared" si="4"/>
        <v>0</v>
      </c>
      <c r="H165" s="16"/>
    </row>
    <row r="166" spans="1:8">
      <c r="A166" s="10"/>
      <c r="C166" s="13"/>
      <c r="D166" s="13"/>
      <c r="E166" s="13"/>
      <c r="F166" s="15">
        <f t="shared" si="5"/>
        <v>0</v>
      </c>
      <c r="G166" s="15">
        <f t="shared" si="4"/>
        <v>0</v>
      </c>
      <c r="H166" s="16"/>
    </row>
    <row r="167" spans="1:8">
      <c r="A167" s="10"/>
      <c r="C167" s="13"/>
      <c r="D167" s="13"/>
      <c r="E167" s="13"/>
      <c r="F167" s="15">
        <f t="shared" si="5"/>
        <v>0</v>
      </c>
      <c r="G167" s="15">
        <f t="shared" si="4"/>
        <v>0</v>
      </c>
      <c r="H167" s="16"/>
    </row>
    <row r="168" spans="1:8">
      <c r="A168" s="10"/>
      <c r="C168" s="13"/>
      <c r="D168" s="13"/>
      <c r="E168" s="13"/>
      <c r="F168" s="15">
        <f t="shared" si="5"/>
        <v>0</v>
      </c>
      <c r="G168" s="15">
        <f t="shared" si="4"/>
        <v>0</v>
      </c>
      <c r="H168" s="16"/>
    </row>
    <row r="169" spans="1:8">
      <c r="A169" s="10"/>
      <c r="C169" s="13"/>
      <c r="D169" s="13"/>
      <c r="E169" s="13"/>
      <c r="F169" s="15">
        <f t="shared" si="5"/>
        <v>0</v>
      </c>
      <c r="G169" s="15">
        <f t="shared" si="4"/>
        <v>0</v>
      </c>
      <c r="H169" s="16"/>
    </row>
    <row r="170" spans="1:8">
      <c r="A170" s="10"/>
      <c r="C170" s="13"/>
      <c r="D170" s="13"/>
      <c r="E170" s="13"/>
      <c r="F170" s="15">
        <f t="shared" si="5"/>
        <v>0</v>
      </c>
      <c r="G170" s="15">
        <f t="shared" si="4"/>
        <v>0</v>
      </c>
      <c r="H170" s="16"/>
    </row>
    <row r="171" spans="1:8">
      <c r="A171" s="10"/>
      <c r="C171" s="13"/>
      <c r="D171" s="13"/>
      <c r="E171" s="13"/>
      <c r="F171" s="15">
        <f t="shared" si="5"/>
        <v>0</v>
      </c>
      <c r="G171" s="15">
        <f t="shared" si="4"/>
        <v>0</v>
      </c>
      <c r="H171" s="16"/>
    </row>
    <row r="172" spans="1:8">
      <c r="A172" s="10"/>
      <c r="C172" s="13"/>
      <c r="D172" s="13"/>
      <c r="E172" s="13"/>
      <c r="F172" s="15">
        <f t="shared" si="5"/>
        <v>0</v>
      </c>
      <c r="G172" s="15">
        <f t="shared" si="4"/>
        <v>0</v>
      </c>
      <c r="H172" s="16"/>
    </row>
    <row r="173" spans="1:8">
      <c r="A173" s="10"/>
      <c r="C173" s="13"/>
      <c r="D173" s="13"/>
      <c r="E173" s="13"/>
      <c r="F173" s="15">
        <f t="shared" si="5"/>
        <v>0</v>
      </c>
      <c r="G173" s="15">
        <f t="shared" si="4"/>
        <v>0</v>
      </c>
      <c r="H173" s="16"/>
    </row>
    <row r="174" spans="1:8">
      <c r="A174" s="10"/>
      <c r="C174" s="13"/>
      <c r="D174" s="13"/>
      <c r="E174" s="13"/>
      <c r="F174" s="15">
        <f t="shared" si="5"/>
        <v>0</v>
      </c>
      <c r="G174" s="15">
        <f t="shared" si="4"/>
        <v>0</v>
      </c>
      <c r="H174" s="16"/>
    </row>
    <row r="175" spans="1:8">
      <c r="A175" s="10"/>
      <c r="C175" s="13"/>
      <c r="D175" s="13"/>
      <c r="E175" s="13"/>
      <c r="F175" s="15">
        <f t="shared" si="5"/>
        <v>0</v>
      </c>
      <c r="G175" s="15">
        <f t="shared" si="4"/>
        <v>0</v>
      </c>
      <c r="H175" s="16"/>
    </row>
    <row r="176" spans="1:8">
      <c r="A176" s="10"/>
      <c r="C176" s="13"/>
      <c r="D176" s="13"/>
      <c r="E176" s="13"/>
      <c r="F176" s="15">
        <f t="shared" si="5"/>
        <v>0</v>
      </c>
      <c r="G176" s="15">
        <f t="shared" si="4"/>
        <v>0</v>
      </c>
      <c r="H176" s="16"/>
    </row>
    <row r="177" spans="1:8">
      <c r="A177" s="10"/>
      <c r="C177" s="13"/>
      <c r="D177" s="13"/>
      <c r="E177" s="13"/>
      <c r="F177" s="15">
        <f t="shared" si="5"/>
        <v>0</v>
      </c>
      <c r="G177" s="15">
        <f t="shared" si="4"/>
        <v>0</v>
      </c>
      <c r="H177" s="16"/>
    </row>
    <row r="178" spans="1:8">
      <c r="A178" s="10"/>
      <c r="C178" s="13"/>
      <c r="D178" s="13"/>
      <c r="E178" s="13"/>
      <c r="F178" s="15">
        <f t="shared" si="5"/>
        <v>0</v>
      </c>
      <c r="G178" s="15">
        <f t="shared" si="4"/>
        <v>0</v>
      </c>
      <c r="H178" s="16"/>
    </row>
    <row r="179" spans="1:8">
      <c r="A179" s="10"/>
      <c r="C179" s="13"/>
      <c r="D179" s="13"/>
      <c r="E179" s="13"/>
      <c r="F179" s="15">
        <f t="shared" si="5"/>
        <v>0</v>
      </c>
      <c r="G179" s="15">
        <f t="shared" si="4"/>
        <v>0</v>
      </c>
      <c r="H179" s="16"/>
    </row>
    <row r="180" spans="1:8">
      <c r="A180" s="10"/>
      <c r="C180" s="13"/>
      <c r="D180" s="13"/>
      <c r="E180" s="13"/>
      <c r="F180" s="15">
        <f t="shared" si="5"/>
        <v>0</v>
      </c>
      <c r="G180" s="15">
        <f t="shared" si="4"/>
        <v>0</v>
      </c>
      <c r="H180" s="16"/>
    </row>
    <row r="181" spans="1:8">
      <c r="A181" s="10"/>
      <c r="C181" s="13"/>
      <c r="D181" s="13"/>
      <c r="E181" s="13"/>
      <c r="F181" s="15">
        <f t="shared" si="5"/>
        <v>0</v>
      </c>
      <c r="G181" s="15">
        <f t="shared" si="4"/>
        <v>0</v>
      </c>
      <c r="H181" s="16"/>
    </row>
    <row r="182" spans="1:8">
      <c r="A182" s="10"/>
      <c r="C182" s="13"/>
      <c r="D182" s="13"/>
      <c r="E182" s="13"/>
      <c r="F182" s="15">
        <f t="shared" si="5"/>
        <v>0</v>
      </c>
      <c r="G182" s="15">
        <f t="shared" si="4"/>
        <v>0</v>
      </c>
      <c r="H182" s="16"/>
    </row>
    <row r="183" spans="1:8">
      <c r="A183" s="10"/>
      <c r="C183" s="13"/>
      <c r="D183" s="13"/>
      <c r="E183" s="13"/>
      <c r="F183" s="15">
        <f t="shared" si="5"/>
        <v>0</v>
      </c>
      <c r="G183" s="15">
        <f t="shared" si="4"/>
        <v>0</v>
      </c>
      <c r="H183" s="16"/>
    </row>
    <row r="184" spans="1:8">
      <c r="A184" s="10"/>
      <c r="C184" s="13"/>
      <c r="D184" s="13"/>
      <c r="E184" s="13"/>
      <c r="F184" s="15">
        <f t="shared" si="5"/>
        <v>0</v>
      </c>
      <c r="G184" s="15">
        <f t="shared" si="4"/>
        <v>0</v>
      </c>
      <c r="H184" s="16"/>
    </row>
    <row r="185" spans="1:8">
      <c r="A185" s="10"/>
      <c r="C185" s="13"/>
      <c r="D185" s="13"/>
      <c r="E185" s="13"/>
      <c r="F185" s="15">
        <f t="shared" si="5"/>
        <v>0</v>
      </c>
      <c r="G185" s="15">
        <f t="shared" si="4"/>
        <v>0</v>
      </c>
      <c r="H185" s="16"/>
    </row>
    <row r="186" spans="1:8">
      <c r="A186" s="10"/>
      <c r="C186" s="13"/>
      <c r="D186" s="13"/>
      <c r="E186" s="13"/>
      <c r="F186" s="15">
        <f t="shared" si="5"/>
        <v>0</v>
      </c>
      <c r="G186" s="15">
        <f t="shared" si="4"/>
        <v>0</v>
      </c>
      <c r="H186" s="16"/>
    </row>
    <row r="187" spans="1:8">
      <c r="A187" s="10"/>
      <c r="C187" s="13"/>
      <c r="D187" s="13"/>
      <c r="E187" s="13"/>
      <c r="F187" s="15">
        <f t="shared" si="5"/>
        <v>0</v>
      </c>
      <c r="G187" s="15">
        <f t="shared" si="4"/>
        <v>0</v>
      </c>
      <c r="H187" s="16"/>
    </row>
    <row r="188" spans="1:8">
      <c r="A188" s="10"/>
      <c r="C188" s="13"/>
      <c r="D188" s="13"/>
      <c r="E188" s="13"/>
      <c r="F188" s="15">
        <f t="shared" si="5"/>
        <v>0</v>
      </c>
      <c r="G188" s="15">
        <f t="shared" si="4"/>
        <v>0</v>
      </c>
      <c r="H188" s="16"/>
    </row>
    <row r="189" spans="1:8">
      <c r="A189" s="10"/>
      <c r="C189" s="13"/>
      <c r="D189" s="13"/>
      <c r="E189" s="13"/>
      <c r="F189" s="15">
        <f t="shared" si="5"/>
        <v>0</v>
      </c>
      <c r="G189" s="15">
        <f t="shared" si="4"/>
        <v>0</v>
      </c>
      <c r="H189" s="16"/>
    </row>
    <row r="190" spans="1:8">
      <c r="A190" s="10"/>
      <c r="C190" s="13"/>
      <c r="D190" s="13"/>
      <c r="E190" s="13"/>
      <c r="F190" s="15">
        <f t="shared" si="5"/>
        <v>0</v>
      </c>
      <c r="G190" s="15">
        <f t="shared" si="4"/>
        <v>0</v>
      </c>
      <c r="H190" s="16"/>
    </row>
    <row r="191" spans="1:8">
      <c r="A191" s="10"/>
      <c r="C191" s="13"/>
      <c r="D191" s="13"/>
      <c r="E191" s="13"/>
      <c r="F191" s="15">
        <f t="shared" si="5"/>
        <v>0</v>
      </c>
      <c r="G191" s="15">
        <f t="shared" si="4"/>
        <v>0</v>
      </c>
      <c r="H191" s="16"/>
    </row>
    <row r="192" spans="1:8">
      <c r="A192" s="10"/>
      <c r="C192" s="13"/>
      <c r="D192" s="13"/>
      <c r="E192" s="13"/>
      <c r="F192" s="15">
        <f t="shared" si="5"/>
        <v>0</v>
      </c>
      <c r="G192" s="15">
        <f t="shared" si="4"/>
        <v>0</v>
      </c>
      <c r="H192" s="16"/>
    </row>
    <row r="193" spans="1:8">
      <c r="A193" s="10"/>
      <c r="C193" s="13"/>
      <c r="D193" s="13"/>
      <c r="E193" s="13"/>
      <c r="F193" s="15">
        <f t="shared" si="5"/>
        <v>0</v>
      </c>
      <c r="G193" s="15">
        <f t="shared" si="4"/>
        <v>0</v>
      </c>
      <c r="H193" s="16"/>
    </row>
    <row r="194" spans="1:8">
      <c r="A194" s="10"/>
      <c r="C194" s="13"/>
      <c r="D194" s="13"/>
      <c r="E194" s="13"/>
      <c r="F194" s="15">
        <f t="shared" si="5"/>
        <v>0</v>
      </c>
      <c r="G194" s="15">
        <f t="shared" si="4"/>
        <v>0</v>
      </c>
      <c r="H194" s="16"/>
    </row>
    <row r="195" spans="1:8">
      <c r="A195" s="10"/>
      <c r="C195" s="13"/>
      <c r="D195" s="13"/>
      <c r="E195" s="13"/>
      <c r="F195" s="15">
        <f t="shared" si="5"/>
        <v>0</v>
      </c>
      <c r="G195" s="15">
        <f t="shared" si="4"/>
        <v>0</v>
      </c>
      <c r="H195" s="16"/>
    </row>
    <row r="196" spans="1:8">
      <c r="A196" s="10"/>
      <c r="C196" s="13"/>
      <c r="D196" s="13"/>
      <c r="E196" s="13"/>
      <c r="F196" s="15">
        <f t="shared" si="5"/>
        <v>0</v>
      </c>
      <c r="G196" s="15">
        <f t="shared" si="4"/>
        <v>0</v>
      </c>
      <c r="H196" s="16"/>
    </row>
    <row r="197" spans="1:8">
      <c r="A197" s="10"/>
      <c r="C197" s="13"/>
      <c r="D197" s="13"/>
      <c r="E197" s="13"/>
      <c r="F197" s="15">
        <f t="shared" si="5"/>
        <v>0</v>
      </c>
      <c r="G197" s="15">
        <f t="shared" si="4"/>
        <v>0</v>
      </c>
      <c r="H197" s="16"/>
    </row>
    <row r="198" spans="1:8">
      <c r="A198" s="10"/>
      <c r="C198" s="13"/>
      <c r="D198" s="13"/>
      <c r="E198" s="13"/>
      <c r="F198" s="15">
        <f t="shared" si="5"/>
        <v>0</v>
      </c>
      <c r="G198" s="15">
        <f t="shared" si="4"/>
        <v>0</v>
      </c>
      <c r="H198" s="16"/>
    </row>
    <row r="199" spans="1:8">
      <c r="A199" s="10"/>
      <c r="C199" s="13"/>
      <c r="D199" s="13"/>
      <c r="E199" s="13"/>
      <c r="F199" s="15">
        <f t="shared" si="5"/>
        <v>0</v>
      </c>
      <c r="G199" s="15">
        <f t="shared" ref="G199:G262" si="6">IF(C199=0,0,MIN(INT(YEARFRAC(D$14,EDATE(D199,12),3))))</f>
        <v>0</v>
      </c>
      <c r="H199" s="16"/>
    </row>
    <row r="200" spans="1:8">
      <c r="A200" s="10"/>
      <c r="C200" s="13"/>
      <c r="D200" s="13"/>
      <c r="E200" s="13"/>
      <c r="F200" s="15">
        <f t="shared" si="5"/>
        <v>0</v>
      </c>
      <c r="G200" s="15">
        <f t="shared" si="6"/>
        <v>0</v>
      </c>
      <c r="H200" s="16"/>
    </row>
    <row r="201" spans="1:8">
      <c r="A201" s="10"/>
      <c r="C201" s="13"/>
      <c r="D201" s="13"/>
      <c r="E201" s="13"/>
      <c r="F201" s="15">
        <f t="shared" si="5"/>
        <v>0</v>
      </c>
      <c r="G201" s="15">
        <f t="shared" si="6"/>
        <v>0</v>
      </c>
      <c r="H201" s="16"/>
    </row>
    <row r="202" spans="1:8">
      <c r="A202" s="10"/>
      <c r="C202" s="13"/>
      <c r="D202" s="13"/>
      <c r="E202" s="13"/>
      <c r="F202" s="15">
        <f t="shared" si="5"/>
        <v>0</v>
      </c>
      <c r="G202" s="15">
        <f t="shared" si="6"/>
        <v>0</v>
      </c>
      <c r="H202" s="16"/>
    </row>
    <row r="203" spans="1:8">
      <c r="A203" s="10"/>
      <c r="C203" s="13"/>
      <c r="D203" s="13"/>
      <c r="E203" s="13"/>
      <c r="F203" s="15">
        <f t="shared" si="5"/>
        <v>0</v>
      </c>
      <c r="G203" s="15">
        <f t="shared" si="6"/>
        <v>0</v>
      </c>
      <c r="H203" s="16"/>
    </row>
    <row r="204" spans="1:8">
      <c r="A204" s="10"/>
      <c r="C204" s="13"/>
      <c r="D204" s="13"/>
      <c r="E204" s="13"/>
      <c r="F204" s="15">
        <f t="shared" si="5"/>
        <v>0</v>
      </c>
      <c r="G204" s="15">
        <f t="shared" si="6"/>
        <v>0</v>
      </c>
      <c r="H204" s="16"/>
    </row>
    <row r="205" spans="1:8">
      <c r="A205" s="10"/>
      <c r="C205" s="13"/>
      <c r="D205" s="13"/>
      <c r="E205" s="13"/>
      <c r="F205" s="15">
        <f t="shared" si="5"/>
        <v>0</v>
      </c>
      <c r="G205" s="15">
        <f t="shared" si="6"/>
        <v>0</v>
      </c>
      <c r="H205" s="16"/>
    </row>
    <row r="206" spans="1:8">
      <c r="A206" s="10"/>
      <c r="C206" s="13"/>
      <c r="D206" s="13"/>
      <c r="E206" s="13"/>
      <c r="F206" s="15">
        <f t="shared" si="5"/>
        <v>0</v>
      </c>
      <c r="G206" s="15">
        <f t="shared" si="6"/>
        <v>0</v>
      </c>
      <c r="H206" s="16"/>
    </row>
    <row r="207" spans="1:8">
      <c r="A207" s="10"/>
      <c r="C207" s="13"/>
      <c r="D207" s="13"/>
      <c r="E207" s="13"/>
      <c r="F207" s="15">
        <f t="shared" ref="F207:F270" si="7">IF(E207&gt;0,"Q"&amp;ROUNDUP(MONTH(D207)/3,0)&amp;"-"&amp;YEAR(D207)-2000,0)</f>
        <v>0</v>
      </c>
      <c r="G207" s="15">
        <f t="shared" si="6"/>
        <v>0</v>
      </c>
      <c r="H207" s="16"/>
    </row>
    <row r="208" spans="1:8">
      <c r="A208" s="10"/>
      <c r="C208" s="13"/>
      <c r="D208" s="13"/>
      <c r="E208" s="13"/>
      <c r="F208" s="15">
        <f t="shared" si="7"/>
        <v>0</v>
      </c>
      <c r="G208" s="15">
        <f t="shared" si="6"/>
        <v>0</v>
      </c>
      <c r="H208" s="16"/>
    </row>
    <row r="209" spans="1:8">
      <c r="A209" s="10"/>
      <c r="C209" s="13"/>
      <c r="D209" s="13"/>
      <c r="E209" s="13"/>
      <c r="F209" s="15">
        <f t="shared" si="7"/>
        <v>0</v>
      </c>
      <c r="G209" s="15">
        <f t="shared" si="6"/>
        <v>0</v>
      </c>
      <c r="H209" s="16"/>
    </row>
    <row r="210" spans="1:8">
      <c r="A210" s="10"/>
      <c r="C210" s="13"/>
      <c r="D210" s="13"/>
      <c r="E210" s="13"/>
      <c r="F210" s="15">
        <f t="shared" si="7"/>
        <v>0</v>
      </c>
      <c r="G210" s="15">
        <f t="shared" si="6"/>
        <v>0</v>
      </c>
      <c r="H210" s="16"/>
    </row>
    <row r="211" spans="1:8">
      <c r="A211" s="10"/>
      <c r="C211" s="13"/>
      <c r="D211" s="13"/>
      <c r="E211" s="13"/>
      <c r="F211" s="15">
        <f t="shared" si="7"/>
        <v>0</v>
      </c>
      <c r="G211" s="15">
        <f t="shared" si="6"/>
        <v>0</v>
      </c>
      <c r="H211" s="16"/>
    </row>
    <row r="212" spans="1:8">
      <c r="A212" s="10"/>
      <c r="C212" s="13"/>
      <c r="D212" s="13"/>
      <c r="E212" s="13"/>
      <c r="F212" s="15">
        <f t="shared" si="7"/>
        <v>0</v>
      </c>
      <c r="G212" s="15">
        <f t="shared" si="6"/>
        <v>0</v>
      </c>
      <c r="H212" s="16"/>
    </row>
    <row r="213" spans="1:8">
      <c r="A213" s="10"/>
      <c r="C213" s="13"/>
      <c r="D213" s="13"/>
      <c r="E213" s="13"/>
      <c r="F213" s="15">
        <f t="shared" si="7"/>
        <v>0</v>
      </c>
      <c r="G213" s="15">
        <f t="shared" si="6"/>
        <v>0</v>
      </c>
      <c r="H213" s="16"/>
    </row>
    <row r="214" spans="1:8">
      <c r="A214" s="10"/>
      <c r="C214" s="13"/>
      <c r="D214" s="13"/>
      <c r="E214" s="13"/>
      <c r="F214" s="15">
        <f t="shared" si="7"/>
        <v>0</v>
      </c>
      <c r="G214" s="15">
        <f t="shared" si="6"/>
        <v>0</v>
      </c>
      <c r="H214" s="16"/>
    </row>
    <row r="215" spans="1:8">
      <c r="A215" s="10"/>
      <c r="C215" s="13"/>
      <c r="D215" s="13"/>
      <c r="E215" s="13"/>
      <c r="F215" s="15">
        <f t="shared" si="7"/>
        <v>0</v>
      </c>
      <c r="G215" s="15">
        <f t="shared" si="6"/>
        <v>0</v>
      </c>
      <c r="H215" s="16"/>
    </row>
    <row r="216" spans="1:8">
      <c r="A216" s="10"/>
      <c r="C216" s="13"/>
      <c r="D216" s="13"/>
      <c r="E216" s="13"/>
      <c r="F216" s="15">
        <f t="shared" si="7"/>
        <v>0</v>
      </c>
      <c r="G216" s="15">
        <f t="shared" si="6"/>
        <v>0</v>
      </c>
      <c r="H216" s="16"/>
    </row>
    <row r="217" spans="1:8">
      <c r="A217" s="10"/>
      <c r="C217" s="13"/>
      <c r="D217" s="13"/>
      <c r="E217" s="13"/>
      <c r="F217" s="15">
        <f t="shared" si="7"/>
        <v>0</v>
      </c>
      <c r="G217" s="15">
        <f t="shared" si="6"/>
        <v>0</v>
      </c>
      <c r="H217" s="16"/>
    </row>
    <row r="218" spans="1:8">
      <c r="A218" s="10"/>
      <c r="C218" s="13"/>
      <c r="D218" s="13"/>
      <c r="E218" s="13"/>
      <c r="F218" s="15">
        <f t="shared" si="7"/>
        <v>0</v>
      </c>
      <c r="G218" s="15">
        <f t="shared" si="6"/>
        <v>0</v>
      </c>
      <c r="H218" s="16"/>
    </row>
    <row r="219" spans="1:8">
      <c r="A219" s="10"/>
      <c r="C219" s="13"/>
      <c r="D219" s="13"/>
      <c r="E219" s="13"/>
      <c r="F219" s="15">
        <f t="shared" si="7"/>
        <v>0</v>
      </c>
      <c r="G219" s="15">
        <f t="shared" si="6"/>
        <v>0</v>
      </c>
      <c r="H219" s="16"/>
    </row>
    <row r="220" spans="1:8">
      <c r="A220" s="10"/>
      <c r="C220" s="13"/>
      <c r="D220" s="13"/>
      <c r="E220" s="13"/>
      <c r="F220" s="15">
        <f t="shared" si="7"/>
        <v>0</v>
      </c>
      <c r="G220" s="15">
        <f t="shared" si="6"/>
        <v>0</v>
      </c>
      <c r="H220" s="16"/>
    </row>
    <row r="221" spans="1:8">
      <c r="A221" s="10"/>
      <c r="C221" s="13"/>
      <c r="D221" s="13"/>
      <c r="E221" s="13"/>
      <c r="F221" s="15">
        <f t="shared" si="7"/>
        <v>0</v>
      </c>
      <c r="G221" s="15">
        <f t="shared" si="6"/>
        <v>0</v>
      </c>
      <c r="H221" s="16"/>
    </row>
    <row r="222" spans="1:8">
      <c r="A222" s="10"/>
      <c r="C222" s="13"/>
      <c r="D222" s="13"/>
      <c r="E222" s="13"/>
      <c r="F222" s="15">
        <f t="shared" si="7"/>
        <v>0</v>
      </c>
      <c r="G222" s="15">
        <f t="shared" si="6"/>
        <v>0</v>
      </c>
      <c r="H222" s="16"/>
    </row>
    <row r="223" spans="1:8">
      <c r="A223" s="10"/>
      <c r="C223" s="13"/>
      <c r="D223" s="13"/>
      <c r="E223" s="13"/>
      <c r="F223" s="15">
        <f t="shared" si="7"/>
        <v>0</v>
      </c>
      <c r="G223" s="15">
        <f t="shared" si="6"/>
        <v>0</v>
      </c>
      <c r="H223" s="16"/>
    </row>
    <row r="224" spans="1:8">
      <c r="A224" s="10"/>
      <c r="C224" s="13"/>
      <c r="D224" s="13"/>
      <c r="E224" s="13"/>
      <c r="F224" s="15">
        <f t="shared" si="7"/>
        <v>0</v>
      </c>
      <c r="G224" s="15">
        <f t="shared" si="6"/>
        <v>0</v>
      </c>
      <c r="H224" s="16"/>
    </row>
    <row r="225" spans="1:8">
      <c r="A225" s="10"/>
      <c r="C225" s="13"/>
      <c r="D225" s="13"/>
      <c r="E225" s="13"/>
      <c r="F225" s="15">
        <f t="shared" si="7"/>
        <v>0</v>
      </c>
      <c r="G225" s="15">
        <f t="shared" si="6"/>
        <v>0</v>
      </c>
      <c r="H225" s="16"/>
    </row>
    <row r="226" spans="1:8">
      <c r="A226" s="10"/>
      <c r="C226" s="13"/>
      <c r="D226" s="13"/>
      <c r="E226" s="13"/>
      <c r="F226" s="15">
        <f t="shared" si="7"/>
        <v>0</v>
      </c>
      <c r="G226" s="15">
        <f t="shared" si="6"/>
        <v>0</v>
      </c>
      <c r="H226" s="16"/>
    </row>
    <row r="227" spans="1:8">
      <c r="A227" s="10"/>
      <c r="C227" s="13"/>
      <c r="D227" s="13"/>
      <c r="E227" s="13"/>
      <c r="F227" s="15">
        <f t="shared" si="7"/>
        <v>0</v>
      </c>
      <c r="G227" s="15">
        <f t="shared" si="6"/>
        <v>0</v>
      </c>
      <c r="H227" s="16"/>
    </row>
    <row r="228" spans="1:8">
      <c r="A228" s="10"/>
      <c r="C228" s="13"/>
      <c r="D228" s="13"/>
      <c r="E228" s="13"/>
      <c r="F228" s="15">
        <f t="shared" si="7"/>
        <v>0</v>
      </c>
      <c r="G228" s="15">
        <f t="shared" si="6"/>
        <v>0</v>
      </c>
      <c r="H228" s="16"/>
    </row>
    <row r="229" spans="1:8">
      <c r="A229" s="10"/>
      <c r="C229" s="13"/>
      <c r="D229" s="13"/>
      <c r="E229" s="13"/>
      <c r="F229" s="15">
        <f t="shared" si="7"/>
        <v>0</v>
      </c>
      <c r="G229" s="15">
        <f t="shared" si="6"/>
        <v>0</v>
      </c>
      <c r="H229" s="16"/>
    </row>
    <row r="230" spans="1:8">
      <c r="A230" s="10"/>
      <c r="C230" s="13"/>
      <c r="D230" s="13"/>
      <c r="E230" s="13"/>
      <c r="F230" s="15">
        <f t="shared" si="7"/>
        <v>0</v>
      </c>
      <c r="G230" s="15">
        <f t="shared" si="6"/>
        <v>0</v>
      </c>
      <c r="H230" s="16"/>
    </row>
    <row r="231" spans="1:8">
      <c r="A231" s="10"/>
      <c r="C231" s="13"/>
      <c r="D231" s="13"/>
      <c r="E231" s="13"/>
      <c r="F231" s="15">
        <f t="shared" si="7"/>
        <v>0</v>
      </c>
      <c r="G231" s="15">
        <f t="shared" si="6"/>
        <v>0</v>
      </c>
      <c r="H231" s="16"/>
    </row>
    <row r="232" spans="1:8">
      <c r="A232" s="10"/>
      <c r="C232" s="13"/>
      <c r="D232" s="13"/>
      <c r="E232" s="13"/>
      <c r="F232" s="15">
        <f t="shared" si="7"/>
        <v>0</v>
      </c>
      <c r="G232" s="15">
        <f t="shared" si="6"/>
        <v>0</v>
      </c>
      <c r="H232" s="16"/>
    </row>
    <row r="233" spans="1:8">
      <c r="A233" s="10"/>
      <c r="C233" s="13"/>
      <c r="D233" s="13"/>
      <c r="E233" s="13"/>
      <c r="F233" s="15">
        <f t="shared" si="7"/>
        <v>0</v>
      </c>
      <c r="G233" s="15">
        <f t="shared" si="6"/>
        <v>0</v>
      </c>
      <c r="H233" s="16"/>
    </row>
    <row r="234" spans="1:8">
      <c r="A234" s="10"/>
      <c r="C234" s="13"/>
      <c r="D234" s="13"/>
      <c r="E234" s="13"/>
      <c r="F234" s="15">
        <f t="shared" si="7"/>
        <v>0</v>
      </c>
      <c r="G234" s="15">
        <f t="shared" si="6"/>
        <v>0</v>
      </c>
      <c r="H234" s="16"/>
    </row>
    <row r="235" spans="1:8">
      <c r="A235" s="10"/>
      <c r="C235" s="13"/>
      <c r="D235" s="13"/>
      <c r="E235" s="13"/>
      <c r="F235" s="15">
        <f t="shared" si="7"/>
        <v>0</v>
      </c>
      <c r="G235" s="15">
        <f t="shared" si="6"/>
        <v>0</v>
      </c>
      <c r="H235" s="16"/>
    </row>
    <row r="236" spans="1:8">
      <c r="A236" s="10"/>
      <c r="C236" s="13"/>
      <c r="D236" s="13"/>
      <c r="E236" s="13"/>
      <c r="F236" s="15">
        <f t="shared" si="7"/>
        <v>0</v>
      </c>
      <c r="G236" s="15">
        <f t="shared" si="6"/>
        <v>0</v>
      </c>
      <c r="H236" s="16"/>
    </row>
    <row r="237" spans="1:8">
      <c r="A237" s="10"/>
      <c r="C237" s="13"/>
      <c r="D237" s="13"/>
      <c r="E237" s="13"/>
      <c r="F237" s="15">
        <f t="shared" si="7"/>
        <v>0</v>
      </c>
      <c r="G237" s="15">
        <f t="shared" si="6"/>
        <v>0</v>
      </c>
      <c r="H237" s="16"/>
    </row>
    <row r="238" spans="1:8">
      <c r="A238" s="10"/>
      <c r="C238" s="13"/>
      <c r="D238" s="13"/>
      <c r="E238" s="13"/>
      <c r="F238" s="15">
        <f t="shared" si="7"/>
        <v>0</v>
      </c>
      <c r="G238" s="15">
        <f t="shared" si="6"/>
        <v>0</v>
      </c>
      <c r="H238" s="16"/>
    </row>
    <row r="239" spans="1:8">
      <c r="A239" s="10"/>
      <c r="C239" s="13"/>
      <c r="D239" s="13"/>
      <c r="E239" s="13"/>
      <c r="F239" s="15">
        <f t="shared" si="7"/>
        <v>0</v>
      </c>
      <c r="G239" s="15">
        <f t="shared" si="6"/>
        <v>0</v>
      </c>
      <c r="H239" s="16"/>
    </row>
    <row r="240" spans="1:8">
      <c r="A240" s="10"/>
      <c r="C240" s="13"/>
      <c r="D240" s="13"/>
      <c r="E240" s="13"/>
      <c r="F240" s="15">
        <f t="shared" si="7"/>
        <v>0</v>
      </c>
      <c r="G240" s="15">
        <f t="shared" si="6"/>
        <v>0</v>
      </c>
      <c r="H240" s="16"/>
    </row>
    <row r="241" spans="1:8">
      <c r="A241" s="10"/>
      <c r="C241" s="13"/>
      <c r="D241" s="13"/>
      <c r="E241" s="13"/>
      <c r="F241" s="15">
        <f t="shared" si="7"/>
        <v>0</v>
      </c>
      <c r="G241" s="15">
        <f t="shared" si="6"/>
        <v>0</v>
      </c>
      <c r="H241" s="16"/>
    </row>
    <row r="242" spans="1:8">
      <c r="A242" s="10"/>
      <c r="C242" s="13"/>
      <c r="D242" s="13"/>
      <c r="E242" s="13"/>
      <c r="F242" s="15">
        <f t="shared" si="7"/>
        <v>0</v>
      </c>
      <c r="G242" s="15">
        <f t="shared" si="6"/>
        <v>0</v>
      </c>
      <c r="H242" s="16"/>
    </row>
    <row r="243" spans="1:8">
      <c r="A243" s="10"/>
      <c r="C243" s="13"/>
      <c r="D243" s="13"/>
      <c r="E243" s="13"/>
      <c r="F243" s="15">
        <f t="shared" si="7"/>
        <v>0</v>
      </c>
      <c r="G243" s="15">
        <f t="shared" si="6"/>
        <v>0</v>
      </c>
      <c r="H243" s="16"/>
    </row>
    <row r="244" spans="1:8">
      <c r="A244" s="10"/>
      <c r="C244" s="13"/>
      <c r="D244" s="13"/>
      <c r="E244" s="13"/>
      <c r="F244" s="15">
        <f t="shared" si="7"/>
        <v>0</v>
      </c>
      <c r="G244" s="15">
        <f t="shared" si="6"/>
        <v>0</v>
      </c>
      <c r="H244" s="16"/>
    </row>
    <row r="245" spans="1:8">
      <c r="A245" s="10"/>
      <c r="C245" s="13"/>
      <c r="D245" s="13"/>
      <c r="E245" s="13"/>
      <c r="F245" s="15">
        <f t="shared" si="7"/>
        <v>0</v>
      </c>
      <c r="G245" s="15">
        <f t="shared" si="6"/>
        <v>0</v>
      </c>
      <c r="H245" s="16"/>
    </row>
    <row r="246" spans="1:8">
      <c r="A246" s="10"/>
      <c r="C246" s="13"/>
      <c r="D246" s="13"/>
      <c r="E246" s="13"/>
      <c r="F246" s="15">
        <f t="shared" si="7"/>
        <v>0</v>
      </c>
      <c r="G246" s="15">
        <f t="shared" si="6"/>
        <v>0</v>
      </c>
      <c r="H246" s="16"/>
    </row>
    <row r="247" spans="1:8">
      <c r="A247" s="10"/>
      <c r="C247" s="13"/>
      <c r="D247" s="13"/>
      <c r="E247" s="13"/>
      <c r="F247" s="15">
        <f t="shared" si="7"/>
        <v>0</v>
      </c>
      <c r="G247" s="15">
        <f t="shared" si="6"/>
        <v>0</v>
      </c>
      <c r="H247" s="16"/>
    </row>
    <row r="248" spans="1:8">
      <c r="A248" s="10"/>
      <c r="C248" s="13"/>
      <c r="D248" s="13"/>
      <c r="E248" s="13"/>
      <c r="F248" s="15">
        <f t="shared" si="7"/>
        <v>0</v>
      </c>
      <c r="G248" s="15">
        <f t="shared" si="6"/>
        <v>0</v>
      </c>
      <c r="H248" s="16"/>
    </row>
    <row r="249" spans="1:8">
      <c r="A249" s="10"/>
      <c r="C249" s="13"/>
      <c r="D249" s="13"/>
      <c r="E249" s="13"/>
      <c r="F249" s="15">
        <f t="shared" si="7"/>
        <v>0</v>
      </c>
      <c r="G249" s="15">
        <f t="shared" si="6"/>
        <v>0</v>
      </c>
      <c r="H249" s="16"/>
    </row>
    <row r="250" spans="1:8">
      <c r="A250" s="10"/>
      <c r="C250" s="13"/>
      <c r="D250" s="13"/>
      <c r="E250" s="13"/>
      <c r="F250" s="15">
        <f t="shared" si="7"/>
        <v>0</v>
      </c>
      <c r="G250" s="15">
        <f t="shared" si="6"/>
        <v>0</v>
      </c>
      <c r="H250" s="16"/>
    </row>
    <row r="251" spans="1:8">
      <c r="A251" s="10"/>
      <c r="C251" s="13"/>
      <c r="D251" s="13"/>
      <c r="E251" s="13"/>
      <c r="F251" s="15">
        <f t="shared" si="7"/>
        <v>0</v>
      </c>
      <c r="G251" s="15">
        <f t="shared" si="6"/>
        <v>0</v>
      </c>
      <c r="H251" s="16"/>
    </row>
    <row r="252" spans="1:8">
      <c r="A252" s="10"/>
      <c r="C252" s="13"/>
      <c r="D252" s="13"/>
      <c r="E252" s="13"/>
      <c r="F252" s="15">
        <f t="shared" si="7"/>
        <v>0</v>
      </c>
      <c r="G252" s="15">
        <f t="shared" si="6"/>
        <v>0</v>
      </c>
      <c r="H252" s="16"/>
    </row>
    <row r="253" spans="1:8">
      <c r="A253" s="10"/>
      <c r="C253" s="13"/>
      <c r="D253" s="13"/>
      <c r="E253" s="13"/>
      <c r="F253" s="15">
        <f t="shared" si="7"/>
        <v>0</v>
      </c>
      <c r="G253" s="15">
        <f t="shared" si="6"/>
        <v>0</v>
      </c>
      <c r="H253" s="16"/>
    </row>
    <row r="254" spans="1:8">
      <c r="A254" s="10"/>
      <c r="C254" s="13"/>
      <c r="D254" s="13"/>
      <c r="E254" s="13"/>
      <c r="F254" s="15">
        <f t="shared" si="7"/>
        <v>0</v>
      </c>
      <c r="G254" s="15">
        <f t="shared" si="6"/>
        <v>0</v>
      </c>
      <c r="H254" s="16"/>
    </row>
    <row r="255" spans="1:8">
      <c r="A255" s="10"/>
      <c r="C255" s="13"/>
      <c r="D255" s="13"/>
      <c r="E255" s="13"/>
      <c r="F255" s="15">
        <f t="shared" si="7"/>
        <v>0</v>
      </c>
      <c r="G255" s="15">
        <f t="shared" si="6"/>
        <v>0</v>
      </c>
      <c r="H255" s="16"/>
    </row>
    <row r="256" spans="1:8">
      <c r="A256" s="10"/>
      <c r="C256" s="13"/>
      <c r="D256" s="13"/>
      <c r="E256" s="13"/>
      <c r="F256" s="15">
        <f t="shared" si="7"/>
        <v>0</v>
      </c>
      <c r="G256" s="15">
        <f t="shared" si="6"/>
        <v>0</v>
      </c>
      <c r="H256" s="16"/>
    </row>
    <row r="257" spans="1:8">
      <c r="A257" s="10"/>
      <c r="C257" s="13"/>
      <c r="D257" s="13"/>
      <c r="E257" s="13"/>
      <c r="F257" s="15">
        <f t="shared" si="7"/>
        <v>0</v>
      </c>
      <c r="G257" s="15">
        <f t="shared" si="6"/>
        <v>0</v>
      </c>
      <c r="H257" s="16"/>
    </row>
    <row r="258" spans="1:8">
      <c r="A258" s="10"/>
      <c r="C258" s="13"/>
      <c r="D258" s="13"/>
      <c r="E258" s="13"/>
      <c r="F258" s="15">
        <f t="shared" si="7"/>
        <v>0</v>
      </c>
      <c r="G258" s="15">
        <f t="shared" si="6"/>
        <v>0</v>
      </c>
      <c r="H258" s="16"/>
    </row>
    <row r="259" spans="1:8">
      <c r="A259" s="10"/>
      <c r="C259" s="13"/>
      <c r="D259" s="13"/>
      <c r="E259" s="13"/>
      <c r="F259" s="15">
        <f t="shared" si="7"/>
        <v>0</v>
      </c>
      <c r="G259" s="15">
        <f t="shared" si="6"/>
        <v>0</v>
      </c>
      <c r="H259" s="16"/>
    </row>
    <row r="260" spans="1:8">
      <c r="A260" s="10"/>
      <c r="C260" s="13"/>
      <c r="D260" s="13"/>
      <c r="E260" s="13"/>
      <c r="F260" s="15">
        <f t="shared" si="7"/>
        <v>0</v>
      </c>
      <c r="G260" s="15">
        <f t="shared" si="6"/>
        <v>0</v>
      </c>
      <c r="H260" s="16"/>
    </row>
    <row r="261" spans="1:8">
      <c r="A261" s="10"/>
      <c r="C261" s="13"/>
      <c r="D261" s="13"/>
      <c r="E261" s="13"/>
      <c r="F261" s="15">
        <f t="shared" si="7"/>
        <v>0</v>
      </c>
      <c r="G261" s="15">
        <f t="shared" si="6"/>
        <v>0</v>
      </c>
      <c r="H261" s="16"/>
    </row>
    <row r="262" spans="1:8">
      <c r="A262" s="10"/>
      <c r="C262" s="13"/>
      <c r="D262" s="13"/>
      <c r="E262" s="13"/>
      <c r="F262" s="15">
        <f t="shared" si="7"/>
        <v>0</v>
      </c>
      <c r="G262" s="15">
        <f t="shared" si="6"/>
        <v>0</v>
      </c>
      <c r="H262" s="16"/>
    </row>
    <row r="263" spans="1:8">
      <c r="A263" s="10"/>
      <c r="C263" s="13"/>
      <c r="D263" s="13"/>
      <c r="E263" s="13"/>
      <c r="F263" s="15">
        <f t="shared" si="7"/>
        <v>0</v>
      </c>
      <c r="G263" s="15">
        <f t="shared" ref="G263:G326" si="8">IF(C263=0,0,MIN(INT(YEARFRAC(D$14,EDATE(D263,12),3))))</f>
        <v>0</v>
      </c>
      <c r="H263" s="16"/>
    </row>
    <row r="264" spans="1:8">
      <c r="A264" s="10"/>
      <c r="C264" s="13"/>
      <c r="D264" s="13"/>
      <c r="E264" s="13"/>
      <c r="F264" s="15">
        <f t="shared" si="7"/>
        <v>0</v>
      </c>
      <c r="G264" s="15">
        <f t="shared" si="8"/>
        <v>0</v>
      </c>
      <c r="H264" s="16"/>
    </row>
    <row r="265" spans="1:8">
      <c r="A265" s="10"/>
      <c r="C265" s="13"/>
      <c r="D265" s="13"/>
      <c r="E265" s="13"/>
      <c r="F265" s="15">
        <f t="shared" si="7"/>
        <v>0</v>
      </c>
      <c r="G265" s="15">
        <f t="shared" si="8"/>
        <v>0</v>
      </c>
      <c r="H265" s="16"/>
    </row>
    <row r="266" spans="1:8">
      <c r="A266" s="10"/>
      <c r="C266" s="13"/>
      <c r="D266" s="13"/>
      <c r="E266" s="13"/>
      <c r="F266" s="15">
        <f t="shared" si="7"/>
        <v>0</v>
      </c>
      <c r="G266" s="15">
        <f t="shared" si="8"/>
        <v>0</v>
      </c>
      <c r="H266" s="16"/>
    </row>
    <row r="267" spans="1:8">
      <c r="A267" s="10"/>
      <c r="C267" s="13"/>
      <c r="D267" s="13"/>
      <c r="E267" s="13"/>
      <c r="F267" s="15">
        <f t="shared" si="7"/>
        <v>0</v>
      </c>
      <c r="G267" s="15">
        <f t="shared" si="8"/>
        <v>0</v>
      </c>
      <c r="H267" s="16"/>
    </row>
    <row r="268" spans="1:8">
      <c r="A268" s="10"/>
      <c r="C268" s="13"/>
      <c r="D268" s="13"/>
      <c r="E268" s="13"/>
      <c r="F268" s="15">
        <f t="shared" si="7"/>
        <v>0</v>
      </c>
      <c r="G268" s="15">
        <f t="shared" si="8"/>
        <v>0</v>
      </c>
      <c r="H268" s="16"/>
    </row>
    <row r="269" spans="1:8">
      <c r="A269" s="10"/>
      <c r="C269" s="13"/>
      <c r="D269" s="13"/>
      <c r="E269" s="13"/>
      <c r="F269" s="15">
        <f t="shared" si="7"/>
        <v>0</v>
      </c>
      <c r="G269" s="15">
        <f t="shared" si="8"/>
        <v>0</v>
      </c>
      <c r="H269" s="16"/>
    </row>
    <row r="270" spans="1:8">
      <c r="A270" s="10"/>
      <c r="C270" s="13"/>
      <c r="D270" s="13"/>
      <c r="E270" s="13"/>
      <c r="F270" s="15">
        <f t="shared" si="7"/>
        <v>0</v>
      </c>
      <c r="G270" s="15">
        <f t="shared" si="8"/>
        <v>0</v>
      </c>
      <c r="H270" s="16"/>
    </row>
    <row r="271" spans="1:8">
      <c r="A271" s="10"/>
      <c r="C271" s="13"/>
      <c r="D271" s="13"/>
      <c r="E271" s="13"/>
      <c r="F271" s="15">
        <f t="shared" ref="F271:F334" si="9">IF(E271&gt;0,"Q"&amp;ROUNDUP(MONTH(D271)/3,0)&amp;"-"&amp;YEAR(D271)-2000,0)</f>
        <v>0</v>
      </c>
      <c r="G271" s="15">
        <f t="shared" si="8"/>
        <v>0</v>
      </c>
      <c r="H271" s="16"/>
    </row>
    <row r="272" spans="1:8">
      <c r="A272" s="10"/>
      <c r="C272" s="13"/>
      <c r="D272" s="13"/>
      <c r="E272" s="13"/>
      <c r="F272" s="15">
        <f t="shared" si="9"/>
        <v>0</v>
      </c>
      <c r="G272" s="15">
        <f t="shared" si="8"/>
        <v>0</v>
      </c>
      <c r="H272" s="16"/>
    </row>
    <row r="273" spans="1:8">
      <c r="A273" s="10"/>
      <c r="C273" s="13"/>
      <c r="D273" s="13"/>
      <c r="E273" s="13"/>
      <c r="F273" s="15">
        <f t="shared" si="9"/>
        <v>0</v>
      </c>
      <c r="G273" s="15">
        <f t="shared" si="8"/>
        <v>0</v>
      </c>
      <c r="H273" s="16"/>
    </row>
    <row r="274" spans="1:8">
      <c r="A274" s="10"/>
      <c r="C274" s="13"/>
      <c r="D274" s="13"/>
      <c r="E274" s="13"/>
      <c r="F274" s="15">
        <f t="shared" si="9"/>
        <v>0</v>
      </c>
      <c r="G274" s="15">
        <f t="shared" si="8"/>
        <v>0</v>
      </c>
      <c r="H274" s="16"/>
    </row>
    <row r="275" spans="1:8">
      <c r="A275" s="10"/>
      <c r="C275" s="13"/>
      <c r="D275" s="13"/>
      <c r="E275" s="13"/>
      <c r="F275" s="15">
        <f t="shared" si="9"/>
        <v>0</v>
      </c>
      <c r="G275" s="15">
        <f t="shared" si="8"/>
        <v>0</v>
      </c>
      <c r="H275" s="16"/>
    </row>
    <row r="276" spans="1:8">
      <c r="A276" s="10"/>
      <c r="C276" s="13"/>
      <c r="D276" s="13"/>
      <c r="E276" s="13"/>
      <c r="F276" s="15">
        <f t="shared" si="9"/>
        <v>0</v>
      </c>
      <c r="G276" s="15">
        <f t="shared" si="8"/>
        <v>0</v>
      </c>
      <c r="H276" s="16"/>
    </row>
    <row r="277" spans="1:8">
      <c r="A277" s="10"/>
      <c r="C277" s="13"/>
      <c r="D277" s="13"/>
      <c r="E277" s="13"/>
      <c r="F277" s="15">
        <f t="shared" si="9"/>
        <v>0</v>
      </c>
      <c r="G277" s="15">
        <f t="shared" si="8"/>
        <v>0</v>
      </c>
      <c r="H277" s="16"/>
    </row>
    <row r="278" spans="1:8">
      <c r="A278" s="10"/>
      <c r="C278" s="13"/>
      <c r="D278" s="13"/>
      <c r="E278" s="13"/>
      <c r="F278" s="15">
        <f t="shared" si="9"/>
        <v>0</v>
      </c>
      <c r="G278" s="15">
        <f t="shared" si="8"/>
        <v>0</v>
      </c>
      <c r="H278" s="16"/>
    </row>
    <row r="279" spans="1:8">
      <c r="A279" s="10"/>
      <c r="C279" s="13"/>
      <c r="D279" s="13"/>
      <c r="E279" s="13"/>
      <c r="F279" s="15">
        <f t="shared" si="9"/>
        <v>0</v>
      </c>
      <c r="G279" s="15">
        <f t="shared" si="8"/>
        <v>0</v>
      </c>
      <c r="H279" s="16"/>
    </row>
    <row r="280" spans="1:8">
      <c r="A280" s="10"/>
      <c r="C280" s="13"/>
      <c r="D280" s="13"/>
      <c r="E280" s="13"/>
      <c r="F280" s="15">
        <f t="shared" si="9"/>
        <v>0</v>
      </c>
      <c r="G280" s="15">
        <f t="shared" si="8"/>
        <v>0</v>
      </c>
      <c r="H280" s="16"/>
    </row>
    <row r="281" spans="1:8">
      <c r="A281" s="10"/>
      <c r="C281" s="13"/>
      <c r="D281" s="13"/>
      <c r="E281" s="13"/>
      <c r="F281" s="15">
        <f t="shared" si="9"/>
        <v>0</v>
      </c>
      <c r="G281" s="15">
        <f t="shared" si="8"/>
        <v>0</v>
      </c>
      <c r="H281" s="16"/>
    </row>
    <row r="282" spans="1:8">
      <c r="A282" s="10"/>
      <c r="C282" s="13"/>
      <c r="D282" s="13"/>
      <c r="E282" s="13"/>
      <c r="F282" s="15">
        <f t="shared" si="9"/>
        <v>0</v>
      </c>
      <c r="G282" s="15">
        <f t="shared" si="8"/>
        <v>0</v>
      </c>
      <c r="H282" s="16"/>
    </row>
    <row r="283" spans="1:8">
      <c r="A283" s="10"/>
      <c r="C283" s="13"/>
      <c r="D283" s="13"/>
      <c r="E283" s="13"/>
      <c r="F283" s="15">
        <f t="shared" si="9"/>
        <v>0</v>
      </c>
      <c r="G283" s="15">
        <f t="shared" si="8"/>
        <v>0</v>
      </c>
      <c r="H283" s="16"/>
    </row>
    <row r="284" spans="1:8">
      <c r="A284" s="10"/>
      <c r="C284" s="13"/>
      <c r="D284" s="13"/>
      <c r="E284" s="13"/>
      <c r="F284" s="15">
        <f t="shared" si="9"/>
        <v>0</v>
      </c>
      <c r="G284" s="15">
        <f t="shared" si="8"/>
        <v>0</v>
      </c>
      <c r="H284" s="16"/>
    </row>
    <row r="285" spans="1:8">
      <c r="A285" s="10"/>
      <c r="C285" s="13"/>
      <c r="D285" s="13"/>
      <c r="E285" s="13"/>
      <c r="F285" s="15">
        <f t="shared" si="9"/>
        <v>0</v>
      </c>
      <c r="G285" s="15">
        <f t="shared" si="8"/>
        <v>0</v>
      </c>
      <c r="H285" s="16"/>
    </row>
    <row r="286" spans="1:8">
      <c r="A286" s="10"/>
      <c r="C286" s="13"/>
      <c r="D286" s="13"/>
      <c r="E286" s="13"/>
      <c r="F286" s="15">
        <f t="shared" si="9"/>
        <v>0</v>
      </c>
      <c r="G286" s="15">
        <f t="shared" si="8"/>
        <v>0</v>
      </c>
      <c r="H286" s="16"/>
    </row>
    <row r="287" spans="1:8">
      <c r="A287" s="10"/>
      <c r="C287" s="13"/>
      <c r="D287" s="13"/>
      <c r="E287" s="13"/>
      <c r="F287" s="15">
        <f t="shared" si="9"/>
        <v>0</v>
      </c>
      <c r="G287" s="15">
        <f t="shared" si="8"/>
        <v>0</v>
      </c>
      <c r="H287" s="16"/>
    </row>
    <row r="288" spans="1:8">
      <c r="A288" s="10"/>
      <c r="C288" s="13"/>
      <c r="D288" s="13"/>
      <c r="E288" s="13"/>
      <c r="F288" s="15">
        <f t="shared" si="9"/>
        <v>0</v>
      </c>
      <c r="G288" s="15">
        <f t="shared" si="8"/>
        <v>0</v>
      </c>
      <c r="H288" s="16"/>
    </row>
    <row r="289" spans="1:8">
      <c r="A289" s="10"/>
      <c r="C289" s="13"/>
      <c r="D289" s="13"/>
      <c r="E289" s="13"/>
      <c r="F289" s="15">
        <f t="shared" si="9"/>
        <v>0</v>
      </c>
      <c r="G289" s="15">
        <f t="shared" si="8"/>
        <v>0</v>
      </c>
      <c r="H289" s="16"/>
    </row>
    <row r="290" spans="1:8">
      <c r="A290" s="10"/>
      <c r="C290" s="13"/>
      <c r="D290" s="13"/>
      <c r="E290" s="13"/>
      <c r="F290" s="15">
        <f t="shared" si="9"/>
        <v>0</v>
      </c>
      <c r="G290" s="15">
        <f t="shared" si="8"/>
        <v>0</v>
      </c>
      <c r="H290" s="16"/>
    </row>
    <row r="291" spans="1:8">
      <c r="A291" s="10"/>
      <c r="C291" s="13"/>
      <c r="D291" s="13"/>
      <c r="E291" s="13"/>
      <c r="F291" s="15">
        <f t="shared" si="9"/>
        <v>0</v>
      </c>
      <c r="G291" s="15">
        <f t="shared" si="8"/>
        <v>0</v>
      </c>
      <c r="H291" s="16"/>
    </row>
    <row r="292" spans="1:8">
      <c r="A292" s="10"/>
      <c r="C292" s="13"/>
      <c r="D292" s="13"/>
      <c r="E292" s="13"/>
      <c r="F292" s="15">
        <f t="shared" si="9"/>
        <v>0</v>
      </c>
      <c r="G292" s="15">
        <f t="shared" si="8"/>
        <v>0</v>
      </c>
      <c r="H292" s="16"/>
    </row>
    <row r="293" spans="1:8">
      <c r="A293" s="10"/>
      <c r="C293" s="13"/>
      <c r="D293" s="13"/>
      <c r="E293" s="13"/>
      <c r="F293" s="15">
        <f t="shared" si="9"/>
        <v>0</v>
      </c>
      <c r="G293" s="15">
        <f t="shared" si="8"/>
        <v>0</v>
      </c>
      <c r="H293" s="16"/>
    </row>
    <row r="294" spans="1:8">
      <c r="A294" s="10"/>
      <c r="C294" s="13"/>
      <c r="D294" s="13"/>
      <c r="E294" s="13"/>
      <c r="F294" s="15">
        <f t="shared" si="9"/>
        <v>0</v>
      </c>
      <c r="G294" s="15">
        <f t="shared" si="8"/>
        <v>0</v>
      </c>
      <c r="H294" s="16"/>
    </row>
    <row r="295" spans="1:8">
      <c r="A295" s="10"/>
      <c r="C295" s="13"/>
      <c r="D295" s="13"/>
      <c r="E295" s="13"/>
      <c r="F295" s="15">
        <f t="shared" si="9"/>
        <v>0</v>
      </c>
      <c r="G295" s="15">
        <f t="shared" si="8"/>
        <v>0</v>
      </c>
      <c r="H295" s="16"/>
    </row>
    <row r="296" spans="1:8">
      <c r="A296" s="10"/>
      <c r="C296" s="13"/>
      <c r="D296" s="13"/>
      <c r="E296" s="13"/>
      <c r="F296" s="15">
        <f t="shared" si="9"/>
        <v>0</v>
      </c>
      <c r="G296" s="15">
        <f t="shared" si="8"/>
        <v>0</v>
      </c>
      <c r="H296" s="16"/>
    </row>
    <row r="297" spans="1:8">
      <c r="A297" s="10"/>
      <c r="C297" s="13"/>
      <c r="D297" s="13"/>
      <c r="E297" s="13"/>
      <c r="F297" s="15">
        <f t="shared" si="9"/>
        <v>0</v>
      </c>
      <c r="G297" s="15">
        <f t="shared" si="8"/>
        <v>0</v>
      </c>
      <c r="H297" s="16"/>
    </row>
    <row r="298" spans="1:8">
      <c r="A298" s="10"/>
      <c r="C298" s="13"/>
      <c r="D298" s="13"/>
      <c r="E298" s="13"/>
      <c r="F298" s="15">
        <f t="shared" si="9"/>
        <v>0</v>
      </c>
      <c r="G298" s="15">
        <f t="shared" si="8"/>
        <v>0</v>
      </c>
      <c r="H298" s="16"/>
    </row>
    <row r="299" spans="1:8">
      <c r="A299" s="10"/>
      <c r="C299" s="13"/>
      <c r="D299" s="13"/>
      <c r="E299" s="13"/>
      <c r="F299" s="15">
        <f t="shared" si="9"/>
        <v>0</v>
      </c>
      <c r="G299" s="15">
        <f t="shared" si="8"/>
        <v>0</v>
      </c>
      <c r="H299" s="16"/>
    </row>
    <row r="300" spans="1:8">
      <c r="A300" s="10"/>
      <c r="C300" s="13"/>
      <c r="D300" s="13"/>
      <c r="E300" s="13"/>
      <c r="F300" s="15">
        <f t="shared" si="9"/>
        <v>0</v>
      </c>
      <c r="G300" s="15">
        <f t="shared" si="8"/>
        <v>0</v>
      </c>
      <c r="H300" s="16"/>
    </row>
    <row r="301" spans="1:8">
      <c r="A301" s="10"/>
      <c r="C301" s="13"/>
      <c r="D301" s="13"/>
      <c r="E301" s="13"/>
      <c r="F301" s="15">
        <f t="shared" si="9"/>
        <v>0</v>
      </c>
      <c r="G301" s="15">
        <f t="shared" si="8"/>
        <v>0</v>
      </c>
      <c r="H301" s="16"/>
    </row>
    <row r="302" spans="1:8">
      <c r="A302" s="10"/>
      <c r="C302" s="13"/>
      <c r="D302" s="13"/>
      <c r="E302" s="13"/>
      <c r="F302" s="15">
        <f t="shared" si="9"/>
        <v>0</v>
      </c>
      <c r="G302" s="15">
        <f t="shared" si="8"/>
        <v>0</v>
      </c>
      <c r="H302" s="16"/>
    </row>
    <row r="303" spans="1:8">
      <c r="A303" s="10"/>
      <c r="C303" s="13"/>
      <c r="D303" s="13"/>
      <c r="E303" s="13"/>
      <c r="F303" s="15">
        <f t="shared" si="9"/>
        <v>0</v>
      </c>
      <c r="G303" s="15">
        <f t="shared" si="8"/>
        <v>0</v>
      </c>
      <c r="H303" s="16"/>
    </row>
    <row r="304" spans="1:8">
      <c r="A304" s="10"/>
      <c r="C304" s="13"/>
      <c r="D304" s="13"/>
      <c r="E304" s="13"/>
      <c r="F304" s="15">
        <f t="shared" si="9"/>
        <v>0</v>
      </c>
      <c r="G304" s="15">
        <f t="shared" si="8"/>
        <v>0</v>
      </c>
      <c r="H304" s="16"/>
    </row>
    <row r="305" spans="1:8">
      <c r="A305" s="10"/>
      <c r="C305" s="13"/>
      <c r="D305" s="13"/>
      <c r="E305" s="13"/>
      <c r="F305" s="15">
        <f t="shared" si="9"/>
        <v>0</v>
      </c>
      <c r="G305" s="15">
        <f t="shared" si="8"/>
        <v>0</v>
      </c>
      <c r="H305" s="16"/>
    </row>
    <row r="306" spans="1:8">
      <c r="A306" s="10"/>
      <c r="C306" s="13"/>
      <c r="D306" s="13"/>
      <c r="E306" s="13"/>
      <c r="F306" s="15">
        <f t="shared" si="9"/>
        <v>0</v>
      </c>
      <c r="G306" s="15">
        <f t="shared" si="8"/>
        <v>0</v>
      </c>
      <c r="H306" s="16"/>
    </row>
    <row r="307" spans="1:8">
      <c r="A307" s="10"/>
      <c r="C307" s="13"/>
      <c r="D307" s="13"/>
      <c r="E307" s="13"/>
      <c r="F307" s="15">
        <f t="shared" si="9"/>
        <v>0</v>
      </c>
      <c r="G307" s="15">
        <f t="shared" si="8"/>
        <v>0</v>
      </c>
      <c r="H307" s="16"/>
    </row>
    <row r="308" spans="1:8">
      <c r="A308" s="10"/>
      <c r="C308" s="13"/>
      <c r="D308" s="13"/>
      <c r="E308" s="13"/>
      <c r="F308" s="15">
        <f t="shared" si="9"/>
        <v>0</v>
      </c>
      <c r="G308" s="15">
        <f t="shared" si="8"/>
        <v>0</v>
      </c>
      <c r="H308" s="16"/>
    </row>
    <row r="309" spans="1:8">
      <c r="A309" s="10"/>
      <c r="C309" s="13"/>
      <c r="D309" s="13"/>
      <c r="E309" s="13"/>
      <c r="F309" s="15">
        <f t="shared" si="9"/>
        <v>0</v>
      </c>
      <c r="G309" s="15">
        <f t="shared" si="8"/>
        <v>0</v>
      </c>
      <c r="H309" s="16"/>
    </row>
    <row r="310" spans="1:8">
      <c r="A310" s="10"/>
      <c r="C310" s="13"/>
      <c r="D310" s="13"/>
      <c r="E310" s="13"/>
      <c r="F310" s="15">
        <f t="shared" si="9"/>
        <v>0</v>
      </c>
      <c r="G310" s="15">
        <f t="shared" si="8"/>
        <v>0</v>
      </c>
      <c r="H310" s="16"/>
    </row>
    <row r="311" spans="1:8">
      <c r="A311" s="10"/>
      <c r="C311" s="13"/>
      <c r="D311" s="13"/>
      <c r="E311" s="13"/>
      <c r="F311" s="15">
        <f t="shared" si="9"/>
        <v>0</v>
      </c>
      <c r="G311" s="15">
        <f t="shared" si="8"/>
        <v>0</v>
      </c>
      <c r="H311" s="16"/>
    </row>
    <row r="312" spans="1:8">
      <c r="A312" s="10"/>
      <c r="C312" s="13"/>
      <c r="D312" s="13"/>
      <c r="E312" s="13"/>
      <c r="F312" s="15">
        <f t="shared" si="9"/>
        <v>0</v>
      </c>
      <c r="G312" s="15">
        <f t="shared" si="8"/>
        <v>0</v>
      </c>
      <c r="H312" s="16"/>
    </row>
    <row r="313" spans="1:8">
      <c r="A313" s="10"/>
      <c r="C313" s="13"/>
      <c r="D313" s="13"/>
      <c r="E313" s="13"/>
      <c r="F313" s="15">
        <f t="shared" si="9"/>
        <v>0</v>
      </c>
      <c r="G313" s="15">
        <f t="shared" si="8"/>
        <v>0</v>
      </c>
      <c r="H313" s="16"/>
    </row>
    <row r="314" spans="1:8">
      <c r="A314" s="10"/>
      <c r="C314" s="13"/>
      <c r="D314" s="13"/>
      <c r="E314" s="13"/>
      <c r="F314" s="15">
        <f t="shared" si="9"/>
        <v>0</v>
      </c>
      <c r="G314" s="15">
        <f t="shared" si="8"/>
        <v>0</v>
      </c>
      <c r="H314" s="16"/>
    </row>
    <row r="315" spans="1:8">
      <c r="A315" s="10"/>
      <c r="C315" s="13"/>
      <c r="D315" s="13"/>
      <c r="E315" s="13"/>
      <c r="F315" s="15">
        <f t="shared" si="9"/>
        <v>0</v>
      </c>
      <c r="G315" s="15">
        <f t="shared" si="8"/>
        <v>0</v>
      </c>
      <c r="H315" s="16"/>
    </row>
    <row r="316" spans="1:8">
      <c r="A316" s="10"/>
      <c r="C316" s="13"/>
      <c r="D316" s="13"/>
      <c r="E316" s="13"/>
      <c r="F316" s="15">
        <f t="shared" si="9"/>
        <v>0</v>
      </c>
      <c r="G316" s="15">
        <f t="shared" si="8"/>
        <v>0</v>
      </c>
      <c r="H316" s="16"/>
    </row>
    <row r="317" spans="1:8">
      <c r="A317" s="10"/>
      <c r="C317" s="13"/>
      <c r="D317" s="13"/>
      <c r="E317" s="13"/>
      <c r="F317" s="15">
        <f t="shared" si="9"/>
        <v>0</v>
      </c>
      <c r="G317" s="15">
        <f t="shared" si="8"/>
        <v>0</v>
      </c>
      <c r="H317" s="16"/>
    </row>
    <row r="318" spans="1:8">
      <c r="A318" s="10"/>
      <c r="C318" s="13"/>
      <c r="D318" s="13"/>
      <c r="E318" s="13"/>
      <c r="F318" s="15">
        <f t="shared" si="9"/>
        <v>0</v>
      </c>
      <c r="G318" s="15">
        <f t="shared" si="8"/>
        <v>0</v>
      </c>
      <c r="H318" s="16"/>
    </row>
    <row r="319" spans="1:8">
      <c r="A319" s="10"/>
      <c r="C319" s="13"/>
      <c r="D319" s="13"/>
      <c r="E319" s="13"/>
      <c r="F319" s="15">
        <f t="shared" si="9"/>
        <v>0</v>
      </c>
      <c r="G319" s="15">
        <f t="shared" si="8"/>
        <v>0</v>
      </c>
      <c r="H319" s="16"/>
    </row>
    <row r="320" spans="1:8">
      <c r="A320" s="10"/>
      <c r="C320" s="13"/>
      <c r="D320" s="13"/>
      <c r="E320" s="13"/>
      <c r="F320" s="15">
        <f t="shared" si="9"/>
        <v>0</v>
      </c>
      <c r="G320" s="15">
        <f t="shared" si="8"/>
        <v>0</v>
      </c>
      <c r="H320" s="16"/>
    </row>
    <row r="321" spans="1:8">
      <c r="A321" s="10"/>
      <c r="C321" s="13"/>
      <c r="D321" s="13"/>
      <c r="E321" s="13"/>
      <c r="F321" s="15">
        <f t="shared" si="9"/>
        <v>0</v>
      </c>
      <c r="G321" s="15">
        <f t="shared" si="8"/>
        <v>0</v>
      </c>
      <c r="H321" s="16"/>
    </row>
    <row r="322" spans="1:8">
      <c r="A322" s="10"/>
      <c r="C322" s="13"/>
      <c r="D322" s="13"/>
      <c r="E322" s="13"/>
      <c r="F322" s="15">
        <f t="shared" si="9"/>
        <v>0</v>
      </c>
      <c r="G322" s="15">
        <f t="shared" si="8"/>
        <v>0</v>
      </c>
      <c r="H322" s="16"/>
    </row>
    <row r="323" spans="1:8">
      <c r="A323" s="10"/>
      <c r="C323" s="13"/>
      <c r="D323" s="13"/>
      <c r="E323" s="13"/>
      <c r="F323" s="15">
        <f t="shared" si="9"/>
        <v>0</v>
      </c>
      <c r="G323" s="15">
        <f t="shared" si="8"/>
        <v>0</v>
      </c>
      <c r="H323" s="16"/>
    </row>
    <row r="324" spans="1:8">
      <c r="A324" s="10"/>
      <c r="C324" s="13"/>
      <c r="D324" s="13"/>
      <c r="E324" s="13"/>
      <c r="F324" s="15">
        <f t="shared" si="9"/>
        <v>0</v>
      </c>
      <c r="G324" s="15">
        <f t="shared" si="8"/>
        <v>0</v>
      </c>
      <c r="H324" s="16"/>
    </row>
    <row r="325" spans="1:8">
      <c r="A325" s="10"/>
      <c r="C325" s="13"/>
      <c r="D325" s="13"/>
      <c r="E325" s="13"/>
      <c r="F325" s="15">
        <f t="shared" si="9"/>
        <v>0</v>
      </c>
      <c r="G325" s="15">
        <f t="shared" si="8"/>
        <v>0</v>
      </c>
      <c r="H325" s="16"/>
    </row>
    <row r="326" spans="1:8">
      <c r="A326" s="10"/>
      <c r="C326" s="13"/>
      <c r="D326" s="13"/>
      <c r="E326" s="13"/>
      <c r="F326" s="15">
        <f t="shared" si="9"/>
        <v>0</v>
      </c>
      <c r="G326" s="15">
        <f t="shared" si="8"/>
        <v>0</v>
      </c>
      <c r="H326" s="16"/>
    </row>
    <row r="327" spans="1:8">
      <c r="A327" s="10"/>
      <c r="C327" s="13"/>
      <c r="D327" s="13"/>
      <c r="E327" s="13"/>
      <c r="F327" s="15">
        <f t="shared" si="9"/>
        <v>0</v>
      </c>
      <c r="G327" s="15">
        <f t="shared" ref="G327:G390" si="10">IF(C327=0,0,MIN(INT(YEARFRAC(D$14,EDATE(D327,12),3))))</f>
        <v>0</v>
      </c>
      <c r="H327" s="16"/>
    </row>
    <row r="328" spans="1:8">
      <c r="A328" s="10"/>
      <c r="C328" s="13"/>
      <c r="D328" s="13"/>
      <c r="E328" s="13"/>
      <c r="F328" s="15">
        <f t="shared" si="9"/>
        <v>0</v>
      </c>
      <c r="G328" s="15">
        <f t="shared" si="10"/>
        <v>0</v>
      </c>
      <c r="H328" s="16"/>
    </row>
    <row r="329" spans="1:8">
      <c r="A329" s="10"/>
      <c r="C329" s="13"/>
      <c r="D329" s="13"/>
      <c r="E329" s="13"/>
      <c r="F329" s="15">
        <f t="shared" si="9"/>
        <v>0</v>
      </c>
      <c r="G329" s="15">
        <f t="shared" si="10"/>
        <v>0</v>
      </c>
      <c r="H329" s="16"/>
    </row>
    <row r="330" spans="1:8">
      <c r="A330" s="10"/>
      <c r="C330" s="13"/>
      <c r="D330" s="13"/>
      <c r="E330" s="13"/>
      <c r="F330" s="15">
        <f t="shared" si="9"/>
        <v>0</v>
      </c>
      <c r="G330" s="15">
        <f t="shared" si="10"/>
        <v>0</v>
      </c>
      <c r="H330" s="16"/>
    </row>
    <row r="331" spans="1:8">
      <c r="A331" s="10"/>
      <c r="C331" s="13"/>
      <c r="D331" s="13"/>
      <c r="E331" s="13"/>
      <c r="F331" s="15">
        <f t="shared" si="9"/>
        <v>0</v>
      </c>
      <c r="G331" s="15">
        <f t="shared" si="10"/>
        <v>0</v>
      </c>
      <c r="H331" s="16"/>
    </row>
    <row r="332" spans="1:8">
      <c r="A332" s="10"/>
      <c r="C332" s="13"/>
      <c r="D332" s="13"/>
      <c r="E332" s="13"/>
      <c r="F332" s="15">
        <f t="shared" si="9"/>
        <v>0</v>
      </c>
      <c r="G332" s="15">
        <f t="shared" si="10"/>
        <v>0</v>
      </c>
      <c r="H332" s="16"/>
    </row>
    <row r="333" spans="1:8">
      <c r="A333" s="10"/>
      <c r="C333" s="13"/>
      <c r="D333" s="13"/>
      <c r="E333" s="13"/>
      <c r="F333" s="15">
        <f t="shared" si="9"/>
        <v>0</v>
      </c>
      <c r="G333" s="15">
        <f t="shared" si="10"/>
        <v>0</v>
      </c>
      <c r="H333" s="16"/>
    </row>
    <row r="334" spans="1:8">
      <c r="A334" s="10"/>
      <c r="C334" s="13"/>
      <c r="D334" s="13"/>
      <c r="E334" s="13"/>
      <c r="F334" s="15">
        <f t="shared" si="9"/>
        <v>0</v>
      </c>
      <c r="G334" s="15">
        <f t="shared" si="10"/>
        <v>0</v>
      </c>
      <c r="H334" s="16"/>
    </row>
    <row r="335" spans="1:8">
      <c r="A335" s="10"/>
      <c r="C335" s="13"/>
      <c r="D335" s="13"/>
      <c r="E335" s="13"/>
      <c r="F335" s="15">
        <f t="shared" ref="F335:F398" si="11">IF(E335&gt;0,"Q"&amp;ROUNDUP(MONTH(D335)/3,0)&amp;"-"&amp;YEAR(D335)-2000,0)</f>
        <v>0</v>
      </c>
      <c r="G335" s="15">
        <f t="shared" si="10"/>
        <v>0</v>
      </c>
      <c r="H335" s="16"/>
    </row>
    <row r="336" spans="1:8">
      <c r="A336" s="10"/>
      <c r="C336" s="13"/>
      <c r="D336" s="13"/>
      <c r="E336" s="13"/>
      <c r="F336" s="15">
        <f t="shared" si="11"/>
        <v>0</v>
      </c>
      <c r="G336" s="15">
        <f t="shared" si="10"/>
        <v>0</v>
      </c>
      <c r="H336" s="16"/>
    </row>
    <row r="337" spans="1:8">
      <c r="A337" s="10"/>
      <c r="C337" s="13"/>
      <c r="D337" s="13"/>
      <c r="E337" s="13"/>
      <c r="F337" s="15">
        <f t="shared" si="11"/>
        <v>0</v>
      </c>
      <c r="G337" s="15">
        <f t="shared" si="10"/>
        <v>0</v>
      </c>
      <c r="H337" s="16"/>
    </row>
    <row r="338" spans="1:8">
      <c r="A338" s="10"/>
      <c r="C338" s="13"/>
      <c r="D338" s="13"/>
      <c r="E338" s="13"/>
      <c r="F338" s="15">
        <f t="shared" si="11"/>
        <v>0</v>
      </c>
      <c r="G338" s="15">
        <f t="shared" si="10"/>
        <v>0</v>
      </c>
      <c r="H338" s="16"/>
    </row>
    <row r="339" spans="1:8">
      <c r="A339" s="10"/>
      <c r="C339" s="13"/>
      <c r="D339" s="13"/>
      <c r="E339" s="13"/>
      <c r="F339" s="15">
        <f t="shared" si="11"/>
        <v>0</v>
      </c>
      <c r="G339" s="15">
        <f t="shared" si="10"/>
        <v>0</v>
      </c>
      <c r="H339" s="16"/>
    </row>
    <row r="340" spans="1:8">
      <c r="A340" s="10"/>
      <c r="C340" s="13"/>
      <c r="D340" s="13"/>
      <c r="E340" s="13"/>
      <c r="F340" s="15">
        <f t="shared" si="11"/>
        <v>0</v>
      </c>
      <c r="G340" s="15">
        <f t="shared" si="10"/>
        <v>0</v>
      </c>
      <c r="H340" s="16"/>
    </row>
    <row r="341" spans="1:8">
      <c r="A341" s="10"/>
      <c r="C341" s="13"/>
      <c r="D341" s="13"/>
      <c r="E341" s="13"/>
      <c r="F341" s="15">
        <f t="shared" si="11"/>
        <v>0</v>
      </c>
      <c r="G341" s="15">
        <f t="shared" si="10"/>
        <v>0</v>
      </c>
      <c r="H341" s="16"/>
    </row>
    <row r="342" spans="1:8">
      <c r="A342" s="10"/>
      <c r="C342" s="13"/>
      <c r="D342" s="13"/>
      <c r="E342" s="13"/>
      <c r="F342" s="15">
        <f t="shared" si="11"/>
        <v>0</v>
      </c>
      <c r="G342" s="15">
        <f t="shared" si="10"/>
        <v>0</v>
      </c>
      <c r="H342" s="16"/>
    </row>
    <row r="343" spans="1:8">
      <c r="A343" s="10"/>
      <c r="C343" s="13"/>
      <c r="D343" s="13"/>
      <c r="E343" s="13"/>
      <c r="F343" s="15">
        <f t="shared" si="11"/>
        <v>0</v>
      </c>
      <c r="G343" s="15">
        <f t="shared" si="10"/>
        <v>0</v>
      </c>
      <c r="H343" s="16"/>
    </row>
    <row r="344" spans="1:8">
      <c r="A344" s="10"/>
      <c r="C344" s="13"/>
      <c r="D344" s="13"/>
      <c r="E344" s="13"/>
      <c r="F344" s="15">
        <f t="shared" si="11"/>
        <v>0</v>
      </c>
      <c r="G344" s="15">
        <f t="shared" si="10"/>
        <v>0</v>
      </c>
      <c r="H344" s="16"/>
    </row>
    <row r="345" spans="1:8">
      <c r="A345" s="10"/>
      <c r="C345" s="13"/>
      <c r="D345" s="13"/>
      <c r="E345" s="13"/>
      <c r="F345" s="15">
        <f t="shared" si="11"/>
        <v>0</v>
      </c>
      <c r="G345" s="15">
        <f t="shared" si="10"/>
        <v>0</v>
      </c>
      <c r="H345" s="16"/>
    </row>
    <row r="346" spans="1:8">
      <c r="A346" s="10"/>
      <c r="C346" s="13"/>
      <c r="D346" s="13"/>
      <c r="E346" s="13"/>
      <c r="F346" s="15">
        <f t="shared" si="11"/>
        <v>0</v>
      </c>
      <c r="G346" s="15">
        <f t="shared" si="10"/>
        <v>0</v>
      </c>
      <c r="H346" s="16"/>
    </row>
    <row r="347" spans="1:8">
      <c r="A347" s="10"/>
      <c r="C347" s="13"/>
      <c r="D347" s="13"/>
      <c r="E347" s="13"/>
      <c r="F347" s="15">
        <f t="shared" si="11"/>
        <v>0</v>
      </c>
      <c r="G347" s="15">
        <f t="shared" si="10"/>
        <v>0</v>
      </c>
      <c r="H347" s="16"/>
    </row>
    <row r="348" spans="1:8">
      <c r="A348" s="10"/>
      <c r="C348" s="13"/>
      <c r="D348" s="13"/>
      <c r="E348" s="13"/>
      <c r="F348" s="15">
        <f t="shared" si="11"/>
        <v>0</v>
      </c>
      <c r="G348" s="15">
        <f t="shared" si="10"/>
        <v>0</v>
      </c>
      <c r="H348" s="16"/>
    </row>
    <row r="349" spans="1:8">
      <c r="A349" s="10"/>
      <c r="C349" s="13"/>
      <c r="D349" s="13"/>
      <c r="E349" s="13"/>
      <c r="F349" s="15">
        <f t="shared" si="11"/>
        <v>0</v>
      </c>
      <c r="G349" s="15">
        <f t="shared" si="10"/>
        <v>0</v>
      </c>
      <c r="H349" s="16"/>
    </row>
    <row r="350" spans="1:8">
      <c r="A350" s="10"/>
      <c r="C350" s="13"/>
      <c r="D350" s="13"/>
      <c r="E350" s="13"/>
      <c r="F350" s="15">
        <f t="shared" si="11"/>
        <v>0</v>
      </c>
      <c r="G350" s="15">
        <f t="shared" si="10"/>
        <v>0</v>
      </c>
      <c r="H350" s="16"/>
    </row>
    <row r="351" spans="1:8">
      <c r="A351" s="10"/>
      <c r="C351" s="13"/>
      <c r="D351" s="13"/>
      <c r="E351" s="13"/>
      <c r="F351" s="15">
        <f t="shared" si="11"/>
        <v>0</v>
      </c>
      <c r="G351" s="15">
        <f t="shared" si="10"/>
        <v>0</v>
      </c>
      <c r="H351" s="16"/>
    </row>
    <row r="352" spans="1:8">
      <c r="A352" s="10"/>
      <c r="C352" s="13"/>
      <c r="D352" s="13"/>
      <c r="E352" s="13"/>
      <c r="F352" s="15">
        <f t="shared" si="11"/>
        <v>0</v>
      </c>
      <c r="G352" s="15">
        <f t="shared" si="10"/>
        <v>0</v>
      </c>
      <c r="H352" s="16"/>
    </row>
    <row r="353" spans="1:8">
      <c r="A353" s="10"/>
      <c r="C353" s="13"/>
      <c r="D353" s="13"/>
      <c r="E353" s="13"/>
      <c r="F353" s="15">
        <f t="shared" si="11"/>
        <v>0</v>
      </c>
      <c r="G353" s="15">
        <f t="shared" si="10"/>
        <v>0</v>
      </c>
      <c r="H353" s="16"/>
    </row>
    <row r="354" spans="1:8">
      <c r="A354" s="10"/>
      <c r="C354" s="13"/>
      <c r="D354" s="13"/>
      <c r="E354" s="13"/>
      <c r="F354" s="15">
        <f t="shared" si="11"/>
        <v>0</v>
      </c>
      <c r="G354" s="15">
        <f t="shared" si="10"/>
        <v>0</v>
      </c>
      <c r="H354" s="16"/>
    </row>
    <row r="355" spans="1:8">
      <c r="A355" s="10"/>
      <c r="C355" s="13"/>
      <c r="D355" s="13"/>
      <c r="E355" s="13"/>
      <c r="F355" s="15">
        <f t="shared" si="11"/>
        <v>0</v>
      </c>
      <c r="G355" s="15">
        <f t="shared" si="10"/>
        <v>0</v>
      </c>
      <c r="H355" s="16"/>
    </row>
    <row r="356" spans="1:8">
      <c r="A356" s="10"/>
      <c r="C356" s="13"/>
      <c r="D356" s="13"/>
      <c r="E356" s="13"/>
      <c r="F356" s="15">
        <f t="shared" si="11"/>
        <v>0</v>
      </c>
      <c r="G356" s="15">
        <f t="shared" si="10"/>
        <v>0</v>
      </c>
      <c r="H356" s="16"/>
    </row>
    <row r="357" spans="1:8">
      <c r="A357" s="10"/>
      <c r="C357" s="13"/>
      <c r="D357" s="13"/>
      <c r="E357" s="13"/>
      <c r="F357" s="15">
        <f t="shared" si="11"/>
        <v>0</v>
      </c>
      <c r="G357" s="15">
        <f t="shared" si="10"/>
        <v>0</v>
      </c>
      <c r="H357" s="16"/>
    </row>
    <row r="358" spans="1:8">
      <c r="A358" s="10"/>
      <c r="C358" s="13"/>
      <c r="D358" s="13"/>
      <c r="E358" s="13"/>
      <c r="F358" s="15">
        <f t="shared" si="11"/>
        <v>0</v>
      </c>
      <c r="G358" s="15">
        <f t="shared" si="10"/>
        <v>0</v>
      </c>
      <c r="H358" s="16"/>
    </row>
    <row r="359" spans="1:8">
      <c r="A359" s="10"/>
      <c r="C359" s="13"/>
      <c r="D359" s="13"/>
      <c r="E359" s="13"/>
      <c r="F359" s="15">
        <f t="shared" si="11"/>
        <v>0</v>
      </c>
      <c r="G359" s="15">
        <f t="shared" si="10"/>
        <v>0</v>
      </c>
      <c r="H359" s="16"/>
    </row>
    <row r="360" spans="1:8">
      <c r="A360" s="10"/>
      <c r="C360" s="13"/>
      <c r="D360" s="13"/>
      <c r="E360" s="13"/>
      <c r="F360" s="15">
        <f t="shared" si="11"/>
        <v>0</v>
      </c>
      <c r="G360" s="15">
        <f t="shared" si="10"/>
        <v>0</v>
      </c>
      <c r="H360" s="16"/>
    </row>
    <row r="361" spans="1:8">
      <c r="A361" s="10"/>
      <c r="C361" s="13"/>
      <c r="D361" s="13"/>
      <c r="E361" s="13"/>
      <c r="F361" s="15">
        <f t="shared" si="11"/>
        <v>0</v>
      </c>
      <c r="G361" s="15">
        <f t="shared" si="10"/>
        <v>0</v>
      </c>
      <c r="H361" s="16"/>
    </row>
    <row r="362" spans="1:8">
      <c r="A362" s="10"/>
      <c r="C362" s="13"/>
      <c r="D362" s="13"/>
      <c r="E362" s="13"/>
      <c r="F362" s="15">
        <f t="shared" si="11"/>
        <v>0</v>
      </c>
      <c r="G362" s="15">
        <f t="shared" si="10"/>
        <v>0</v>
      </c>
      <c r="H362" s="16"/>
    </row>
    <row r="363" spans="1:8">
      <c r="A363" s="10"/>
      <c r="C363" s="13"/>
      <c r="D363" s="13"/>
      <c r="E363" s="13"/>
      <c r="F363" s="15">
        <f t="shared" si="11"/>
        <v>0</v>
      </c>
      <c r="G363" s="15">
        <f t="shared" si="10"/>
        <v>0</v>
      </c>
      <c r="H363" s="16"/>
    </row>
    <row r="364" spans="1:8">
      <c r="A364" s="10"/>
      <c r="C364" s="13"/>
      <c r="D364" s="13"/>
      <c r="E364" s="13"/>
      <c r="F364" s="15">
        <f t="shared" si="11"/>
        <v>0</v>
      </c>
      <c r="G364" s="15">
        <f t="shared" si="10"/>
        <v>0</v>
      </c>
      <c r="H364" s="16"/>
    </row>
    <row r="365" spans="1:8">
      <c r="A365" s="10"/>
      <c r="C365" s="13"/>
      <c r="D365" s="13"/>
      <c r="E365" s="13"/>
      <c r="F365" s="15">
        <f t="shared" si="11"/>
        <v>0</v>
      </c>
      <c r="G365" s="15">
        <f t="shared" si="10"/>
        <v>0</v>
      </c>
      <c r="H365" s="16"/>
    </row>
    <row r="366" spans="1:8">
      <c r="A366" s="10"/>
      <c r="C366" s="13"/>
      <c r="D366" s="13"/>
      <c r="E366" s="13"/>
      <c r="F366" s="15">
        <f t="shared" si="11"/>
        <v>0</v>
      </c>
      <c r="G366" s="15">
        <f t="shared" si="10"/>
        <v>0</v>
      </c>
      <c r="H366" s="16"/>
    </row>
    <row r="367" spans="1:8">
      <c r="A367" s="10"/>
      <c r="C367" s="13"/>
      <c r="D367" s="13"/>
      <c r="E367" s="13"/>
      <c r="F367" s="15">
        <f t="shared" si="11"/>
        <v>0</v>
      </c>
      <c r="G367" s="15">
        <f t="shared" si="10"/>
        <v>0</v>
      </c>
      <c r="H367" s="16"/>
    </row>
    <row r="368" spans="1:8">
      <c r="A368" s="10"/>
      <c r="C368" s="13"/>
      <c r="D368" s="13"/>
      <c r="E368" s="13"/>
      <c r="F368" s="15">
        <f t="shared" si="11"/>
        <v>0</v>
      </c>
      <c r="G368" s="15">
        <f t="shared" si="10"/>
        <v>0</v>
      </c>
      <c r="H368" s="16"/>
    </row>
    <row r="369" spans="1:8">
      <c r="A369" s="10"/>
      <c r="C369" s="13"/>
      <c r="D369" s="13"/>
      <c r="E369" s="13"/>
      <c r="F369" s="15">
        <f t="shared" si="11"/>
        <v>0</v>
      </c>
      <c r="G369" s="15">
        <f t="shared" si="10"/>
        <v>0</v>
      </c>
      <c r="H369" s="16"/>
    </row>
    <row r="370" spans="1:8">
      <c r="A370" s="10"/>
      <c r="C370" s="13"/>
      <c r="D370" s="13"/>
      <c r="E370" s="13"/>
      <c r="F370" s="15">
        <f t="shared" si="11"/>
        <v>0</v>
      </c>
      <c r="G370" s="15">
        <f t="shared" si="10"/>
        <v>0</v>
      </c>
      <c r="H370" s="16"/>
    </row>
    <row r="371" spans="1:8">
      <c r="A371" s="10"/>
      <c r="C371" s="13"/>
      <c r="D371" s="13"/>
      <c r="E371" s="13"/>
      <c r="F371" s="15">
        <f t="shared" si="11"/>
        <v>0</v>
      </c>
      <c r="G371" s="15">
        <f t="shared" si="10"/>
        <v>0</v>
      </c>
      <c r="H371" s="16"/>
    </row>
    <row r="372" spans="1:8">
      <c r="A372" s="10"/>
      <c r="C372" s="13"/>
      <c r="D372" s="13"/>
      <c r="E372" s="13"/>
      <c r="F372" s="15">
        <f t="shared" si="11"/>
        <v>0</v>
      </c>
      <c r="G372" s="15">
        <f t="shared" si="10"/>
        <v>0</v>
      </c>
      <c r="H372" s="16"/>
    </row>
    <row r="373" spans="1:8">
      <c r="A373" s="10"/>
      <c r="C373" s="13"/>
      <c r="D373" s="13"/>
      <c r="E373" s="13"/>
      <c r="F373" s="15">
        <f t="shared" si="11"/>
        <v>0</v>
      </c>
      <c r="G373" s="15">
        <f t="shared" si="10"/>
        <v>0</v>
      </c>
      <c r="H373" s="16"/>
    </row>
    <row r="374" spans="1:8">
      <c r="A374" s="10"/>
      <c r="C374" s="13"/>
      <c r="D374" s="13"/>
      <c r="E374" s="13"/>
      <c r="F374" s="15">
        <f t="shared" si="11"/>
        <v>0</v>
      </c>
      <c r="G374" s="15">
        <f t="shared" si="10"/>
        <v>0</v>
      </c>
      <c r="H374" s="16"/>
    </row>
    <row r="375" spans="1:8">
      <c r="A375" s="10"/>
      <c r="C375" s="13"/>
      <c r="D375" s="13"/>
      <c r="E375" s="13"/>
      <c r="F375" s="15">
        <f t="shared" si="11"/>
        <v>0</v>
      </c>
      <c r="G375" s="15">
        <f t="shared" si="10"/>
        <v>0</v>
      </c>
      <c r="H375" s="16"/>
    </row>
    <row r="376" spans="1:8">
      <c r="A376" s="10"/>
      <c r="C376" s="13"/>
      <c r="D376" s="13"/>
      <c r="E376" s="13"/>
      <c r="F376" s="15">
        <f t="shared" si="11"/>
        <v>0</v>
      </c>
      <c r="G376" s="15">
        <f t="shared" si="10"/>
        <v>0</v>
      </c>
      <c r="H376" s="16"/>
    </row>
    <row r="377" spans="1:8">
      <c r="A377" s="10"/>
      <c r="C377" s="13"/>
      <c r="D377" s="13"/>
      <c r="E377" s="13"/>
      <c r="F377" s="15">
        <f t="shared" si="11"/>
        <v>0</v>
      </c>
      <c r="G377" s="15">
        <f t="shared" si="10"/>
        <v>0</v>
      </c>
      <c r="H377" s="16"/>
    </row>
    <row r="378" spans="1:8">
      <c r="A378" s="10"/>
      <c r="C378" s="13"/>
      <c r="D378" s="13"/>
      <c r="E378" s="13"/>
      <c r="F378" s="15">
        <f t="shared" si="11"/>
        <v>0</v>
      </c>
      <c r="G378" s="15">
        <f t="shared" si="10"/>
        <v>0</v>
      </c>
      <c r="H378" s="16"/>
    </row>
    <row r="379" spans="1:8">
      <c r="A379" s="10"/>
      <c r="C379" s="13"/>
      <c r="D379" s="13"/>
      <c r="E379" s="13"/>
      <c r="F379" s="15">
        <f t="shared" si="11"/>
        <v>0</v>
      </c>
      <c r="G379" s="15">
        <f t="shared" si="10"/>
        <v>0</v>
      </c>
      <c r="H379" s="16"/>
    </row>
    <row r="380" spans="1:8">
      <c r="A380" s="10"/>
      <c r="C380" s="13"/>
      <c r="D380" s="13"/>
      <c r="E380" s="13"/>
      <c r="F380" s="15">
        <f t="shared" si="11"/>
        <v>0</v>
      </c>
      <c r="G380" s="15">
        <f t="shared" si="10"/>
        <v>0</v>
      </c>
      <c r="H380" s="16"/>
    </row>
    <row r="381" spans="1:8">
      <c r="A381" s="10"/>
      <c r="C381" s="13"/>
      <c r="D381" s="13"/>
      <c r="E381" s="13"/>
      <c r="F381" s="15">
        <f t="shared" si="11"/>
        <v>0</v>
      </c>
      <c r="G381" s="15">
        <f t="shared" si="10"/>
        <v>0</v>
      </c>
      <c r="H381" s="16"/>
    </row>
    <row r="382" spans="1:8">
      <c r="A382" s="10"/>
      <c r="C382" s="13"/>
      <c r="D382" s="13"/>
      <c r="E382" s="13"/>
      <c r="F382" s="15">
        <f t="shared" si="11"/>
        <v>0</v>
      </c>
      <c r="G382" s="15">
        <f t="shared" si="10"/>
        <v>0</v>
      </c>
      <c r="H382" s="16"/>
    </row>
    <row r="383" spans="1:8">
      <c r="A383" s="10"/>
      <c r="C383" s="13"/>
      <c r="D383" s="13"/>
      <c r="E383" s="13"/>
      <c r="F383" s="15">
        <f t="shared" si="11"/>
        <v>0</v>
      </c>
      <c r="G383" s="15">
        <f t="shared" si="10"/>
        <v>0</v>
      </c>
      <c r="H383" s="16"/>
    </row>
    <row r="384" spans="1:8">
      <c r="A384" s="10"/>
      <c r="C384" s="13"/>
      <c r="D384" s="13"/>
      <c r="E384" s="13"/>
      <c r="F384" s="15">
        <f t="shared" si="11"/>
        <v>0</v>
      </c>
      <c r="G384" s="15">
        <f t="shared" si="10"/>
        <v>0</v>
      </c>
      <c r="H384" s="16"/>
    </row>
    <row r="385" spans="1:8">
      <c r="A385" s="10"/>
      <c r="C385" s="13"/>
      <c r="D385" s="13"/>
      <c r="E385" s="13"/>
      <c r="F385" s="15">
        <f t="shared" si="11"/>
        <v>0</v>
      </c>
      <c r="G385" s="15">
        <f t="shared" si="10"/>
        <v>0</v>
      </c>
      <c r="H385" s="16"/>
    </row>
    <row r="386" spans="1:8">
      <c r="A386" s="10"/>
      <c r="C386" s="13"/>
      <c r="D386" s="13"/>
      <c r="E386" s="13"/>
      <c r="F386" s="15">
        <f t="shared" si="11"/>
        <v>0</v>
      </c>
      <c r="G386" s="15">
        <f t="shared" si="10"/>
        <v>0</v>
      </c>
      <c r="H386" s="16"/>
    </row>
    <row r="387" spans="1:8">
      <c r="A387" s="10"/>
      <c r="C387" s="13"/>
      <c r="D387" s="13"/>
      <c r="E387" s="13"/>
      <c r="F387" s="15">
        <f t="shared" si="11"/>
        <v>0</v>
      </c>
      <c r="G387" s="15">
        <f t="shared" si="10"/>
        <v>0</v>
      </c>
      <c r="H387" s="16"/>
    </row>
    <row r="388" spans="1:8">
      <c r="A388" s="10"/>
      <c r="C388" s="13"/>
      <c r="D388" s="13"/>
      <c r="E388" s="13"/>
      <c r="F388" s="15">
        <f t="shared" si="11"/>
        <v>0</v>
      </c>
      <c r="G388" s="15">
        <f t="shared" si="10"/>
        <v>0</v>
      </c>
      <c r="H388" s="16"/>
    </row>
    <row r="389" spans="1:8">
      <c r="A389" s="10"/>
      <c r="C389" s="13"/>
      <c r="D389" s="13"/>
      <c r="E389" s="13"/>
      <c r="F389" s="15">
        <f t="shared" si="11"/>
        <v>0</v>
      </c>
      <c r="G389" s="15">
        <f t="shared" si="10"/>
        <v>0</v>
      </c>
      <c r="H389" s="16"/>
    </row>
    <row r="390" spans="1:8">
      <c r="A390" s="10"/>
      <c r="C390" s="13"/>
      <c r="D390" s="13"/>
      <c r="E390" s="13"/>
      <c r="F390" s="15">
        <f t="shared" si="11"/>
        <v>0</v>
      </c>
      <c r="G390" s="15">
        <f t="shared" si="10"/>
        <v>0</v>
      </c>
      <c r="H390" s="16"/>
    </row>
    <row r="391" spans="1:8">
      <c r="A391" s="10"/>
      <c r="C391" s="13"/>
      <c r="D391" s="13"/>
      <c r="E391" s="13"/>
      <c r="F391" s="15">
        <f t="shared" si="11"/>
        <v>0</v>
      </c>
      <c r="G391" s="15">
        <f t="shared" ref="G391:G399" si="12">IF(C391=0,0,MIN(INT(YEARFRAC(D$14,EDATE(D391,12),3))))</f>
        <v>0</v>
      </c>
      <c r="H391" s="16"/>
    </row>
    <row r="392" spans="1:8">
      <c r="A392" s="10"/>
      <c r="C392" s="13"/>
      <c r="D392" s="13"/>
      <c r="E392" s="13"/>
      <c r="F392" s="15">
        <f t="shared" si="11"/>
        <v>0</v>
      </c>
      <c r="G392" s="15">
        <f t="shared" si="12"/>
        <v>0</v>
      </c>
      <c r="H392" s="16"/>
    </row>
    <row r="393" spans="1:8">
      <c r="A393" s="10"/>
      <c r="C393" s="13"/>
      <c r="D393" s="13"/>
      <c r="E393" s="13"/>
      <c r="F393" s="15">
        <f t="shared" si="11"/>
        <v>0</v>
      </c>
      <c r="G393" s="15">
        <f t="shared" si="12"/>
        <v>0</v>
      </c>
      <c r="H393" s="16"/>
    </row>
    <row r="394" spans="1:8">
      <c r="A394" s="10"/>
      <c r="C394" s="13"/>
      <c r="D394" s="13"/>
      <c r="E394" s="13"/>
      <c r="F394" s="15">
        <f t="shared" si="11"/>
        <v>0</v>
      </c>
      <c r="G394" s="15">
        <f t="shared" si="12"/>
        <v>0</v>
      </c>
      <c r="H394" s="16"/>
    </row>
    <row r="395" spans="1:8">
      <c r="A395" s="10"/>
      <c r="C395" s="13"/>
      <c r="D395" s="13"/>
      <c r="E395" s="13"/>
      <c r="F395" s="15">
        <f t="shared" si="11"/>
        <v>0</v>
      </c>
      <c r="G395" s="15">
        <f t="shared" si="12"/>
        <v>0</v>
      </c>
      <c r="H395" s="16"/>
    </row>
    <row r="396" spans="1:8">
      <c r="A396" s="10"/>
      <c r="C396" s="13"/>
      <c r="D396" s="13"/>
      <c r="E396" s="13"/>
      <c r="F396" s="15">
        <f t="shared" si="11"/>
        <v>0</v>
      </c>
      <c r="G396" s="15">
        <f t="shared" si="12"/>
        <v>0</v>
      </c>
      <c r="H396" s="16"/>
    </row>
    <row r="397" spans="1:8">
      <c r="A397" s="10"/>
      <c r="C397" s="13"/>
      <c r="D397" s="13"/>
      <c r="E397" s="13"/>
      <c r="F397" s="15">
        <f t="shared" si="11"/>
        <v>0</v>
      </c>
      <c r="G397" s="15">
        <f t="shared" si="12"/>
        <v>0</v>
      </c>
      <c r="H397" s="16"/>
    </row>
    <row r="398" spans="1:8">
      <c r="A398" s="10"/>
      <c r="C398" s="13"/>
      <c r="D398" s="13"/>
      <c r="E398" s="13"/>
      <c r="F398" s="15">
        <f t="shared" si="11"/>
        <v>0</v>
      </c>
      <c r="G398" s="15">
        <f t="shared" si="12"/>
        <v>0</v>
      </c>
      <c r="H398" s="16"/>
    </row>
    <row r="399" spans="1:8">
      <c r="A399" s="10"/>
      <c r="C399" s="13"/>
      <c r="D399" s="13"/>
      <c r="E399" s="13"/>
      <c r="F399" s="15">
        <f t="shared" ref="F399" si="13">IF(E399&gt;0,"Q"&amp;ROUNDUP(MONTH(D399)/3,0)&amp;"-"&amp;YEAR(D399)-2000,0)</f>
        <v>0</v>
      </c>
      <c r="G399" s="15">
        <f t="shared" si="12"/>
        <v>0</v>
      </c>
      <c r="H399" s="16"/>
    </row>
    <row r="400" spans="1:8" hidden="1">
      <c r="A400" s="10"/>
      <c r="C400" s="13"/>
      <c r="D400" s="13"/>
      <c r="E400" s="13"/>
      <c r="F400" s="13"/>
      <c r="G400" s="13"/>
      <c r="H400" s="13"/>
    </row>
    <row r="401" spans="3:10" hidden="1">
      <c r="C401" s="17" t="s">
        <v>8</v>
      </c>
      <c r="D401" s="17" t="s">
        <v>8</v>
      </c>
      <c r="E401" s="17" t="s">
        <v>8</v>
      </c>
      <c r="F401" s="17" t="s">
        <v>8</v>
      </c>
      <c r="G401" s="17" t="s">
        <v>8</v>
      </c>
      <c r="H401" s="17" t="s">
        <v>8</v>
      </c>
      <c r="I401" t="s">
        <v>8</v>
      </c>
      <c r="J401" t="s">
        <v>8</v>
      </c>
    </row>
  </sheetData>
  <mergeCells count="3">
    <mergeCell ref="C11:D11"/>
    <mergeCell ref="G11:H11"/>
    <mergeCell ref="E11:F11"/>
  </mergeCells>
  <conditionalFormatting sqref="C14:H399">
    <cfRule type="cellIs" dxfId="0" priority="1" operator="not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40135-A61C-4FD6-8F7F-0232BB6505F8}">
  <sheetPr codeName="Sheet3"/>
  <dimension ref="A1:AF113"/>
  <sheetViews>
    <sheetView tabSelected="1" workbookViewId="0">
      <selection activeCell="B21" sqref="B21"/>
    </sheetView>
  </sheetViews>
  <sheetFormatPr baseColWidth="10" defaultColWidth="9" defaultRowHeight="14"/>
  <cols>
    <col min="1" max="1" width="9.83203125" style="137" bestFit="1" customWidth="1"/>
    <col min="2" max="2" width="11.6640625" style="138" customWidth="1"/>
    <col min="3" max="3" width="39" style="143" bestFit="1" customWidth="1"/>
    <col min="4" max="4" width="9.1640625" style="140" bestFit="1" customWidth="1"/>
    <col min="5" max="7" width="6" style="141" customWidth="1"/>
    <col min="8" max="8" width="3.5" style="142" customWidth="1"/>
    <col min="9" max="23" width="9" style="143"/>
    <col min="24" max="24" width="49.6640625" style="143" bestFit="1" customWidth="1"/>
    <col min="25" max="25" width="42.6640625" style="143" bestFit="1" customWidth="1"/>
    <col min="26" max="26" width="17.33203125" style="143" bestFit="1" customWidth="1"/>
    <col min="27" max="27" width="10.5" style="143" bestFit="1" customWidth="1"/>
    <col min="28" max="28" width="17.33203125" style="143" bestFit="1" customWidth="1"/>
    <col min="29" max="29" width="16.33203125" style="143" bestFit="1" customWidth="1"/>
    <col min="30" max="30" width="17.33203125" style="143" bestFit="1" customWidth="1"/>
    <col min="31" max="31" width="16.33203125" style="143" bestFit="1" customWidth="1"/>
    <col min="32" max="32" width="17.33203125" style="143" bestFit="1" customWidth="1"/>
    <col min="33" max="16384" width="9" style="143"/>
  </cols>
  <sheetData>
    <row r="1" spans="1:29" s="136" customFormat="1">
      <c r="A1" s="129" t="s">
        <v>116</v>
      </c>
      <c r="B1" s="130" t="s">
        <v>117</v>
      </c>
      <c r="C1" s="131" t="s">
        <v>118</v>
      </c>
      <c r="D1" s="132" t="s">
        <v>119</v>
      </c>
      <c r="E1" s="133" t="s">
        <v>120</v>
      </c>
      <c r="F1" s="133" t="s">
        <v>121</v>
      </c>
      <c r="G1" s="133" t="s">
        <v>122</v>
      </c>
      <c r="H1" s="134"/>
      <c r="I1" s="135" t="s">
        <v>123</v>
      </c>
      <c r="J1" s="135"/>
    </row>
    <row r="2" spans="1:29" ht="21">
      <c r="A2" s="137" t="s">
        <v>124</v>
      </c>
      <c r="B2" s="138" t="s">
        <v>125</v>
      </c>
      <c r="C2" s="139" t="s">
        <v>126</v>
      </c>
      <c r="D2" s="140">
        <v>483.93</v>
      </c>
      <c r="E2" s="141" t="s">
        <v>127</v>
      </c>
      <c r="F2" s="141" t="s">
        <v>128</v>
      </c>
      <c r="G2" s="141">
        <v>14</v>
      </c>
      <c r="I2" s="143" t="s">
        <v>129</v>
      </c>
      <c r="X2" s="148"/>
      <c r="Y2" t="s">
        <v>267</v>
      </c>
      <c r="Z2" s="158">
        <v>75000</v>
      </c>
      <c r="AA2" s="160">
        <f>Z2*1.2</f>
        <v>90000</v>
      </c>
      <c r="AC2"/>
    </row>
    <row r="3" spans="1:29" ht="21">
      <c r="A3" s="137" t="s">
        <v>130</v>
      </c>
      <c r="B3" s="138" t="s">
        <v>125</v>
      </c>
      <c r="C3" s="139" t="s">
        <v>126</v>
      </c>
      <c r="D3" s="140">
        <v>57.299999999999898</v>
      </c>
      <c r="E3" s="141" t="s">
        <v>127</v>
      </c>
      <c r="F3" s="141" t="s">
        <v>131</v>
      </c>
      <c r="G3" s="141">
        <v>17</v>
      </c>
      <c r="I3" s="143" t="s">
        <v>132</v>
      </c>
      <c r="X3" s="148"/>
      <c r="Y3" t="s">
        <v>268</v>
      </c>
      <c r="Z3" s="158">
        <v>20000</v>
      </c>
      <c r="AA3" s="160">
        <f t="shared" ref="AA3:AA18" si="0">Z3*1.2</f>
        <v>24000</v>
      </c>
      <c r="AC3"/>
    </row>
    <row r="4" spans="1:29" ht="21">
      <c r="A4" s="137">
        <v>502340030</v>
      </c>
      <c r="B4" s="138" t="s">
        <v>125</v>
      </c>
      <c r="C4" s="139" t="s">
        <v>126</v>
      </c>
      <c r="D4" s="140">
        <v>80</v>
      </c>
      <c r="E4" s="141" t="s">
        <v>127</v>
      </c>
      <c r="F4" s="141" t="s">
        <v>128</v>
      </c>
      <c r="G4" s="141">
        <v>22</v>
      </c>
      <c r="I4" s="143" t="s">
        <v>133</v>
      </c>
      <c r="X4" s="148"/>
      <c r="Y4" t="s">
        <v>269</v>
      </c>
      <c r="Z4" s="158">
        <v>8000</v>
      </c>
      <c r="AA4" s="160">
        <f t="shared" si="0"/>
        <v>9600</v>
      </c>
      <c r="AC4"/>
    </row>
    <row r="5" spans="1:29" ht="21">
      <c r="A5" s="137">
        <v>502250030</v>
      </c>
      <c r="B5" s="138" t="s">
        <v>125</v>
      </c>
      <c r="C5" s="139" t="s">
        <v>126</v>
      </c>
      <c r="D5" s="140">
        <v>160</v>
      </c>
      <c r="E5" s="141" t="s">
        <v>127</v>
      </c>
      <c r="F5" s="141" t="s">
        <v>128</v>
      </c>
      <c r="G5" s="141">
        <v>23</v>
      </c>
      <c r="I5" s="143" t="s">
        <v>134</v>
      </c>
      <c r="X5" s="148"/>
      <c r="Y5" t="s">
        <v>270</v>
      </c>
      <c r="Z5" s="158">
        <v>100000</v>
      </c>
      <c r="AA5" s="160">
        <f t="shared" si="0"/>
        <v>120000</v>
      </c>
      <c r="AC5"/>
    </row>
    <row r="6" spans="1:29" ht="21">
      <c r="A6" s="137">
        <v>502340040</v>
      </c>
      <c r="B6" s="138" t="s">
        <v>125</v>
      </c>
      <c r="C6" s="139" t="s">
        <v>126</v>
      </c>
      <c r="D6" s="140">
        <v>40</v>
      </c>
      <c r="E6" s="141" t="s">
        <v>127</v>
      </c>
      <c r="F6" s="141" t="s">
        <v>128</v>
      </c>
      <c r="G6" s="141">
        <v>22</v>
      </c>
      <c r="I6" s="143" t="s">
        <v>135</v>
      </c>
      <c r="X6" s="148"/>
      <c r="Y6" t="s">
        <v>271</v>
      </c>
      <c r="Z6" s="158">
        <v>500000</v>
      </c>
      <c r="AA6" s="160">
        <f t="shared" si="0"/>
        <v>600000</v>
      </c>
      <c r="AC6"/>
    </row>
    <row r="7" spans="1:29" ht="21">
      <c r="A7" s="137" t="s">
        <v>136</v>
      </c>
      <c r="B7" s="138" t="s">
        <v>125</v>
      </c>
      <c r="C7" s="139" t="s">
        <v>126</v>
      </c>
      <c r="D7" s="140">
        <v>9.8599999999999905</v>
      </c>
      <c r="E7" s="141" t="s">
        <v>127</v>
      </c>
      <c r="F7" s="141" t="s">
        <v>131</v>
      </c>
      <c r="G7" s="141">
        <v>17</v>
      </c>
      <c r="I7" s="143" t="s">
        <v>137</v>
      </c>
      <c r="X7" s="148"/>
      <c r="Y7" t="s">
        <v>272</v>
      </c>
      <c r="Z7" s="158">
        <v>60000</v>
      </c>
      <c r="AA7" s="160">
        <f t="shared" si="0"/>
        <v>72000</v>
      </c>
      <c r="AC7"/>
    </row>
    <row r="8" spans="1:29" ht="21">
      <c r="A8" s="137">
        <v>502340060</v>
      </c>
      <c r="B8" s="138" t="s">
        <v>125</v>
      </c>
      <c r="C8" s="139" t="s">
        <v>126</v>
      </c>
      <c r="D8" s="140">
        <v>321.93</v>
      </c>
      <c r="E8" s="141" t="s">
        <v>127</v>
      </c>
      <c r="F8" s="141" t="s">
        <v>128</v>
      </c>
      <c r="G8" s="141">
        <v>22</v>
      </c>
      <c r="I8" s="143" t="s">
        <v>138</v>
      </c>
      <c r="X8" s="148"/>
      <c r="Y8" t="s">
        <v>273</v>
      </c>
      <c r="Z8" s="158">
        <v>15000</v>
      </c>
      <c r="AA8" s="160">
        <f t="shared" si="0"/>
        <v>18000</v>
      </c>
    </row>
    <row r="9" spans="1:29" ht="21">
      <c r="A9" s="137">
        <v>502340050</v>
      </c>
      <c r="B9" s="138" t="s">
        <v>125</v>
      </c>
      <c r="C9" s="139" t="s">
        <v>126</v>
      </c>
      <c r="D9" s="140">
        <v>40</v>
      </c>
      <c r="E9" s="141" t="s">
        <v>127</v>
      </c>
      <c r="F9" s="141" t="s">
        <v>128</v>
      </c>
      <c r="G9" s="141">
        <v>22</v>
      </c>
      <c r="I9" s="143" t="s">
        <v>139</v>
      </c>
      <c r="X9" s="148"/>
      <c r="Y9" t="s">
        <v>274</v>
      </c>
      <c r="Z9" s="158">
        <v>15000</v>
      </c>
      <c r="AA9" s="160">
        <f t="shared" si="0"/>
        <v>18000</v>
      </c>
    </row>
    <row r="10" spans="1:29" ht="21">
      <c r="A10" s="137">
        <v>502250170</v>
      </c>
      <c r="B10" s="138" t="s">
        <v>125</v>
      </c>
      <c r="C10" s="139" t="s">
        <v>126</v>
      </c>
      <c r="D10" s="140">
        <v>667.64999999999895</v>
      </c>
      <c r="E10" s="141" t="s">
        <v>127</v>
      </c>
      <c r="F10" s="141" t="s">
        <v>128</v>
      </c>
      <c r="G10" s="141">
        <v>13</v>
      </c>
      <c r="I10" s="143" t="s">
        <v>140</v>
      </c>
      <c r="X10" s="148"/>
      <c r="Y10" t="s">
        <v>275</v>
      </c>
      <c r="Z10" s="158">
        <v>30000</v>
      </c>
      <c r="AA10" s="160">
        <f t="shared" si="0"/>
        <v>36000</v>
      </c>
      <c r="AC10"/>
    </row>
    <row r="11" spans="1:29" ht="21">
      <c r="A11" s="137">
        <v>509240130</v>
      </c>
      <c r="B11" s="138" t="s">
        <v>125</v>
      </c>
      <c r="C11" s="139" t="s">
        <v>126</v>
      </c>
      <c r="D11" s="140">
        <v>463.04</v>
      </c>
      <c r="E11" s="141" t="s">
        <v>127</v>
      </c>
      <c r="F11" s="141" t="s">
        <v>131</v>
      </c>
      <c r="G11" s="141">
        <v>18</v>
      </c>
      <c r="I11" s="143" t="s">
        <v>141</v>
      </c>
      <c r="X11" s="148"/>
      <c r="Y11" t="s">
        <v>276</v>
      </c>
      <c r="Z11" s="158">
        <v>10000</v>
      </c>
      <c r="AA11" s="160">
        <f t="shared" si="0"/>
        <v>12000</v>
      </c>
      <c r="AC11"/>
    </row>
    <row r="12" spans="1:29" ht="21">
      <c r="A12" s="137" t="s">
        <v>142</v>
      </c>
      <c r="B12" s="138" t="s">
        <v>125</v>
      </c>
      <c r="C12" s="139" t="s">
        <v>126</v>
      </c>
      <c r="D12" s="140">
        <v>3.16</v>
      </c>
      <c r="E12" s="141" t="s">
        <v>127</v>
      </c>
      <c r="F12" s="141" t="s">
        <v>131</v>
      </c>
      <c r="G12" s="141">
        <v>17</v>
      </c>
      <c r="I12" s="143" t="s">
        <v>143</v>
      </c>
      <c r="X12" s="148"/>
      <c r="Y12" t="s">
        <v>277</v>
      </c>
      <c r="Z12" s="158">
        <v>60000</v>
      </c>
      <c r="AA12" s="160">
        <f t="shared" si="0"/>
        <v>72000</v>
      </c>
      <c r="AC12"/>
    </row>
    <row r="13" spans="1:29" ht="21">
      <c r="A13" s="137">
        <v>509240120</v>
      </c>
      <c r="B13" s="138" t="s">
        <v>125</v>
      </c>
      <c r="C13" s="139" t="s">
        <v>126</v>
      </c>
      <c r="D13" s="140">
        <v>320</v>
      </c>
      <c r="E13" s="141" t="s">
        <v>127</v>
      </c>
      <c r="F13" s="141" t="s">
        <v>131</v>
      </c>
      <c r="G13" s="141">
        <v>17</v>
      </c>
      <c r="I13" s="143" t="s">
        <v>144</v>
      </c>
      <c r="X13" s="148"/>
      <c r="Y13" t="s">
        <v>278</v>
      </c>
      <c r="Z13" s="158">
        <v>60000</v>
      </c>
      <c r="AA13" s="160">
        <f t="shared" si="0"/>
        <v>72000</v>
      </c>
      <c r="AC13"/>
    </row>
    <row r="14" spans="1:29" ht="21">
      <c r="A14" s="137" t="s">
        <v>145</v>
      </c>
      <c r="B14" s="138" t="s">
        <v>125</v>
      </c>
      <c r="C14" s="139" t="s">
        <v>126</v>
      </c>
      <c r="D14" s="140">
        <v>7.37</v>
      </c>
      <c r="E14" s="141" t="s">
        <v>127</v>
      </c>
      <c r="F14" s="141" t="s">
        <v>131</v>
      </c>
      <c r="G14" s="141">
        <v>17</v>
      </c>
      <c r="I14" s="143" t="s">
        <v>146</v>
      </c>
      <c r="X14" s="148"/>
      <c r="Y14" t="s">
        <v>279</v>
      </c>
      <c r="Z14" s="158">
        <v>30000</v>
      </c>
      <c r="AA14" s="160">
        <f t="shared" si="0"/>
        <v>36000</v>
      </c>
      <c r="AC14"/>
    </row>
    <row r="15" spans="1:29" ht="21">
      <c r="A15" s="137">
        <v>502250200</v>
      </c>
      <c r="B15" s="138" t="s">
        <v>125</v>
      </c>
      <c r="C15" s="139" t="s">
        <v>126</v>
      </c>
      <c r="D15" s="140">
        <v>316.95999999999901</v>
      </c>
      <c r="E15" s="141" t="s">
        <v>127</v>
      </c>
      <c r="F15" s="141" t="s">
        <v>128</v>
      </c>
      <c r="G15" s="141">
        <v>23</v>
      </c>
      <c r="I15" s="143" t="s">
        <v>147</v>
      </c>
      <c r="X15" s="148"/>
      <c r="Y15" t="s">
        <v>280</v>
      </c>
      <c r="Z15" s="158">
        <v>75000</v>
      </c>
      <c r="AA15" s="160">
        <f t="shared" si="0"/>
        <v>90000</v>
      </c>
      <c r="AC15"/>
    </row>
    <row r="16" spans="1:29" ht="21">
      <c r="A16" s="137">
        <v>502350030</v>
      </c>
      <c r="B16" s="138" t="s">
        <v>125</v>
      </c>
      <c r="C16" s="139" t="s">
        <v>126</v>
      </c>
      <c r="D16" s="140">
        <v>460.91</v>
      </c>
      <c r="E16" s="141" t="s">
        <v>127</v>
      </c>
      <c r="F16" s="141" t="s">
        <v>128</v>
      </c>
      <c r="G16" s="141">
        <v>24</v>
      </c>
      <c r="I16" s="143" t="s">
        <v>148</v>
      </c>
      <c r="X16" s="148"/>
      <c r="Y16" t="s">
        <v>281</v>
      </c>
      <c r="Z16" s="158">
        <v>30000</v>
      </c>
      <c r="AA16" s="160">
        <f t="shared" si="0"/>
        <v>36000</v>
      </c>
      <c r="AC16"/>
    </row>
    <row r="17" spans="1:29" ht="21">
      <c r="A17" s="137">
        <v>502250120</v>
      </c>
      <c r="B17" s="138" t="s">
        <v>149</v>
      </c>
      <c r="C17" s="139" t="s">
        <v>150</v>
      </c>
      <c r="D17" s="140">
        <v>160</v>
      </c>
      <c r="E17" s="141" t="s">
        <v>127</v>
      </c>
      <c r="F17" s="141" t="s">
        <v>128</v>
      </c>
      <c r="G17" s="141">
        <v>34</v>
      </c>
      <c r="I17" s="143" t="s">
        <v>151</v>
      </c>
      <c r="X17" s="148"/>
      <c r="Y17" t="s">
        <v>282</v>
      </c>
      <c r="Z17" s="158">
        <v>20000</v>
      </c>
      <c r="AA17" s="160">
        <f t="shared" si="0"/>
        <v>24000</v>
      </c>
      <c r="AC17"/>
    </row>
    <row r="18" spans="1:29" ht="21">
      <c r="A18" s="137" t="s">
        <v>152</v>
      </c>
      <c r="B18" s="138" t="s">
        <v>149</v>
      </c>
      <c r="C18" s="139" t="s">
        <v>153</v>
      </c>
      <c r="D18" s="140">
        <v>161.31</v>
      </c>
      <c r="E18" s="141" t="s">
        <v>127</v>
      </c>
      <c r="F18" s="141" t="s">
        <v>128</v>
      </c>
      <c r="G18" s="141">
        <v>14</v>
      </c>
      <c r="I18" s="143" t="s">
        <v>154</v>
      </c>
      <c r="X18" s="148"/>
      <c r="Y18" t="s">
        <v>283</v>
      </c>
      <c r="Z18" s="159">
        <v>110800</v>
      </c>
      <c r="AA18" s="160">
        <f t="shared" si="0"/>
        <v>132960</v>
      </c>
      <c r="AC18"/>
    </row>
    <row r="19" spans="1:29">
      <c r="A19" s="137">
        <v>502410310</v>
      </c>
      <c r="B19" s="138" t="s">
        <v>149</v>
      </c>
      <c r="C19" s="139" t="s">
        <v>153</v>
      </c>
      <c r="D19" s="140">
        <v>10</v>
      </c>
      <c r="E19" s="141" t="s">
        <v>127</v>
      </c>
      <c r="F19" s="141" t="s">
        <v>128</v>
      </c>
      <c r="G19" s="141">
        <v>33</v>
      </c>
      <c r="I19" s="143" t="s">
        <v>155</v>
      </c>
    </row>
    <row r="20" spans="1:29">
      <c r="A20" s="137">
        <v>502410330</v>
      </c>
      <c r="B20" s="138" t="s">
        <v>149</v>
      </c>
      <c r="C20" s="139" t="s">
        <v>153</v>
      </c>
      <c r="D20" s="140">
        <v>10</v>
      </c>
      <c r="E20" s="141" t="s">
        <v>127</v>
      </c>
      <c r="F20" s="141" t="s">
        <v>128</v>
      </c>
      <c r="G20" s="141">
        <v>33</v>
      </c>
      <c r="I20" s="143" t="s">
        <v>156</v>
      </c>
    </row>
    <row r="21" spans="1:29">
      <c r="A21" s="137" t="s">
        <v>157</v>
      </c>
      <c r="B21" s="138" t="s">
        <v>149</v>
      </c>
      <c r="C21" s="139" t="s">
        <v>153</v>
      </c>
      <c r="D21" s="140">
        <v>40</v>
      </c>
      <c r="E21" s="141" t="s">
        <v>127</v>
      </c>
      <c r="F21" s="141" t="s">
        <v>128</v>
      </c>
      <c r="G21" s="141">
        <v>28</v>
      </c>
      <c r="I21" s="143" t="s">
        <v>158</v>
      </c>
    </row>
    <row r="22" spans="1:29">
      <c r="A22" s="137">
        <v>502410230</v>
      </c>
      <c r="B22" s="138" t="s">
        <v>149</v>
      </c>
      <c r="C22" s="139" t="s">
        <v>153</v>
      </c>
      <c r="D22" s="140">
        <v>10</v>
      </c>
      <c r="E22" s="141" t="s">
        <v>127</v>
      </c>
      <c r="F22" s="141" t="s">
        <v>128</v>
      </c>
      <c r="G22" s="141">
        <v>33</v>
      </c>
      <c r="I22" s="143" t="s">
        <v>159</v>
      </c>
    </row>
    <row r="23" spans="1:29">
      <c r="A23" s="137">
        <v>502410250</v>
      </c>
      <c r="B23" s="138" t="s">
        <v>149</v>
      </c>
      <c r="C23" s="139" t="s">
        <v>153</v>
      </c>
      <c r="D23" s="140">
        <v>10</v>
      </c>
      <c r="E23" s="141" t="s">
        <v>127</v>
      </c>
      <c r="F23" s="141" t="s">
        <v>128</v>
      </c>
      <c r="G23" s="141">
        <v>33</v>
      </c>
      <c r="I23" s="143" t="s">
        <v>160</v>
      </c>
    </row>
    <row r="24" spans="1:29">
      <c r="A24" s="137">
        <v>502410220</v>
      </c>
      <c r="B24" s="138" t="s">
        <v>149</v>
      </c>
      <c r="C24" s="139" t="s">
        <v>153</v>
      </c>
      <c r="D24" s="140">
        <v>10</v>
      </c>
      <c r="E24" s="141" t="s">
        <v>127</v>
      </c>
      <c r="F24" s="141" t="s">
        <v>128</v>
      </c>
      <c r="G24" s="141">
        <v>33</v>
      </c>
      <c r="I24" s="143" t="s">
        <v>161</v>
      </c>
    </row>
    <row r="25" spans="1:29">
      <c r="A25" s="137">
        <v>502410240</v>
      </c>
      <c r="B25" s="138" t="s">
        <v>149</v>
      </c>
      <c r="C25" s="139" t="s">
        <v>153</v>
      </c>
      <c r="D25" s="140">
        <v>10</v>
      </c>
      <c r="E25" s="141" t="s">
        <v>127</v>
      </c>
      <c r="F25" s="141" t="s">
        <v>128</v>
      </c>
      <c r="G25" s="141">
        <v>33</v>
      </c>
      <c r="I25" s="143" t="s">
        <v>162</v>
      </c>
    </row>
    <row r="26" spans="1:29">
      <c r="A26" s="137">
        <v>502410100</v>
      </c>
      <c r="B26" s="138" t="s">
        <v>149</v>
      </c>
      <c r="C26" s="139" t="s">
        <v>153</v>
      </c>
      <c r="D26" s="140">
        <v>10</v>
      </c>
      <c r="E26" s="141" t="s">
        <v>127</v>
      </c>
      <c r="F26" s="141" t="s">
        <v>128</v>
      </c>
      <c r="G26" s="141">
        <v>33</v>
      </c>
      <c r="I26" s="143" t="s">
        <v>163</v>
      </c>
    </row>
    <row r="27" spans="1:29">
      <c r="A27" s="137">
        <v>502410090</v>
      </c>
      <c r="B27" s="138" t="s">
        <v>149</v>
      </c>
      <c r="C27" s="139" t="s">
        <v>153</v>
      </c>
      <c r="D27" s="140">
        <v>10</v>
      </c>
      <c r="E27" s="141" t="s">
        <v>127</v>
      </c>
      <c r="F27" s="141" t="s">
        <v>128</v>
      </c>
      <c r="G27" s="141">
        <v>33</v>
      </c>
      <c r="I27" s="143" t="s">
        <v>164</v>
      </c>
    </row>
    <row r="28" spans="1:29">
      <c r="A28" s="137">
        <v>502410080</v>
      </c>
      <c r="B28" s="138" t="s">
        <v>149</v>
      </c>
      <c r="C28" s="139" t="s">
        <v>153</v>
      </c>
      <c r="D28" s="140">
        <v>10</v>
      </c>
      <c r="E28" s="141" t="s">
        <v>127</v>
      </c>
      <c r="F28" s="141" t="s">
        <v>128</v>
      </c>
      <c r="G28" s="141">
        <v>33</v>
      </c>
      <c r="I28" s="143" t="s">
        <v>165</v>
      </c>
    </row>
    <row r="29" spans="1:29">
      <c r="A29" s="137">
        <v>502410110</v>
      </c>
      <c r="B29" s="138" t="s">
        <v>149</v>
      </c>
      <c r="C29" s="139" t="s">
        <v>153</v>
      </c>
      <c r="D29" s="140">
        <v>10</v>
      </c>
      <c r="E29" s="141" t="s">
        <v>127</v>
      </c>
      <c r="F29" s="141" t="s">
        <v>128</v>
      </c>
      <c r="G29" s="141">
        <v>33</v>
      </c>
      <c r="I29" s="143" t="s">
        <v>166</v>
      </c>
    </row>
    <row r="30" spans="1:29">
      <c r="A30" s="137" t="s">
        <v>167</v>
      </c>
      <c r="B30" s="138" t="s">
        <v>149</v>
      </c>
      <c r="C30" s="139" t="s">
        <v>153</v>
      </c>
      <c r="D30" s="140">
        <v>10</v>
      </c>
      <c r="E30" s="141" t="s">
        <v>127</v>
      </c>
      <c r="F30" s="141" t="s">
        <v>128</v>
      </c>
      <c r="G30" s="141">
        <v>28</v>
      </c>
      <c r="I30" s="143" t="s">
        <v>168</v>
      </c>
    </row>
    <row r="31" spans="1:29">
      <c r="A31" s="137" t="s">
        <v>169</v>
      </c>
      <c r="B31" s="138" t="s">
        <v>149</v>
      </c>
      <c r="C31" s="139" t="s">
        <v>153</v>
      </c>
      <c r="D31" s="140">
        <v>40</v>
      </c>
      <c r="E31" s="141" t="s">
        <v>127</v>
      </c>
      <c r="F31" s="141" t="s">
        <v>128</v>
      </c>
      <c r="G31" s="141">
        <v>27</v>
      </c>
      <c r="I31" s="143" t="s">
        <v>170</v>
      </c>
    </row>
    <row r="32" spans="1:29">
      <c r="A32" s="137" t="s">
        <v>171</v>
      </c>
      <c r="B32" s="138" t="s">
        <v>149</v>
      </c>
      <c r="C32" s="139" t="s">
        <v>153</v>
      </c>
      <c r="D32" s="140">
        <v>20</v>
      </c>
      <c r="E32" s="141" t="s">
        <v>127</v>
      </c>
      <c r="F32" s="141" t="s">
        <v>128</v>
      </c>
      <c r="G32" s="141">
        <v>27</v>
      </c>
      <c r="I32" s="143" t="s">
        <v>172</v>
      </c>
    </row>
    <row r="33" spans="1:9">
      <c r="A33" s="137" t="s">
        <v>173</v>
      </c>
      <c r="B33" s="138" t="s">
        <v>149</v>
      </c>
      <c r="C33" s="139" t="s">
        <v>153</v>
      </c>
      <c r="D33" s="140">
        <v>20</v>
      </c>
      <c r="E33" s="141" t="s">
        <v>127</v>
      </c>
      <c r="F33" s="141" t="s">
        <v>128</v>
      </c>
      <c r="G33" s="141">
        <v>27</v>
      </c>
      <c r="I33" s="143" t="s">
        <v>174</v>
      </c>
    </row>
    <row r="34" spans="1:9">
      <c r="A34" s="137">
        <v>502360020</v>
      </c>
      <c r="B34" s="138" t="s">
        <v>175</v>
      </c>
      <c r="C34" s="139" t="s">
        <v>176</v>
      </c>
      <c r="D34" s="140">
        <v>40</v>
      </c>
      <c r="E34" s="141" t="s">
        <v>127</v>
      </c>
      <c r="F34" s="141" t="s">
        <v>128</v>
      </c>
      <c r="G34" s="141">
        <v>27</v>
      </c>
      <c r="I34" s="143" t="s">
        <v>177</v>
      </c>
    </row>
    <row r="35" spans="1:9">
      <c r="A35" s="137" t="s">
        <v>178</v>
      </c>
      <c r="B35" s="138" t="s">
        <v>175</v>
      </c>
      <c r="C35" s="139" t="s">
        <v>176</v>
      </c>
      <c r="D35" s="140">
        <v>60</v>
      </c>
      <c r="E35" s="141" t="s">
        <v>127</v>
      </c>
      <c r="F35" s="141" t="s">
        <v>128</v>
      </c>
      <c r="G35" s="141">
        <v>27</v>
      </c>
      <c r="I35" s="143" t="s">
        <v>179</v>
      </c>
    </row>
    <row r="36" spans="1:9">
      <c r="A36" s="137">
        <v>502360030</v>
      </c>
      <c r="B36" s="138" t="s">
        <v>175</v>
      </c>
      <c r="C36" s="139" t="s">
        <v>176</v>
      </c>
      <c r="D36" s="140">
        <v>40</v>
      </c>
      <c r="E36" s="141" t="s">
        <v>127</v>
      </c>
      <c r="F36" s="141" t="s">
        <v>128</v>
      </c>
      <c r="G36" s="141">
        <v>27</v>
      </c>
      <c r="I36" s="143" t="s">
        <v>180</v>
      </c>
    </row>
    <row r="37" spans="1:9">
      <c r="A37" s="137" t="s">
        <v>181</v>
      </c>
      <c r="B37" s="138" t="s">
        <v>175</v>
      </c>
      <c r="C37" s="139" t="s">
        <v>176</v>
      </c>
      <c r="D37" s="140">
        <v>60</v>
      </c>
      <c r="E37" s="141" t="s">
        <v>127</v>
      </c>
      <c r="F37" s="141" t="s">
        <v>128</v>
      </c>
      <c r="G37" s="141">
        <v>27</v>
      </c>
      <c r="I37" s="143" t="s">
        <v>182</v>
      </c>
    </row>
    <row r="38" spans="1:9">
      <c r="A38" s="137" t="s">
        <v>183</v>
      </c>
      <c r="B38" s="138" t="s">
        <v>175</v>
      </c>
      <c r="C38" s="139" t="s">
        <v>176</v>
      </c>
      <c r="D38" s="140">
        <v>40</v>
      </c>
      <c r="E38" s="141" t="s">
        <v>127</v>
      </c>
      <c r="F38" s="141" t="s">
        <v>128</v>
      </c>
      <c r="G38" s="141">
        <v>27</v>
      </c>
      <c r="I38" s="143" t="s">
        <v>184</v>
      </c>
    </row>
    <row r="39" spans="1:9">
      <c r="A39" s="137" t="s">
        <v>185</v>
      </c>
      <c r="B39" s="138" t="s">
        <v>186</v>
      </c>
      <c r="C39" s="139" t="s">
        <v>187</v>
      </c>
      <c r="D39" s="140">
        <v>20</v>
      </c>
      <c r="E39" s="141" t="s">
        <v>127</v>
      </c>
      <c r="F39" s="141" t="s">
        <v>128</v>
      </c>
      <c r="G39" s="141">
        <v>28</v>
      </c>
      <c r="I39" s="143" t="s">
        <v>188</v>
      </c>
    </row>
    <row r="40" spans="1:9">
      <c r="A40" s="137">
        <v>502370040</v>
      </c>
      <c r="B40" s="138" t="s">
        <v>186</v>
      </c>
      <c r="C40" s="139" t="s">
        <v>187</v>
      </c>
      <c r="D40" s="140">
        <v>160</v>
      </c>
      <c r="E40" s="141" t="s">
        <v>127</v>
      </c>
      <c r="F40" s="141" t="s">
        <v>128</v>
      </c>
      <c r="G40" s="141">
        <v>28</v>
      </c>
      <c r="I40" s="143" t="s">
        <v>189</v>
      </c>
    </row>
    <row r="41" spans="1:9">
      <c r="A41" s="137">
        <v>502410360</v>
      </c>
      <c r="B41" s="138" t="s">
        <v>186</v>
      </c>
      <c r="C41" s="139" t="s">
        <v>187</v>
      </c>
      <c r="D41" s="140">
        <v>160</v>
      </c>
      <c r="E41" s="141" t="s">
        <v>127</v>
      </c>
      <c r="F41" s="141" t="s">
        <v>128</v>
      </c>
      <c r="G41" s="141">
        <v>33</v>
      </c>
      <c r="I41" s="143" t="s">
        <v>190</v>
      </c>
    </row>
    <row r="42" spans="1:9">
      <c r="A42" s="137">
        <v>502410350</v>
      </c>
      <c r="B42" s="138" t="s">
        <v>186</v>
      </c>
      <c r="C42" s="139" t="s">
        <v>187</v>
      </c>
      <c r="D42" s="140">
        <v>80</v>
      </c>
      <c r="E42" s="141" t="s">
        <v>127</v>
      </c>
      <c r="F42" s="141" t="s">
        <v>128</v>
      </c>
      <c r="G42" s="141">
        <v>33</v>
      </c>
      <c r="I42" s="143" t="s">
        <v>191</v>
      </c>
    </row>
    <row r="43" spans="1:9">
      <c r="A43" s="137">
        <v>502410340</v>
      </c>
      <c r="B43" s="138" t="s">
        <v>186</v>
      </c>
      <c r="C43" s="139" t="s">
        <v>187</v>
      </c>
      <c r="D43" s="140">
        <v>80</v>
      </c>
      <c r="E43" s="141" t="s">
        <v>127</v>
      </c>
      <c r="F43" s="141" t="s">
        <v>128</v>
      </c>
      <c r="G43" s="141">
        <v>33</v>
      </c>
      <c r="I43" s="143" t="s">
        <v>192</v>
      </c>
    </row>
    <row r="44" spans="1:9">
      <c r="A44" s="137" t="s">
        <v>193</v>
      </c>
      <c r="B44" s="138" t="s">
        <v>186</v>
      </c>
      <c r="C44" s="139" t="s">
        <v>187</v>
      </c>
      <c r="D44" s="140">
        <v>20</v>
      </c>
      <c r="E44" s="141" t="s">
        <v>127</v>
      </c>
      <c r="F44" s="141" t="s">
        <v>128</v>
      </c>
      <c r="G44" s="141">
        <v>28</v>
      </c>
      <c r="I44" s="143" t="s">
        <v>194</v>
      </c>
    </row>
    <row r="45" spans="1:9">
      <c r="A45" s="137" t="s">
        <v>195</v>
      </c>
      <c r="B45" s="138" t="s">
        <v>186</v>
      </c>
      <c r="C45" s="139" t="s">
        <v>187</v>
      </c>
      <c r="D45" s="140">
        <v>40</v>
      </c>
      <c r="E45" s="141" t="s">
        <v>127</v>
      </c>
      <c r="F45" s="141" t="s">
        <v>128</v>
      </c>
      <c r="G45" s="141">
        <v>28</v>
      </c>
      <c r="I45" s="143" t="s">
        <v>196</v>
      </c>
    </row>
    <row r="46" spans="1:9">
      <c r="A46" s="137" t="s">
        <v>197</v>
      </c>
      <c r="B46" s="138" t="s">
        <v>186</v>
      </c>
      <c r="C46" s="139" t="s">
        <v>187</v>
      </c>
      <c r="D46" s="140">
        <v>40</v>
      </c>
      <c r="E46" s="141" t="s">
        <v>127</v>
      </c>
      <c r="F46" s="141" t="s">
        <v>128</v>
      </c>
      <c r="G46" s="141">
        <v>28</v>
      </c>
      <c r="I46" s="143" t="s">
        <v>198</v>
      </c>
    </row>
    <row r="47" spans="1:9">
      <c r="A47" s="137" t="s">
        <v>199</v>
      </c>
      <c r="B47" s="138" t="s">
        <v>186</v>
      </c>
      <c r="C47" s="139" t="s">
        <v>187</v>
      </c>
      <c r="D47" s="140">
        <v>80</v>
      </c>
      <c r="E47" s="141" t="s">
        <v>127</v>
      </c>
      <c r="F47" s="141" t="s">
        <v>128</v>
      </c>
      <c r="G47" s="141">
        <v>28</v>
      </c>
      <c r="I47" s="143" t="s">
        <v>200</v>
      </c>
    </row>
    <row r="48" spans="1:9">
      <c r="A48" s="137" t="s">
        <v>201</v>
      </c>
      <c r="B48" s="138" t="s">
        <v>186</v>
      </c>
      <c r="C48" s="139" t="s">
        <v>187</v>
      </c>
      <c r="D48" s="140">
        <v>40</v>
      </c>
      <c r="E48" s="141" t="s">
        <v>127</v>
      </c>
      <c r="F48" s="141" t="s">
        <v>128</v>
      </c>
      <c r="G48" s="141">
        <v>28</v>
      </c>
      <c r="I48" s="143" t="s">
        <v>202</v>
      </c>
    </row>
    <row r="49" spans="1:9">
      <c r="A49" s="137">
        <v>502330040</v>
      </c>
      <c r="B49" s="138" t="s">
        <v>186</v>
      </c>
      <c r="C49" s="139" t="s">
        <v>187</v>
      </c>
      <c r="D49" s="140">
        <v>480</v>
      </c>
      <c r="E49" s="141" t="s">
        <v>127</v>
      </c>
      <c r="F49" s="141" t="s">
        <v>128</v>
      </c>
      <c r="G49" s="141">
        <v>21</v>
      </c>
      <c r="I49" s="143" t="s">
        <v>203</v>
      </c>
    </row>
    <row r="50" spans="1:9">
      <c r="A50" s="137" t="s">
        <v>204</v>
      </c>
      <c r="B50" s="138" t="s">
        <v>186</v>
      </c>
      <c r="C50" s="139" t="s">
        <v>187</v>
      </c>
      <c r="D50" s="140">
        <v>20</v>
      </c>
      <c r="E50" s="141" t="s">
        <v>127</v>
      </c>
      <c r="F50" s="141" t="s">
        <v>128</v>
      </c>
      <c r="G50" s="141">
        <v>28</v>
      </c>
      <c r="I50" s="143" t="s">
        <v>205</v>
      </c>
    </row>
    <row r="51" spans="1:9">
      <c r="A51" s="137" t="s">
        <v>206</v>
      </c>
      <c r="B51" s="138" t="s">
        <v>186</v>
      </c>
      <c r="C51" s="139" t="s">
        <v>187</v>
      </c>
      <c r="D51" s="140">
        <v>10</v>
      </c>
      <c r="E51" s="141" t="s">
        <v>127</v>
      </c>
      <c r="F51" s="141" t="s">
        <v>128</v>
      </c>
      <c r="G51" s="141">
        <v>28</v>
      </c>
      <c r="I51" s="143" t="s">
        <v>207</v>
      </c>
    </row>
    <row r="52" spans="1:9">
      <c r="A52" s="137">
        <v>502260030</v>
      </c>
      <c r="B52" s="138" t="s">
        <v>186</v>
      </c>
      <c r="C52" s="139" t="s">
        <v>187</v>
      </c>
      <c r="D52" s="140">
        <v>359.05</v>
      </c>
      <c r="E52" s="141" t="s">
        <v>127</v>
      </c>
      <c r="F52" s="141" t="s">
        <v>128</v>
      </c>
      <c r="G52" s="141">
        <v>16</v>
      </c>
      <c r="I52" s="143" t="s">
        <v>208</v>
      </c>
    </row>
    <row r="53" spans="1:9">
      <c r="A53" s="137">
        <v>502250190</v>
      </c>
      <c r="B53" s="138" t="s">
        <v>186</v>
      </c>
      <c r="C53" s="139" t="s">
        <v>187</v>
      </c>
      <c r="D53" s="140">
        <v>641.08000000000004</v>
      </c>
      <c r="E53" s="141" t="s">
        <v>127</v>
      </c>
      <c r="F53" s="141" t="s">
        <v>128</v>
      </c>
      <c r="G53" s="141">
        <v>15</v>
      </c>
      <c r="I53" s="143" t="s">
        <v>209</v>
      </c>
    </row>
    <row r="54" spans="1:9">
      <c r="A54" s="137" t="s">
        <v>210</v>
      </c>
      <c r="B54" s="138" t="s">
        <v>211</v>
      </c>
      <c r="C54" s="139" t="s">
        <v>212</v>
      </c>
      <c r="D54" s="140">
        <v>25</v>
      </c>
      <c r="E54" s="141" t="s">
        <v>127</v>
      </c>
      <c r="F54" s="141" t="s">
        <v>128</v>
      </c>
      <c r="G54" s="141">
        <v>21</v>
      </c>
      <c r="I54" s="143" t="s">
        <v>213</v>
      </c>
    </row>
    <row r="55" spans="1:9">
      <c r="A55" s="137" t="s">
        <v>214</v>
      </c>
      <c r="B55" s="138" t="s">
        <v>211</v>
      </c>
      <c r="C55" s="139" t="s">
        <v>212</v>
      </c>
      <c r="D55" s="140">
        <v>35</v>
      </c>
      <c r="E55" s="141" t="s">
        <v>127</v>
      </c>
      <c r="F55" s="141" t="s">
        <v>128</v>
      </c>
      <c r="G55" s="141">
        <v>21</v>
      </c>
      <c r="I55" s="143" t="s">
        <v>215</v>
      </c>
    </row>
    <row r="56" spans="1:9">
      <c r="A56" s="137">
        <v>502330020</v>
      </c>
      <c r="B56" s="138" t="s">
        <v>211</v>
      </c>
      <c r="C56" s="139" t="s">
        <v>212</v>
      </c>
      <c r="D56" s="140">
        <v>40</v>
      </c>
      <c r="E56" s="141" t="s">
        <v>127</v>
      </c>
      <c r="F56" s="141" t="s">
        <v>128</v>
      </c>
      <c r="G56" s="141">
        <v>21</v>
      </c>
      <c r="I56" s="143" t="s">
        <v>216</v>
      </c>
    </row>
    <row r="57" spans="1:9">
      <c r="A57" s="137" t="s">
        <v>217</v>
      </c>
      <c r="B57" s="138" t="s">
        <v>211</v>
      </c>
      <c r="C57" s="139" t="s">
        <v>212</v>
      </c>
      <c r="D57" s="140">
        <v>19</v>
      </c>
      <c r="E57" s="141" t="s">
        <v>127</v>
      </c>
      <c r="F57" s="141" t="s">
        <v>128</v>
      </c>
      <c r="G57" s="141">
        <v>21</v>
      </c>
      <c r="I57" s="143" t="s">
        <v>218</v>
      </c>
    </row>
    <row r="58" spans="1:9">
      <c r="A58" s="137" t="s">
        <v>219</v>
      </c>
      <c r="B58" s="138" t="s">
        <v>211</v>
      </c>
      <c r="C58" s="139" t="s">
        <v>212</v>
      </c>
      <c r="D58" s="140">
        <v>40</v>
      </c>
      <c r="E58" s="141" t="s">
        <v>127</v>
      </c>
      <c r="F58" s="141" t="s">
        <v>128</v>
      </c>
      <c r="G58" s="141">
        <v>21</v>
      </c>
      <c r="I58" s="143" t="s">
        <v>220</v>
      </c>
    </row>
    <row r="59" spans="1:9">
      <c r="A59" s="137" t="s">
        <v>221</v>
      </c>
      <c r="B59" s="138" t="s">
        <v>211</v>
      </c>
      <c r="C59" s="139" t="s">
        <v>222</v>
      </c>
      <c r="D59" s="140">
        <v>120</v>
      </c>
      <c r="E59" s="141" t="s">
        <v>127</v>
      </c>
      <c r="F59" s="141" t="s">
        <v>128</v>
      </c>
      <c r="G59" s="141">
        <v>24</v>
      </c>
      <c r="I59" s="143" t="s">
        <v>223</v>
      </c>
    </row>
    <row r="60" spans="1:9">
      <c r="A60" s="137">
        <v>502350040</v>
      </c>
      <c r="B60" s="138" t="s">
        <v>211</v>
      </c>
      <c r="C60" s="139" t="s">
        <v>222</v>
      </c>
      <c r="D60" s="140">
        <v>20</v>
      </c>
      <c r="E60" s="141" t="s">
        <v>127</v>
      </c>
      <c r="F60" s="141" t="s">
        <v>128</v>
      </c>
      <c r="G60" s="141">
        <v>24</v>
      </c>
      <c r="I60" s="143" t="s">
        <v>224</v>
      </c>
    </row>
    <row r="61" spans="1:9">
      <c r="A61" s="137" t="s">
        <v>225</v>
      </c>
      <c r="B61" s="138" t="s">
        <v>211</v>
      </c>
      <c r="C61" s="139" t="s">
        <v>226</v>
      </c>
      <c r="D61" s="140">
        <v>20</v>
      </c>
      <c r="E61" s="141" t="s">
        <v>127</v>
      </c>
      <c r="F61" s="141" t="s">
        <v>128</v>
      </c>
      <c r="G61" s="141">
        <v>23</v>
      </c>
      <c r="I61" s="143" t="s">
        <v>227</v>
      </c>
    </row>
    <row r="62" spans="1:9">
      <c r="A62" s="137" t="s">
        <v>228</v>
      </c>
      <c r="B62" s="138" t="s">
        <v>211</v>
      </c>
      <c r="C62" s="139" t="s">
        <v>229</v>
      </c>
      <c r="D62" s="140">
        <v>624</v>
      </c>
      <c r="E62" s="141" t="s">
        <v>127</v>
      </c>
      <c r="F62" s="141" t="s">
        <v>128</v>
      </c>
      <c r="G62" s="141">
        <v>36</v>
      </c>
      <c r="I62" s="143" t="s">
        <v>230</v>
      </c>
    </row>
    <row r="63" spans="1:9">
      <c r="A63" s="137" t="s">
        <v>231</v>
      </c>
      <c r="B63" s="138" t="s">
        <v>211</v>
      </c>
      <c r="C63" s="139" t="s">
        <v>229</v>
      </c>
      <c r="D63" s="140">
        <v>151.15</v>
      </c>
      <c r="E63" s="141" t="s">
        <v>127</v>
      </c>
      <c r="F63" s="141" t="s">
        <v>128</v>
      </c>
      <c r="G63" s="141">
        <v>26</v>
      </c>
      <c r="I63" s="143" t="s">
        <v>232</v>
      </c>
    </row>
    <row r="64" spans="1:9">
      <c r="A64" s="137">
        <v>502250040</v>
      </c>
      <c r="B64" s="138" t="s">
        <v>211</v>
      </c>
      <c r="C64" s="139" t="s">
        <v>229</v>
      </c>
      <c r="D64" s="140">
        <v>160</v>
      </c>
      <c r="E64" s="141" t="s">
        <v>127</v>
      </c>
      <c r="F64" s="141" t="s">
        <v>128</v>
      </c>
      <c r="G64" s="141">
        <v>25</v>
      </c>
      <c r="I64" s="143" t="s">
        <v>233</v>
      </c>
    </row>
    <row r="65" spans="1:9">
      <c r="A65" s="137" t="s">
        <v>234</v>
      </c>
      <c r="B65" s="138" t="s">
        <v>211</v>
      </c>
      <c r="C65" s="139" t="s">
        <v>229</v>
      </c>
      <c r="D65" s="140">
        <v>294</v>
      </c>
      <c r="E65" s="141" t="s">
        <v>127</v>
      </c>
      <c r="F65" s="141" t="s">
        <v>128</v>
      </c>
      <c r="G65" s="141">
        <v>25</v>
      </c>
      <c r="I65" s="143" t="s">
        <v>235</v>
      </c>
    </row>
    <row r="66" spans="1:9">
      <c r="A66" s="137" t="s">
        <v>236</v>
      </c>
      <c r="B66" s="138" t="s">
        <v>211</v>
      </c>
      <c r="C66" s="139" t="s">
        <v>229</v>
      </c>
      <c r="D66" s="140">
        <v>40</v>
      </c>
      <c r="E66" s="141" t="s">
        <v>127</v>
      </c>
      <c r="F66" s="141" t="s">
        <v>128</v>
      </c>
      <c r="G66" s="141">
        <v>26</v>
      </c>
      <c r="I66" s="143" t="s">
        <v>237</v>
      </c>
    </row>
    <row r="67" spans="1:9">
      <c r="A67" s="137" t="s">
        <v>238</v>
      </c>
      <c r="B67" s="138" t="s">
        <v>211</v>
      </c>
      <c r="C67" s="139" t="s">
        <v>229</v>
      </c>
      <c r="D67" s="140">
        <v>120</v>
      </c>
      <c r="E67" s="141" t="s">
        <v>127</v>
      </c>
      <c r="F67" s="141" t="s">
        <v>128</v>
      </c>
      <c r="G67" s="141">
        <v>26</v>
      </c>
      <c r="I67" s="143" t="s">
        <v>239</v>
      </c>
    </row>
    <row r="68" spans="1:9">
      <c r="A68" s="137">
        <v>502250060</v>
      </c>
      <c r="B68" s="138" t="s">
        <v>211</v>
      </c>
      <c r="C68" s="139" t="s">
        <v>229</v>
      </c>
      <c r="D68" s="140">
        <v>160</v>
      </c>
      <c r="E68" s="141" t="s">
        <v>127</v>
      </c>
      <c r="F68" s="141" t="s">
        <v>128</v>
      </c>
      <c r="G68" s="141">
        <v>25</v>
      </c>
      <c r="I68" s="143" t="s">
        <v>240</v>
      </c>
    </row>
    <row r="69" spans="1:9">
      <c r="A69" s="137" t="s">
        <v>241</v>
      </c>
      <c r="B69" s="138" t="s">
        <v>211</v>
      </c>
      <c r="C69" s="139" t="s">
        <v>242</v>
      </c>
      <c r="D69" s="140">
        <v>20</v>
      </c>
      <c r="E69" s="141" t="s">
        <v>127</v>
      </c>
      <c r="F69" s="141" t="s">
        <v>128</v>
      </c>
      <c r="G69" s="141">
        <v>23</v>
      </c>
      <c r="I69" s="143" t="s">
        <v>243</v>
      </c>
    </row>
    <row r="70" spans="1:9">
      <c r="A70" s="137" t="s">
        <v>244</v>
      </c>
      <c r="B70" s="138" t="s">
        <v>211</v>
      </c>
      <c r="C70" s="139" t="s">
        <v>245</v>
      </c>
      <c r="D70" s="140">
        <v>5</v>
      </c>
      <c r="E70" s="141" t="s">
        <v>127</v>
      </c>
      <c r="F70" s="141" t="s">
        <v>128</v>
      </c>
      <c r="G70" s="141">
        <v>22</v>
      </c>
      <c r="I70" s="143" t="s">
        <v>246</v>
      </c>
    </row>
    <row r="71" spans="1:9">
      <c r="A71" s="137" t="s">
        <v>247</v>
      </c>
      <c r="B71" s="138" t="s">
        <v>211</v>
      </c>
      <c r="C71" s="139" t="s">
        <v>245</v>
      </c>
      <c r="D71" s="140">
        <v>25</v>
      </c>
      <c r="E71" s="141" t="s">
        <v>127</v>
      </c>
      <c r="F71" s="141" t="s">
        <v>128</v>
      </c>
      <c r="G71" s="141">
        <v>22</v>
      </c>
      <c r="I71" s="143" t="s">
        <v>248</v>
      </c>
    </row>
    <row r="72" spans="1:9">
      <c r="A72" s="137" t="s">
        <v>249</v>
      </c>
      <c r="B72" s="138" t="s">
        <v>211</v>
      </c>
      <c r="C72" s="139" t="s">
        <v>245</v>
      </c>
      <c r="D72" s="140">
        <v>10</v>
      </c>
      <c r="E72" s="141" t="s">
        <v>127</v>
      </c>
      <c r="F72" s="141" t="s">
        <v>128</v>
      </c>
      <c r="G72" s="141">
        <v>22</v>
      </c>
      <c r="I72" s="143" t="s">
        <v>250</v>
      </c>
    </row>
    <row r="73" spans="1:9">
      <c r="A73" s="137" t="s">
        <v>251</v>
      </c>
      <c r="B73" s="138" t="s">
        <v>211</v>
      </c>
      <c r="C73" s="139" t="s">
        <v>252</v>
      </c>
      <c r="D73" s="140">
        <v>40</v>
      </c>
      <c r="E73" s="141" t="s">
        <v>127</v>
      </c>
      <c r="F73" s="141" t="s">
        <v>128</v>
      </c>
      <c r="G73" s="141">
        <v>16</v>
      </c>
      <c r="I73" s="143" t="s">
        <v>253</v>
      </c>
    </row>
    <row r="74" spans="1:9">
      <c r="A74" s="137" t="s">
        <v>254</v>
      </c>
      <c r="B74" s="138" t="s">
        <v>211</v>
      </c>
      <c r="C74" s="139" t="s">
        <v>252</v>
      </c>
      <c r="D74" s="140">
        <v>40</v>
      </c>
      <c r="E74" s="141" t="s">
        <v>127</v>
      </c>
      <c r="F74" s="141" t="s">
        <v>128</v>
      </c>
      <c r="G74" s="141">
        <v>16</v>
      </c>
      <c r="I74" s="143" t="s">
        <v>255</v>
      </c>
    </row>
    <row r="75" spans="1:9">
      <c r="A75" s="137" t="s">
        <v>256</v>
      </c>
      <c r="B75" s="138" t="s">
        <v>211</v>
      </c>
      <c r="C75" s="139" t="s">
        <v>252</v>
      </c>
      <c r="D75" s="140">
        <v>80</v>
      </c>
      <c r="E75" s="141" t="s">
        <v>127</v>
      </c>
      <c r="F75" s="141" t="s">
        <v>128</v>
      </c>
      <c r="G75" s="141">
        <v>16</v>
      </c>
      <c r="I75" s="143" t="s">
        <v>257</v>
      </c>
    </row>
    <row r="76" spans="1:9">
      <c r="A76" s="137">
        <v>502250020</v>
      </c>
      <c r="B76" s="138" t="s">
        <v>211</v>
      </c>
      <c r="C76" s="139" t="s">
        <v>258</v>
      </c>
      <c r="D76" s="140">
        <v>80</v>
      </c>
      <c r="E76" s="141" t="s">
        <v>127</v>
      </c>
      <c r="F76" s="141" t="s">
        <v>128</v>
      </c>
      <c r="G76" s="141">
        <v>23</v>
      </c>
      <c r="I76" s="143" t="s">
        <v>259</v>
      </c>
    </row>
    <row r="77" spans="1:9">
      <c r="A77" s="137" t="s">
        <v>260</v>
      </c>
      <c r="B77" s="138" t="s">
        <v>211</v>
      </c>
      <c r="C77" s="139" t="s">
        <v>258</v>
      </c>
      <c r="D77" s="140">
        <v>40</v>
      </c>
      <c r="E77" s="141" t="s">
        <v>127</v>
      </c>
      <c r="F77" s="141" t="s">
        <v>128</v>
      </c>
      <c r="G77" s="141">
        <v>23</v>
      </c>
      <c r="I77" s="143" t="s">
        <v>261</v>
      </c>
    </row>
    <row r="78" spans="1:9">
      <c r="A78" s="137" t="s">
        <v>262</v>
      </c>
      <c r="B78" s="138" t="s">
        <v>211</v>
      </c>
      <c r="C78" s="139" t="s">
        <v>263</v>
      </c>
      <c r="D78" s="140">
        <v>40</v>
      </c>
      <c r="E78" s="141" t="s">
        <v>127</v>
      </c>
      <c r="F78" s="141" t="s">
        <v>128</v>
      </c>
      <c r="G78" s="141">
        <v>22</v>
      </c>
      <c r="I78" s="143" t="s">
        <v>264</v>
      </c>
    </row>
    <row r="79" spans="1:9">
      <c r="C79" s="144" t="s">
        <v>68</v>
      </c>
      <c r="D79" s="145">
        <f>SUM(D2:D78)</f>
        <v>8701.6999999999971</v>
      </c>
    </row>
    <row r="80" spans="1:9">
      <c r="C80" s="142"/>
    </row>
    <row r="81" spans="3:7">
      <c r="C81" s="142" t="str">
        <f>B2</f>
        <v>ANCCC</v>
      </c>
      <c r="D81" s="140">
        <f>SUMIF(B$2:B$78,C81,D$2:D$78)</f>
        <v>3432.1099999999979</v>
      </c>
      <c r="G81" s="146">
        <f t="shared" ref="G81:G86" si="1">D81/D$79</f>
        <v>0.39441833205005905</v>
      </c>
    </row>
    <row r="82" spans="3:7">
      <c r="C82" s="142" t="s">
        <v>265</v>
      </c>
      <c r="D82" s="140">
        <f>D18</f>
        <v>161.31</v>
      </c>
      <c r="G82" s="146">
        <f t="shared" si="1"/>
        <v>1.8537756990013452E-2</v>
      </c>
    </row>
    <row r="83" spans="3:7">
      <c r="C83" s="142" t="str">
        <f>B17</f>
        <v>Merril</v>
      </c>
      <c r="D83" s="140">
        <f>SUMIF(B$2:B$78,C83,D$2:D$78)-D82</f>
        <v>389.99999999999994</v>
      </c>
      <c r="G83" s="146">
        <f t="shared" si="1"/>
        <v>4.4818828504774935E-2</v>
      </c>
    </row>
    <row r="84" spans="3:7">
      <c r="C84" s="142" t="str">
        <f>B34</f>
        <v>TrustBank</v>
      </c>
      <c r="D84" s="140">
        <f>SUMIF(B$2:B$78,C84,D$2:D$78)</f>
        <v>240</v>
      </c>
      <c r="G84" s="146">
        <f t="shared" si="1"/>
        <v>2.7580817541399967E-2</v>
      </c>
    </row>
    <row r="85" spans="3:7">
      <c r="C85" s="142" t="str">
        <f>B39</f>
        <v>Vestin</v>
      </c>
      <c r="D85" s="140">
        <f>SUMIF(B$2:B$78,C85,D$2:D$78)</f>
        <v>2230.13</v>
      </c>
      <c r="G85" s="146">
        <f t="shared" si="1"/>
        <v>0.25628670259834296</v>
      </c>
    </row>
    <row r="86" spans="3:7">
      <c r="C86" s="142" t="str">
        <f>B54</f>
        <v>Yount</v>
      </c>
      <c r="D86" s="140">
        <f>SUMIF(B$2:B$78,C86,D$2:D$78)</f>
        <v>2248.15</v>
      </c>
      <c r="G86" s="146">
        <f t="shared" si="1"/>
        <v>0.25835756231540974</v>
      </c>
    </row>
    <row r="88" spans="3:7">
      <c r="C88" s="141" t="s">
        <v>266</v>
      </c>
      <c r="D88" s="147">
        <f>SUM(D81:D86)</f>
        <v>8701.6999999999989</v>
      </c>
    </row>
    <row r="97" spans="30:32" ht="15">
      <c r="AE97"/>
      <c r="AF97"/>
    </row>
    <row r="98" spans="30:32" ht="15">
      <c r="AE98"/>
      <c r="AF98"/>
    </row>
    <row r="99" spans="30:32" ht="15">
      <c r="AE99"/>
      <c r="AF99"/>
    </row>
    <row r="100" spans="30:32" ht="15">
      <c r="AE100"/>
      <c r="AF100"/>
    </row>
    <row r="101" spans="30:32" ht="15">
      <c r="AD101"/>
      <c r="AE101"/>
      <c r="AF101"/>
    </row>
    <row r="102" spans="30:32" ht="15">
      <c r="AD102"/>
      <c r="AF102"/>
    </row>
    <row r="103" spans="30:32" ht="15">
      <c r="AD103"/>
      <c r="AE103"/>
      <c r="AF103"/>
    </row>
    <row r="104" spans="30:32" ht="15">
      <c r="AD104"/>
      <c r="AE104"/>
      <c r="AF104"/>
    </row>
    <row r="105" spans="30:32" ht="15">
      <c r="AD105"/>
      <c r="AE105"/>
      <c r="AF105"/>
    </row>
    <row r="106" spans="30:32" ht="15">
      <c r="AE106"/>
      <c r="AF106"/>
    </row>
    <row r="107" spans="30:32" ht="15">
      <c r="AD107"/>
      <c r="AF107"/>
    </row>
    <row r="108" spans="30:32" ht="15">
      <c r="AD108"/>
    </row>
    <row r="109" spans="30:32" ht="15">
      <c r="AD109"/>
      <c r="AF109"/>
    </row>
    <row r="110" spans="30:32" ht="15">
      <c r="AD110"/>
      <c r="AE110"/>
      <c r="AF110"/>
    </row>
    <row r="111" spans="30:32" ht="15">
      <c r="AD111"/>
      <c r="AE111"/>
    </row>
    <row r="112" spans="30:32" ht="15">
      <c r="AD112" s="149"/>
      <c r="AE112"/>
    </row>
    <row r="113" spans="30:31" ht="15">
      <c r="AD113"/>
      <c r="AE113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Budgeting</vt:lpstr>
      <vt:lpstr>DATA</vt:lpstr>
      <vt:lpstr>cmr2</vt:lpstr>
      <vt:lpstr>i_Date.Start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Gregg Wolin</dc:creator>
  <cp:lastModifiedBy>Gregg Wolin</cp:lastModifiedBy>
  <dcterms:created xsi:type="dcterms:W3CDTF">2021-08-12T14:58:48Z</dcterms:created>
  <dcterms:modified xsi:type="dcterms:W3CDTF">2025-05-17T17:12:19Z</dcterms:modified>
</cp:coreProperties>
</file>