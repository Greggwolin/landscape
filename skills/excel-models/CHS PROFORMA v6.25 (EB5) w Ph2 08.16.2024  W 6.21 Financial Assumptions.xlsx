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trlProps/ctrlProp5.xml" ContentType="application/vnd.ms-excel.controlpropertie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ocumenttasks/documenttask1.xml" ContentType="application/vnd.ms-excel.documenttask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tnorigins.sharepoint.com/sites/MTNO/Shared Documents/MTN O - PREDEV/`CLARENDON_DEV/01 - BUDGETS &amp; BILLINGS/00 - PROFORMA/CP PROFORMA v13.0 (CBH)/"/>
    </mc:Choice>
  </mc:AlternateContent>
  <xr:revisionPtr revIDLastSave="14" documentId="8_{CF9165E2-AFBF-4CD7-BEF3-29469AED0550}" xr6:coauthVersionLast="47" xr6:coauthVersionMax="47" xr10:uidLastSave="{2A8EE8FB-FCE2-2A41-87DA-1497DBADD57A}"/>
  <bookViews>
    <workbookView xWindow="0" yWindow="760" windowWidth="27560" windowHeight="17860" tabRatio="846" activeTab="6" xr2:uid="{216E326F-CF09-4A77-BA33-FF461AE94CC2}"/>
  </bookViews>
  <sheets>
    <sheet name="Assumptions" sheetId="11" r:id="rId1"/>
    <sheet name="Exhibits" sheetId="14" r:id="rId2"/>
    <sheet name="COMB CASH FLOWS" sheetId="21" state="hidden" r:id="rId3"/>
    <sheet name="Combined Returns" sheetId="23" r:id="rId4"/>
    <sheet name="Proforma Resi" sheetId="8" state="hidden" r:id="rId5"/>
    <sheet name="Returns Resi" sheetId="9" state="hidden" r:id="rId6"/>
    <sheet name="Proforma L+H" sheetId="18" r:id="rId7"/>
    <sheet name="L+H Monthly CF" sheetId="26" r:id="rId8"/>
    <sheet name="Returns L+H" sheetId="20" r:id="rId9"/>
    <sheet name="Proforma A+H" sheetId="10" r:id="rId10"/>
    <sheet name="A+H Monthly CF" sheetId="12" r:id="rId11"/>
    <sheet name="A+H Annual CF" sheetId="24" r:id="rId12"/>
    <sheet name="Returns A+H" sheetId="15" r:id="rId13"/>
    <sheet name="Sinking Fund" sheetId="27" r:id="rId14"/>
  </sheets>
  <externalReferences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_______a1" hidden="1">{"Assump",#N/A,TRUE,"Proforma";"first",#N/A,TRUE,"Proforma";"second",#N/A,TRUE,"Proforma";"lease1",#N/A,TRUE,"Proforma";"lease2",#N/A,TRUE,"Proforma"}</definedName>
    <definedName name="________________jo2" hidden="1">{#N/A,#N/A,FALSE,"DCF-COM";#N/A,#N/A,FALSE,"VAC-COM"}</definedName>
    <definedName name="________________jo3" hidden="1">{"CASHFLOW",#N/A,FALSE,"Northpointe"}</definedName>
    <definedName name="________________jo4" hidden="1">{#N/A,#N/A,FALSE,"SHEET1";#N/A,#N/A,FALSE,"SHEET2";#N/A,#N/A,FALSE,"SHEET3";#N/A,#N/A,FALSE,"SHEET4"}</definedName>
    <definedName name="_______________a1" hidden="1">{"Assump",#N/A,TRUE,"Proforma";"first",#N/A,TRUE,"Proforma";"second",#N/A,TRUE,"Proforma";"lease1",#N/A,TRUE,"Proforma";"lease2",#N/A,TRUE,"Proforma"}</definedName>
    <definedName name="_______________jo2" hidden="1">{#N/A,#N/A,FALSE,"DCF-COM";#N/A,#N/A,FALSE,"VAC-COM"}</definedName>
    <definedName name="_______________jo3" hidden="1">{"CASHFLOW",#N/A,FALSE,"Northpointe"}</definedName>
    <definedName name="_______________jo4" hidden="1">{#N/A,#N/A,FALSE,"SHEET1";#N/A,#N/A,FALSE,"SHEET2";#N/A,#N/A,FALSE,"SHEET3";#N/A,#N/A,FALSE,"SHEET4"}</definedName>
    <definedName name="______________a1" hidden="1">{"Assump",#N/A,TRUE,"Proforma";"first",#N/A,TRUE,"Proforma";"second",#N/A,TRUE,"Proforma";"lease1",#N/A,TRUE,"Proforma";"lease2",#N/A,TRUE,"Proforma"}</definedName>
    <definedName name="______________jo2" hidden="1">{#N/A,#N/A,FALSE,"DCF-COM";#N/A,#N/A,FALSE,"VAC-COM"}</definedName>
    <definedName name="______________jo3" hidden="1">{"CASHFLOW",#N/A,FALSE,"Northpointe"}</definedName>
    <definedName name="______________jo4" hidden="1">{#N/A,#N/A,FALSE,"SHEET1";#N/A,#N/A,FALSE,"SHEET2";#N/A,#N/A,FALSE,"SHEET3";#N/A,#N/A,FALSE,"SHEET4"}</definedName>
    <definedName name="_____________a1" hidden="1">{"Assump",#N/A,TRUE,"Proforma";"first",#N/A,TRUE,"Proforma";"second",#N/A,TRUE,"Proforma";"lease1",#N/A,TRUE,"Proforma";"lease2",#N/A,TRUE,"Proforma"}</definedName>
    <definedName name="_____________jo2" hidden="1">{#N/A,#N/A,FALSE,"DCF-COM";#N/A,#N/A,FALSE,"VAC-COM"}</definedName>
    <definedName name="_____________jo3" hidden="1">{"CASHFLOW",#N/A,FALSE,"Northpointe"}</definedName>
    <definedName name="_____________jo4" hidden="1">{#N/A,#N/A,FALSE,"SHEET1";#N/A,#N/A,FALSE,"SHEET2";#N/A,#N/A,FALSE,"SHEET3";#N/A,#N/A,FALSE,"SHEET4"}</definedName>
    <definedName name="____________a1" hidden="1">{"Assump",#N/A,TRUE,"Proforma";"first",#N/A,TRUE,"Proforma";"second",#N/A,TRUE,"Proforma";"lease1",#N/A,TRUE,"Proforma";"lease2",#N/A,TRUE,"Proforma"}</definedName>
    <definedName name="____________jo2" hidden="1">{#N/A,#N/A,FALSE,"DCF-COM";#N/A,#N/A,FALSE,"VAC-COM"}</definedName>
    <definedName name="____________jo3" hidden="1">{"CASHFLOW",#N/A,FALSE,"Northpointe"}</definedName>
    <definedName name="____________jo4" hidden="1">{#N/A,#N/A,FALSE,"SHEET1";#N/A,#N/A,FALSE,"SHEET2";#N/A,#N/A,FALSE,"SHEET3";#N/A,#N/A,FALSE,"SHEET4"}</definedName>
    <definedName name="___________a1" hidden="1">{"Assump",#N/A,TRUE,"Proforma";"first",#N/A,TRUE,"Proforma";"second",#N/A,TRUE,"Proforma";"lease1",#N/A,TRUE,"Proforma";"lease2",#N/A,TRUE,"Proforma"}</definedName>
    <definedName name="___________jo2" hidden="1">{#N/A,#N/A,FALSE,"DCF-COM";#N/A,#N/A,FALSE,"VAC-COM"}</definedName>
    <definedName name="___________jo3" hidden="1">{"CASHFLOW",#N/A,FALSE,"Northpointe"}</definedName>
    <definedName name="___________jo4" hidden="1">{#N/A,#N/A,FALSE,"SHEET1";#N/A,#N/A,FALSE,"SHEET2";#N/A,#N/A,FALSE,"SHEET3";#N/A,#N/A,FALSE,"SHEET4"}</definedName>
    <definedName name="_________a1" hidden="1">{"Assump",#N/A,TRUE,"Proforma";"first",#N/A,TRUE,"Proforma";"second",#N/A,TRUE,"Proforma";"lease1",#N/A,TRUE,"Proforma";"lease2",#N/A,TRUE,"Proforma"}</definedName>
    <definedName name="_________jo2" hidden="1">{#N/A,#N/A,FALSE,"DCF-COM";#N/A,#N/A,FALSE,"VAC-COM"}</definedName>
    <definedName name="_________jo3" hidden="1">{"CASHFLOW",#N/A,FALSE,"Northpointe"}</definedName>
    <definedName name="_________jo4" hidden="1">{#N/A,#N/A,FALSE,"SHEET1";#N/A,#N/A,FALSE,"SHEET2";#N/A,#N/A,FALSE,"SHEET3";#N/A,#N/A,FALSE,"SHEET4"}</definedName>
    <definedName name="________a1" hidden="1">{"Assump",#N/A,TRUE,"Proforma";"first",#N/A,TRUE,"Proforma";"second",#N/A,TRUE,"Proforma";"lease1",#N/A,TRUE,"Proforma";"lease2",#N/A,TRUE,"Proforma"}</definedName>
    <definedName name="________jo2" hidden="1">{#N/A,#N/A,FALSE,"DCF-COM";#N/A,#N/A,FALSE,"VAC-COM"}</definedName>
    <definedName name="________jo3" hidden="1">{"CASHFLOW",#N/A,FALSE,"Northpointe"}</definedName>
    <definedName name="________jo4" hidden="1">{#N/A,#N/A,FALSE,"SHEET1";#N/A,#N/A,FALSE,"SHEET2";#N/A,#N/A,FALSE,"SHEET3";#N/A,#N/A,FALSE,"SHEET4"}</definedName>
    <definedName name="_______a1" hidden="1">{"Assump",#N/A,TRUE,"Proforma";"first",#N/A,TRUE,"Proforma";"second",#N/A,TRUE,"Proforma";"lease1",#N/A,TRUE,"Proforma";"lease2",#N/A,TRUE,"Proforma"}</definedName>
    <definedName name="_______jo2" hidden="1">{#N/A,#N/A,FALSE,"DCF-COM";#N/A,#N/A,FALSE,"VAC-COM"}</definedName>
    <definedName name="_______jo3" hidden="1">{"CASHFLOW",#N/A,FALSE,"Northpointe"}</definedName>
    <definedName name="_______jo4" hidden="1">{#N/A,#N/A,FALSE,"SHEET1";#N/A,#N/A,FALSE,"SHEET2";#N/A,#N/A,FALSE,"SHEET3";#N/A,#N/A,FALSE,"SHEET4"}</definedName>
    <definedName name="______a1" hidden="1">{"Assump",#N/A,TRUE,"Proforma";"first",#N/A,TRUE,"Proforma";"second",#N/A,TRUE,"Proforma";"lease1",#N/A,TRUE,"Proforma";"lease2",#N/A,TRUE,"Proforma"}</definedName>
    <definedName name="______jo2" hidden="1">{#N/A,#N/A,FALSE,"DCF-COM";#N/A,#N/A,FALSE,"VAC-COM"}</definedName>
    <definedName name="______jo3" hidden="1">{"CASHFLOW",#N/A,FALSE,"Northpointe"}</definedName>
    <definedName name="______jo4" hidden="1">{#N/A,#N/A,FALSE,"SHEET1";#N/A,#N/A,FALSE,"SHEET2";#N/A,#N/A,FALSE,"SHEET3";#N/A,#N/A,FALSE,"SHEET4"}</definedName>
    <definedName name="_____a1" hidden="1">{"Assump",#N/A,TRUE,"Proforma";"first",#N/A,TRUE,"Proforma";"second",#N/A,TRUE,"Proforma";"lease1",#N/A,TRUE,"Proforma";"lease2",#N/A,TRUE,"Proforma"}</definedName>
    <definedName name="_____jo2" hidden="1">{#N/A,#N/A,FALSE,"DCF-COM";#N/A,#N/A,FALSE,"VAC-COM"}</definedName>
    <definedName name="_____jo3" hidden="1">{"CASHFLOW",#N/A,FALSE,"Northpointe"}</definedName>
    <definedName name="_____jo4" hidden="1">{#N/A,#N/A,FALSE,"SHEET1";#N/A,#N/A,FALSE,"SHEET2";#N/A,#N/A,FALSE,"SHEET3";#N/A,#N/A,FALSE,"SHEET4"}</definedName>
    <definedName name="____a1" hidden="1">{"Assump",#N/A,TRUE,"Proforma";"first",#N/A,TRUE,"Proforma";"second",#N/A,TRUE,"Proforma";"lease1",#N/A,TRUE,"Proforma";"lease2",#N/A,TRUE,"Proforma"}</definedName>
    <definedName name="____jo2" hidden="1">{#N/A,#N/A,FALSE,"DCF-COM";#N/A,#N/A,FALSE,"VAC-COM"}</definedName>
    <definedName name="____jo3" hidden="1">{"CASHFLOW",#N/A,FALSE,"Northpointe"}</definedName>
    <definedName name="____jo4" hidden="1">{#N/A,#N/A,FALSE,"SHEET1";#N/A,#N/A,FALSE,"SHEET2";#N/A,#N/A,FALSE,"SHEET3";#N/A,#N/A,FALSE,"SHEET4"}</definedName>
    <definedName name="___a1" hidden="1">{"Assump",#N/A,TRUE,"Proforma";"first",#N/A,TRUE,"Proforma";"second",#N/A,TRUE,"Proforma";"lease1",#N/A,TRUE,"Proforma";"lease2",#N/A,TRUE,"Proforma"}</definedName>
    <definedName name="___del1" hidden="1">{"Page1",#N/A,FALSE,"7979";"Page2",#N/A,FALSE,"7979";"Page3",#N/A,FALSE,"7979"}</definedName>
    <definedName name="___jo2" hidden="1">{#N/A,#N/A,FALSE,"DCF-COM";#N/A,#N/A,FALSE,"VAC-COM"}</definedName>
    <definedName name="___jo3" hidden="1">{"CASHFLOW",#N/A,FALSE,"Northpointe"}</definedName>
    <definedName name="___jo4" hidden="1">{#N/A,#N/A,FALSE,"SHEET1";#N/A,#N/A,FALSE,"SHEET2";#N/A,#N/A,FALSE,"SHEET3";#N/A,#N/A,FALSE,"SHEET4"}</definedName>
    <definedName name="__10__123Graph_BCHART_2" hidden="1">[1]tables_graphs!$K$12:$K$22</definedName>
    <definedName name="__123Graph_A" hidden="1">[1]tables_graphs!$H$12:$H$22</definedName>
    <definedName name="__123Graph_AGRAPH1" hidden="1">'[2]Proforma-Lathrop'!#REF!</definedName>
    <definedName name="__123Graph_B" hidden="1">[1]tables_graphs!$K$12:$K$22</definedName>
    <definedName name="__123Graph_C" hidden="1">'[3]Partner Distributions'!#REF!</definedName>
    <definedName name="__123Graph_D" hidden="1">'[3]Partner Distributions'!#REF!</definedName>
    <definedName name="__123Graph_E" hidden="1">'[3]Partner Distributions'!#REF!</definedName>
    <definedName name="__123Graph_F" hidden="1">'[3]Partner Distributions'!#REF!</definedName>
    <definedName name="__123Graph_LBL_A" hidden="1">'[4]C-C'!#REF!</definedName>
    <definedName name="__123Graph_LBL_AMETPLX" hidden="1">'[4]C-C'!#REF!</definedName>
    <definedName name="__123Graph_LBL_ANDALLAS" hidden="1">'[4]C-C'!#REF!</definedName>
    <definedName name="__123Graph_LBL_B" hidden="1">'[4]C-C'!#REF!</definedName>
    <definedName name="__123Graph_LBL_BMETPLX" hidden="1">'[4]C-C'!#REF!</definedName>
    <definedName name="__123Graph_LBL_BNDALLAS" hidden="1">'[4]C-C'!#REF!</definedName>
    <definedName name="__123Graph_LBL_C" hidden="1">'[5]C-B'!#REF!</definedName>
    <definedName name="__123Graph_LBL_CMETPLX" hidden="1">'[5]C-B'!#REF!</definedName>
    <definedName name="__123Graph_LBL_CNDALLAS" hidden="1">'[5]C-B'!#REF!</definedName>
    <definedName name="__123Graph_X" hidden="1">[1]tables_graphs!$A$12:$A$22</definedName>
    <definedName name="__123Graph_XGRAPH1" hidden="1">'[2]Proforma-Lathrop'!#REF!</definedName>
    <definedName name="__2__123Graph_ACHART_2" hidden="1">[1]tables_graphs!$H$12:$H$22</definedName>
    <definedName name="__3__123Graph_ACHART_2" hidden="1">[1]tables_graphs!$H$12:$H$22</definedName>
    <definedName name="__6__123Graph_BCHART_2" hidden="1">[1]tables_graphs!$K$12:$K$22</definedName>
    <definedName name="__a1" hidden="1">{"Assump",#N/A,TRUE,"Proforma";"first",#N/A,TRUE,"Proforma";"second",#N/A,TRUE,"Proforma";"lease1",#N/A,TRUE,"Proforma";"lease2",#N/A,TRUE,"Proforma"}</definedName>
    <definedName name="__adv2" hidden="1">{"Proforma",#N/A,FALSE,"Sheet1"}</definedName>
    <definedName name="__adv3" hidden="1">{"Proforma",#N/A,FALSE,"Sheet1"}</definedName>
    <definedName name="__adv4" hidden="1">{"Proforma",#N/A,FALSE,"Sheet1"}</definedName>
    <definedName name="__del1" hidden="1">{"Page1",#N/A,FALSE,"7979";"Page2",#N/A,FALSE,"7979";"Page3",#N/A,FALSE,"7979"}</definedName>
    <definedName name="__FDS_HYPERLINK_TOGGLE_STATE__" hidden="1">"ON"</definedName>
    <definedName name="__IntlFixup" hidden="1">TRUE</definedName>
    <definedName name="__jo2" hidden="1">{#N/A,#N/A,FALSE,"DCF-COM";#N/A,#N/A,FALSE,"VAC-COM"}</definedName>
    <definedName name="__jo3" hidden="1">{"CASHFLOW",#N/A,FALSE,"Northpointe"}</definedName>
    <definedName name="__jo4" hidden="1">{#N/A,#N/A,FALSE,"SHEET1";#N/A,#N/A,FALSE,"SHEET2";#N/A,#N/A,FALSE,"SHEET3";#N/A,#N/A,FALSE,"SHEET4"}</definedName>
    <definedName name="__New1" hidden="1">'[6]Partner Distributions'!#REF!</definedName>
    <definedName name="__new3" hidden="1">'[6]Partner Distributions'!#REF!</definedName>
    <definedName name="_1__123Graph_ACHART_1" hidden="1">'[7]Vis Exp'!#REF!</definedName>
    <definedName name="_1__123Graph_ACHART_2" hidden="1">[1]tables_graphs!$H$12:$H$22</definedName>
    <definedName name="_1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0__123Graph_BCHART_2" hidden="1">[1]tables_graphs!$K$12:$K$22</definedName>
    <definedName name="_10__123Graph_CCHART_2" hidden="1">[1]tables_graphs!$L$12:$L$22</definedName>
    <definedName name="_10__FDSAUDITLINK__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1__123Graph_CCHART_3" hidden="1">'[7]Vis Exp'!#REF!</definedName>
    <definedName name="_11__FDSAUDITLINK__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2__123Graph_BCHART_3" hidden="1">'[7]Vis Exp'!#REF!</definedName>
    <definedName name="_12__123Graph_CCHART_4" hidden="1">'[7]Vis Exp'!#REF!</definedName>
    <definedName name="_12__123Graph_XCHART_2" hidden="1">[1]tables_graphs!$G$12:$G$22</definedName>
    <definedName name="_12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23456" hidden="1">[1]tables_graphs!$G$12:$G$22</definedName>
    <definedName name="_123Graph_A" hidden="1">[1]tables_graphs!$H$12:$H$22</definedName>
    <definedName name="_123Graph_B2" hidden="1">[1]tables_graphs!$K$12:$K$22</definedName>
    <definedName name="_123Graph_c3" hidden="1">[1]tables_graphs!$L$12:$L$22</definedName>
    <definedName name="_13__123Graph_DCHART_1" hidden="1">'[7]Vis Exp'!#REF!</definedName>
    <definedName name="_14__123Graph_BCHART_4" hidden="1">'[7]Vis Exp'!#REF!</definedName>
    <definedName name="_14__123Graph_DCHART_2" hidden="1">'[7]Vis Exp'!#REF!</definedName>
    <definedName name="_15__123Graph_CCHART_2" hidden="1">[1]tables_graphs!$L$12:$L$22</definedName>
    <definedName name="_15__123Graph_DCHART_3" hidden="1">'[7]Vis Exp'!#REF!</definedName>
    <definedName name="_16__123Graph_CCHART_1" hidden="1">'[7]Vis Exp'!#REF!</definedName>
    <definedName name="_16__123Graph_DCHART_4" hidden="1">'[7]Vis Exp'!#REF!</definedName>
    <definedName name="_17__123Graph_CCHART_2" hidden="1">[1]tables_graphs!$L$12:$L$22</definedName>
    <definedName name="_17__123Graph_XCHART_2" hidden="1">[1]tables_graphs!$G$12:$G$22</definedName>
    <definedName name="_18__123Graph_XCHART_3" hidden="1">'[7]Vis Exp'!#REF!</definedName>
    <definedName name="_19__123Graph_CCHART_3" hidden="1">'[7]Vis Exp'!#REF!</definedName>
    <definedName name="_19__123Graph_XCHART_4" hidden="1">'[7]Vis Exp'!#REF!</definedName>
    <definedName name="_2__123Graph_ACHART_1" hidden="1">'[7]Vis Exp'!#REF!</definedName>
    <definedName name="_2__123Graph_ACHART_2" hidden="1">[1]tables_graphs!$H$12:$H$22</definedName>
    <definedName name="_2__123Graph_BCHART_2" hidden="1">[1]tables_graphs!$K$12:$K$22</definedName>
    <definedName name="_2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0__123Graph_XCHART_2" hidden="1">[1]tables_graphs!$G$12:$G$22</definedName>
    <definedName name="_21__123Graph_CCHART_4" hidden="1">'[7]Vis Exp'!#REF!</definedName>
    <definedName name="_23__123Graph_DCHART_1" hidden="1">'[7]Vis Exp'!#REF!</definedName>
    <definedName name="_25__123Graph_DCHART_2" hidden="1">'[7]Vis Exp'!#REF!</definedName>
    <definedName name="_27__123Graph_DCHART_3" hidden="1">'[7]Vis Exp'!#REF!</definedName>
    <definedName name="_29__123Graph_DCHART_4" hidden="1">'[7]Vis Exp'!#REF!</definedName>
    <definedName name="_3__123Graph_ACHART_2" hidden="1">[1]tables_graphs!$H$12:$H$22</definedName>
    <definedName name="_3__123Graph_ACHART_3" hidden="1">'[7]Vis Exp'!#REF!</definedName>
    <definedName name="_3__123Graph_CCHART_2" hidden="1">[1]tables_graphs!$L$12:$L$22</definedName>
    <definedName name="_3__FDSAUDITLINK__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0__123Graph_XCHART_2" hidden="1">[1]tables_graphs!$G$12:$G$22</definedName>
    <definedName name="_32__123Graph_XCHART_3" hidden="1">'[7]Vis Exp'!#REF!</definedName>
    <definedName name="_34__123Graph_XCHART_4" hidden="1">'[7]Vis Exp'!#REF!</definedName>
    <definedName name="_4__123Graph_ACHART_4" hidden="1">'[7]Vis Exp'!#REF!</definedName>
    <definedName name="_4__123Graph_BCHART_2" hidden="1">[1]tables_graphs!$K$12:$K$22</definedName>
    <definedName name="_4__123Graph_XCHART_2" hidden="1">[1]tables_graphs!$G$12:$G$22</definedName>
    <definedName name="_4__FDSAUDITLINK__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5__123Graph_ACHART_2" hidden="1">[1]tables_graphs!$H$12:$H$22</definedName>
    <definedName name="_5__123Graph_ACHART_3" hidden="1">'[7]Vis Exp'!#REF!</definedName>
    <definedName name="_5__123Graph_BCHART_1" hidden="1">'[7]Vis Exp'!#REF!</definedName>
    <definedName name="_5__FDSAUDITLINK__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6__123Graph_BCHART_2" hidden="1">[1]tables_graphs!$K$12:$K$22</definedName>
    <definedName name="_6__123Graph_CCHART_2" hidden="1">[1]tables_graphs!$L$12:$L$22</definedName>
    <definedName name="_6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7__123Graph_ACHART_4" hidden="1">'[7]Vis Exp'!#REF!</definedName>
    <definedName name="_7__123Graph_BCHART_3" hidden="1">'[7]Vis Exp'!#REF!</definedName>
    <definedName name="_7__FDSAUDITLINK__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8__123Graph_BCHART_4" hidden="1">'[7]Vis Exp'!#REF!</definedName>
    <definedName name="_8__123Graph_XCHART_2" hidden="1">[1]tables_graphs!$G$12:$G$22</definedName>
    <definedName name="_8__FDSAUDITLINK__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9__123Graph_BCHART_1" hidden="1">'[7]Vis Exp'!#REF!</definedName>
    <definedName name="_9__123Graph_CCHART_1" hidden="1">'[7]Vis Exp'!#REF!</definedName>
    <definedName name="_9__123Graph_CCHART_2" hidden="1">[1]tables_graphs!$L$12:$L$22</definedName>
    <definedName name="_9__FDSAUDITLINK__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a1" hidden="1">{"Assump",#N/A,TRUE,"Proforma";"first",#N/A,TRUE,"Proforma";"second",#N/A,TRUE,"Proforma";"lease1",#N/A,TRUE,"Proforma";"lease2",#N/A,TRUE,"Proforma"}</definedName>
    <definedName name="_adv2" hidden="1">{"Proforma",#N/A,FALSE,"Sheet1"}</definedName>
    <definedName name="_adv3" hidden="1">{"Proforma",#N/A,FALSE,"Sheet1"}</definedName>
    <definedName name="_adv4" hidden="1">{"Proforma",#N/A,FALSE,"Sheet1"}</definedName>
    <definedName name="_del1" hidden="1">{"Page1",#N/A,FALSE,"7979";"Page2",#N/A,FALSE,"7979";"Page3",#N/A,FALSE,"7979"}</definedName>
    <definedName name="_Fil1" hidden="1">'[8]Current 9-02'!$A$6:$A$166</definedName>
    <definedName name="_Fill" hidden="1">#REF!</definedName>
    <definedName name="_Fill2" hidden="1">#REF!</definedName>
    <definedName name="_xlnm._FilterDatabase" hidden="1">[9]Laundry:Admin!$T$6:$T$77</definedName>
    <definedName name="_jo2" hidden="1">{#N/A,#N/A,FALSE,"DCF-COM";#N/A,#N/A,FALSE,"VAC-COM"}</definedName>
    <definedName name="_jo3" hidden="1">{"CASHFLOW",#N/A,FALSE,"Northpointe"}</definedName>
    <definedName name="_jo4" hidden="1">{#N/A,#N/A,FALSE,"SHEET1";#N/A,#N/A,FALSE,"SHEET2";#N/A,#N/A,FALSE,"SHEET3";#N/A,#N/A,FALSE,"SHEET4"}</definedName>
    <definedName name="_Key1" hidden="1">#REF!</definedName>
    <definedName name="_Key2" hidden="1">#REF!</definedName>
    <definedName name="_Key5" hidden="1">#REF!</definedName>
    <definedName name="_Key6" hidden="1">#REF!</definedName>
    <definedName name="_Key8" hidden="1">#REF!</definedName>
    <definedName name="_Key9" hidden="1">'[8]Current 9-02'!#REF!</definedName>
    <definedName name="_New1" hidden="1">'[6]Partner Distributions'!#REF!</definedName>
    <definedName name="_new3" hidden="1">'[6]Partner Distributions'!#REF!</definedName>
    <definedName name="_off3">[10]Marina!#REF!</definedName>
    <definedName name="_off4">[10]Marina!#REF!</definedName>
    <definedName name="_off5">[10]Marina!#REF!</definedName>
    <definedName name="_off6">[10]Marina!#REF!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sa1">#REF!</definedName>
    <definedName name="_sa2">#REF!</definedName>
    <definedName name="_sa3">#REF!</definedName>
    <definedName name="_sa4">#REF!</definedName>
    <definedName name="_sa5">#REF!</definedName>
    <definedName name="_sa6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[11]Inputs!$P$12:$P$12</definedName>
    <definedName name="_x" hidden="1">[1]tables_graphs!$L$12:$L$22</definedName>
    <definedName name="A" hidden="1">{"Output-BaseYear",#N/A,FALSE,"Output"}</definedName>
    <definedName name="a1a1" hidden="1">{"Assump",#N/A,TRUE,"Proforma";"first",#N/A,TRUE,"Proforma";"second",#N/A,TRUE,"Proforma";"lease1",#N/A,TRUE,"Proforma";"lease2",#N/A,TRUE,"Proforma"}</definedName>
    <definedName name="aa" hidden="1">{"Assump",#N/A,TRUE,"Proforma";"first",#N/A,TRUE,"Proforma";"second",#N/A,TRUE,"Proforma";"lease1",#N/A,TRUE,"Proforma";"lease2",#N/A,TRUE,"Proforma"}</definedName>
    <definedName name="aaa" hidden="1">{"Assump",#N/A,TRUE,"Proforma";"first",#N/A,TRUE,"Proforma";"second",#N/A,TRUE,"Proforma";"lease1",#N/A,TRUE,"Proforma";"lease2",#N/A,TRUE,"Proforma"}</definedName>
    <definedName name="AAA_DOCTOPS" hidden="1">"AAA_SET"</definedName>
    <definedName name="AAA_duser" hidden="1">"OFF"</definedName>
    <definedName name="aaaaa" hidden="1">{"Assump",#N/A,TRUE,"Proforma";"first",#N/A,TRUE,"Proforma";"second",#N/A,TRUE,"Proforma";"lease1",#N/A,TRUE,"Proforma";"lease2",#N/A,TRUE,"Proforma"}</definedName>
    <definedName name="AAB_Addin5" hidden="1">"AAB_Description for addin 5,Description for addin 5,Description for addin 5,Description for addin 5,Description for addin 5,Description for addin 5"</definedName>
    <definedName name="Access_Button" hidden="1">"Loan_Front_End_Input_List"</definedName>
    <definedName name="AccessDatabase" hidden="1">"C:\My Documents\DAVE\MODELS\Cash at Risk\Loan Front End.mdb"</definedName>
    <definedName name="ADASF" hidden="1">#REF!</definedName>
    <definedName name="adf" hidden="1">{#N/A,#N/A,FALSE,"SCHEDULE G"}</definedName>
    <definedName name="adfa" hidden="1">{"cap_structure",#N/A,FALSE,"Graph-Mkt Cap";"price",#N/A,FALSE,"Graph-Price";"ebit",#N/A,FALSE,"Graph-EBITDA";"ebitda",#N/A,FALSE,"Graph-EBITDA"}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FA" hidden="1">{"inputs raw data",#N/A,TRUE,"INPUT"}</definedName>
    <definedName name="adv" hidden="1">{"Proforma",#N/A,FALSE,"Sheet1"}</definedName>
    <definedName name="AEWEW" hidden="1">{"inputs raw data",#N/A,TRUE,"INPUT"}</definedName>
    <definedName name="andrew" hidden="1">{"eca",#N/A,TRUE,"E-C1 (R)";"ecb",#N/A,TRUE,"E-C1 (R)"}</definedName>
    <definedName name="anscount" hidden="1">2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rgusInput">[12]ArgusRaw.Primary!$A$1:$EZ$100</definedName>
    <definedName name="ArgusInput.New">[12]ArgusRaw.Secondary!$A$1:$EZ$100</definedName>
    <definedName name="as" hidden="1">{"FCB_ALL",#N/A,FALSE,"FCB"}</definedName>
    <definedName name="AS2DocOpenMode" hidden="1">"AS2DocumentEdit"</definedName>
    <definedName name="asdf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asfaF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as" hidden="1">#REF!</definedName>
    <definedName name="asfget" hidden="1">{"Page1",#N/A,FALSE,"7979";"Page2",#N/A,FALSE,"7979";"Page3",#N/A,FALSE,"7979"}</definedName>
    <definedName name="b" hidden="1">'[13]Projected CF'!$BW$534:$CS$585</definedName>
    <definedName name="BadLink" hidden="1">#REF!</definedName>
    <definedName name="bb" hidden="1">{#N/A,#N/A,FALSE,"ExitStratigy"}</definedName>
    <definedName name="bbb" hidden="1">{#N/A,#N/A,FALSE,"ExitStratigy"}</definedName>
    <definedName name="bogus" hidden="1">{"CF",#N/A,FALSE,"Cash Flow";"RET",#N/A,FALSE,"Returns";"NPV",#N/A,FALSE,"Values";"ASMPT",#N/A,FALSE,"Assumptions"}</definedName>
    <definedName name="bogus2" hidden="1">{"CF",#N/A,FALSE,"Cash Flow";"RET",#N/A,FALSE,"Returns";"NPV",#N/A,FALSE,"Values";"ASMPT",#N/A,FALSE,"Assumptions"}</definedName>
    <definedName name="Budget.AnalystReport.Rows">#REF!</definedName>
    <definedName name="Budget.BudgetPeriods.Columns">#REF!</definedName>
    <definedName name="Budget.ColumnHeadings.Row">#REF!</definedName>
    <definedName name="Budget.HideColumns.Row">#REF!</definedName>
    <definedName name="Budget.HideRows.Column">#REF!</definedName>
    <definedName name="Budget.RowOrderBy.Column">#REF!</definedName>
    <definedName name="Budget.RowOrderByDescription.Column">#REF!</definedName>
    <definedName name="Budget.Total.Column">#REF!</definedName>
    <definedName name="Budget.WBCol.Column">#REF!</definedName>
    <definedName name="Budget.WBStatus.Column">#REF!</definedName>
    <definedName name="Case_A">'[14]PRO FORMA'!#REF!</definedName>
    <definedName name="CAT_Com">'[15]PF Base 5 yr'!$B$93:$E$97</definedName>
    <definedName name="cb_sChart41E9A35_opts" hidden="1">"1, 9, 1, False, 2, False, False, , 0, False, True, 1, 1"</definedName>
    <definedName name="cc" hidden="1">{#N/A,#N/A,FALSE,"LoanAssumptions"}</definedName>
    <definedName name="cc." hidden="1">{"CD1",#N/A,TRUE,"C-D (R)";"CD2",#N/A,TRUE,"C-D (R)"}</definedName>
    <definedName name="ccc" hidden="1">{#N/A,#N/A,FALSE,"LoanAssumptions"}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flow" hidden="1">{"CF",#N/A,FALSE,"Cash Flow";"RET",#N/A,FALSE,"Returns";"NPV",#N/A,FALSE,"Values";"ASMPT",#N/A,FALSE,"Assumptions"}</definedName>
    <definedName name="Choices_Wrapper">#N/A</definedName>
    <definedName name="Choices_Wrapper5">#N/A</definedName>
    <definedName name="cnsld2">[10]consolsum!#REF!</definedName>
    <definedName name="cnsld3">[10]consolsum!#REF!</definedName>
    <definedName name="cnsld4">[10]consolsum!#REF!</definedName>
    <definedName name="cost1">#REF!</definedName>
    <definedName name="CostDetail" hidden="1">{"CF",#N/A,FALSE,"Cash Flow";"RET",#N/A,FALSE,"Returns";"NPV",#N/A,FALSE,"Values";"ASMPT",#N/A,FALSE,"Assumptions"}</definedName>
    <definedName name="CostInflation">[12]Assumptions!$F$15</definedName>
    <definedName name="CostsDetail" hidden="1">{"CF",#N/A,FALSE,"Cash Flow";"RET",#N/A,FALSE,"Returns";"NPV",#N/A,FALSE,"Values";"ASMPT",#N/A,FALSE,"Assumptions"}</definedName>
    <definedName name="crap" hidden="1">{"CF",#N/A,FALSE,"Cash Flow";"RET",#N/A,FALSE,"Returns";"NPV",#N/A,FALSE,"Values";"ASMPT",#N/A,FALSE,"Assumptions"}</definedName>
    <definedName name="Cur_QTD_Total_Revenue">#REF!</definedName>
    <definedName name="d" hidden="1">{#N/A,#N/A,FALSE,"LoanAssumptions"}</definedName>
    <definedName name="DAFAD" hidden="1">{"cap_structure",#N/A,FALSE,"Graph-Mkt Cap";"price",#N/A,FALSE,"Graph-Price";"ebit",#N/A,FALSE,"Graph-EBITDA";"ebitda",#N/A,FALSE,"Graph-EBITDA"}</definedName>
    <definedName name="Dajl" hidden="1">'[3]Partner Distributions'!#REF!</definedName>
    <definedName name="Date_Acquisition">[12]Assumptions!$C$20</definedName>
    <definedName name="Date_AmortStart1">[12]Assumptions!$C$38</definedName>
    <definedName name="Date_AmortStart2">[12]Assumptions!$D$38</definedName>
    <definedName name="Date_CostsPricing">[12]Assumptions!$F$13</definedName>
    <definedName name="Date_PreDevEnd">[12]Assumptions!$C$21</definedName>
    <definedName name="Date_Refi">[12]Assumptions!$C$25</definedName>
    <definedName name="Date_Sale">[12]Assumptions!$C$26</definedName>
    <definedName name="Date_SaleParcel">[12]Assumptions!$C$27</definedName>
    <definedName name="Date_Stabilization">[12]Assumptions!$C$23</definedName>
    <definedName name="dd" hidden="1">{"MonthlyRentRoll",#N/A,FALSE,"RentRoll"}</definedName>
    <definedName name="ddd" hidden="1">{"MonthlyRentRoll",#N/A,FALSE,"RentRoll"}</definedName>
    <definedName name="dddddd" hidden="1">{#N/A,#N/A,FALSE,"CAPREIT"}</definedName>
    <definedName name="ddddddd" hidden="1">{#N/A,#N/A,FALSE,"CAPREIT"}</definedName>
    <definedName name="del" hidden="1">{"Page1",#N/A,FALSE,"7979";"Page2",#N/A,FALSE,"7979";"Page3",#N/A,FALSE,"7979"}</definedName>
    <definedName name="delta" hidden="1">{"ACCOUNTING COPY",#N/A,FALSE,"SCHEDULE A";"FINANCE COPY",#N/A,FALSE,"SCHEDULE A";"P.L. COPY",#N/A,FALSE,"SCHEDULE A"}</definedName>
    <definedName name="Description">#REF!</definedName>
    <definedName name="DetailedCosts" hidden="1">{"CF",#N/A,FALSE,"Cash Flow";"RET",#N/A,FALSE,"Returns";"NPV",#N/A,FALSE,"Values";"ASMPT",#N/A,FALSE,"Assumptions"}</definedName>
    <definedName name="DevFeeTarget">'[12]Dev Costs'!$G$109</definedName>
    <definedName name="dfd" hidden="1">{"FCB_ALL",#N/A,FALSE,"FCB";"GREY_ALL",#N/A,FALSE,"GREY"}</definedName>
    <definedName name="dfdas" hidden="1">{"FCB_ALL",#N/A,FALSE,"FCB";"GREY_ALL",#N/A,FALSE,"GREY"}</definedName>
    <definedName name="dfdf" hidden="1">{"History+Projection+5Comps",#N/A,FALSE,"HISTORY (2)";"$ Per Occupied History+Projection+5Comps",#N/A,FALSE,"HISTORY (2)";"History+Projection",#N/A,FALSE,"HISTORY (2)"}</definedName>
    <definedName name="dfdfd" hidden="1">{"FCB_ALL",#N/A,FALSE,"FCB";"GREY_ALL",#N/A,FALSE,"GREY"}</definedName>
    <definedName name="dfdfdfd" hidden="1">{"FCB_ALL",#N/A,FALSE,"FCB"}</definedName>
    <definedName name="dfjdklfj" hidden="1">{"$ Per Occupied History+Projection+5Comps",#N/A,FALSE,"HISTORY (2)";"History+Projection+5Comps",#N/A,FALSE,"HISTORY (2)";"History+Projection",#N/A,FALSE,"HISTORY (2)";"History+Projection per Occ'd",#N/A,FALSE,"HISTORY (2)"}</definedName>
    <definedName name="DHG" hidden="1">{"cap_structure",#N/A,FALSE,"Graph-Mkt Cap";"price",#N/A,FALSE,"Graph-Price";"ebit",#N/A,FALSE,"Graph-EBITDA";"ebitda",#N/A,FALSE,"Graph-EBITDA"}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e" hidden="1">{"MonthlyRentRoll",#N/A,FALSE,"RentRoll"}</definedName>
    <definedName name="ee" hidden="1">{"Assump",#N/A,TRUE,"Proforma";"first",#N/A,TRUE,"Proforma";"second",#N/A,TRUE,"Proforma";"lease1",#N/A,TRUE,"Proforma";"lease2",#N/A,TRUE,"Proforma"}</definedName>
    <definedName name="eee" hidden="1">{#N/A,#N/A,FALSE,"OperatingAssumptions"}</definedName>
    <definedName name="EntryCapRt">[12]Assumptions!$C$13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v.Calculation" hidden="1">-4135</definedName>
    <definedName name="ev.Initialized" hidden="1">FALSE</definedName>
    <definedName name="ExitCapRt">[12]Assumptions!$C$14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fdfd" hidden="1">{#N/A,#N/A,FALSE,"CAPREIT"}</definedName>
    <definedName name="fdfdfdf" hidden="1">{#N/A,#N/A,FALSE,"CAPREIT"}</definedName>
    <definedName name="fdgad" hidden="1">{"inputs raw data",#N/A,TRUE,"INPUT"}</definedName>
    <definedName name="ff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ffff" hidden="1">{0,#N/A,TRUE,0;0,#N/A,TRUE,0;0,#N/A,TRUE,0;0,#N/A,TRUE,0;0,#N/A,TRUE,0}</definedName>
    <definedName name="fghsgh" hidden="1">{"CF",#N/A,FALSE,"Cash Flow";"RET",#N/A,FALSE,"Returns";"NPV",#N/A,FALSE,"Values";"ASMPT",#N/A,FALSE,"Assumptions"}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leVersion">[12]Assumptions!$C$9</definedName>
    <definedName name="fina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FeeTarget">'[12]Dev Costs'!$G$118</definedName>
    <definedName name="fksajf" hidden="1">{#N/A,#N/A,FALSE,"SCHEDULE A";"MINIMUM RENT",#N/A,FALSE,"SCHEDULES B &amp; C";"PERCENTAGE RENT",#N/A,FALSE,"SCHEDULES B &amp; C"}</definedName>
    <definedName name="fldfjlsd" hidden="1">#REF!</definedName>
    <definedName name="fm" hidden="1">{"summary1",#N/A,TRUE,"Comps";"summary2",#N/A,TRUE,"Comps";"summary3",#N/A,TRUE,"Comps"}</definedName>
    <definedName name="gfhs" hidden="1">{"summary1",#N/A,TRUE,"Comps";"summary2",#N/A,TRUE,"Comps";"summary3",#N/A,TRUE,"Comps"}</definedName>
    <definedName name="gg" hidden="1">{#N/A,#N/A,FALSE,"PropertyInfo"}</definedName>
    <definedName name="ggg" hidden="1">{#N/A,#N/A,FALSE,"PropertyInfo"}</definedName>
    <definedName name="gkf" hidden="1">{"Proforma",#N/A,FALSE,"Sheet1"}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" hidden="1">{"ed1",#N/A,TRUE,"E-D";"ed2",#N/A,TRUE,"E-D"}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llo">#N/A</definedName>
    <definedName name="Hello5">#N/A</definedName>
    <definedName name="hh" hidden="1">{#N/A,#N/A,FALSE,"Summary"}</definedName>
    <definedName name="hhh" hidden="1">{#N/A,#N/A,FALSE,"Summary"}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MLkUp" hidden="1">'[16]Historic Market'!$BD$6:$BD$12</definedName>
    <definedName name="hmnxghj" hidden="1">{"CF",#N/A,FALSE,"Cash Flow";"RET",#N/A,FALSE,"Returns";"NPV",#N/A,FALSE,"Values";"ASMPT",#N/A,FALSE,"Assumptions"}</definedName>
    <definedName name="HMSeek" hidden="1">'[16]Historic Market'!$BD$13:$BD$13</definedName>
    <definedName name="hn.Delete015" hidden="1">[11]Sheet2!$B$9:$K$14,[11]Sheet2!$O$11:$X$18,[11]Sheet2!$B$28:$K$37,[11]Sheet2!$O$28:$X$32,[11]Sheet2!$O$46:$X$46</definedName>
    <definedName name="hn.DZ_MultByFXRates" hidden="1">[17]DropZone!$B$2:$I$118,[17]DropZone!$B$120:$I$132,[17]DropZone!$B$134:$I$136,[17]DropZone!$B$138:$I$146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otl1">#REF!</definedName>
    <definedName name="hotl2">#REF!</definedName>
    <definedName name="hotl3">#REF!</definedName>
    <definedName name="hotl4">#REF!</definedName>
    <definedName name="hotl5">#REF!</definedName>
    <definedName name="hotl6">#REF!</definedName>
    <definedName name="hum" hidden="1">{"RATES",#N/A,FALSE,"RECOVERY RATES";"CONTRIBUTIONS",#N/A,FALSE,"RECOVERY RATES";"GLA CATEGORY SUMMARY",#N/A,FALSE,"RECOVERY RATES"}</definedName>
    <definedName name="IHMConsultant" hidden="1">[16]Project!$C$15:$C$15</definedName>
    <definedName name="IHMFirstProjected" hidden="1">[16]Project!$C$10:$C$10</definedName>
    <definedName name="IHMLastHistoric" hidden="1">[16]Project!$C$12:$C$12</definedName>
    <definedName name="IHMLocation" hidden="1">[16]Project!$C$22:$C$22</definedName>
    <definedName name="IHMModelVersion" hidden="1">[16]Project!$C$19:$C$19</definedName>
    <definedName name="IHMNumRooms" hidden="1">[16]Project!$C$9:$C$9</definedName>
    <definedName name="IHMPrintPO1" hidden="1">'[16]Projected Occupancy'!$A$5:$M$97</definedName>
    <definedName name="IHMPrintPO2" hidden="1">'[16]Projected Occupancy'!$A$99:$AW$277</definedName>
    <definedName name="IHMPrintPO3" hidden="1">'[16]Projected Occupancy'!$A$280:$L$385</definedName>
    <definedName name="IHMPrintPR1" hidden="1">'[16]Projected Rate'!$A$3:$M$47</definedName>
    <definedName name="IHMProjectCity" hidden="1">[16]Project!$C$7:$C$7</definedName>
    <definedName name="IHMProjectName" hidden="1">[16]Project!$C$6:$C$6</definedName>
    <definedName name="IHMProjectState" hidden="1">[16]Project!$C$8:$C$8</definedName>
    <definedName name="IHMPropertyLocation" hidden="1">[16]Project!$C$21:$C$21</definedName>
    <definedName name="IHMReviewer" hidden="1">[16]Project!$C$14:$C$14</definedName>
    <definedName name="Inflation">[12]Assumptions!$F$12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TRACTS_OTHER_COMMODITIES_EQUITIES.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ACT_FFO_THOM" hidden="1">"c4005"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ST_FFO_DIFF_THOM" hidden="1">"c5186"</definedName>
    <definedName name="IQ_EST_FFO_SURPRISE_PERCENT_THOM" hidden="1">"c5187"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_CIQ" hidden="1">"c4970"</definedName>
    <definedName name="IQ_FFO_EST_THOM" hidden="1">"c3999"</definedName>
    <definedName name="IQ_FFO_HIGH_EST_CIQ" hidden="1">"c4977"</definedName>
    <definedName name="IQ_FFO_HIGH_EST_THOM" hidden="1">"c4001"</definedName>
    <definedName name="IQ_FFO_LOW_EST_CIQ" hidden="1">"c4978"</definedName>
    <definedName name="IQ_FFO_LOW_EST_THOM" hidden="1">"c4002"</definedName>
    <definedName name="IQ_FFO_MEDIAN_EST_CIQ" hidden="1">"c4979"</definedName>
    <definedName name="IQ_FFO_MEDIAN_EST_THOM" hidden="1">"c4000"</definedName>
    <definedName name="IQ_FFO_NUM_EST_CIQ" hidden="1">"c4980"</definedName>
    <definedName name="IQ_FFO_NUM_EST_THOM" hidden="1">"c4003"</definedName>
    <definedName name="IQ_FFO_STDDEV_EST_CIQ" hidden="1">"c4981"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40209.6785185185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ISION_DATE_" hidden="1">38854.5656481481</definedName>
    <definedName name="IQ_REVISION_DATE__1" hidden="1">39125.817037037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sColHidden" hidden="1">FALSE</definedName>
    <definedName name="IsLTMColHidden" hidden="1">FALSE</definedName>
    <definedName name="Item">#REF!</definedName>
    <definedName name="jb" hidden="1">{"summary1",#N/A,TRUE,"Comps";"summary2",#N/A,TRUE,"Comps";"summary3",#N/A,TRUE,"Comps"}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e" hidden="1">#REF!</definedName>
    <definedName name="Keys">[18]Analysis!$C$8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kk" hidden="1">{#N/A,#N/A,FALSE,"B_Spread"}</definedName>
    <definedName name="kyd.ChngCell.01." hidden="1">#REF!</definedName>
    <definedName name="kyd.CounterLimitCell.01." hidden="1">"x"</definedName>
    <definedName name="kyd.Dim.01." hidden="1">"toad:Company"</definedName>
    <definedName name="kyd.ElementList.01." hidden="1">#REF!</definedName>
    <definedName name="kyd.ElementType.01." hidden="1">3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"copybook"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3</definedName>
    <definedName name="kyd.SaveAsFile." hidden="1">FALSE</definedName>
    <definedName name="kyd.SelectString.01." hidden="1">"*"</definedName>
    <definedName name="kyd.StdSortHide." hidden="1">FALSE</definedName>
    <definedName name="LandPrice">[12]Assumptions!$C$12</definedName>
    <definedName name="limcount" hidden="1">1</definedName>
    <definedName name="LoanTarget">'[12]Monthly CF'!$C$121</definedName>
    <definedName name="LTC">[12]Assumptions!$C$33</definedName>
    <definedName name="LTC_Refi">[12]Assumptions!$D$33</definedName>
    <definedName name="melo" hidden="1">{"AnnualRentRoll",#N/A,FALSE,"RentRoll"}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onths_Acquisition">[12]Assumptions!$F$19</definedName>
    <definedName name="Months_Construction">[12]Assumptions!$F$21</definedName>
    <definedName name="Months_PreDev">[12]Assumptions!$F$20</definedName>
    <definedName name="Months_ProjectHold">[12]Assumptions!$F$24</definedName>
    <definedName name="New" hidden="1">'[6]Partner Distributions'!#REF!</definedName>
    <definedName name="NRSF">[12]Assumptions!$C$8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Park">'[19]Music Venue Pro Forma'!#REF!</definedName>
    <definedName name="PctLU">[20]INSOther!$L$172:$AA$184</definedName>
    <definedName name="PerCar">'[19]Music Venue Pro Forma'!#REF!</definedName>
    <definedName name="Period">#REF!</definedName>
    <definedName name="_xlnm.Print_Area" localSheetId="3">'Combined Returns'!$B$1:$M$87</definedName>
    <definedName name="_xlnm.Print_Area" localSheetId="7">'L+H Monthly CF'!$A$1:$BA$164</definedName>
    <definedName name="_xlnm.Print_Area" localSheetId="9">'Proforma A+H'!$B$1:$U$288</definedName>
    <definedName name="_xlnm.Print_Area" localSheetId="6">'Proforma L+H'!$A$1:$S$224</definedName>
    <definedName name="_xlnm.Print_Area" localSheetId="4">'Proforma Resi'!$A$1:$S$234</definedName>
    <definedName name="_xlnm.Print_Area" localSheetId="12">'Returns A+H'!$B$1:$M$17</definedName>
    <definedName name="_xlnm.Print_Area" localSheetId="8">'Returns L+H'!$B$1:$M$87</definedName>
    <definedName name="_xlnm.Print_Area" localSheetId="5">'Returns Resi'!$B$1:$M$76</definedName>
    <definedName name="Print_Area_MI">#REF!</definedName>
    <definedName name="Print_Area_Reset" localSheetId="7">OFFSET(Full_Print,0,0,Last_Row)</definedName>
    <definedName name="Print_Area_Reset">OFFSET(Full_Print,0,0,Last_Row)</definedName>
    <definedName name="_xlnm.Print_Titles" localSheetId="3">'Combined Returns'!$1:$3</definedName>
    <definedName name="_xlnm.Print_Titles" localSheetId="7">'L+H Monthly CF'!$1:$3</definedName>
    <definedName name="_xlnm.Print_Titles" localSheetId="9">'Proforma A+H'!$1:$2</definedName>
    <definedName name="_xlnm.Print_Titles" localSheetId="6">'Proforma L+H'!$1:$3</definedName>
    <definedName name="_xlnm.Print_Titles" localSheetId="4">'Proforma Resi'!$1:$4</definedName>
    <definedName name="_xlnm.Print_Titles" localSheetId="12">'Returns A+H'!$1:$3</definedName>
    <definedName name="_xlnm.Print_Titles" localSheetId="8">'Returns L+H'!$1:$3</definedName>
    <definedName name="_xlnm.Print_Titles" localSheetId="5">'Returns Resi'!$1:$3</definedName>
    <definedName name="PrintSum">#REF!</definedName>
    <definedName name="PrintSummary">#REF!</definedName>
    <definedName name="prntall" hidden="1">{#N/A,#N/A,FALSE,"Land";#N/A,#N/A,FALSE,"Cost Analysis";"Summary",#N/A,FALSE,"Equipment"}</definedName>
    <definedName name="PrntSummary">#REF!</definedName>
    <definedName name="ProductSaleDetail">[21]Products!#REF!</definedName>
    <definedName name="PUB_FileID" hidden="1">"L10003363.xls"</definedName>
    <definedName name="PUB_UserID" hidden="1">"MAYERX"</definedName>
    <definedName name="q" hidden="1">{"BB1",#N/A,TRUE,"B-B (R)";"BB2",#N/A,TRUE,"B-B (R)"}</definedName>
    <definedName name="qq" hidden="1">{"ed1",#N/A,TRUE,"E-D";"ed2",#N/A,TRUE,"E-D"}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uestion" hidden="1">{"CF",#N/A,FALSE,"Cash Flow";"RET",#N/A,FALSE,"Returns";"NPV",#N/A,FALSE,"Values";"ASMPT",#N/A,FALSE,"Assumptions"}</definedName>
    <definedName name="qw" hidden="1">{"FCB_ALL",#N/A,FALSE,"FCB";"GREY_ALL",#N/A,FALSE,"GREY"}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CIII" hidden="1">{"ba1",#N/A,TRUE,"B-A";"ba2",#N/A,TRUE,"B-A"}</definedName>
    <definedName name="Reconcilation" hidden="1">[22]RENTANAL!#REF!</definedName>
    <definedName name="RefiCapRt">[12]Assumptions!$D$36</definedName>
    <definedName name="RefiOption">[12]Assumptions!$D$32</definedName>
    <definedName name="renat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sdl1">#REF!</definedName>
    <definedName name="rrr" hidden="1">{#N/A,#N/A,FALSE,"ExecutiveSummary";#N/A,#N/A,FALSE,"CostDetail";#N/A,#N/A,FALSE,"IncomeDetail"}</definedName>
    <definedName name="rt" hidden="1">{"inputs raw data",#N/A,TRUE,"INPUT"}</definedName>
    <definedName name="sa" hidden="1">{"cap_structure",#N/A,FALSE,"Graph-Mkt Cap";"price",#N/A,FALSE,"Graph-Price";"ebit",#N/A,FALSE,"Graph-EBITDA";"ebitda",#N/A,FALSE,"Graph-EBITDA"}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" hidden="1">{"summary1",#N/A,TRUE,"Comps";"summary2",#N/A,TRUE,"Comps";"summary3",#N/A,TRUE,"Comps"}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ec_3_10yrs">'[23]Sector 3 Summary'!$A$1:$L$36</definedName>
    <definedName name="Sec._1_10yrs">'[23]Sector 1 Summary'!$A$1:$L$37</definedName>
    <definedName name="Sec2_10yrs">'[23]Sector 2 Summary'!$A$1:$L$34</definedName>
    <definedName name="Sec3_10yrs_1hotel">'[23]Sector 3 Summary'!$1:$9,'[23]Sector 3 Summary'!$15:$41</definedName>
    <definedName name="sencount" hidden="1">2</definedName>
    <definedName name="sfghsfgh" hidden="1">{"CF",#N/A,FALSE,"Cash Flow";"RET",#N/A,FALSE,"Returns";"NPV",#N/A,FALSE,"Values";"ASMPT",#N/A,FALSE,"Assumptions"}</definedName>
    <definedName name="SM.Formula">#REF!</definedName>
    <definedName name="SM.PerBasisAmt">#REF!</definedName>
    <definedName name="SM.SpreadMethod">#REF!</definedName>
    <definedName name="SM.Total">#REF!</definedName>
    <definedName name="SM.ValidRow">#REF!</definedName>
    <definedName name="srghs" hidden="1">{"CF",#N/A,FALSE,"Cash Flow";"RET",#N/A,FALSE,"Returns";"NPV",#N/A,FALSE,"Values";"ASMPT",#N/A,FALSE,"Assumptions"}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tements" hidden="1">{"CF",#N/A,FALSE,"Cash Flow";"RET",#N/A,FALSE,"Returns";"NPV",#N/A,FALSE,"Values";"ASMPT",#N/A,FALSE,"Assumptions"}</definedName>
    <definedName name="stupid" hidden="1">{"cap_structure",#N/A,FALSE,"Graph-Mkt Cap";"price",#N/A,FALSE,"Graph-Price";"ebit",#N/A,FALSE,"Graph-EBITDA";"ebitda",#N/A,FALSE,"Graph-EBITDA"}</definedName>
    <definedName name="tables" hidden="1">[24]Project!$C$21:$C$21</definedName>
    <definedName name="TENYRS">'[23]ONSITE Input'!$D$2</definedName>
    <definedName name="TENYRS_SEC1">'[23]RESIDENT Input'!$B$2:$N$130</definedName>
    <definedName name="TENYRS_SEC2">'[23]Sector 2 Input'!$B$2:$N$72</definedName>
    <definedName name="TENYRS_SEC3">[23]overnightInput!$B$2:$N$128</definedName>
    <definedName name="TENYRS_SEC4">'[23]ONSITE Input'!$B1:$N125</definedName>
    <definedName name="test" hidden="1">{"History+Projection+5Comps",#N/A,FALSE,"HISTORY (2)";"$ Per Occupied History+Projection+5Comps",#N/A,FALSE,"HISTORY (2)";"History+Projection",#N/A,FALSE,"HISTORY (2)"}</definedName>
    <definedName name="test1" hidden="1">[25]OfficeStock!#REF!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II" hidden="1">{"History+Projection+5Comps",#N/A,FALSE,"HISTORY (2)";"$ Per Occupied History+Projection+5Comps",#N/A,FALSE,"HISTORY (2)";"History+Projection",#N/A,FALSE,"HISTORY (2)"}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r96_96" hidden="1">{#N/A,#N/A,FALSE,"B_Spread"}</definedName>
    <definedName name="w" hidden="1">{"cap_structure",#N/A,FALSE,"Graph-Mkt Cap";"price",#N/A,FALSE,"Graph-Price";"ebit",#N/A,FALSE,"Graph-EBITDA";"ebitda",#N/A,FALSE,"Graph-EBITDA"}</definedName>
    <definedName name="wafe" hidden="1">{"summary1",#N/A,TRUE,"Comps";"summary2",#N/A,TRUE,"Comps";"summary3",#N/A,TRUE,"Comps"}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QQE" hidden="1">{"summary1",#N/A,TRUE,"Comps";"summary2",#N/A,TRUE,"Comps";"summary3",#N/A,TRUE,"Comps"}</definedName>
    <definedName name="what" hidden="1">{"Summary Including DHC",#N/A,TRUE,"SUMMARY";"Financial Assumptions",#N/A,TRUE,"Financial Assumptions";"Sources &amp; Uses",#N/A,TRUE,"Financial Assumptions";"History &amp; Projection",#N/A,TRUE,"History - Proforma"}</definedName>
    <definedName name="whatwhat" hidden="1">{"Page1",#N/A,FALSE,"7979";"Page2",#N/A,FALSE,"7979";"Page3",#N/A,FALSE,"7979"}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n.Accretion." hidden="1">{"Accretion",#N/A,FALSE,"Assum"}</definedName>
    <definedName name="wrn.Acquisitions." hidden="1">{"One",#N/A,FALSE,"Acquisitions";"Two",#N/A,FALSE,"Acquisitions"}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nnual." hidden="1">{"ANNUAL",#N/A,FALSE,"Summary";"ANNUAL",#N/A,FALSE,"Pro Forma";"ANNUAL",#N/A,FALSE,"Equity"}</definedName>
    <definedName name="wrn.Annual._.Report." hidden="1">{"summary",#N/A,FALSE,"Summary";"pro forma annual",#N/A,FALSE,"Pro Forma";"equity annual",#N/A,FALSE,"Equity";"TCC annual",#N/A,FALSE,"TCC"}</definedName>
    <definedName name="wrn.AnnualRentRoll." hidden="1">{"AnnualRentRoll",#N/A,FALSE,"RentRoll"}</definedName>
    <definedName name="wrn.Assumptions." hidden="1">{"Assumptions",#N/A,FALSE,"Assum"}</definedName>
    <definedName name="wrn.B._.Spread._.Worksheet._.Summary." hidden="1">{#N/A,#N/A,FALSE,"B_Spread"}</definedName>
    <definedName name="wrn.B._.Spread._.Worksheets._.Detail." hidden="1">{#N/A,#N/A,FALSE,"B_Spread"}</definedName>
    <definedName name="wrn.BA." hidden="1">{"ba1",#N/A,TRUE,"B-A";"ba2",#N/A,TRUE,"B-A"}</definedName>
    <definedName name="wrn.Balance_Sheet." hidden="1">{"One",#N/A,FALSE,"Balance Sheet"}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hidden="1">{#N/A,#N/A,FALSE}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th._.Outputs." hidden="1">{"LTV Output",#N/A,FALSE,"Output";"DCR Output",#N/A,FALSE,"Output"}</definedName>
    <definedName name="wrn.Budget." hidden="1">{"Budget",#N/A,FALSE,"2033K-R6"}</definedName>
    <definedName name="wrn.BUDGET._.PACKAGE.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Capital._.Expenditures." hidden="1">{"Commission Cost",#N/A,FALSE,"Capital Expenditures";"Tenant Improvements",#N/A,FALSE,"Capital Expenditures"}</definedName>
    <definedName name="wrn.CAPREIT." hidden="1">{#N/A,#N/A,FALSE,"CAPREIT"}</definedName>
    <definedName name="wrn.CAPREIT2" hidden="1">{#N/A,#N/A,FALSE,"CAPREIT"}</definedName>
    <definedName name="wrn.Cash_Flow." hidden="1">{"One",#N/A,FALSE,"Cash Flow Statement"}</definedName>
    <definedName name="wrn.Cash._.Flow._.Analysis." hidden="1">{"CF",#N/A,FALSE,"Cash Flow";"RET",#N/A,FALSE,"Returns";"NPV",#N/A,FALSE,"Values";"ASMPT",#N/A,FALSE,"Assumptions"}</definedName>
    <definedName name="wrn.CD." hidden="1">{"CD1",#N/A,TRUE,"C-D (R)";"CD2",#N/A,TRUE,"C-D (R)"}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ommissions." hidden="1">{"Commisions",#N/A,FALSE,"2033K-R6"}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rporate." hidden="1">{"One",#N/A,FALSE,"Corporate"}</definedName>
    <definedName name="wrn.cotop." hidden="1">{"ReportTop",#N/A,FALSE,"report top"}</definedName>
    <definedName name="wrn.Crossings." hidden="1">{"One",#N/A,FALSE,"Crossings";"Two",#N/A,FALSE,"Crossings";"Three",#N/A,FALSE,"Crossings";"Fous",#N/A,FALSE,"Crossings";"Five",#N/A,FALSE,"Crossings"}</definedName>
    <definedName name="wrn.data." hidden="1">{"data",#N/A,FALSE,"INPUT"}</definedName>
    <definedName name="wrn.data5" hidden="1">{"data",#N/A,FALSE,"INPUT"}</definedName>
    <definedName name="wrn.DCF." hidden="1">{#N/A,#N/A,FALSE,"DCF-COM";#N/A,#N/A,FALSE,"VAC-COM"}</definedName>
    <definedName name="wrn.DCR._.Output." hidden="1">{"DCR Output",#N/A,FALSE,"Output"}</definedName>
    <definedName name="wrn.Depreciation." hidden="1">{"One",#N/A,FALSE,"Depreciation"}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ed._.Partnership._.Returns._.Leveraged." hidden="1">{"Return Analysis - Leveraged",#N/A,FALSE,"Return Analysis - Leveraged"}</definedName>
    <definedName name="wrn.Development._.Budget." hidden="1">{"Year 1",#N/A,FALSE,"Budget";"Year 2",#N/A,FALSE,"Budget";"Year 3",#N/A,FALSE,"Budget";"Year 4",#N/A,FALSE,"Budget"}</definedName>
    <definedName name="wrn.dtl.schedules" hidden="1">{"ACCOUNT DETAIL",#N/A,FALSE,"SCHEDULE E";"ACCOUNT DETAIL",#N/A,FALSE,"SCHEDULE G";"ACCOUNT DETAIL",#N/A,FALSE,"SCHEDULE H";"ACCOUNT DETAIL",#N/A,FALSE,"SCHEDULE I"}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hidden="1">{"eb1",#N/A,TRUE,"E-B (R)";"eb2",#N/A,TRUE,"E-B (R)"}</definedName>
    <definedName name="wrn.EC1." hidden="1">{"eca",#N/A,TRUE,"E-C1 (R)";"ecb",#N/A,TRUE,"E-C1 (R)"}</definedName>
    <definedName name="wrn.ED." hidden="1">{"ed1",#N/A,TRUE,"E-D";"ed2",#N/A,TRUE,"E-D"}</definedName>
    <definedName name="wrn.Entire._.Package." hidden="1">{"Summary",#N/A,FALSE,"Assumptions";"Development 1 2",#N/A,FALSE,"Budget";"Operating Income",#N/A,FALSE,"Budget"}</definedName>
    <definedName name="wrn.ExitAndSalesAssumptions." hidden="1">{#N/A,#N/A,FALSE,"ExitStratigy"}</definedName>
    <definedName name="wrn.Expense._.Detail." hidden="1">{"ONE",#N/A,FALSE,"Expenses";"TWO",#N/A,FALSE,"Expenses";"THREE",#N/A,FALSE,"Expenses";"FOUR",#N/A,FALSE,"Expenses";"Five",#N/A,FALSE,"Expenses";"Six",#N/A,FALSE,"Expenses";"Seven",#N/A,FALSE,"Expenses";"Eight",#N/A,FALSE,"Expenses";"eight.5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five",#N/A,FALSE,"Expenses"}</definedName>
    <definedName name="wrn.Expense._.Schedules." hidden="1">{"Expense Schedules",#N/A,FALSE,"Expense Schedules"}</definedName>
    <definedName name="wrn.FCB." hidden="1">{"FCB_ALL",#N/A,FALSE,"FCB"}</definedName>
    <definedName name="wrn.fcb2" hidden="1">{"FCB_ALL",#N/A,FALSE,"FCB"}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inancing." hidden="1">{"One",#N/A,FALSE,"Financing";"Two",#N/A,FALSE,"Financing";"Three",#N/A,FALSE,"Financing";"Four",#N/A,FALSE,"Financing"}</definedName>
    <definedName name="wrn.FMJVO._.and._.Summary._.with._.Calculations." hidden="1">{#N/A,#N/A,FALSE,"Summary";#N/A,#N/A,FALSE,"General Inputs &amp; Assumptions";"Franchise All",#N/A,FALSE,"Franchise";"Managed All",#N/A,FALSE,"Managed";"JV All",#N/A,FALSE,"JV";"Owned All",#N/A,FALSE,"Owned"}</definedName>
    <definedName name="wrn.FOschedules." hidden="1">{"FOschedule1",#N/A,FALSE,"Sheet1";"FOschedule2",#N/A,FALSE,"Sheet1";"FOschedule3",#N/A,FALSE,"Sheet1"}</definedName>
    <definedName name="wrn.Full_Template." hidden="1">{#N/A,#N/A,FALSE,"1Summary";#N/A,#N/A,FALSE,"2Assumptions";#N/A,#N/A,FALSE,"3Cash Flow";#N/A,#N/A,FALSE,"5Residual";#N/A,#N/A,FALSE,"7Pricing Matrix";#N/A,#N/A,FALSE,"8Vacancy Matrix";#N/A,#N/A,FALSE,"9Expiration Schedule";#N/A,#N/A,FALSE,"ALease-up Schedule"}</definedName>
    <definedName name="wrn.Full." hidden="1">{#N/A,#N/A,FALSE,"ExecutiveSummary";#N/A,#N/A,FALSE,"CostDetail";#N/A,#N/A,FALSE,"IncomeDetail";#N/A,#N/A,FALSE,"InterestCalculation"}</definedName>
    <definedName name="wrn.Full._.Report.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Gen_Misc._.Input." hidden="1">{"General Input",#N/A,FALSE,"General Info";"Miscellaneous Input",#N/A,FALSE,"General Info"}</definedName>
    <definedName name="wrn.General." hidden="1">{"Balance",#N/A,FALSE,"General Assumptions";"Cost",#N/A,FALSE,"General Assumptions";"Working",#N/A,FALSE,"General Assumptions"}</definedName>
    <definedName name="wrn.GSA._.PRINT." hidden="1">{#N/A,#N/A,FALSE,"DEV COSTS";#N/A,#N/A,FALSE,"10-YR C. F."}</definedName>
    <definedName name="wrn.gsa._PRINT5" hidden="1">{#N/A,#N/A,FALSE,"DEV COSTS";#N/A,#N/A,FALSE,"10-YR C. F."}</definedName>
    <definedName name="wrn.History._.Proforma." hidden="1">{"History &amp; Projection",#N/A,FALSE,"History - Proforma"}</definedName>
    <definedName name="wrn.History._.Projection._.Comps.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yatt_.Report" hidden="1">{"History+Projection+5Comps",#N/A,FALSE,"HISTORY (2)";"$ Per Occupied History+Projection+5Comps",#N/A,FALSE,"HISTORY (2)";"History+Projection",#N/A,FALSE,"HISTORY (2)"}</definedName>
    <definedName name="wrn.Hyatt._.Report." hidden="1">{"History+Projection+5Comps",#N/A,FALSE,"HISTORY (2)";"$ Per Occupied History+Projection+5Comps",#N/A,FALSE,"HISTORY (2)";"History+Projection",#N/A,FALSE,"HISTORY (2)"}</definedName>
    <definedName name="wrn.III." hidden="1">{"CASHFLOW",#N/A,FALSE,"Northpointe"}</definedName>
    <definedName name="wrn.Income_Statement." hidden="1">{"One",#N/A,FALSE,"Income Statement";"Two",#N/A,FALSE,"Income Statement";"Three",#N/A,FALSE,"Income Statement";"Four",#N/A,FALSE,"Income Statement"}</definedName>
    <definedName name="wrn.Income._.Statements." hidden="1">{"Annual Income",#N/A,FALSE,"Revenues";"Quarter Income",#N/A,FALSE,"Revenues"}</definedName>
    <definedName name="wrn.Individual._.Regions." hidden="1">{#N/A,#N/A,FALSE,"Summary";#N/A,#N/A,FALSE,"AIME";#N/A,#N/A,FALSE,"Asia (2)";#N/A,#N/A,FALSE,"Europe";#N/A,#N/A,FALSE,"LA"}</definedName>
    <definedName name="wrn.Inputs." hidden="1">{#N/A,#N/A,FALSE,"Input"}</definedName>
    <definedName name="wrn.Internal._.Detail." hidden="1">{"IntDetail",#N/A,FALSE,"Reports";"IntSummary",#N/A,FALSE,"Reports"}</definedName>
    <definedName name="wrn.Investment._.Review." hidden="1">{#N/A,#N/A,FALSE,"Proforma Five Yr";#N/A,#N/A,FALSE,"Capital Input";#N/A,#N/A,FALSE,"Calculations";#N/A,#N/A,FALSE,"Transaction Summary-DTW"}</definedName>
    <definedName name="wrn.Investment._.Summary._.Golf._.Suites." hidden="1">{"Preferred Equity IRR",#N/A,FALSE,"PROFORMA";"GP Cash Flow and IRR",#N/A,FALSE,"PROFORMA"}</definedName>
    <definedName name="wrn.IRR._.and._.Sources._.and._.Uses." hidden="1">{"IRR",#N/A,FALSE,"IRR.XLS";"Sources and Uses",#N/A,FALSE,"IRR.XLS"}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V." hidden="1">{"One",#N/A,FALSE,"JV"}</definedName>
    <definedName name="wrn.Lease._.Up._.Summary." hidden="1">{"Lease Up Summary",#N/A,FALSE,"2033K-R6"}</definedName>
    <definedName name="wrn.Leasing._.Assumptions." hidden="1">{"Assumptions",#N/A,FALSE,"Leasing Assumptions"}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nsum" hidden="1">{"Loan Summary",#N/A,FALSE,"Phase 1 loan &amp; data"}</definedName>
    <definedName name="wrn.Loan._.Summary." hidden="1">{"Loan Summary",#N/A,FALSE,"Phase 1 loan &amp; data"}</definedName>
    <definedName name="wrn.LoanInformation." hidden="1">{#N/A,#N/A,FALSE,"LoanAssumptions"}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hidden="1">{"LTV Output",#N/A,FALSE,"Output"}</definedName>
    <definedName name="wrn.market." hidden="1">{#N/A,#N/A,FALSE,"SUBMKT";#N/A,#N/A,FALSE,"MARKET";#N/A,#N/A,FALSE,"VACANCY";#N/A,#N/A,FALSE,"ABSORB";#N/A,#N/A,FALSE,"SUBLEASE";#N/A,#N/A,FALSE,"CONSTRCT"}</definedName>
    <definedName name="wrn.MARKETING." hidden="1">{#N/A,#N/A,FALSE,"MARKETING I";#N/A,#N/A,FALSE,"MARKETING II";#N/A,#N/A,FALSE,"MARKETING III"}</definedName>
    <definedName name="wrn.MFJVO._.and._.Summary._.Inputs._.Only." hidden="1">{#N/A,#N/A,FALSE,"Summary";#N/A,#N/A,FALSE,"General Inputs &amp; Assumptions";"Franchise Inputs",#N/A,FALSE,"Franchise";"Managed Inputs a",#N/A,FALSE,"Managed";"JV Inputs",#N/A,FALSE,"JV";"Owned Inputs",#N/A,FALSE,"Owned"}</definedName>
    <definedName name="wrn.minrenn" hidden="1">{"MINRENT2",#N/A,FALSE,"SCHEDULE B"}</definedName>
    <definedName name="wrn.MINRENT." hidden="1">{"MINRENT2",#N/A,FALSE,"SCHEDULE B"}</definedName>
    <definedName name="wrn.minrent.2" hidden="1">{"MINRENT2",#N/A,FALSE,"SCHEDULE B"}</definedName>
    <definedName name="wrn.mkting" hidden="1">{#N/A,#N/A,FALSE,"MARKETING I";#N/A,#N/A,FALSE,"MARKETING II";#N/A,#N/A,FALSE,"MARKETING III"}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" hidden="1">{"MONTHLY",#N/A,FALSE,"Pro Forma";"MONTHLY",#N/A,FALSE,"Equity"}</definedName>
    <definedName name="wrn.Monthly._.Report." hidden="1">{"pro forma monthly",#N/A,FALSE,"Pro Forma";"equity monthly",#N/A,FALSE,"Equity";"TCC monthly",#N/A,FALSE,"TCC"}</definedName>
    <definedName name="wrn.MonthlyRentRoll." hidden="1">{"MonthlyRentRoll",#N/A,FALSE,"RentRoll"}</definedName>
    <definedName name="wrn.New_Business." hidden="1">{"One",#N/A,FALSE,"New Business"}</definedName>
    <definedName name="wrn.North._.America." hidden="1">{#N/A,#N/A,FALSE,"NA All";#N/A,#N/A,FALSE,"Joe Champ";#N/A,#N/A,FALSE,"Joe Long"}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perating._.Expenses." hidden="1">{"Operating Expenses",#N/A,FALSE,"2033K-R6"}</definedName>
    <definedName name="wrn.OperatingAssumtions." hidden="1">{#N/A,#N/A,FALSE,"OperatingAssumptions"}</definedName>
    <definedName name="wrn.Operations._.Review." hidden="1">{#N/A,#N/A,FALSE,"Proforma Five Yr";#N/A,#N/A,FALSE,"Occ and Rate";#N/A,#N/A,FALSE,"PF Input";#N/A,#N/A,FALSE,"Hotcomps"}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Parking." hidden="1">{"Parking",#N/A,FALSE,"Parking"}</definedName>
    <definedName name="wrn.PERCENTAGE._.RENT." hidden="1">{"PERCENTAGE RENT",#N/A,TRUE,"SCHEDULE B"}</definedName>
    <definedName name="wrn.Phase._.I." hidden="1">{#N/A,#N/A,FALSE,"Transaction Summary-DTW";#N/A,#N/A,FALSE,"Proforma Five Yr";#N/A,#N/A,FALSE,"Occ and Rate"}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cntrent" hidden="1">{"PERCENTAGE RENT",#N/A,TRUE,"SCHEDULE B"}</definedName>
    <definedName name="wrn.Presentation." hidden="1">{#N/A,#N/A,FALSE,"Assum.";#N/A,#N/A,FALSE,"Cash Flow";#N/A,#N/A,FALSE,"Calc";#N/A,#N/A,FALSE,"Loan Schedule"}</definedName>
    <definedName name="wrn.print." hidden="1">{"Assump",#N/A,TRUE,"Proforma";"first",#N/A,TRUE,"Proforma";"second",#N/A,TRUE,"Proforma";"lease1",#N/A,TRUE,"Proforma";"lease2",#N/A,TRUE,"Proforma"}</definedName>
    <definedName name="wrn.Print._.All." hidden="1">{#N/A,#N/A,FALSE,"Land";#N/A,#N/A,FALSE,"Cost Analysis";"Summary",#N/A,FALSE,"Equipment"}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Full.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Gaming._.Only.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raphs." hidden="1">{"cap_structure",#N/A,FALSE,"Graph-Mkt Cap";"price",#N/A,FALSE,"Graph-Price";"ebit",#N/A,FALSE,"Graph-EBITDA";"ebitda",#N/A,FALSE,"Graph-EBITDA"}</definedName>
    <definedName name="wrn.Print._.Lodging._.Only.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raw._.data._.entry." hidden="1">{"inputs raw data",#N/A,TRUE,"INPUT"}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summary._.sheets." hidden="1">{"summary1",#N/A,TRUE,"Comps";"summary2",#N/A,TRUE,"Comps";"summary3",#N/A,TRUE,"Comps"}</definedName>
    <definedName name="wrn.print2.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or._.Year._.Amounts." hidden="1">{"PriorYr1",#N/A,FALSE,"Prior Year Amounts";"PriorYr2",#N/A,FALSE,"Prior Year Amounts"}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orma." hidden="1">{"Proforma - Dollars",#N/A,FALSE,"Proforma"}</definedName>
    <definedName name="wrn.Proforma._.Review." hidden="1">{#N/A,#N/A,FALSE,"Occ and Rate";#N/A,#N/A,FALSE,"PF Input";#N/A,#N/A,FALSE,"Proforma Five Yr";#N/A,#N/A,FALSE,"Hotcomps"}</definedName>
    <definedName name="wrn.Property._.Improvements." hidden="1">{"Property Improvements",#N/A,FALSE,"Property Improvements"}</definedName>
    <definedName name="wrn.PropertyInformation." hidden="1">{#N/A,#N/A,FALSE,"PropertyInfo"}</definedName>
    <definedName name="wrn.Prototypes." hidden="1">{"One",#N/A,FALSE,"Prototypes";"Two",#N/A,FALSE,"Prototypes";"Three",#N/A,FALSE,"Prototypes";"Four",#N/A,FALSE,"Prototypes";"Five",#N/A,FALSE,"Prototypes"}</definedName>
    <definedName name="wrn.Rapport." hidden="1">{#N/A,#N/A,FALSE,"SHEET1";#N/A,#N/A,FALSE,"SHEET2";#N/A,#N/A,FALSE,"SHEET3";#N/A,#N/A,FALSE,"SHEET4"}</definedName>
    <definedName name="wrn.rate.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payments." hidden="1">{"One",#N/A,FALSE,"Repayments";"Two",#N/A,FALSE,"Repayments"}</definedName>
    <definedName name="wrn.Report." hidden="1">{#N/A,#N/A,FALSE,"Loan Summary";#N/A,#N/A,FALSE,"NOI";"RR and Expir",#N/A,FALSE,"Rental";"Sales History",#N/A,FALSE,"Rental";#N/A,#N/A,FALSE,"Reserves"}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venue." hidden="1">{"Revenue",#N/A,FALSE,"2033K-R6"}</definedName>
    <definedName name="wrn.Revenue._.Reports.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Summary." hidden="1">{"Revenue Summary",#N/A,FALSE,"Revenue Schedules"}</definedName>
    <definedName name="wrn.Roll_Out." hidden="1">{"One",#N/A,FALSE,"Roll-out";"Two",#N/A,FALSE,"Roll-out";"Three",#N/A,FALSE,"Roll-out";"Four",#N/A,FALSE,"Roll-out";"Five",#N/A,FALSE,"Roll-out"}</definedName>
    <definedName name="wrn.SCHAs.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hidden="1">{#N/A,#N/A,FALSE,"SCHEDULE A";"MINIMUM RENT",#N/A,FALSE,"SCHEDULES B &amp; C";"PERCENTAGE RENT",#N/A,FALSE,"SCHEDULES B &amp; C"}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hort." hidden="1">{#N/A,#N/A,FALSE,"ExecutiveSummary";#N/A,#N/A,FALSE,"CostDetail";#N/A,#N/A,FALSE,"IncomeDetail"}</definedName>
    <definedName name="wrn.Side._.by._.Side." hidden="1">{"Side 99",#N/A,FALSE,"S&amp;U Side by Side"}</definedName>
    <definedName name="wrn.STAND_ALONE_BOTH." hidden="1">{"FCB_ALL",#N/A,FALSE,"FCB";"GREY_ALL",#N/A,FALSE,"GREY"}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ubmittal._.Reconciliation._.Schedule." hidden="1">{"Submittable Reconciliation Schedule",#N/A,FALSE,"Reconciliation";"GSCP2 PCS 30 Day",#N/A,FALSE,"GSCP2 PCS 30 Day Activity List"}</definedName>
    <definedName name="wrn.Summary." hidden="1">{#N/A,#N/A,FALSE,"Summary"}</definedName>
    <definedName name="wrn.Summary._.Excluding._.DHC." hidden="1">{"Summary Excluding DHC",#N/A,FALSE,"SUMMARY"}</definedName>
    <definedName name="wrn.Summary._.Including._.DHC." hidden="1">{"Summary Including DHC",#N/A,FALSE,"SUMMARY"}</definedName>
    <definedName name="wrn.SumSchedules.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TEST." hidden="1">{#N/A,#N/A,FALSE,"SCHEDULE G"}</definedName>
    <definedName name="wrn.TI._.Fit._.Up." hidden="1">{"TI Fit Up",#N/A,FALSE,"2033K-R6"}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SHEETS." hidden="1">{#N/A,#N/A,FALSE,"DEV COSTS";#N/A,#N/A,FALSE,"10-YR C. F."}</definedName>
    <definedName name="wrn.TOTAL._.SHEETS5" hidden="1">{#N/A,#N/A,FALSE,"DEV COSTS";#N/A,#N/A,FALSE,"10-YR C. F."}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valuation." hidden="1">{"Page1",#N/A,FALSE,"7979";"Page2",#N/A,FALSE,"7979";"Page3",#N/A,FALSE,"7979"}</definedName>
    <definedName name="wrn.Variance._.Worksheet." hidden="1">{#N/A,#N/A,FALSE,"VARSTRIP"}</definedName>
    <definedName name="wrn.Wovenhearts." hidden="1">{"One",#N/A,FALSE,"Wovenhearts";"Two",#N/A,FALSE,"Wovenhearts";"Three",#N/A,FALSE,"Wovenhearts";"Four",#N/A,FALSE,"Wovenhearts";"Five",#N/A,FALSE,"Wovenhearts"}</definedName>
    <definedName name="wrn.Wynwood." hidden="1">{"One",#N/A,FALSE,"Wynwood";"Two",#N/A,FALSE,"Wynwood";"Three",#N/A,FALSE,"Wynwood";"Four",#N/A,FALSE,"Wynwood";"Five",#N/A,FALSE,"Wynwood"}</definedName>
    <definedName name="wrn.Yearly." hidden="1">{"One",#N/A,FALSE,"Yearly"}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hidden="1">{#N/A,#N/A,FALSE,"ExecutiveSummary";#N/A,#N/A,FALSE,"CostDetail";#N/A,#N/A,FALSE,"IncomeDetail";#N/A,#N/A,FALSE,"InterestCalculation"}</definedName>
    <definedName name="wwwww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xcfghjnhfj" hidden="1">{"CF",#N/A,FALSE,"Cash Flow";"RET",#N/A,FALSE,"Returns";"NPV",#N/A,FALSE,"Values";"ASMPT",#N/A,FALSE,"Assumptions"}</definedName>
    <definedName name="xfgnxfgn" hidden="1">{"CF",#N/A,FALSE,"Cash Flow";"RET",#N/A,FALSE,"Returns";"NPV",#N/A,FALSE,"Values";"ASMPT",#N/A,FALSE,"Assumptions"}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hidden="1">{"Year 1",#N/A,FALSE,"Budget";"Year 2",#N/A,FALSE,"Budget";"Year 3",#N/A,FALSE,"Budget";"Year 4",#N/A,FALSE,"Budget"}</definedName>
    <definedName name="XREF_COLUMN_1" hidden="1">#REF!</definedName>
    <definedName name="XRefActiveRow" hidden="1">#REF!</definedName>
    <definedName name="XRefColumnsCount" hidden="1">1</definedName>
    <definedName name="XRefCopy1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RangeCount" hidden="1">5</definedName>
    <definedName name="xxx" hidden="1">[1]tables_graphs!$H$12:$H$22</definedName>
    <definedName name="xxxxxx" hidden="1">[1]tables_graphs!$K$12:$K$22</definedName>
    <definedName name="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27" l="1"/>
  <c r="C6" i="27"/>
  <c r="I11" i="27"/>
  <c r="J11" i="27"/>
  <c r="H11" i="27"/>
  <c r="I10" i="27"/>
  <c r="J10" i="27"/>
  <c r="H10" i="27"/>
  <c r="E3" i="27"/>
  <c r="F3" i="27" s="1"/>
  <c r="G3" i="27" s="1"/>
  <c r="H3" i="27" s="1"/>
  <c r="I3" i="27" s="1"/>
  <c r="J3" i="27" s="1"/>
  <c r="K3" i="27" s="1"/>
  <c r="L3" i="27" s="1"/>
  <c r="M3" i="27" s="1"/>
  <c r="N3" i="27" s="1"/>
  <c r="O3" i="27" s="1"/>
  <c r="P3" i="27" s="1"/>
  <c r="Q3" i="27" s="1"/>
  <c r="AA2" i="27"/>
  <c r="F2" i="27"/>
  <c r="G2" i="27" s="1"/>
  <c r="H2" i="27" s="1"/>
  <c r="I2" i="27" s="1"/>
  <c r="J2" i="27" s="1"/>
  <c r="K2" i="27" s="1"/>
  <c r="L2" i="27" s="1"/>
  <c r="M2" i="27" s="1"/>
  <c r="N2" i="27" s="1"/>
  <c r="O2" i="27" s="1"/>
  <c r="P2" i="27" s="1"/>
  <c r="Q2" i="27" s="1"/>
  <c r="W147" i="10"/>
  <c r="V147" i="10"/>
  <c r="V150" i="10"/>
  <c r="X125" i="10"/>
  <c r="W125" i="10"/>
  <c r="W123" i="10"/>
  <c r="W113" i="10"/>
  <c r="W85" i="10"/>
  <c r="W95" i="10"/>
  <c r="W105" i="10"/>
  <c r="R41" i="11" l="1"/>
  <c r="R40" i="11"/>
  <c r="C41" i="11"/>
  <c r="I57" i="18" l="1"/>
  <c r="I256" i="18" s="1"/>
  <c r="V7" i="10"/>
  <c r="V8" i="10"/>
  <c r="V9" i="10"/>
  <c r="V10" i="10"/>
  <c r="V11" i="10"/>
  <c r="V6" i="10"/>
  <c r="Q264" i="18"/>
  <c r="Q270" i="18" s="1"/>
  <c r="R267" i="18"/>
  <c r="O259" i="18"/>
  <c r="L259" i="18"/>
  <c r="G259" i="18"/>
  <c r="Q258" i="18"/>
  <c r="P258" i="18"/>
  <c r="O258" i="18"/>
  <c r="N258" i="18"/>
  <c r="M258" i="18"/>
  <c r="M259" i="18" s="1"/>
  <c r="L258" i="18"/>
  <c r="K258" i="18"/>
  <c r="J258" i="18"/>
  <c r="H258" i="18"/>
  <c r="G258" i="18"/>
  <c r="F258" i="18"/>
  <c r="E258" i="18"/>
  <c r="E259" i="18" s="1"/>
  <c r="Q257" i="18"/>
  <c r="P257" i="18"/>
  <c r="O257" i="18"/>
  <c r="N257" i="18"/>
  <c r="M257" i="18"/>
  <c r="L257" i="18"/>
  <c r="K257" i="18"/>
  <c r="J257" i="18"/>
  <c r="I257" i="18"/>
  <c r="H257" i="18"/>
  <c r="R257" i="18" s="1"/>
  <c r="G257" i="18"/>
  <c r="F257" i="18"/>
  <c r="E257" i="18"/>
  <c r="Q256" i="18"/>
  <c r="P256" i="18"/>
  <c r="O256" i="18"/>
  <c r="N256" i="18"/>
  <c r="N259" i="18" s="1"/>
  <c r="M256" i="18"/>
  <c r="L256" i="18"/>
  <c r="K256" i="18"/>
  <c r="K259" i="18" s="1"/>
  <c r="J256" i="18"/>
  <c r="J259" i="18" s="1"/>
  <c r="H256" i="18"/>
  <c r="G256" i="18"/>
  <c r="F256" i="18"/>
  <c r="F259" i="18" s="1"/>
  <c r="E256" i="18"/>
  <c r="R255" i="18"/>
  <c r="R261" i="18" s="1"/>
  <c r="L107" i="10"/>
  <c r="S290" i="10"/>
  <c r="S288" i="10"/>
  <c r="Q262" i="18" s="1"/>
  <c r="R256" i="18" l="1"/>
  <c r="Q268" i="18"/>
  <c r="H259" i="18"/>
  <c r="P259" i="18"/>
  <c r="Q259" i="18"/>
  <c r="H53" i="12" l="1"/>
  <c r="I53" i="12"/>
  <c r="J53" i="12"/>
  <c r="K53" i="12"/>
  <c r="L53" i="12"/>
  <c r="M53" i="12"/>
  <c r="N53" i="12"/>
  <c r="O53" i="12"/>
  <c r="P53" i="12"/>
  <c r="Q53" i="12"/>
  <c r="R53" i="12"/>
  <c r="S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AJ53" i="12"/>
  <c r="AK53" i="12"/>
  <c r="AL53" i="12"/>
  <c r="AM53" i="12"/>
  <c r="AN53" i="12"/>
  <c r="AO53" i="12"/>
  <c r="AP53" i="12"/>
  <c r="AQ53" i="12"/>
  <c r="AR53" i="12"/>
  <c r="AS53" i="12"/>
  <c r="AT53" i="12"/>
  <c r="AU53" i="12"/>
  <c r="AV53" i="12"/>
  <c r="AW53" i="12"/>
  <c r="AX53" i="12"/>
  <c r="AY53" i="12"/>
  <c r="AZ53" i="12"/>
  <c r="BA53" i="12"/>
  <c r="BB53" i="12"/>
  <c r="BC53" i="12"/>
  <c r="BD53" i="12"/>
  <c r="BE53" i="12"/>
  <c r="BF53" i="12"/>
  <c r="BG53" i="12"/>
  <c r="BH53" i="12"/>
  <c r="BI53" i="12"/>
  <c r="BJ53" i="12"/>
  <c r="BK53" i="12"/>
  <c r="BL53" i="12"/>
  <c r="BM53" i="12"/>
  <c r="BN53" i="12"/>
  <c r="BO53" i="12"/>
  <c r="BP53" i="12"/>
  <c r="BQ53" i="12"/>
  <c r="BR53" i="12"/>
  <c r="BS53" i="12"/>
  <c r="BT53" i="12"/>
  <c r="BU53" i="12"/>
  <c r="BV53" i="12"/>
  <c r="BW53" i="12"/>
  <c r="BX53" i="12"/>
  <c r="BY53" i="12"/>
  <c r="BZ53" i="12"/>
  <c r="CA53" i="12"/>
  <c r="CB53" i="12"/>
  <c r="CC53" i="12"/>
  <c r="CD53" i="12"/>
  <c r="CE53" i="12"/>
  <c r="CF53" i="12"/>
  <c r="CG53" i="12"/>
  <c r="CH53" i="12"/>
  <c r="CI53" i="12"/>
  <c r="CJ53" i="12"/>
  <c r="CK53" i="12"/>
  <c r="CL53" i="12"/>
  <c r="CM53" i="12"/>
  <c r="CN53" i="12"/>
  <c r="CO53" i="12"/>
  <c r="CP53" i="12"/>
  <c r="CQ53" i="12"/>
  <c r="CR53" i="12"/>
  <c r="CS53" i="12"/>
  <c r="CT53" i="12"/>
  <c r="C25" i="10"/>
  <c r="C26" i="10" s="1"/>
  <c r="H65" i="10" l="1"/>
  <c r="P249" i="10"/>
  <c r="Q249" i="10"/>
  <c r="R249" i="10"/>
  <c r="G247" i="10"/>
  <c r="N31" i="23"/>
  <c r="I34" i="23"/>
  <c r="J34" i="23"/>
  <c r="K34" i="23"/>
  <c r="L34" i="23"/>
  <c r="M34" i="23"/>
  <c r="N34" i="23"/>
  <c r="J203" i="18"/>
  <c r="E185" i="18"/>
  <c r="F185" i="18"/>
  <c r="E184" i="18"/>
  <c r="X192" i="10"/>
  <c r="F45" i="18"/>
  <c r="W192" i="10"/>
  <c r="O206" i="10"/>
  <c r="C201" i="10"/>
  <c r="C164" i="18"/>
  <c r="E229" i="18"/>
  <c r="G33" i="11"/>
  <c r="R138" i="18"/>
  <c r="E193" i="18"/>
  <c r="E218" i="18"/>
  <c r="N188" i="10"/>
  <c r="O188" i="10"/>
  <c r="P188" i="10"/>
  <c r="Q188" i="10"/>
  <c r="R188" i="10"/>
  <c r="G188" i="10"/>
  <c r="J221" i="10"/>
  <c r="J232" i="10"/>
  <c r="J236" i="10"/>
  <c r="J241" i="10"/>
  <c r="K221" i="10"/>
  <c r="K232" i="10"/>
  <c r="K236" i="10"/>
  <c r="K241" i="10"/>
  <c r="L221" i="10"/>
  <c r="M221" i="10"/>
  <c r="M232" i="10"/>
  <c r="M236" i="10"/>
  <c r="M241" i="10"/>
  <c r="N221" i="10"/>
  <c r="I227" i="10"/>
  <c r="J227" i="10"/>
  <c r="L232" i="10"/>
  <c r="L236" i="10"/>
  <c r="L241" i="10"/>
  <c r="J245" i="10"/>
  <c r="K245" i="10"/>
  <c r="L245" i="10"/>
  <c r="M245" i="10"/>
  <c r="I246" i="10"/>
  <c r="J246" i="10"/>
  <c r="G45" i="10"/>
  <c r="S45" i="10"/>
  <c r="G229" i="10"/>
  <c r="W190" i="10"/>
  <c r="R197" i="10"/>
  <c r="R198" i="10"/>
  <c r="O245" i="10"/>
  <c r="O246" i="10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B232" i="18"/>
  <c r="B44" i="14"/>
  <c r="B10" i="14"/>
  <c r="H10" i="14"/>
  <c r="H44" i="14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K153" i="26"/>
  <c r="AL153" i="26"/>
  <c r="AM153" i="26"/>
  <c r="AN153" i="26"/>
  <c r="AO153" i="26"/>
  <c r="AP153" i="26"/>
  <c r="AQ153" i="26"/>
  <c r="AR153" i="26"/>
  <c r="AS153" i="26"/>
  <c r="AT153" i="26"/>
  <c r="AU153" i="26"/>
  <c r="AV153" i="26"/>
  <c r="AW153" i="26"/>
  <c r="AX153" i="26"/>
  <c r="AY153" i="26"/>
  <c r="AZ153" i="26"/>
  <c r="Q153" i="26"/>
  <c r="P157" i="26"/>
  <c r="BA157" i="26"/>
  <c r="P151" i="26"/>
  <c r="BA151" i="26"/>
  <c r="P147" i="26"/>
  <c r="P156" i="26"/>
  <c r="O156" i="26"/>
  <c r="N156" i="26"/>
  <c r="M156" i="26"/>
  <c r="L156" i="26"/>
  <c r="K156" i="26"/>
  <c r="J156" i="26"/>
  <c r="I156" i="26"/>
  <c r="H156" i="26"/>
  <c r="G156" i="26"/>
  <c r="E156" i="26"/>
  <c r="F156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G138" i="26"/>
  <c r="H138" i="26"/>
  <c r="I138" i="26"/>
  <c r="J138" i="26"/>
  <c r="K138" i="26"/>
  <c r="L138" i="26"/>
  <c r="M138" i="26"/>
  <c r="N138" i="26"/>
  <c r="O138" i="26"/>
  <c r="P138" i="26"/>
  <c r="F138" i="26"/>
  <c r="AO136" i="26"/>
  <c r="AO135" i="26"/>
  <c r="AO130" i="26"/>
  <c r="AO129" i="26"/>
  <c r="AO119" i="26"/>
  <c r="AO117" i="26"/>
  <c r="AC136" i="26"/>
  <c r="AC129" i="26"/>
  <c r="AC124" i="26"/>
  <c r="AC119" i="26"/>
  <c r="AC117" i="26"/>
  <c r="Q136" i="26"/>
  <c r="Q129" i="26"/>
  <c r="E138" i="26"/>
  <c r="E136" i="26"/>
  <c r="E135" i="26"/>
  <c r="E133" i="26"/>
  <c r="E125" i="26"/>
  <c r="E124" i="26"/>
  <c r="P134" i="26"/>
  <c r="O134" i="26"/>
  <c r="N134" i="26"/>
  <c r="M134" i="26"/>
  <c r="L134" i="26"/>
  <c r="K134" i="26"/>
  <c r="J134" i="26"/>
  <c r="I134" i="26"/>
  <c r="H134" i="26"/>
  <c r="G134" i="26"/>
  <c r="F134" i="26"/>
  <c r="E134" i="26"/>
  <c r="B163" i="26"/>
  <c r="P28" i="26"/>
  <c r="O28" i="26"/>
  <c r="N28" i="26"/>
  <c r="M28" i="26"/>
  <c r="L28" i="26"/>
  <c r="K28" i="26"/>
  <c r="J28" i="26"/>
  <c r="I28" i="26"/>
  <c r="H28" i="26"/>
  <c r="G28" i="26"/>
  <c r="F28" i="26"/>
  <c r="AO22" i="26"/>
  <c r="AO21" i="26"/>
  <c r="AO17" i="26"/>
  <c r="AO16" i="26"/>
  <c r="AO15" i="26"/>
  <c r="AO14" i="26"/>
  <c r="AO10" i="26"/>
  <c r="AO9" i="26"/>
  <c r="AC22" i="26"/>
  <c r="AC21" i="26"/>
  <c r="AC17" i="26"/>
  <c r="AC16" i="26"/>
  <c r="AC15" i="26"/>
  <c r="AC14" i="26"/>
  <c r="AC10" i="26"/>
  <c r="AC9" i="26"/>
  <c r="Q22" i="26"/>
  <c r="Q21" i="26"/>
  <c r="Q15" i="26"/>
  <c r="Q14" i="26"/>
  <c r="E28" i="26"/>
  <c r="E22" i="26"/>
  <c r="E21" i="26"/>
  <c r="E18" i="26"/>
  <c r="E17" i="26"/>
  <c r="E16" i="26"/>
  <c r="E15" i="26"/>
  <c r="BA15" i="26" s="1"/>
  <c r="BB15" i="26" s="1"/>
  <c r="E14" i="26"/>
  <c r="Q10" i="26"/>
  <c r="Q9" i="26"/>
  <c r="E10" i="26"/>
  <c r="E9" i="26"/>
  <c r="Q35" i="26"/>
  <c r="Q33" i="26"/>
  <c r="E33" i="26"/>
  <c r="BA33" i="26" s="1"/>
  <c r="BB33" i="26" s="1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BB113" i="26"/>
  <c r="BB110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P61" i="26"/>
  <c r="O61" i="26"/>
  <c r="N61" i="26"/>
  <c r="M61" i="26"/>
  <c r="L61" i="26"/>
  <c r="K61" i="26"/>
  <c r="J61" i="26"/>
  <c r="I61" i="26"/>
  <c r="H61" i="26"/>
  <c r="G61" i="26"/>
  <c r="F61" i="26"/>
  <c r="E61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P47" i="26"/>
  <c r="O47" i="26"/>
  <c r="N47" i="26"/>
  <c r="M47" i="26"/>
  <c r="L47" i="26"/>
  <c r="K47" i="26"/>
  <c r="J47" i="26"/>
  <c r="I47" i="26"/>
  <c r="H47" i="26"/>
  <c r="G47" i="26"/>
  <c r="F47" i="26"/>
  <c r="E47" i="26"/>
  <c r="P46" i="26"/>
  <c r="O46" i="26"/>
  <c r="N46" i="26"/>
  <c r="M46" i="26"/>
  <c r="L46" i="26"/>
  <c r="K46" i="26"/>
  <c r="J46" i="26"/>
  <c r="I46" i="26"/>
  <c r="H46" i="26"/>
  <c r="G46" i="26"/>
  <c r="F46" i="26"/>
  <c r="E46" i="26"/>
  <c r="Y45" i="26"/>
  <c r="X45" i="26"/>
  <c r="Y44" i="26"/>
  <c r="X44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Y42" i="26"/>
  <c r="X42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B159" i="26"/>
  <c r="B158" i="26"/>
  <c r="B157" i="26"/>
  <c r="B156" i="26"/>
  <c r="B155" i="26"/>
  <c r="B153" i="26"/>
  <c r="B152" i="26"/>
  <c r="B151" i="26"/>
  <c r="B150" i="26"/>
  <c r="B149" i="26"/>
  <c r="B147" i="26"/>
  <c r="B145" i="26"/>
  <c r="B143" i="26"/>
  <c r="B142" i="26"/>
  <c r="B141" i="26"/>
  <c r="B140" i="26"/>
  <c r="B138" i="26"/>
  <c r="B137" i="26"/>
  <c r="B136" i="26"/>
  <c r="B135" i="26"/>
  <c r="B134" i="26"/>
  <c r="B133" i="26"/>
  <c r="B131" i="26"/>
  <c r="B130" i="26"/>
  <c r="B129" i="26"/>
  <c r="B128" i="26"/>
  <c r="B126" i="26"/>
  <c r="B125" i="26"/>
  <c r="B124" i="26"/>
  <c r="B123" i="26"/>
  <c r="B122" i="26"/>
  <c r="B120" i="26"/>
  <c r="B119" i="26"/>
  <c r="B118" i="26"/>
  <c r="B117" i="26"/>
  <c r="B116" i="26"/>
  <c r="B114" i="26"/>
  <c r="B112" i="26"/>
  <c r="B111" i="26"/>
  <c r="B109" i="26"/>
  <c r="B108" i="26"/>
  <c r="B106" i="26"/>
  <c r="B105" i="26"/>
  <c r="B104" i="26"/>
  <c r="B103" i="26"/>
  <c r="B102" i="26"/>
  <c r="B100" i="26"/>
  <c r="B99" i="26"/>
  <c r="B98" i="26"/>
  <c r="B97" i="26"/>
  <c r="B95" i="26"/>
  <c r="B94" i="26"/>
  <c r="B93" i="26"/>
  <c r="B92" i="26"/>
  <c r="B91" i="26"/>
  <c r="B88" i="26"/>
  <c r="B87" i="26"/>
  <c r="B86" i="26"/>
  <c r="B85" i="26"/>
  <c r="B84" i="26"/>
  <c r="B83" i="26"/>
  <c r="B82" i="26"/>
  <c r="B81" i="26"/>
  <c r="B80" i="26"/>
  <c r="B79" i="26"/>
  <c r="B78" i="26"/>
  <c r="B77" i="26"/>
  <c r="B74" i="26"/>
  <c r="B73" i="26"/>
  <c r="B72" i="26"/>
  <c r="B71" i="26"/>
  <c r="B70" i="26"/>
  <c r="B69" i="26"/>
  <c r="B68" i="26"/>
  <c r="B67" i="26"/>
  <c r="B64" i="26"/>
  <c r="B63" i="26"/>
  <c r="B62" i="26"/>
  <c r="B61" i="26"/>
  <c r="B60" i="26"/>
  <c r="B59" i="26"/>
  <c r="B58" i="26"/>
  <c r="B55" i="26"/>
  <c r="B54" i="26"/>
  <c r="B53" i="26"/>
  <c r="B52" i="26"/>
  <c r="B51" i="26"/>
  <c r="B50" i="26"/>
  <c r="B49" i="26"/>
  <c r="B48" i="26"/>
  <c r="B47" i="26"/>
  <c r="B46" i="26"/>
  <c r="B45" i="26"/>
  <c r="B44" i="26"/>
  <c r="B43" i="26"/>
  <c r="B42" i="26"/>
  <c r="B41" i="26"/>
  <c r="B40" i="26"/>
  <c r="B39" i="26"/>
  <c r="B38" i="26"/>
  <c r="B36" i="26"/>
  <c r="B35" i="26"/>
  <c r="B34" i="26"/>
  <c r="B33" i="26"/>
  <c r="B32" i="26"/>
  <c r="B29" i="26"/>
  <c r="B28" i="26"/>
  <c r="B27" i="26"/>
  <c r="B22" i="26"/>
  <c r="B21" i="26"/>
  <c r="B19" i="26"/>
  <c r="B18" i="26"/>
  <c r="B17" i="26"/>
  <c r="B16" i="26"/>
  <c r="B15" i="26"/>
  <c r="B14" i="26"/>
  <c r="B13" i="26"/>
  <c r="B11" i="26"/>
  <c r="B10" i="26"/>
  <c r="B9" i="26"/>
  <c r="B8" i="26"/>
  <c r="B161" i="26"/>
  <c r="C156" i="26"/>
  <c r="C150" i="26"/>
  <c r="C140" i="26"/>
  <c r="C134" i="26"/>
  <c r="C129" i="26"/>
  <c r="C128" i="26"/>
  <c r="C124" i="26"/>
  <c r="C123" i="26"/>
  <c r="C103" i="26"/>
  <c r="C98" i="26"/>
  <c r="C68" i="26"/>
  <c r="C60" i="26"/>
  <c r="C52" i="26"/>
  <c r="C51" i="26"/>
  <c r="C50" i="26"/>
  <c r="C49" i="26"/>
  <c r="C48" i="26"/>
  <c r="C47" i="26"/>
  <c r="C46" i="26"/>
  <c r="C45" i="26"/>
  <c r="C43" i="26"/>
  <c r="C42" i="26"/>
  <c r="C41" i="26"/>
  <c r="C40" i="26"/>
  <c r="C39" i="26"/>
  <c r="C27" i="26"/>
  <c r="C17" i="26"/>
  <c r="C13" i="26"/>
  <c r="N87" i="14"/>
  <c r="N75" i="14"/>
  <c r="T166" i="10"/>
  <c r="T164" i="10"/>
  <c r="G167" i="10"/>
  <c r="S209" i="10"/>
  <c r="M172" i="18"/>
  <c r="N172" i="18"/>
  <c r="O172" i="18"/>
  <c r="P172" i="18"/>
  <c r="Q172" i="18"/>
  <c r="H18" i="14"/>
  <c r="F191" i="18"/>
  <c r="D190" i="18"/>
  <c r="E146" i="18"/>
  <c r="E148" i="18" s="1"/>
  <c r="R44" i="18"/>
  <c r="R232" i="18" s="1"/>
  <c r="E63" i="18"/>
  <c r="R3" i="26"/>
  <c r="S3" i="26"/>
  <c r="T3" i="26"/>
  <c r="U3" i="26"/>
  <c r="V3" i="26"/>
  <c r="W3" i="26"/>
  <c r="X3" i="26"/>
  <c r="Y3" i="26"/>
  <c r="Z3" i="26"/>
  <c r="AA3" i="26"/>
  <c r="AA45" i="26"/>
  <c r="AB3" i="26"/>
  <c r="Q3" i="26"/>
  <c r="C6" i="12"/>
  <c r="D6" i="12" s="1"/>
  <c r="E4" i="26"/>
  <c r="F4" i="26"/>
  <c r="G4" i="26" s="1"/>
  <c r="H4" i="26" s="1"/>
  <c r="I4" i="26" s="1"/>
  <c r="J4" i="26" s="1"/>
  <c r="K4" i="26" s="1"/>
  <c r="L4" i="26" s="1"/>
  <c r="M4" i="26" s="1"/>
  <c r="N4" i="26" s="1"/>
  <c r="O4" i="26" s="1"/>
  <c r="P4" i="26" s="1"/>
  <c r="Q4" i="26" s="1"/>
  <c r="R4" i="26" s="1"/>
  <c r="S4" i="26" s="1"/>
  <c r="T4" i="26" s="1"/>
  <c r="U4" i="26" s="1"/>
  <c r="V4" i="26" s="1"/>
  <c r="W4" i="26" s="1"/>
  <c r="X4" i="26" s="1"/>
  <c r="Y4" i="26" s="1"/>
  <c r="Z4" i="26" s="1"/>
  <c r="AA4" i="26" s="1"/>
  <c r="AB4" i="26" s="1"/>
  <c r="AC4" i="26" s="1"/>
  <c r="AD4" i="26" s="1"/>
  <c r="AE4" i="26" s="1"/>
  <c r="AF4" i="26" s="1"/>
  <c r="AG4" i="26" s="1"/>
  <c r="AH4" i="26" s="1"/>
  <c r="AI4" i="26" s="1"/>
  <c r="AJ4" i="26" s="1"/>
  <c r="AK4" i="26" s="1"/>
  <c r="AL4" i="26" s="1"/>
  <c r="AM4" i="26" s="1"/>
  <c r="AN4" i="26" s="1"/>
  <c r="AO4" i="26" s="1"/>
  <c r="AP4" i="26" s="1"/>
  <c r="AQ4" i="26" s="1"/>
  <c r="AR4" i="26" s="1"/>
  <c r="AS4" i="26" s="1"/>
  <c r="AT4" i="26" s="1"/>
  <c r="AU4" i="26" s="1"/>
  <c r="AV4" i="26" s="1"/>
  <c r="AW4" i="26" s="1"/>
  <c r="AX4" i="26" s="1"/>
  <c r="AY4" i="26" s="1"/>
  <c r="AZ4" i="26" s="1"/>
  <c r="R18" i="15"/>
  <c r="F18" i="15"/>
  <c r="C61" i="12"/>
  <c r="P5" i="12"/>
  <c r="AB5" i="12" s="1"/>
  <c r="AN5" i="12" s="1"/>
  <c r="AZ5" i="12" s="1"/>
  <c r="BL5" i="12" s="1"/>
  <c r="BX5" i="12" s="1"/>
  <c r="CJ5" i="12" s="1"/>
  <c r="Q5" i="12"/>
  <c r="AC5" i="12" s="1"/>
  <c r="AO5" i="12" s="1"/>
  <c r="BA5" i="12" s="1"/>
  <c r="BM5" i="12" s="1"/>
  <c r="BY5" i="12" s="1"/>
  <c r="CK5" i="12" s="1"/>
  <c r="R5" i="12"/>
  <c r="AD5" i="12" s="1"/>
  <c r="AP5" i="12" s="1"/>
  <c r="BB5" i="12" s="1"/>
  <c r="BN5" i="12" s="1"/>
  <c r="BZ5" i="12" s="1"/>
  <c r="CL5" i="12" s="1"/>
  <c r="S5" i="12"/>
  <c r="AE5" i="12" s="1"/>
  <c r="AQ5" i="12" s="1"/>
  <c r="BC5" i="12" s="1"/>
  <c r="BO5" i="12" s="1"/>
  <c r="CA5" i="12" s="1"/>
  <c r="CM5" i="12" s="1"/>
  <c r="T5" i="12"/>
  <c r="AF5" i="12" s="1"/>
  <c r="AR5" i="12" s="1"/>
  <c r="BD5" i="12" s="1"/>
  <c r="BP5" i="12" s="1"/>
  <c r="CB5" i="12" s="1"/>
  <c r="CN5" i="12" s="1"/>
  <c r="U5" i="12"/>
  <c r="AG5" i="12" s="1"/>
  <c r="AS5" i="12" s="1"/>
  <c r="BE5" i="12" s="1"/>
  <c r="BQ5" i="12" s="1"/>
  <c r="CC5" i="12" s="1"/>
  <c r="CO5" i="12" s="1"/>
  <c r="V5" i="12"/>
  <c r="AH5" i="12" s="1"/>
  <c r="AT5" i="12" s="1"/>
  <c r="BF5" i="12" s="1"/>
  <c r="BR5" i="12" s="1"/>
  <c r="CD5" i="12" s="1"/>
  <c r="CP5" i="12" s="1"/>
  <c r="W5" i="12"/>
  <c r="AI5" i="12" s="1"/>
  <c r="AU5" i="12" s="1"/>
  <c r="BG5" i="12" s="1"/>
  <c r="BS5" i="12" s="1"/>
  <c r="CE5" i="12" s="1"/>
  <c r="CQ5" i="12" s="1"/>
  <c r="X5" i="12"/>
  <c r="AJ5" i="12" s="1"/>
  <c r="AV5" i="12" s="1"/>
  <c r="BH5" i="12" s="1"/>
  <c r="BT5" i="12" s="1"/>
  <c r="CF5" i="12" s="1"/>
  <c r="CR5" i="12" s="1"/>
  <c r="Y5" i="12"/>
  <c r="AK5" i="12" s="1"/>
  <c r="AW5" i="12" s="1"/>
  <c r="BI5" i="12" s="1"/>
  <c r="BU5" i="12" s="1"/>
  <c r="CG5" i="12" s="1"/>
  <c r="CS5" i="12" s="1"/>
  <c r="Z5" i="12"/>
  <c r="AL5" i="12" s="1"/>
  <c r="AX5" i="12" s="1"/>
  <c r="BJ5" i="12" s="1"/>
  <c r="BV5" i="12" s="1"/>
  <c r="CH5" i="12" s="1"/>
  <c r="CT5" i="12" s="1"/>
  <c r="O5" i="12"/>
  <c r="AA5" i="12" s="1"/>
  <c r="AM5" i="12" s="1"/>
  <c r="AY5" i="12" s="1"/>
  <c r="BK5" i="12" s="1"/>
  <c r="BW5" i="12" s="1"/>
  <c r="CI5" i="12" s="1"/>
  <c r="F45" i="11"/>
  <c r="G45" i="11" s="1"/>
  <c r="H45" i="11" s="1"/>
  <c r="I45" i="11" s="1"/>
  <c r="J45" i="11" s="1"/>
  <c r="K45" i="11" s="1"/>
  <c r="L45" i="11" s="1"/>
  <c r="M45" i="11" s="1"/>
  <c r="N45" i="11" s="1"/>
  <c r="O45" i="11" s="1"/>
  <c r="E4" i="18"/>
  <c r="G4" i="10" s="1"/>
  <c r="C7" i="11"/>
  <c r="C6" i="11"/>
  <c r="F3" i="18"/>
  <c r="G3" i="18"/>
  <c r="H3" i="18"/>
  <c r="I3" i="18"/>
  <c r="J3" i="18"/>
  <c r="K3" i="18"/>
  <c r="L3" i="18"/>
  <c r="M3" i="18"/>
  <c r="N3" i="18"/>
  <c r="O3" i="18"/>
  <c r="P3" i="18"/>
  <c r="Q3" i="18"/>
  <c r="BA14" i="26"/>
  <c r="BB14" i="26"/>
  <c r="BA10" i="26"/>
  <c r="BB10" i="26"/>
  <c r="BA136" i="26"/>
  <c r="BB136" i="26" s="1"/>
  <c r="BA9" i="26"/>
  <c r="BB9" i="26"/>
  <c r="BA21" i="26"/>
  <c r="BB21" i="26"/>
  <c r="Q34" i="26"/>
  <c r="BA34" i="26" s="1"/>
  <c r="BB34" i="26" s="1"/>
  <c r="E34" i="26"/>
  <c r="P152" i="26"/>
  <c r="P153" i="26"/>
  <c r="E190" i="18"/>
  <c r="P158" i="26"/>
  <c r="F34" i="20"/>
  <c r="Q44" i="26"/>
  <c r="Q45" i="26"/>
  <c r="Q42" i="26"/>
  <c r="BA22" i="26"/>
  <c r="BB22" i="26"/>
  <c r="AF3" i="26"/>
  <c r="T94" i="26"/>
  <c r="T103" i="26"/>
  <c r="T78" i="26"/>
  <c r="T71" i="26"/>
  <c r="T105" i="26"/>
  <c r="T109" i="26"/>
  <c r="AL3" i="26"/>
  <c r="Z109" i="26"/>
  <c r="Z105" i="26"/>
  <c r="Z103" i="26"/>
  <c r="Z94" i="26"/>
  <c r="Z71" i="26"/>
  <c r="AD3" i="26"/>
  <c r="R109" i="26"/>
  <c r="R105" i="26"/>
  <c r="R103" i="26"/>
  <c r="R94" i="26"/>
  <c r="R71" i="26"/>
  <c r="R78" i="26"/>
  <c r="R42" i="26"/>
  <c r="Z42" i="26"/>
  <c r="R44" i="26"/>
  <c r="Z44" i="26"/>
  <c r="R45" i="26"/>
  <c r="Z45" i="26"/>
  <c r="AK3" i="26"/>
  <c r="Y109" i="26"/>
  <c r="Y105" i="26"/>
  <c r="Y103" i="26"/>
  <c r="Y94" i="26"/>
  <c r="Y78" i="26"/>
  <c r="Y71" i="26"/>
  <c r="S42" i="26"/>
  <c r="AA42" i="26"/>
  <c r="S44" i="26"/>
  <c r="AA44" i="26"/>
  <c r="S45" i="26"/>
  <c r="AJ3" i="26"/>
  <c r="X109" i="26"/>
  <c r="X105" i="26"/>
  <c r="X103" i="26"/>
  <c r="X78" i="26"/>
  <c r="X71" i="26"/>
  <c r="X94" i="26"/>
  <c r="T42" i="26"/>
  <c r="AB42" i="26"/>
  <c r="T44" i="26"/>
  <c r="AB44" i="26"/>
  <c r="T45" i="26"/>
  <c r="AB45" i="26"/>
  <c r="AN3" i="26"/>
  <c r="AB94" i="26"/>
  <c r="AB103" i="26"/>
  <c r="AB78" i="26"/>
  <c r="AB71" i="26"/>
  <c r="AB109" i="26"/>
  <c r="AB105" i="26"/>
  <c r="AI3" i="26"/>
  <c r="W94" i="26"/>
  <c r="W109" i="26"/>
  <c r="W105" i="26"/>
  <c r="W103" i="26"/>
  <c r="W78" i="26"/>
  <c r="W71" i="26"/>
  <c r="U42" i="26"/>
  <c r="U44" i="26"/>
  <c r="U45" i="26"/>
  <c r="AM3" i="26"/>
  <c r="AA109" i="26"/>
  <c r="AA105" i="26"/>
  <c r="AA103" i="26"/>
  <c r="AA94" i="26"/>
  <c r="AA78" i="26"/>
  <c r="AA71" i="26"/>
  <c r="V42" i="26"/>
  <c r="V44" i="26"/>
  <c r="V45" i="26"/>
  <c r="AE3" i="26"/>
  <c r="S109" i="26"/>
  <c r="S105" i="26"/>
  <c r="S103" i="26"/>
  <c r="S94" i="26"/>
  <c r="S78" i="26"/>
  <c r="S71" i="26"/>
  <c r="AH3" i="26"/>
  <c r="V94" i="26"/>
  <c r="V109" i="26"/>
  <c r="C109" i="26" s="1"/>
  <c r="V105" i="26"/>
  <c r="V103" i="26"/>
  <c r="V78" i="26"/>
  <c r="V71" i="26"/>
  <c r="AC3" i="26"/>
  <c r="Q109" i="26"/>
  <c r="Q105" i="26"/>
  <c r="Q103" i="26"/>
  <c r="Q94" i="26"/>
  <c r="Q78" i="26"/>
  <c r="Q71" i="26"/>
  <c r="AG3" i="26"/>
  <c r="U94" i="26"/>
  <c r="U109" i="26"/>
  <c r="U105" i="26"/>
  <c r="U103" i="26"/>
  <c r="U78" i="26"/>
  <c r="U71" i="26"/>
  <c r="W42" i="26"/>
  <c r="W44" i="26"/>
  <c r="W45" i="26"/>
  <c r="Z78" i="26"/>
  <c r="C70" i="26"/>
  <c r="E191" i="18"/>
  <c r="AQ3" i="26"/>
  <c r="AE94" i="26"/>
  <c r="AE109" i="26"/>
  <c r="AE105" i="26"/>
  <c r="AE103" i="26"/>
  <c r="AE78" i="26"/>
  <c r="AE72" i="26"/>
  <c r="AE71" i="26"/>
  <c r="AE68" i="26"/>
  <c r="AE49" i="26"/>
  <c r="AE45" i="26"/>
  <c r="AE44" i="26"/>
  <c r="AE43" i="26"/>
  <c r="AU3" i="26"/>
  <c r="AI109" i="26"/>
  <c r="AI105" i="26"/>
  <c r="AI103" i="26"/>
  <c r="AI94" i="26"/>
  <c r="AI78" i="26"/>
  <c r="AI72" i="26"/>
  <c r="AI71" i="26"/>
  <c r="AI68" i="26"/>
  <c r="AI49" i="26"/>
  <c r="AI45" i="26"/>
  <c r="AI44" i="26"/>
  <c r="AI43" i="26"/>
  <c r="AV3" i="26"/>
  <c r="AJ94" i="26"/>
  <c r="AJ109" i="26"/>
  <c r="AJ78" i="26"/>
  <c r="AJ72" i="26"/>
  <c r="AJ71" i="26"/>
  <c r="AJ68" i="26"/>
  <c r="AJ103" i="26"/>
  <c r="AJ105" i="26"/>
  <c r="AJ45" i="26"/>
  <c r="AJ44" i="26"/>
  <c r="AJ43" i="26"/>
  <c r="AJ49" i="26"/>
  <c r="AZ3" i="26"/>
  <c r="AN109" i="26"/>
  <c r="AN105" i="26"/>
  <c r="AN103" i="26"/>
  <c r="AN94" i="26"/>
  <c r="AN78" i="26"/>
  <c r="AN72" i="26"/>
  <c r="AN71" i="26"/>
  <c r="AN68" i="26"/>
  <c r="AN49" i="26"/>
  <c r="AN45" i="26"/>
  <c r="AN44" i="26"/>
  <c r="AN43" i="26"/>
  <c r="AS3" i="26"/>
  <c r="AG109" i="26"/>
  <c r="AG105" i="26"/>
  <c r="AG103" i="26"/>
  <c r="AG94" i="26"/>
  <c r="AG78" i="26"/>
  <c r="AG72" i="26"/>
  <c r="AG71" i="26"/>
  <c r="AG68" i="26"/>
  <c r="AG43" i="26"/>
  <c r="AG44" i="26"/>
  <c r="AG49" i="26"/>
  <c r="AG45" i="26"/>
  <c r="AT3" i="26"/>
  <c r="AH109" i="26"/>
  <c r="AH105" i="26"/>
  <c r="AH103" i="26"/>
  <c r="AH94" i="26"/>
  <c r="AH72" i="26"/>
  <c r="AH71" i="26"/>
  <c r="AH78" i="26"/>
  <c r="AH68" i="26"/>
  <c r="AH45" i="26"/>
  <c r="AH44" i="26"/>
  <c r="AH43" i="26"/>
  <c r="AH49" i="26"/>
  <c r="AX3" i="26"/>
  <c r="AL94" i="26"/>
  <c r="AL109" i="26"/>
  <c r="AL105" i="26"/>
  <c r="AL103" i="26"/>
  <c r="AL78" i="26"/>
  <c r="AL72" i="26"/>
  <c r="AL71" i="26"/>
  <c r="AL68" i="26"/>
  <c r="AL49" i="26"/>
  <c r="AL45" i="26"/>
  <c r="AL44" i="26"/>
  <c r="AL43" i="26"/>
  <c r="AO3" i="26"/>
  <c r="AC94" i="26"/>
  <c r="AC109" i="26"/>
  <c r="AC105" i="26"/>
  <c r="AC103" i="26"/>
  <c r="AC78" i="26"/>
  <c r="AC72" i="26"/>
  <c r="AC71" i="26"/>
  <c r="AC68" i="26"/>
  <c r="AC49" i="26"/>
  <c r="AC45" i="26"/>
  <c r="AC44" i="26"/>
  <c r="AC43" i="26"/>
  <c r="AY3" i="26"/>
  <c r="AM94" i="26"/>
  <c r="AM109" i="26"/>
  <c r="AM105" i="26"/>
  <c r="AM103" i="26"/>
  <c r="AM78" i="26"/>
  <c r="AM72" i="26"/>
  <c r="AM71" i="26"/>
  <c r="AM68" i="26"/>
  <c r="AM49" i="26"/>
  <c r="AM45" i="26"/>
  <c r="AM44" i="26"/>
  <c r="AM43" i="26"/>
  <c r="AW3" i="26"/>
  <c r="AK94" i="26"/>
  <c r="AK109" i="26"/>
  <c r="AK105" i="26"/>
  <c r="AK103" i="26"/>
  <c r="AK78" i="26"/>
  <c r="AK72" i="26"/>
  <c r="AK71" i="26"/>
  <c r="AK49" i="26"/>
  <c r="AK68" i="26"/>
  <c r="AK45" i="26"/>
  <c r="AK44" i="26"/>
  <c r="AK43" i="26"/>
  <c r="AP3" i="26"/>
  <c r="AD94" i="26"/>
  <c r="AD109" i="26"/>
  <c r="AD105" i="26"/>
  <c r="AD103" i="26"/>
  <c r="AD78" i="26"/>
  <c r="AD72" i="26"/>
  <c r="AD71" i="26"/>
  <c r="AD68" i="26"/>
  <c r="AD49" i="26"/>
  <c r="AD45" i="26"/>
  <c r="AD44" i="26"/>
  <c r="AD43" i="26"/>
  <c r="AR3" i="26"/>
  <c r="AF109" i="26"/>
  <c r="AF105" i="26"/>
  <c r="AF103" i="26"/>
  <c r="AF94" i="26"/>
  <c r="AF78" i="26"/>
  <c r="AF72" i="26"/>
  <c r="AF71" i="26"/>
  <c r="AF68" i="26"/>
  <c r="AF49" i="26"/>
  <c r="AF45" i="26"/>
  <c r="AF44" i="26"/>
  <c r="AF43" i="26"/>
  <c r="C157" i="26"/>
  <c r="C151" i="26"/>
  <c r="AR94" i="26"/>
  <c r="AR109" i="26"/>
  <c r="AR78" i="26"/>
  <c r="AR72" i="26"/>
  <c r="AR71" i="26"/>
  <c r="AR68" i="26"/>
  <c r="AR105" i="26"/>
  <c r="AR103" i="26"/>
  <c r="AR49" i="26"/>
  <c r="AR45" i="26"/>
  <c r="AR44" i="26"/>
  <c r="AR42" i="26"/>
  <c r="AR48" i="26"/>
  <c r="AO109" i="26"/>
  <c r="AO105" i="26"/>
  <c r="AO103" i="26"/>
  <c r="AO94" i="26"/>
  <c r="AO78" i="26"/>
  <c r="AO72" i="26"/>
  <c r="AO71" i="26"/>
  <c r="AO68" i="26"/>
  <c r="AO48" i="26"/>
  <c r="AO45" i="26"/>
  <c r="AO44" i="26"/>
  <c r="AO49" i="26"/>
  <c r="AO42" i="26"/>
  <c r="AP109" i="26"/>
  <c r="AP105" i="26"/>
  <c r="AP103" i="26"/>
  <c r="AP94" i="26"/>
  <c r="AP71" i="26"/>
  <c r="AP68" i="26"/>
  <c r="AP78" i="26"/>
  <c r="AP72" i="26"/>
  <c r="AP49" i="26"/>
  <c r="AP45" i="26"/>
  <c r="AP44" i="26"/>
  <c r="AP42" i="26"/>
  <c r="AP48" i="26"/>
  <c r="AX109" i="26"/>
  <c r="AX105" i="26"/>
  <c r="AX103" i="26"/>
  <c r="AX94" i="26"/>
  <c r="AX78" i="26"/>
  <c r="AX68" i="26"/>
  <c r="AX72" i="26"/>
  <c r="AX71" i="26"/>
  <c r="AX49" i="26"/>
  <c r="AX48" i="26"/>
  <c r="AX45" i="26"/>
  <c r="AX44" i="26"/>
  <c r="AX42" i="26"/>
  <c r="AV109" i="26"/>
  <c r="AV105" i="26"/>
  <c r="AV103" i="26"/>
  <c r="AV94" i="26"/>
  <c r="AV78" i="26"/>
  <c r="AV72" i="26"/>
  <c r="AV71" i="26"/>
  <c r="AV68" i="26"/>
  <c r="AV49" i="26"/>
  <c r="AV45" i="26"/>
  <c r="AV44" i="26"/>
  <c r="AV48" i="26"/>
  <c r="AV42" i="26"/>
  <c r="AZ94" i="26"/>
  <c r="AZ109" i="26"/>
  <c r="AZ105" i="26"/>
  <c r="AZ78" i="26"/>
  <c r="AZ72" i="26"/>
  <c r="AZ71" i="26"/>
  <c r="AZ68" i="26"/>
  <c r="AZ103" i="26"/>
  <c r="AZ49" i="26"/>
  <c r="AZ48" i="26"/>
  <c r="AZ45" i="26"/>
  <c r="AZ44" i="26"/>
  <c r="AZ42" i="26"/>
  <c r="AW109" i="26"/>
  <c r="AW105" i="26"/>
  <c r="AW103" i="26"/>
  <c r="AW94" i="26"/>
  <c r="AW78" i="26"/>
  <c r="AW72" i="26"/>
  <c r="AW71" i="26"/>
  <c r="AW49" i="26"/>
  <c r="AW42" i="26"/>
  <c r="AW48" i="26"/>
  <c r="AW68" i="26"/>
  <c r="AW45" i="26"/>
  <c r="AW44" i="26"/>
  <c r="AT94" i="26"/>
  <c r="AT109" i="26"/>
  <c r="AT105" i="26"/>
  <c r="AT103" i="26"/>
  <c r="AT78" i="26"/>
  <c r="AT72" i="26"/>
  <c r="AT71" i="26"/>
  <c r="AT68" i="26"/>
  <c r="AT49" i="26"/>
  <c r="AT48" i="26"/>
  <c r="AT45" i="26"/>
  <c r="AT44" i="26"/>
  <c r="AT42" i="26"/>
  <c r="AU94" i="26"/>
  <c r="AU109" i="26"/>
  <c r="AU105" i="26"/>
  <c r="AU103" i="26"/>
  <c r="AU78" i="26"/>
  <c r="AU72" i="26"/>
  <c r="AU71" i="26"/>
  <c r="AU68" i="26"/>
  <c r="AU49" i="26"/>
  <c r="AU48" i="26"/>
  <c r="AU45" i="26"/>
  <c r="AU44" i="26"/>
  <c r="AU42" i="26"/>
  <c r="AY109" i="26"/>
  <c r="AY105" i="26"/>
  <c r="AY103" i="26"/>
  <c r="AY94" i="26"/>
  <c r="AY78" i="26"/>
  <c r="AY72" i="26"/>
  <c r="AY71" i="26"/>
  <c r="AY68" i="26"/>
  <c r="AY49" i="26"/>
  <c r="AY48" i="26"/>
  <c r="AY45" i="26"/>
  <c r="AY44" i="26"/>
  <c r="AY42" i="26"/>
  <c r="AS94" i="26"/>
  <c r="AS109" i="26"/>
  <c r="AS105" i="26"/>
  <c r="AS103" i="26"/>
  <c r="AS78" i="26"/>
  <c r="AS72" i="26"/>
  <c r="AS71" i="26"/>
  <c r="AS49" i="26"/>
  <c r="AS48" i="26"/>
  <c r="AS68" i="26"/>
  <c r="AS45" i="26"/>
  <c r="AS44" i="26"/>
  <c r="AS42" i="26"/>
  <c r="AQ109" i="26"/>
  <c r="AQ105" i="26"/>
  <c r="AQ103" i="26"/>
  <c r="AQ94" i="26"/>
  <c r="AQ78" i="26"/>
  <c r="AQ72" i="26"/>
  <c r="AQ71" i="26"/>
  <c r="AQ68" i="26"/>
  <c r="AQ49" i="26"/>
  <c r="AQ48" i="26"/>
  <c r="AQ45" i="26"/>
  <c r="AQ44" i="26"/>
  <c r="AQ42" i="26"/>
  <c r="C122" i="26"/>
  <c r="F10" i="11"/>
  <c r="M206" i="18"/>
  <c r="M208" i="18"/>
  <c r="N206" i="18"/>
  <c r="N208" i="18"/>
  <c r="O206" i="18"/>
  <c r="O208" i="18"/>
  <c r="P206" i="18"/>
  <c r="P208" i="18"/>
  <c r="Q206" i="18"/>
  <c r="Q208" i="18"/>
  <c r="C208" i="18"/>
  <c r="K6" i="11"/>
  <c r="C203" i="18"/>
  <c r="H208" i="18"/>
  <c r="G208" i="18"/>
  <c r="E208" i="18"/>
  <c r="I208" i="18"/>
  <c r="F208" i="18"/>
  <c r="S266" i="10"/>
  <c r="G266" i="10"/>
  <c r="H34" i="23"/>
  <c r="H24" i="23"/>
  <c r="J234" i="18"/>
  <c r="K234" i="18"/>
  <c r="L234" i="18"/>
  <c r="M234" i="18"/>
  <c r="N234" i="18"/>
  <c r="O234" i="18"/>
  <c r="P234" i="18"/>
  <c r="Q234" i="18"/>
  <c r="E209" i="18"/>
  <c r="C213" i="18"/>
  <c r="T35" i="10"/>
  <c r="S262" i="10"/>
  <c r="R262" i="10"/>
  <c r="Q262" i="10"/>
  <c r="P262" i="10"/>
  <c r="O262" i="10"/>
  <c r="N262" i="10"/>
  <c r="M262" i="10"/>
  <c r="L262" i="10"/>
  <c r="K262" i="10"/>
  <c r="J262" i="10"/>
  <c r="H262" i="10"/>
  <c r="G262" i="10"/>
  <c r="B262" i="10"/>
  <c r="B73" i="14" s="1"/>
  <c r="H73" i="14" s="1"/>
  <c r="E235" i="18"/>
  <c r="F235" i="18"/>
  <c r="H235" i="18"/>
  <c r="I235" i="18"/>
  <c r="J235" i="18"/>
  <c r="K235" i="18"/>
  <c r="L235" i="18"/>
  <c r="M235" i="18"/>
  <c r="N235" i="18"/>
  <c r="O235" i="18"/>
  <c r="P235" i="18"/>
  <c r="Q235" i="18"/>
  <c r="G39" i="10"/>
  <c r="H39" i="10"/>
  <c r="J39" i="10"/>
  <c r="K39" i="10"/>
  <c r="L39" i="10"/>
  <c r="M39" i="10"/>
  <c r="N39" i="10"/>
  <c r="O39" i="10"/>
  <c r="P39" i="10"/>
  <c r="Q39" i="10"/>
  <c r="Q255" i="10" s="1"/>
  <c r="P47" i="15" s="1"/>
  <c r="P47" i="23" s="1"/>
  <c r="R39" i="10"/>
  <c r="R255" i="10" s="1"/>
  <c r="Q47" i="15" s="1"/>
  <c r="Q47" i="23" s="1"/>
  <c r="S39" i="10"/>
  <c r="I262" i="10"/>
  <c r="I72" i="10"/>
  <c r="G235" i="18"/>
  <c r="R5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B230" i="18"/>
  <c r="B42" i="14" s="1"/>
  <c r="T36" i="10"/>
  <c r="T262" i="10" s="1"/>
  <c r="P32" i="24"/>
  <c r="P31" i="24"/>
  <c r="M32" i="24"/>
  <c r="M31" i="24"/>
  <c r="J32" i="24"/>
  <c r="J31" i="24"/>
  <c r="G32" i="24"/>
  <c r="G31" i="24"/>
  <c r="D31" i="24"/>
  <c r="D32" i="24"/>
  <c r="R21" i="24"/>
  <c r="U21" i="24" s="1"/>
  <c r="X21" i="24" s="1"/>
  <c r="R31" i="24"/>
  <c r="U31" i="24" s="1"/>
  <c r="R32" i="24"/>
  <c r="U32" i="24" s="1"/>
  <c r="B264" i="10"/>
  <c r="B75" i="14" s="1"/>
  <c r="H75" i="14" s="1"/>
  <c r="G264" i="10"/>
  <c r="H264" i="10"/>
  <c r="T264" i="10" s="1"/>
  <c r="J264" i="10"/>
  <c r="K264" i="10"/>
  <c r="L264" i="10"/>
  <c r="M264" i="10"/>
  <c r="N264" i="10"/>
  <c r="O264" i="10"/>
  <c r="P264" i="10"/>
  <c r="Q264" i="10"/>
  <c r="R264" i="10"/>
  <c r="S264" i="10"/>
  <c r="H246" i="10"/>
  <c r="P246" i="10"/>
  <c r="Q246" i="10"/>
  <c r="R246" i="10"/>
  <c r="G246" i="10"/>
  <c r="R244" i="10"/>
  <c r="Q244" i="10"/>
  <c r="P244" i="10"/>
  <c r="G31" i="20"/>
  <c r="N31" i="20"/>
  <c r="N32" i="20"/>
  <c r="O31" i="20"/>
  <c r="O32" i="20"/>
  <c r="P31" i="20"/>
  <c r="P32" i="20"/>
  <c r="Q31" i="20"/>
  <c r="Q32" i="20"/>
  <c r="R31" i="20"/>
  <c r="R32" i="20"/>
  <c r="F31" i="20"/>
  <c r="Q242" i="18"/>
  <c r="Q245" i="18"/>
  <c r="M250" i="18"/>
  <c r="N250" i="18"/>
  <c r="O250" i="18"/>
  <c r="P250" i="18"/>
  <c r="Q250" i="18"/>
  <c r="M251" i="18"/>
  <c r="N251" i="18"/>
  <c r="O251" i="18"/>
  <c r="P251" i="18"/>
  <c r="Q251" i="18"/>
  <c r="R43" i="18"/>
  <c r="R231" i="18"/>
  <c r="T231" i="18"/>
  <c r="F231" i="18"/>
  <c r="G231" i="18"/>
  <c r="H231" i="18"/>
  <c r="I231" i="18"/>
  <c r="J231" i="18"/>
  <c r="K231" i="18"/>
  <c r="L231" i="18"/>
  <c r="M231" i="18"/>
  <c r="N231" i="18"/>
  <c r="O231" i="18"/>
  <c r="P231" i="18"/>
  <c r="Q231" i="18"/>
  <c r="E231" i="18"/>
  <c r="B231" i="18"/>
  <c r="E213" i="18"/>
  <c r="K48" i="18"/>
  <c r="L48" i="18"/>
  <c r="C158" i="18"/>
  <c r="E158" i="18" s="1"/>
  <c r="C157" i="18"/>
  <c r="F157" i="18" s="1"/>
  <c r="R157" i="18" s="1"/>
  <c r="E160" i="18"/>
  <c r="E131" i="26"/>
  <c r="F131" i="26"/>
  <c r="G131" i="26" s="1"/>
  <c r="H131" i="26" s="1"/>
  <c r="I131" i="26" s="1"/>
  <c r="J131" i="26" s="1"/>
  <c r="K131" i="26" s="1"/>
  <c r="L131" i="26" s="1"/>
  <c r="M131" i="26" s="1"/>
  <c r="N131" i="26" s="1"/>
  <c r="O131" i="26" s="1"/>
  <c r="P131" i="26" s="1"/>
  <c r="Q131" i="26" s="1"/>
  <c r="R131" i="26" s="1"/>
  <c r="S131" i="26" s="1"/>
  <c r="T131" i="26" s="1"/>
  <c r="U131" i="26" s="1"/>
  <c r="V131" i="26" s="1"/>
  <c r="W131" i="26" s="1"/>
  <c r="X131" i="26" s="1"/>
  <c r="Y131" i="26" s="1"/>
  <c r="Z131" i="26" s="1"/>
  <c r="AA131" i="26" s="1"/>
  <c r="AB131" i="26" s="1"/>
  <c r="AC131" i="26" s="1"/>
  <c r="AD131" i="26" s="1"/>
  <c r="AE131" i="26" s="1"/>
  <c r="AF131" i="26" s="1"/>
  <c r="AG131" i="26" s="1"/>
  <c r="AH131" i="26" s="1"/>
  <c r="AI131" i="26" s="1"/>
  <c r="AJ131" i="26" s="1"/>
  <c r="AK131" i="26" s="1"/>
  <c r="AL131" i="26" s="1"/>
  <c r="AM131" i="26" s="1"/>
  <c r="AN131" i="26" s="1"/>
  <c r="AO131" i="26" s="1"/>
  <c r="AP131" i="26" s="1"/>
  <c r="AQ131" i="26" s="1"/>
  <c r="AR131" i="26" s="1"/>
  <c r="AS131" i="26" s="1"/>
  <c r="AT131" i="26" s="1"/>
  <c r="AU131" i="26" s="1"/>
  <c r="AV131" i="26" s="1"/>
  <c r="AW131" i="26" s="1"/>
  <c r="AX131" i="26" s="1"/>
  <c r="AY131" i="26" s="1"/>
  <c r="AZ131" i="26" s="1"/>
  <c r="F159" i="18"/>
  <c r="Q130" i="26"/>
  <c r="F160" i="18"/>
  <c r="G44" i="11"/>
  <c r="H44" i="11" s="1"/>
  <c r="I44" i="11" s="1"/>
  <c r="J44" i="11" s="1"/>
  <c r="K44" i="11" s="1"/>
  <c r="L44" i="11" s="1"/>
  <c r="M44" i="11" s="1"/>
  <c r="N44" i="11" s="1"/>
  <c r="O44" i="11" s="1"/>
  <c r="C43" i="23"/>
  <c r="Q43" i="23" s="1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G263" i="10"/>
  <c r="B263" i="10"/>
  <c r="B74" i="14" s="1"/>
  <c r="H74" i="14" s="1"/>
  <c r="O41" i="15"/>
  <c r="P41" i="15"/>
  <c r="Q41" i="15"/>
  <c r="R41" i="15"/>
  <c r="F41" i="15"/>
  <c r="G31" i="15"/>
  <c r="H31" i="15"/>
  <c r="I31" i="15"/>
  <c r="N31" i="15"/>
  <c r="N32" i="15"/>
  <c r="O31" i="15"/>
  <c r="P31" i="15"/>
  <c r="P32" i="15"/>
  <c r="Q31" i="15"/>
  <c r="R31" i="15"/>
  <c r="R32" i="15"/>
  <c r="F31" i="15"/>
  <c r="G21" i="15"/>
  <c r="I21" i="15"/>
  <c r="J21" i="15"/>
  <c r="K21" i="15"/>
  <c r="L21" i="15"/>
  <c r="M21" i="15"/>
  <c r="N21" i="15"/>
  <c r="O21" i="15"/>
  <c r="O22" i="15"/>
  <c r="O23" i="15"/>
  <c r="O25" i="15"/>
  <c r="P21" i="15"/>
  <c r="P22" i="15"/>
  <c r="P23" i="15"/>
  <c r="P25" i="15"/>
  <c r="Q21" i="15"/>
  <c r="Q22" i="15"/>
  <c r="R21" i="15"/>
  <c r="R22" i="15"/>
  <c r="R23" i="15"/>
  <c r="R25" i="15"/>
  <c r="F21" i="15"/>
  <c r="G232" i="10"/>
  <c r="G236" i="10"/>
  <c r="G241" i="10"/>
  <c r="G244" i="10"/>
  <c r="H245" i="10"/>
  <c r="G245" i="10"/>
  <c r="O221" i="10"/>
  <c r="O227" i="10"/>
  <c r="H226" i="10"/>
  <c r="H227" i="10" s="1"/>
  <c r="H220" i="10"/>
  <c r="T37" i="10"/>
  <c r="T263" i="10" s="1"/>
  <c r="P255" i="10"/>
  <c r="G40" i="18"/>
  <c r="AC11" i="26"/>
  <c r="H40" i="18"/>
  <c r="AO11" i="26"/>
  <c r="I40" i="18"/>
  <c r="J40" i="18"/>
  <c r="K40" i="18"/>
  <c r="L40" i="18"/>
  <c r="E40" i="18"/>
  <c r="E11" i="26"/>
  <c r="C239" i="10"/>
  <c r="N239" i="10"/>
  <c r="T235" i="10"/>
  <c r="C235" i="10"/>
  <c r="T231" i="10"/>
  <c r="C224" i="10"/>
  <c r="C218" i="10"/>
  <c r="H218" i="10" s="1"/>
  <c r="C43" i="15"/>
  <c r="C44" i="15" s="1"/>
  <c r="P44" i="15" s="1"/>
  <c r="C44" i="20"/>
  <c r="C188" i="18"/>
  <c r="F188" i="18" s="1"/>
  <c r="U156" i="26" s="1"/>
  <c r="U71" i="23"/>
  <c r="AA71" i="23"/>
  <c r="AB71" i="23"/>
  <c r="AC71" i="23"/>
  <c r="L8" i="11"/>
  <c r="C204" i="10" s="1"/>
  <c r="P50" i="11"/>
  <c r="Q50" i="11" s="1"/>
  <c r="F50" i="11"/>
  <c r="G50" i="11" s="1"/>
  <c r="H50" i="11" s="1"/>
  <c r="I50" i="11" s="1"/>
  <c r="J50" i="11" s="1"/>
  <c r="K50" i="11" s="1"/>
  <c r="L50" i="11" s="1"/>
  <c r="M50" i="11" s="1"/>
  <c r="N50" i="11" s="1"/>
  <c r="O50" i="11" s="1"/>
  <c r="C65" i="23"/>
  <c r="H60" i="23"/>
  <c r="H63" i="23"/>
  <c r="G60" i="23"/>
  <c r="G61" i="23"/>
  <c r="F60" i="23"/>
  <c r="F61" i="23"/>
  <c r="F62" i="23"/>
  <c r="C57" i="23"/>
  <c r="B57" i="23"/>
  <c r="C56" i="23"/>
  <c r="B56" i="23"/>
  <c r="T54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F18" i="20"/>
  <c r="G18" i="20"/>
  <c r="H18" i="20"/>
  <c r="I18" i="20"/>
  <c r="J18" i="20"/>
  <c r="K18" i="20"/>
  <c r="J265" i="10"/>
  <c r="K265" i="10"/>
  <c r="L265" i="10"/>
  <c r="M265" i="10"/>
  <c r="N265" i="10"/>
  <c r="O265" i="10"/>
  <c r="P265" i="10"/>
  <c r="Q265" i="10"/>
  <c r="R265" i="10"/>
  <c r="S265" i="10"/>
  <c r="G265" i="10"/>
  <c r="B265" i="10"/>
  <c r="N41" i="20"/>
  <c r="O41" i="20"/>
  <c r="P41" i="20"/>
  <c r="Q41" i="20"/>
  <c r="R41" i="20"/>
  <c r="C182" i="18"/>
  <c r="F182" i="18" s="1"/>
  <c r="G86" i="10"/>
  <c r="F24" i="15"/>
  <c r="F25" i="15" s="1"/>
  <c r="F28" i="15" s="1"/>
  <c r="G28" i="15" s="1"/>
  <c r="AD71" i="23"/>
  <c r="BA130" i="26"/>
  <c r="BB130" i="26" s="1"/>
  <c r="R159" i="18"/>
  <c r="N32" i="23"/>
  <c r="L22" i="15"/>
  <c r="L23" i="15"/>
  <c r="L25" i="15"/>
  <c r="G255" i="10"/>
  <c r="K22" i="15"/>
  <c r="K23" i="15"/>
  <c r="K25" i="15"/>
  <c r="P32" i="23"/>
  <c r="R32" i="23"/>
  <c r="C225" i="10"/>
  <c r="C219" i="10"/>
  <c r="C233" i="10"/>
  <c r="N233" i="10" s="1"/>
  <c r="G32" i="15"/>
  <c r="G33" i="15"/>
  <c r="F22" i="15"/>
  <c r="F23" i="15"/>
  <c r="J22" i="15"/>
  <c r="J23" i="15"/>
  <c r="J25" i="15"/>
  <c r="R33" i="15"/>
  <c r="R35" i="15"/>
  <c r="F32" i="15"/>
  <c r="F33" i="15"/>
  <c r="G22" i="15"/>
  <c r="G23" i="15"/>
  <c r="G25" i="15"/>
  <c r="H32" i="15"/>
  <c r="H33" i="15"/>
  <c r="H35" i="15"/>
  <c r="N33" i="15"/>
  <c r="N35" i="15"/>
  <c r="Q32" i="15"/>
  <c r="Q33" i="15"/>
  <c r="Q35" i="15"/>
  <c r="P33" i="15"/>
  <c r="P35" i="15"/>
  <c r="O32" i="15"/>
  <c r="O32" i="23"/>
  <c r="Q23" i="15"/>
  <c r="Q25" i="15"/>
  <c r="I22" i="15"/>
  <c r="I23" i="15"/>
  <c r="I25" i="15"/>
  <c r="N22" i="15"/>
  <c r="N23" i="15"/>
  <c r="N25" i="15"/>
  <c r="H221" i="10"/>
  <c r="H232" i="10" s="1"/>
  <c r="H236" i="10" s="1"/>
  <c r="H241" i="10" s="1"/>
  <c r="R41" i="23"/>
  <c r="R42" i="15"/>
  <c r="E203" i="18"/>
  <c r="E216" i="18"/>
  <c r="G203" i="18"/>
  <c r="K203" i="18"/>
  <c r="F203" i="18"/>
  <c r="F63" i="23"/>
  <c r="F64" i="23"/>
  <c r="H64" i="23"/>
  <c r="H65" i="23"/>
  <c r="G63" i="23"/>
  <c r="C234" i="10"/>
  <c r="O33" i="15"/>
  <c r="O35" i="15"/>
  <c r="Q32" i="23"/>
  <c r="F65" i="23"/>
  <c r="T65" i="23"/>
  <c r="F35" i="15"/>
  <c r="F38" i="15"/>
  <c r="T239" i="10"/>
  <c r="G64" i="23"/>
  <c r="G65" i="23"/>
  <c r="H13" i="15"/>
  <c r="R47" i="15"/>
  <c r="C57" i="15"/>
  <c r="L57" i="15"/>
  <c r="L60" i="15"/>
  <c r="AC71" i="15"/>
  <c r="AB71" i="15"/>
  <c r="AA71" i="15"/>
  <c r="W71" i="15"/>
  <c r="C65" i="15"/>
  <c r="O65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B57" i="15"/>
  <c r="C56" i="15"/>
  <c r="L56" i="15"/>
  <c r="B56" i="15"/>
  <c r="T54" i="15"/>
  <c r="S276" i="10"/>
  <c r="F31" i="23"/>
  <c r="N21" i="20"/>
  <c r="O21" i="20"/>
  <c r="P21" i="20"/>
  <c r="Q21" i="20"/>
  <c r="R21" i="20"/>
  <c r="F21" i="20"/>
  <c r="F21" i="23"/>
  <c r="R195" i="18"/>
  <c r="C169" i="18"/>
  <c r="E169" i="18" s="1"/>
  <c r="R169" i="18" s="1"/>
  <c r="E237" i="18"/>
  <c r="Q233" i="18"/>
  <c r="P233" i="18"/>
  <c r="O233" i="18"/>
  <c r="N233" i="18"/>
  <c r="M233" i="18"/>
  <c r="L233" i="18"/>
  <c r="K233" i="18"/>
  <c r="J233" i="18"/>
  <c r="I233" i="18"/>
  <c r="H233" i="18"/>
  <c r="G233" i="18"/>
  <c r="E233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B235" i="18"/>
  <c r="B233" i="18"/>
  <c r="B229" i="18"/>
  <c r="AC135" i="26"/>
  <c r="G9" i="11"/>
  <c r="C190" i="10" s="1"/>
  <c r="G8" i="11"/>
  <c r="C189" i="10" s="1"/>
  <c r="G189" i="10" s="1"/>
  <c r="L7" i="11"/>
  <c r="C203" i="10" s="1"/>
  <c r="C163" i="18"/>
  <c r="M48" i="18"/>
  <c r="Q21" i="23"/>
  <c r="Q22" i="20"/>
  <c r="Q22" i="23"/>
  <c r="P21" i="23"/>
  <c r="P22" i="20"/>
  <c r="P22" i="23"/>
  <c r="O21" i="23"/>
  <c r="O22" i="20"/>
  <c r="O22" i="23"/>
  <c r="R21" i="23"/>
  <c r="R22" i="20"/>
  <c r="R22" i="23"/>
  <c r="N21" i="23"/>
  <c r="N22" i="20"/>
  <c r="N22" i="23"/>
  <c r="P31" i="23"/>
  <c r="P33" i="23"/>
  <c r="P35" i="23"/>
  <c r="R31" i="23"/>
  <c r="R33" i="23"/>
  <c r="R35" i="23"/>
  <c r="Q31" i="23"/>
  <c r="Q33" i="23"/>
  <c r="Q35" i="23"/>
  <c r="O31" i="23"/>
  <c r="O33" i="23"/>
  <c r="O35" i="23"/>
  <c r="N33" i="23"/>
  <c r="N35" i="23"/>
  <c r="H65" i="15"/>
  <c r="I65" i="15"/>
  <c r="J65" i="15"/>
  <c r="K65" i="15"/>
  <c r="L65" i="15"/>
  <c r="F65" i="15"/>
  <c r="AD71" i="15"/>
  <c r="F41" i="20"/>
  <c r="R39" i="18"/>
  <c r="N33" i="20"/>
  <c r="N35" i="20"/>
  <c r="P33" i="20"/>
  <c r="P35" i="20"/>
  <c r="N65" i="15"/>
  <c r="P65" i="15"/>
  <c r="Q65" i="15"/>
  <c r="R65" i="15"/>
  <c r="L63" i="15"/>
  <c r="U71" i="15"/>
  <c r="F56" i="15"/>
  <c r="N56" i="15"/>
  <c r="F57" i="15"/>
  <c r="N57" i="15"/>
  <c r="N60" i="15"/>
  <c r="N63" i="15"/>
  <c r="M65" i="15"/>
  <c r="G56" i="15"/>
  <c r="O56" i="15"/>
  <c r="G57" i="15"/>
  <c r="O57" i="15"/>
  <c r="O60" i="15"/>
  <c r="O63" i="15"/>
  <c r="H56" i="15"/>
  <c r="P56" i="15"/>
  <c r="H57" i="15"/>
  <c r="P57" i="15"/>
  <c r="P60" i="15"/>
  <c r="P63" i="15"/>
  <c r="G65" i="15"/>
  <c r="I56" i="15"/>
  <c r="Q56" i="15"/>
  <c r="I57" i="15"/>
  <c r="I60" i="15"/>
  <c r="Q57" i="15"/>
  <c r="Q60" i="15"/>
  <c r="Q63" i="15"/>
  <c r="M57" i="15"/>
  <c r="M60" i="15"/>
  <c r="M63" i="15"/>
  <c r="J56" i="15"/>
  <c r="R56" i="15"/>
  <c r="J57" i="15"/>
  <c r="J60" i="15"/>
  <c r="R57" i="15"/>
  <c r="R60" i="15"/>
  <c r="R63" i="15"/>
  <c r="M56" i="15"/>
  <c r="K56" i="15"/>
  <c r="K57" i="15"/>
  <c r="K60" i="15"/>
  <c r="O33" i="20"/>
  <c r="O35" i="20"/>
  <c r="R33" i="20"/>
  <c r="R35" i="20"/>
  <c r="Q33" i="20"/>
  <c r="Q35" i="20"/>
  <c r="O23" i="23"/>
  <c r="O25" i="23"/>
  <c r="P23" i="23"/>
  <c r="P25" i="23"/>
  <c r="Q23" i="23"/>
  <c r="Q25" i="23"/>
  <c r="P23" i="20"/>
  <c r="R23" i="23"/>
  <c r="R25" i="23"/>
  <c r="N23" i="20"/>
  <c r="N23" i="23"/>
  <c r="N25" i="23"/>
  <c r="R23" i="20"/>
  <c r="O23" i="20"/>
  <c r="Q23" i="20"/>
  <c r="R230" i="18"/>
  <c r="F24" i="20"/>
  <c r="F24" i="23"/>
  <c r="F41" i="23"/>
  <c r="T65" i="15"/>
  <c r="K63" i="15"/>
  <c r="T57" i="15"/>
  <c r="T56" i="15"/>
  <c r="J63" i="15"/>
  <c r="I63" i="15"/>
  <c r="C157" i="10"/>
  <c r="K157" i="10"/>
  <c r="O130" i="10"/>
  <c r="O146" i="10" s="1"/>
  <c r="P130" i="10"/>
  <c r="P146" i="10" s="1"/>
  <c r="N130" i="10"/>
  <c r="N146" i="10" s="1"/>
  <c r="M18" i="10"/>
  <c r="L18" i="10"/>
  <c r="M17" i="10"/>
  <c r="L17" i="10"/>
  <c r="J6" i="10"/>
  <c r="I6" i="10"/>
  <c r="S184" i="10"/>
  <c r="S212" i="10"/>
  <c r="I146" i="10"/>
  <c r="H153" i="10"/>
  <c r="H146" i="10"/>
  <c r="G153" i="10"/>
  <c r="H133" i="10"/>
  <c r="G150" i="10"/>
  <c r="C142" i="10"/>
  <c r="I142" i="10"/>
  <c r="C143" i="10"/>
  <c r="H143" i="10"/>
  <c r="C144" i="10"/>
  <c r="I144" i="10"/>
  <c r="C141" i="10"/>
  <c r="I141" i="10"/>
  <c r="C140" i="10"/>
  <c r="H140" i="10"/>
  <c r="C139" i="10"/>
  <c r="I139" i="10"/>
  <c r="C138" i="10"/>
  <c r="I138" i="10"/>
  <c r="C137" i="10"/>
  <c r="H137" i="10"/>
  <c r="C136" i="10"/>
  <c r="I136" i="10"/>
  <c r="C135" i="10"/>
  <c r="H135" i="10"/>
  <c r="C134" i="10"/>
  <c r="J134" i="10"/>
  <c r="J145" i="10"/>
  <c r="I145" i="10"/>
  <c r="H145" i="10"/>
  <c r="H98" i="18"/>
  <c r="G98" i="18"/>
  <c r="F98" i="18"/>
  <c r="E98" i="18"/>
  <c r="H84" i="10"/>
  <c r="H79" i="10"/>
  <c r="I79" i="10"/>
  <c r="H80" i="10"/>
  <c r="R86" i="10"/>
  <c r="Q86" i="10"/>
  <c r="P86" i="10"/>
  <c r="O86" i="10"/>
  <c r="N86" i="10"/>
  <c r="M86" i="10"/>
  <c r="L86" i="10"/>
  <c r="B86" i="10"/>
  <c r="D83" i="10"/>
  <c r="H83" i="10"/>
  <c r="C82" i="10"/>
  <c r="D82" i="10"/>
  <c r="H82" i="10"/>
  <c r="D81" i="10"/>
  <c r="I81" i="10"/>
  <c r="J75" i="10"/>
  <c r="K75" i="10"/>
  <c r="L75" i="10"/>
  <c r="M75" i="10"/>
  <c r="N75" i="10"/>
  <c r="O75" i="10"/>
  <c r="P75" i="10"/>
  <c r="Q75" i="10"/>
  <c r="R75" i="10"/>
  <c r="H75" i="10"/>
  <c r="H9" i="10"/>
  <c r="D118" i="10"/>
  <c r="I118" i="10"/>
  <c r="D117" i="10"/>
  <c r="D111" i="10"/>
  <c r="I111" i="10"/>
  <c r="D110" i="10"/>
  <c r="D109" i="10"/>
  <c r="D112" i="10"/>
  <c r="D93" i="10"/>
  <c r="J93" i="10"/>
  <c r="D91" i="10"/>
  <c r="K91" i="10"/>
  <c r="C92" i="10"/>
  <c r="D92" i="10"/>
  <c r="L92" i="10"/>
  <c r="I90" i="10"/>
  <c r="C103" i="10"/>
  <c r="D103" i="10" s="1"/>
  <c r="H105" i="10" s="1"/>
  <c r="B96" i="10"/>
  <c r="I89" i="10"/>
  <c r="G27" i="10"/>
  <c r="J27" i="10" s="1"/>
  <c r="H19" i="10"/>
  <c r="L19" i="10"/>
  <c r="M19" i="10"/>
  <c r="N19" i="10"/>
  <c r="O19" i="10"/>
  <c r="P19" i="10"/>
  <c r="Q19" i="10"/>
  <c r="R19" i="10"/>
  <c r="S19" i="10"/>
  <c r="O18" i="10"/>
  <c r="P18" i="10"/>
  <c r="Q18" i="10"/>
  <c r="R18" i="10"/>
  <c r="S18" i="10"/>
  <c r="H18" i="10"/>
  <c r="I18" i="10"/>
  <c r="N17" i="10"/>
  <c r="O17" i="10"/>
  <c r="P17" i="10"/>
  <c r="Q17" i="10"/>
  <c r="R17" i="10"/>
  <c r="S17" i="10"/>
  <c r="L16" i="10"/>
  <c r="M16" i="10"/>
  <c r="N16" i="10"/>
  <c r="O16" i="10"/>
  <c r="P16" i="10"/>
  <c r="Q16" i="10"/>
  <c r="R16" i="10"/>
  <c r="S16" i="10"/>
  <c r="H16" i="10"/>
  <c r="I16" i="10"/>
  <c r="K19" i="10"/>
  <c r="J19" i="10"/>
  <c r="C9" i="10"/>
  <c r="H103" i="10" s="1"/>
  <c r="B9" i="10"/>
  <c r="B103" i="10" s="1"/>
  <c r="I31" i="11"/>
  <c r="M85" i="18"/>
  <c r="M242" i="18"/>
  <c r="N85" i="18"/>
  <c r="N242" i="18"/>
  <c r="O85" i="18"/>
  <c r="O242" i="18"/>
  <c r="P85" i="18"/>
  <c r="P242" i="18"/>
  <c r="B8" i="10"/>
  <c r="B18" i="10" s="1"/>
  <c r="B7" i="10"/>
  <c r="B17" i="10" s="1"/>
  <c r="B6" i="10"/>
  <c r="B99" i="10" s="1"/>
  <c r="T73" i="10"/>
  <c r="T74" i="10"/>
  <c r="I80" i="10"/>
  <c r="T80" i="10"/>
  <c r="T79" i="10"/>
  <c r="I84" i="10"/>
  <c r="T84" i="10"/>
  <c r="C42" i="14"/>
  <c r="I42" i="14"/>
  <c r="T230" i="18"/>
  <c r="P69" i="26"/>
  <c r="O69" i="26"/>
  <c r="N69" i="26"/>
  <c r="M69" i="26"/>
  <c r="L69" i="26"/>
  <c r="K69" i="26"/>
  <c r="J69" i="26"/>
  <c r="I69" i="26"/>
  <c r="H69" i="26"/>
  <c r="G69" i="26"/>
  <c r="F69" i="26"/>
  <c r="E69" i="26"/>
  <c r="T69" i="26"/>
  <c r="Z69" i="26"/>
  <c r="R69" i="26"/>
  <c r="Y69" i="26"/>
  <c r="AB69" i="26"/>
  <c r="W69" i="26"/>
  <c r="AA69" i="26"/>
  <c r="X69" i="26"/>
  <c r="S69" i="26"/>
  <c r="V69" i="26"/>
  <c r="Q69" i="26"/>
  <c r="U69" i="26"/>
  <c r="AE69" i="26"/>
  <c r="AI69" i="26"/>
  <c r="AJ69" i="26"/>
  <c r="AN69" i="26"/>
  <c r="AG69" i="26"/>
  <c r="AH69" i="26"/>
  <c r="AL69" i="26"/>
  <c r="AC69" i="26"/>
  <c r="AM69" i="26"/>
  <c r="AK69" i="26"/>
  <c r="AD69" i="26"/>
  <c r="AF69" i="26"/>
  <c r="AR69" i="26"/>
  <c r="AO69" i="26"/>
  <c r="AP69" i="26"/>
  <c r="AX69" i="26"/>
  <c r="AV69" i="26"/>
  <c r="AZ69" i="26"/>
  <c r="AW69" i="26"/>
  <c r="AT69" i="26"/>
  <c r="AU69" i="26"/>
  <c r="AY69" i="26"/>
  <c r="AS69" i="26"/>
  <c r="AQ69" i="26"/>
  <c r="J130" i="10"/>
  <c r="J146" i="10" s="1"/>
  <c r="F251" i="18"/>
  <c r="F40" i="18"/>
  <c r="R98" i="18"/>
  <c r="L130" i="10"/>
  <c r="K133" i="10" s="1"/>
  <c r="I137" i="10"/>
  <c r="K130" i="10"/>
  <c r="K146" i="10" s="1"/>
  <c r="N18" i="10"/>
  <c r="I154" i="10"/>
  <c r="H157" i="10"/>
  <c r="I157" i="10"/>
  <c r="J157" i="10"/>
  <c r="O133" i="10"/>
  <c r="O147" i="10" s="1"/>
  <c r="M130" i="10"/>
  <c r="T138" i="10"/>
  <c r="H142" i="10"/>
  <c r="K140" i="10"/>
  <c r="J140" i="10"/>
  <c r="H141" i="10"/>
  <c r="H136" i="10"/>
  <c r="I135" i="10"/>
  <c r="H138" i="10"/>
  <c r="H139" i="10"/>
  <c r="I143" i="10"/>
  <c r="H144" i="10"/>
  <c r="I140" i="10"/>
  <c r="T142" i="10"/>
  <c r="T141" i="10"/>
  <c r="T139" i="10"/>
  <c r="T134" i="10"/>
  <c r="T135" i="10"/>
  <c r="I82" i="10"/>
  <c r="T82" i="10"/>
  <c r="I83" i="10"/>
  <c r="T83" i="10"/>
  <c r="D123" i="10"/>
  <c r="J123" i="10"/>
  <c r="T123" i="10"/>
  <c r="D114" i="10"/>
  <c r="T145" i="10"/>
  <c r="H81" i="10"/>
  <c r="D86" i="10"/>
  <c r="D85" i="10"/>
  <c r="H27" i="10"/>
  <c r="K93" i="10"/>
  <c r="T93" i="10"/>
  <c r="L93" i="10"/>
  <c r="I27" i="10"/>
  <c r="D113" i="10"/>
  <c r="J113" i="10"/>
  <c r="T113" i="10"/>
  <c r="J118" i="10"/>
  <c r="T118" i="10"/>
  <c r="D95" i="10"/>
  <c r="J111" i="10"/>
  <c r="T111" i="10"/>
  <c r="I92" i="10"/>
  <c r="J92" i="10"/>
  <c r="K92" i="10"/>
  <c r="J90" i="10"/>
  <c r="T90" i="10"/>
  <c r="B101" i="10"/>
  <c r="J91" i="10"/>
  <c r="L91" i="10"/>
  <c r="I91" i="10"/>
  <c r="T91" i="10"/>
  <c r="C20" i="11"/>
  <c r="C127" i="18" s="1"/>
  <c r="C32" i="18"/>
  <c r="C31" i="18"/>
  <c r="H31" i="18" s="1"/>
  <c r="I31" i="18" s="1"/>
  <c r="E32" i="18"/>
  <c r="S10" i="18"/>
  <c r="C17" i="11"/>
  <c r="C89" i="18" s="1"/>
  <c r="G266" i="8"/>
  <c r="G267" i="8"/>
  <c r="C152" i="18"/>
  <c r="C153" i="18"/>
  <c r="H33" i="14"/>
  <c r="H20" i="14"/>
  <c r="H6" i="14"/>
  <c r="H4" i="14"/>
  <c r="B45" i="14"/>
  <c r="B11" i="14"/>
  <c r="H11" i="14"/>
  <c r="H38" i="14"/>
  <c r="B43" i="14"/>
  <c r="B9" i="14" s="1"/>
  <c r="H9" i="14" s="1"/>
  <c r="B47" i="14"/>
  <c r="I27" i="18"/>
  <c r="J27" i="18"/>
  <c r="K27" i="18"/>
  <c r="L27" i="18"/>
  <c r="M27" i="18"/>
  <c r="N27" i="18"/>
  <c r="O27" i="18"/>
  <c r="P27" i="18"/>
  <c r="B1" i="20"/>
  <c r="L18" i="20"/>
  <c r="M18" i="20"/>
  <c r="N18" i="20"/>
  <c r="O18" i="20"/>
  <c r="P18" i="20"/>
  <c r="Q18" i="20"/>
  <c r="R18" i="20"/>
  <c r="G60" i="20"/>
  <c r="G61" i="20"/>
  <c r="H60" i="20"/>
  <c r="H63" i="20"/>
  <c r="T54" i="20"/>
  <c r="B56" i="20"/>
  <c r="C56" i="20"/>
  <c r="B57" i="20"/>
  <c r="C65" i="20"/>
  <c r="AA71" i="20"/>
  <c r="AB71" i="20"/>
  <c r="AC71" i="20"/>
  <c r="C57" i="20"/>
  <c r="R6" i="18"/>
  <c r="V6" i="18"/>
  <c r="R7" i="18"/>
  <c r="R8" i="18"/>
  <c r="C22" i="18" s="1"/>
  <c r="R9" i="18"/>
  <c r="R10" i="18"/>
  <c r="C24" i="18"/>
  <c r="R11" i="18"/>
  <c r="C25" i="18" s="1"/>
  <c r="R12" i="18"/>
  <c r="R13" i="18"/>
  <c r="C27" i="18"/>
  <c r="R14" i="18"/>
  <c r="C28" i="18"/>
  <c r="R15" i="18"/>
  <c r="D17" i="18" s="1"/>
  <c r="E16" i="18"/>
  <c r="F16" i="18"/>
  <c r="G16" i="18"/>
  <c r="G112" i="18"/>
  <c r="AE83" i="26" s="1"/>
  <c r="H16" i="18"/>
  <c r="H110" i="18" s="1"/>
  <c r="I16" i="18"/>
  <c r="J90" i="18" s="1"/>
  <c r="I111" i="18" s="1"/>
  <c r="J16" i="18"/>
  <c r="K90" i="18"/>
  <c r="J111" i="18" s="1"/>
  <c r="K16" i="18"/>
  <c r="K112" i="18" s="1"/>
  <c r="L16" i="18"/>
  <c r="M16" i="18"/>
  <c r="N16" i="18"/>
  <c r="N112" i="18"/>
  <c r="O16" i="18"/>
  <c r="P16" i="18"/>
  <c r="P88" i="18" s="1"/>
  <c r="Q16" i="18"/>
  <c r="Q110" i="18" s="1"/>
  <c r="B20" i="18"/>
  <c r="D20" i="18"/>
  <c r="G20" i="18"/>
  <c r="H20" i="18"/>
  <c r="I20" i="18"/>
  <c r="J20" i="18"/>
  <c r="K20" i="18"/>
  <c r="L20" i="18"/>
  <c r="M20" i="18"/>
  <c r="N20" i="18"/>
  <c r="O20" i="18"/>
  <c r="P20" i="18"/>
  <c r="Q20" i="18"/>
  <c r="B21" i="18"/>
  <c r="D21" i="18"/>
  <c r="G21" i="18"/>
  <c r="H21" i="18"/>
  <c r="I21" i="18"/>
  <c r="J21" i="18"/>
  <c r="K21" i="18"/>
  <c r="L21" i="18"/>
  <c r="R21" i="18" s="1"/>
  <c r="M21" i="18"/>
  <c r="M30" i="18" s="1"/>
  <c r="N21" i="18"/>
  <c r="O21" i="18"/>
  <c r="P21" i="18"/>
  <c r="Q21" i="18"/>
  <c r="B22" i="18"/>
  <c r="D22" i="18"/>
  <c r="G22" i="18"/>
  <c r="H22" i="18"/>
  <c r="I22" i="18"/>
  <c r="J22" i="18"/>
  <c r="K22" i="18"/>
  <c r="L22" i="18"/>
  <c r="M22" i="18"/>
  <c r="N22" i="18"/>
  <c r="O22" i="18"/>
  <c r="P22" i="18"/>
  <c r="Q22" i="18"/>
  <c r="B23" i="18"/>
  <c r="D23" i="18"/>
  <c r="G23" i="18"/>
  <c r="H23" i="18"/>
  <c r="I23" i="18"/>
  <c r="J23" i="18"/>
  <c r="K23" i="18"/>
  <c r="L23" i="18"/>
  <c r="M23" i="18"/>
  <c r="N23" i="18"/>
  <c r="O23" i="18"/>
  <c r="P23" i="18"/>
  <c r="Q23" i="18"/>
  <c r="B24" i="18"/>
  <c r="D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B25" i="18"/>
  <c r="D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B26" i="18"/>
  <c r="D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B27" i="18"/>
  <c r="D27" i="18"/>
  <c r="F27" i="18"/>
  <c r="G27" i="18"/>
  <c r="H27" i="18"/>
  <c r="Q27" i="18"/>
  <c r="B28" i="18"/>
  <c r="D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B29" i="18"/>
  <c r="D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36" i="18"/>
  <c r="R37" i="18"/>
  <c r="R38" i="18"/>
  <c r="E121" i="18"/>
  <c r="C56" i="18"/>
  <c r="V61" i="18"/>
  <c r="R62" i="18"/>
  <c r="V62" i="18"/>
  <c r="E64" i="18"/>
  <c r="R64" i="18" s="1"/>
  <c r="E35" i="26"/>
  <c r="BA35" i="26" s="1"/>
  <c r="BB35" i="26" s="1"/>
  <c r="M64" i="18"/>
  <c r="N64" i="18"/>
  <c r="N65" i="18"/>
  <c r="N241" i="18"/>
  <c r="O64" i="18"/>
  <c r="O65" i="18"/>
  <c r="O241" i="18"/>
  <c r="P64" i="18"/>
  <c r="P65" i="18"/>
  <c r="P241" i="18"/>
  <c r="Q64" i="18"/>
  <c r="Q65" i="18"/>
  <c r="Q241" i="18"/>
  <c r="F65" i="18"/>
  <c r="F241" i="18" s="1"/>
  <c r="G65" i="18"/>
  <c r="H65" i="18"/>
  <c r="I65" i="18"/>
  <c r="J65" i="18"/>
  <c r="K65" i="18"/>
  <c r="L65" i="18"/>
  <c r="L241" i="18"/>
  <c r="C68" i="18"/>
  <c r="F68" i="18"/>
  <c r="C69" i="18"/>
  <c r="F69" i="18"/>
  <c r="C70" i="18"/>
  <c r="E70" i="18"/>
  <c r="C71" i="18"/>
  <c r="E71" i="18"/>
  <c r="C72" i="18"/>
  <c r="F72" i="18"/>
  <c r="E73" i="18"/>
  <c r="C74" i="18"/>
  <c r="E74" i="18"/>
  <c r="C75" i="18"/>
  <c r="C76" i="18"/>
  <c r="C77" i="18"/>
  <c r="C78" i="18"/>
  <c r="E78" i="18"/>
  <c r="C79" i="18"/>
  <c r="H79" i="18"/>
  <c r="C80" i="18"/>
  <c r="G80" i="18"/>
  <c r="C81" i="18"/>
  <c r="F81" i="18"/>
  <c r="F82" i="18"/>
  <c r="G82" i="18"/>
  <c r="H82" i="18"/>
  <c r="I82" i="18"/>
  <c r="J82" i="18"/>
  <c r="K84" i="18"/>
  <c r="K85" i="18"/>
  <c r="L84" i="18"/>
  <c r="B85" i="18"/>
  <c r="M128" i="18"/>
  <c r="M129" i="18"/>
  <c r="M247" i="18"/>
  <c r="O128" i="18"/>
  <c r="O129" i="18"/>
  <c r="O247" i="18"/>
  <c r="P128" i="18"/>
  <c r="P129" i="18"/>
  <c r="P247" i="18"/>
  <c r="B94" i="18"/>
  <c r="E100" i="18"/>
  <c r="E101" i="18"/>
  <c r="F101" i="18"/>
  <c r="E102" i="18"/>
  <c r="F102" i="18"/>
  <c r="G102" i="18"/>
  <c r="H102" i="18"/>
  <c r="I102" i="18"/>
  <c r="I104" i="18"/>
  <c r="J102" i="18"/>
  <c r="J104" i="18"/>
  <c r="K104" i="18"/>
  <c r="L104" i="18"/>
  <c r="L244" i="18"/>
  <c r="Q103" i="18"/>
  <c r="Q104" i="18"/>
  <c r="Q244" i="18"/>
  <c r="B104" i="18"/>
  <c r="M104" i="18"/>
  <c r="M244" i="18"/>
  <c r="N104" i="18"/>
  <c r="N244" i="18"/>
  <c r="O104" i="18"/>
  <c r="O244" i="18"/>
  <c r="P104" i="18"/>
  <c r="P244" i="18"/>
  <c r="E107" i="18"/>
  <c r="M107" i="18"/>
  <c r="N107" i="18"/>
  <c r="O107" i="18"/>
  <c r="P107" i="18"/>
  <c r="Q107" i="18"/>
  <c r="E113" i="18"/>
  <c r="H84" i="26" s="1"/>
  <c r="F113" i="18"/>
  <c r="S84" i="26" s="1"/>
  <c r="G113" i="18"/>
  <c r="AM84" i="26" s="1"/>
  <c r="H113" i="18"/>
  <c r="AU84" i="26" s="1"/>
  <c r="I113" i="18"/>
  <c r="J113" i="18"/>
  <c r="K113" i="18"/>
  <c r="M113" i="18"/>
  <c r="N113" i="18"/>
  <c r="O113" i="18"/>
  <c r="P113" i="18"/>
  <c r="Q113" i="18"/>
  <c r="B118" i="18"/>
  <c r="L118" i="18"/>
  <c r="L245" i="18"/>
  <c r="E122" i="18"/>
  <c r="F122" i="18"/>
  <c r="G122" i="18"/>
  <c r="H122" i="18"/>
  <c r="I122" i="18"/>
  <c r="J122" i="18"/>
  <c r="N123" i="18"/>
  <c r="R123" i="18"/>
  <c r="Q128" i="18"/>
  <c r="Q129" i="18"/>
  <c r="Q247" i="18"/>
  <c r="C132" i="18"/>
  <c r="E132" i="18"/>
  <c r="R132" i="18"/>
  <c r="E134" i="18"/>
  <c r="E140" i="18"/>
  <c r="F140" i="18"/>
  <c r="G140" i="18"/>
  <c r="H140" i="18"/>
  <c r="I140" i="18"/>
  <c r="J140" i="18"/>
  <c r="M201" i="18"/>
  <c r="M205" i="18"/>
  <c r="B226" i="18"/>
  <c r="B228" i="18"/>
  <c r="B41" i="14"/>
  <c r="B7" i="14"/>
  <c r="H7" i="14"/>
  <c r="B46" i="14"/>
  <c r="B236" i="18"/>
  <c r="B48" i="14"/>
  <c r="B237" i="18"/>
  <c r="B49" i="14"/>
  <c r="B238" i="18"/>
  <c r="B50" i="14"/>
  <c r="B240" i="18"/>
  <c r="B241" i="18"/>
  <c r="H53" i="14"/>
  <c r="B246" i="18"/>
  <c r="H58" i="14"/>
  <c r="B247" i="18"/>
  <c r="H59" i="14"/>
  <c r="B248" i="18"/>
  <c r="B60" i="14"/>
  <c r="B249" i="18"/>
  <c r="B61" i="14"/>
  <c r="B250" i="18"/>
  <c r="B251" i="18"/>
  <c r="B64" i="14"/>
  <c r="B32" i="14"/>
  <c r="B252" i="18"/>
  <c r="H65" i="14"/>
  <c r="I26" i="8"/>
  <c r="B8" i="8"/>
  <c r="B17" i="8"/>
  <c r="B9" i="8"/>
  <c r="B18" i="8"/>
  <c r="B10" i="8"/>
  <c r="B19" i="8"/>
  <c r="B7" i="8"/>
  <c r="B16" i="8"/>
  <c r="D7" i="8"/>
  <c r="G70" i="8"/>
  <c r="G96" i="10"/>
  <c r="M96" i="10"/>
  <c r="N96" i="10"/>
  <c r="O96" i="10"/>
  <c r="P96" i="10"/>
  <c r="Q96" i="10"/>
  <c r="R96" i="10"/>
  <c r="G106" i="10"/>
  <c r="L106" i="10"/>
  <c r="M106" i="10"/>
  <c r="N106" i="10"/>
  <c r="O106" i="10"/>
  <c r="P106" i="10"/>
  <c r="Q106" i="10"/>
  <c r="R106" i="10"/>
  <c r="K124" i="10"/>
  <c r="L124" i="10"/>
  <c r="M124" i="10"/>
  <c r="N124" i="10"/>
  <c r="O124" i="10"/>
  <c r="P124" i="10"/>
  <c r="Q124" i="10"/>
  <c r="R124" i="10"/>
  <c r="G124" i="10"/>
  <c r="H124" i="10"/>
  <c r="G114" i="10"/>
  <c r="H114" i="10"/>
  <c r="K114" i="10"/>
  <c r="L114" i="10"/>
  <c r="M114" i="10"/>
  <c r="N114" i="10"/>
  <c r="O114" i="10"/>
  <c r="P114" i="10"/>
  <c r="Q114" i="10"/>
  <c r="R114" i="10"/>
  <c r="U159" i="18"/>
  <c r="H86" i="10"/>
  <c r="T81" i="10"/>
  <c r="T92" i="10"/>
  <c r="BB111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E103" i="26"/>
  <c r="P103" i="26"/>
  <c r="O103" i="26"/>
  <c r="N103" i="26"/>
  <c r="M103" i="26"/>
  <c r="L103" i="26"/>
  <c r="K103" i="26"/>
  <c r="J103" i="26"/>
  <c r="I103" i="26"/>
  <c r="H103" i="26"/>
  <c r="G103" i="26"/>
  <c r="F103" i="26"/>
  <c r="AR93" i="26"/>
  <c r="AO93" i="26"/>
  <c r="AP93" i="26"/>
  <c r="AX93" i="26"/>
  <c r="AV93" i="26"/>
  <c r="AZ93" i="26"/>
  <c r="AW93" i="26"/>
  <c r="AT93" i="26"/>
  <c r="AU93" i="26"/>
  <c r="AY93" i="26"/>
  <c r="AS93" i="26"/>
  <c r="AQ93" i="26"/>
  <c r="AE93" i="26"/>
  <c r="AI93" i="26"/>
  <c r="AJ93" i="26"/>
  <c r="AN93" i="26"/>
  <c r="AG93" i="26"/>
  <c r="AH93" i="26"/>
  <c r="AL93" i="26"/>
  <c r="AC93" i="26"/>
  <c r="AM93" i="26"/>
  <c r="AK93" i="26"/>
  <c r="AD93" i="26"/>
  <c r="AF93" i="26"/>
  <c r="T93" i="26"/>
  <c r="Z93" i="26"/>
  <c r="R93" i="26"/>
  <c r="Y93" i="26"/>
  <c r="X93" i="26"/>
  <c r="AB93" i="26"/>
  <c r="W93" i="26"/>
  <c r="AA93" i="26"/>
  <c r="S93" i="26"/>
  <c r="V93" i="26"/>
  <c r="Q93" i="26"/>
  <c r="U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B245" i="18"/>
  <c r="H57" i="14"/>
  <c r="B89" i="26"/>
  <c r="AO84" i="26"/>
  <c r="AP84" i="26"/>
  <c r="AX84" i="26"/>
  <c r="AZ84" i="26"/>
  <c r="AW84" i="26"/>
  <c r="AT84" i="26"/>
  <c r="AI84" i="26"/>
  <c r="AJ84" i="26"/>
  <c r="AN84" i="26"/>
  <c r="AG84" i="26"/>
  <c r="AH84" i="26"/>
  <c r="AL84" i="26"/>
  <c r="AC84" i="26"/>
  <c r="Z84" i="26"/>
  <c r="R84" i="26"/>
  <c r="Y84" i="26"/>
  <c r="AB84" i="26"/>
  <c r="W84" i="26"/>
  <c r="AA84" i="26"/>
  <c r="O84" i="26"/>
  <c r="N84" i="26"/>
  <c r="M84" i="26"/>
  <c r="K84" i="26"/>
  <c r="J84" i="26"/>
  <c r="I84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B244" i="18"/>
  <c r="H56" i="14"/>
  <c r="B75" i="26"/>
  <c r="AR73" i="26"/>
  <c r="AO73" i="26"/>
  <c r="AP73" i="26"/>
  <c r="AX73" i="26"/>
  <c r="AV73" i="26"/>
  <c r="AZ73" i="26"/>
  <c r="AW73" i="26"/>
  <c r="AT73" i="26"/>
  <c r="AU73" i="26"/>
  <c r="AY73" i="26"/>
  <c r="AS73" i="26"/>
  <c r="AQ73" i="26"/>
  <c r="AE73" i="26"/>
  <c r="AI73" i="26"/>
  <c r="AJ73" i="26"/>
  <c r="AN73" i="26"/>
  <c r="AG73" i="26"/>
  <c r="AH73" i="26"/>
  <c r="AL73" i="26"/>
  <c r="AC73" i="26"/>
  <c r="AM73" i="26"/>
  <c r="AK73" i="26"/>
  <c r="AD73" i="26"/>
  <c r="AF73" i="26"/>
  <c r="T73" i="26"/>
  <c r="Z73" i="26"/>
  <c r="R73" i="26"/>
  <c r="Y73" i="26"/>
  <c r="X73" i="26"/>
  <c r="AB73" i="26"/>
  <c r="W73" i="26"/>
  <c r="AA73" i="26"/>
  <c r="S73" i="26"/>
  <c r="V73" i="26"/>
  <c r="Q73" i="26"/>
  <c r="U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T72" i="26"/>
  <c r="Z72" i="26"/>
  <c r="R72" i="26"/>
  <c r="Y72" i="26"/>
  <c r="X72" i="26"/>
  <c r="AB72" i="26"/>
  <c r="W72" i="26"/>
  <c r="AA72" i="26"/>
  <c r="S72" i="26"/>
  <c r="V72" i="26"/>
  <c r="Q72" i="26"/>
  <c r="U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B243" i="18"/>
  <c r="B55" i="14"/>
  <c r="N47" i="14"/>
  <c r="B65" i="26"/>
  <c r="B242" i="18"/>
  <c r="B54" i="14"/>
  <c r="N46" i="14"/>
  <c r="B56" i="26"/>
  <c r="AR53" i="26"/>
  <c r="AO53" i="26"/>
  <c r="AP53" i="26"/>
  <c r="AX53" i="26"/>
  <c r="AV53" i="26"/>
  <c r="AZ53" i="26"/>
  <c r="AW53" i="26"/>
  <c r="AT53" i="26"/>
  <c r="AU53" i="26"/>
  <c r="AY53" i="26"/>
  <c r="AS53" i="26"/>
  <c r="AQ53" i="26"/>
  <c r="AE53" i="26"/>
  <c r="AI53" i="26"/>
  <c r="AJ53" i="26"/>
  <c r="AN53" i="26"/>
  <c r="AG53" i="26"/>
  <c r="AH53" i="26"/>
  <c r="AL53" i="26"/>
  <c r="AC53" i="26"/>
  <c r="AM53" i="26"/>
  <c r="AK53" i="26"/>
  <c r="AD53" i="26"/>
  <c r="AF53" i="26"/>
  <c r="Y53" i="26"/>
  <c r="X53" i="26"/>
  <c r="R53" i="26"/>
  <c r="W53" i="26"/>
  <c r="T53" i="26"/>
  <c r="AA53" i="26"/>
  <c r="Z53" i="26"/>
  <c r="S53" i="26"/>
  <c r="V53" i="26"/>
  <c r="Q53" i="26"/>
  <c r="U53" i="26"/>
  <c r="AB53" i="26"/>
  <c r="AB52" i="26"/>
  <c r="Y52" i="26"/>
  <c r="X52" i="26"/>
  <c r="W52" i="26"/>
  <c r="AA52" i="26"/>
  <c r="R52" i="26"/>
  <c r="S52" i="26"/>
  <c r="V52" i="26"/>
  <c r="Q52" i="26"/>
  <c r="U52" i="26"/>
  <c r="T52" i="26"/>
  <c r="Z52" i="26"/>
  <c r="AE51" i="26"/>
  <c r="AI51" i="26"/>
  <c r="AJ51" i="26"/>
  <c r="AN51" i="26"/>
  <c r="AG51" i="26"/>
  <c r="AH51" i="26"/>
  <c r="AL51" i="26"/>
  <c r="AC51" i="26"/>
  <c r="AM51" i="26"/>
  <c r="AK51" i="26"/>
  <c r="AD51" i="26"/>
  <c r="AF51" i="26"/>
  <c r="AR50" i="26"/>
  <c r="AO50" i="26"/>
  <c r="AP50" i="26"/>
  <c r="AX50" i="26"/>
  <c r="AV50" i="26"/>
  <c r="AZ50" i="26"/>
  <c r="AW50" i="26"/>
  <c r="AT50" i="26"/>
  <c r="AU50" i="26"/>
  <c r="AY50" i="26"/>
  <c r="AS50" i="26"/>
  <c r="AQ50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Y43" i="26"/>
  <c r="X43" i="26"/>
  <c r="Q43" i="26"/>
  <c r="R43" i="26"/>
  <c r="Z43" i="26"/>
  <c r="S43" i="26"/>
  <c r="AA43" i="26"/>
  <c r="T43" i="26"/>
  <c r="AB43" i="26"/>
  <c r="U43" i="26"/>
  <c r="V43" i="26"/>
  <c r="W43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Y40" i="26"/>
  <c r="X40" i="26"/>
  <c r="Q40" i="26"/>
  <c r="R40" i="26"/>
  <c r="Z40" i="26"/>
  <c r="S40" i="26"/>
  <c r="AA40" i="26"/>
  <c r="T40" i="26"/>
  <c r="AB40" i="26"/>
  <c r="U40" i="26"/>
  <c r="V40" i="26"/>
  <c r="W40" i="26"/>
  <c r="Y39" i="26"/>
  <c r="X39" i="26"/>
  <c r="Q39" i="26"/>
  <c r="R39" i="26"/>
  <c r="Z39" i="26"/>
  <c r="S39" i="26"/>
  <c r="AA39" i="26"/>
  <c r="T39" i="26"/>
  <c r="AB39" i="26"/>
  <c r="U39" i="26"/>
  <c r="V39" i="26"/>
  <c r="W39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AJ83" i="26"/>
  <c r="AG83" i="26"/>
  <c r="AH83" i="26"/>
  <c r="AC83" i="26"/>
  <c r="AM83" i="26"/>
  <c r="AK83" i="26"/>
  <c r="AF83" i="26"/>
  <c r="Q11" i="26"/>
  <c r="BA11" i="26"/>
  <c r="BB11" i="26"/>
  <c r="I133" i="10"/>
  <c r="H47" i="14"/>
  <c r="N40" i="14"/>
  <c r="B29" i="14"/>
  <c r="N22" i="14"/>
  <c r="N53" i="14"/>
  <c r="B15" i="14"/>
  <c r="N9" i="14"/>
  <c r="N42" i="14"/>
  <c r="B28" i="14"/>
  <c r="N21" i="14"/>
  <c r="N52" i="14"/>
  <c r="B14" i="14"/>
  <c r="N8" i="14"/>
  <c r="N41" i="14"/>
  <c r="E110" i="18"/>
  <c r="P81" i="26" s="1"/>
  <c r="E88" i="18"/>
  <c r="M90" i="18"/>
  <c r="M111" i="18"/>
  <c r="L88" i="18"/>
  <c r="B62" i="14"/>
  <c r="B30" i="14"/>
  <c r="H30" i="14"/>
  <c r="R100" i="18"/>
  <c r="T100" i="18"/>
  <c r="R134" i="18"/>
  <c r="R74" i="18"/>
  <c r="T74" i="18"/>
  <c r="M203" i="18"/>
  <c r="E236" i="18"/>
  <c r="R229" i="18"/>
  <c r="T229" i="18"/>
  <c r="G241" i="18"/>
  <c r="K241" i="18"/>
  <c r="J241" i="18"/>
  <c r="I241" i="18"/>
  <c r="H241" i="18"/>
  <c r="H46" i="14"/>
  <c r="B12" i="14"/>
  <c r="H12" i="14"/>
  <c r="G60" i="15"/>
  <c r="J133" i="10"/>
  <c r="I150" i="10" s="1"/>
  <c r="Q129" i="10"/>
  <c r="R129" i="10"/>
  <c r="P126" i="10"/>
  <c r="P127" i="10"/>
  <c r="G126" i="10"/>
  <c r="M127" i="10"/>
  <c r="M126" i="10"/>
  <c r="N127" i="10"/>
  <c r="N126" i="10"/>
  <c r="O127" i="10"/>
  <c r="O126" i="10"/>
  <c r="M146" i="10"/>
  <c r="L153" i="10" s="1"/>
  <c r="L133" i="10"/>
  <c r="T137" i="10"/>
  <c r="T144" i="10"/>
  <c r="T143" i="10"/>
  <c r="T140" i="10"/>
  <c r="T136" i="10"/>
  <c r="L95" i="10"/>
  <c r="K95" i="10"/>
  <c r="J110" i="18"/>
  <c r="J85" i="10"/>
  <c r="J86" i="10"/>
  <c r="I85" i="10"/>
  <c r="L85" i="18"/>
  <c r="L242" i="18"/>
  <c r="K86" i="10"/>
  <c r="J95" i="10"/>
  <c r="T95" i="10"/>
  <c r="Q112" i="18"/>
  <c r="S9" i="18"/>
  <c r="T9" i="18" s="1"/>
  <c r="N110" i="18"/>
  <c r="H61" i="14"/>
  <c r="H55" i="14"/>
  <c r="J112" i="18"/>
  <c r="I90" i="18"/>
  <c r="H111" i="18" s="1"/>
  <c r="S8" i="18"/>
  <c r="T8" i="18" s="1"/>
  <c r="S7" i="18"/>
  <c r="T7" i="18" s="1"/>
  <c r="S15" i="18"/>
  <c r="T15" i="18"/>
  <c r="F33" i="18"/>
  <c r="S6" i="18"/>
  <c r="T6" i="18" s="1"/>
  <c r="F31" i="18"/>
  <c r="G31" i="18"/>
  <c r="V25" i="18" s="1"/>
  <c r="V26" i="18" s="1"/>
  <c r="V27" i="18" s="1"/>
  <c r="V28" i="18" s="1"/>
  <c r="S12" i="18"/>
  <c r="S11" i="18"/>
  <c r="T11" i="18"/>
  <c r="S13" i="18"/>
  <c r="T13" i="18" s="1"/>
  <c r="B59" i="14"/>
  <c r="B58" i="14"/>
  <c r="H62" i="14"/>
  <c r="H54" i="14"/>
  <c r="B53" i="14"/>
  <c r="H60" i="14"/>
  <c r="AD71" i="20"/>
  <c r="B13" i="14"/>
  <c r="H112" i="18"/>
  <c r="AT83" i="26" s="1"/>
  <c r="E112" i="18"/>
  <c r="F90" i="18"/>
  <c r="V61" i="26" s="1"/>
  <c r="G70" i="18"/>
  <c r="I244" i="18"/>
  <c r="O90" i="18"/>
  <c r="O111" i="18"/>
  <c r="F80" i="18"/>
  <c r="F70" i="18"/>
  <c r="G110" i="18"/>
  <c r="AM81" i="26" s="1"/>
  <c r="H90" i="18"/>
  <c r="AZ61" i="26" s="1"/>
  <c r="G88" i="18"/>
  <c r="AL59" i="26" s="1"/>
  <c r="E80" i="18"/>
  <c r="N88" i="18"/>
  <c r="N108" i="18"/>
  <c r="J244" i="18"/>
  <c r="H70" i="18"/>
  <c r="M110" i="18"/>
  <c r="N90" i="18"/>
  <c r="M112" i="18"/>
  <c r="K244" i="18"/>
  <c r="E141" i="18"/>
  <c r="K112" i="26" s="1"/>
  <c r="H72" i="18"/>
  <c r="H68" i="18"/>
  <c r="G68" i="18"/>
  <c r="F30" i="18"/>
  <c r="C21" i="18"/>
  <c r="M88" i="18"/>
  <c r="M108" i="18"/>
  <c r="R24" i="18"/>
  <c r="K88" i="18"/>
  <c r="K108" i="18" s="1"/>
  <c r="G79" i="18"/>
  <c r="H69" i="18"/>
  <c r="F79" i="18"/>
  <c r="G69" i="18"/>
  <c r="G30" i="18"/>
  <c r="R73" i="18"/>
  <c r="T73" i="18"/>
  <c r="G90" i="18"/>
  <c r="F110" i="18"/>
  <c r="V81" i="26" s="1"/>
  <c r="F88" i="18"/>
  <c r="Q59" i="26" s="1"/>
  <c r="F112" i="18"/>
  <c r="R83" i="26" s="1"/>
  <c r="C29" i="18"/>
  <c r="R122" i="18"/>
  <c r="H30" i="18"/>
  <c r="L30" i="18"/>
  <c r="R113" i="18"/>
  <c r="V113" i="18" s="1"/>
  <c r="R101" i="18"/>
  <c r="T101" i="18"/>
  <c r="T10" i="18"/>
  <c r="G71" i="18"/>
  <c r="R102" i="18"/>
  <c r="C97" i="18"/>
  <c r="E97" i="18"/>
  <c r="R26" i="18"/>
  <c r="F78" i="18"/>
  <c r="R25" i="18"/>
  <c r="R82" i="18"/>
  <c r="T82" i="18"/>
  <c r="N30" i="18"/>
  <c r="R27" i="18"/>
  <c r="Q30" i="18"/>
  <c r="C20" i="18"/>
  <c r="I110" i="18"/>
  <c r="R28" i="18"/>
  <c r="H88" i="18"/>
  <c r="AU59" i="26" s="1"/>
  <c r="I112" i="18"/>
  <c r="H64" i="20"/>
  <c r="H65" i="20"/>
  <c r="G63" i="20"/>
  <c r="U71" i="20"/>
  <c r="F60" i="20"/>
  <c r="P110" i="18"/>
  <c r="Q88" i="18"/>
  <c r="P112" i="18"/>
  <c r="Q90" i="18"/>
  <c r="Q111" i="18" s="1"/>
  <c r="K242" i="18"/>
  <c r="N201" i="18"/>
  <c r="N205" i="18"/>
  <c r="O201" i="18"/>
  <c r="O205" i="18"/>
  <c r="P201" i="18"/>
  <c r="P205" i="18"/>
  <c r="Q201" i="18"/>
  <c r="Q205" i="18"/>
  <c r="O110" i="18"/>
  <c r="O88" i="18"/>
  <c r="O108" i="18" s="1"/>
  <c r="O112" i="18"/>
  <c r="P90" i="18"/>
  <c r="P111" i="18" s="1"/>
  <c r="E77" i="18"/>
  <c r="F77" i="18"/>
  <c r="G77" i="18"/>
  <c r="R22" i="18"/>
  <c r="M65" i="18"/>
  <c r="M241" i="18"/>
  <c r="O30" i="18"/>
  <c r="R20" i="18"/>
  <c r="F76" i="18"/>
  <c r="G76" i="18"/>
  <c r="H76" i="18"/>
  <c r="R140" i="18"/>
  <c r="AA140" i="18"/>
  <c r="V16" i="18"/>
  <c r="Q55" i="18"/>
  <c r="C23" i="18"/>
  <c r="G81" i="18"/>
  <c r="H81" i="18"/>
  <c r="N128" i="18"/>
  <c r="N129" i="18"/>
  <c r="N247" i="18"/>
  <c r="J30" i="18"/>
  <c r="R29" i="18"/>
  <c r="I30" i="18"/>
  <c r="R23" i="18"/>
  <c r="R107" i="18"/>
  <c r="F75" i="18"/>
  <c r="C99" i="18"/>
  <c r="G75" i="18"/>
  <c r="H75" i="18"/>
  <c r="P30" i="18"/>
  <c r="C26" i="18"/>
  <c r="R63" i="18"/>
  <c r="H80" i="18"/>
  <c r="I86" i="10"/>
  <c r="T85" i="10"/>
  <c r="B56" i="14"/>
  <c r="B24" i="14"/>
  <c r="N17" i="14"/>
  <c r="B57" i="14"/>
  <c r="B25" i="14"/>
  <c r="N18" i="14"/>
  <c r="B22" i="14"/>
  <c r="N15" i="14"/>
  <c r="AR51" i="26"/>
  <c r="AO51" i="26"/>
  <c r="AP51" i="26"/>
  <c r="AX51" i="26"/>
  <c r="AV51" i="26"/>
  <c r="AZ51" i="26"/>
  <c r="AW51" i="26"/>
  <c r="AT51" i="26"/>
  <c r="AU51" i="26"/>
  <c r="AY51" i="26"/>
  <c r="AS51" i="26"/>
  <c r="AQ51" i="26"/>
  <c r="AR46" i="26"/>
  <c r="AO46" i="26"/>
  <c r="AP46" i="26"/>
  <c r="AX46" i="26"/>
  <c r="AV46" i="26"/>
  <c r="AZ46" i="26"/>
  <c r="AW46" i="26"/>
  <c r="AT46" i="26"/>
  <c r="AU46" i="26"/>
  <c r="AY46" i="26"/>
  <c r="AS46" i="26"/>
  <c r="AQ46" i="26"/>
  <c r="AE46" i="26"/>
  <c r="AI46" i="26"/>
  <c r="AJ46" i="26"/>
  <c r="AN46" i="26"/>
  <c r="AG46" i="26"/>
  <c r="AH46" i="26"/>
  <c r="AL46" i="26"/>
  <c r="AC46" i="26"/>
  <c r="AM46" i="26"/>
  <c r="AK46" i="26"/>
  <c r="AD46" i="26"/>
  <c r="AF46" i="26"/>
  <c r="Y46" i="26"/>
  <c r="X46" i="26"/>
  <c r="V46" i="26"/>
  <c r="U46" i="26"/>
  <c r="S46" i="26"/>
  <c r="Q46" i="26"/>
  <c r="R46" i="26"/>
  <c r="Z46" i="26"/>
  <c r="AB46" i="26"/>
  <c r="T46" i="26"/>
  <c r="AA46" i="26"/>
  <c r="W46" i="26"/>
  <c r="AR52" i="26"/>
  <c r="AO52" i="26"/>
  <c r="AP52" i="26"/>
  <c r="AX52" i="26"/>
  <c r="AV52" i="26"/>
  <c r="AZ52" i="26"/>
  <c r="AW52" i="26"/>
  <c r="AT52" i="26"/>
  <c r="AU52" i="26"/>
  <c r="AY52" i="26"/>
  <c r="AS52" i="26"/>
  <c r="AQ52" i="26"/>
  <c r="AE52" i="26"/>
  <c r="AI52" i="26"/>
  <c r="AJ52" i="26"/>
  <c r="AN52" i="26"/>
  <c r="AG52" i="26"/>
  <c r="AH52" i="26"/>
  <c r="AL52" i="26"/>
  <c r="AC52" i="26"/>
  <c r="AM52" i="26"/>
  <c r="AK52" i="26"/>
  <c r="AD52" i="26"/>
  <c r="AF52" i="26"/>
  <c r="AR47" i="26"/>
  <c r="AO47" i="26"/>
  <c r="AP47" i="26"/>
  <c r="AX47" i="26"/>
  <c r="AV47" i="26"/>
  <c r="AZ47" i="26"/>
  <c r="AW47" i="26"/>
  <c r="AT47" i="26"/>
  <c r="AU47" i="26"/>
  <c r="AY47" i="26"/>
  <c r="AS47" i="26"/>
  <c r="AQ47" i="26"/>
  <c r="AE47" i="26"/>
  <c r="AI47" i="26"/>
  <c r="AJ47" i="26"/>
  <c r="AN47" i="26"/>
  <c r="AG47" i="26"/>
  <c r="AH47" i="26"/>
  <c r="AL47" i="26"/>
  <c r="AC47" i="26"/>
  <c r="AM47" i="26"/>
  <c r="AK47" i="26"/>
  <c r="AD47" i="26"/>
  <c r="AF47" i="26"/>
  <c r="X47" i="26"/>
  <c r="V47" i="26"/>
  <c r="AB47" i="26"/>
  <c r="Y47" i="26"/>
  <c r="Z47" i="26"/>
  <c r="Q47" i="26"/>
  <c r="W47" i="26"/>
  <c r="R47" i="26"/>
  <c r="AA47" i="26"/>
  <c r="T47" i="26"/>
  <c r="S47" i="26"/>
  <c r="U47" i="26"/>
  <c r="AE48" i="26"/>
  <c r="AI48" i="26"/>
  <c r="AJ48" i="26"/>
  <c r="AN48" i="26"/>
  <c r="AG48" i="26"/>
  <c r="AH48" i="26"/>
  <c r="AL48" i="26"/>
  <c r="AC48" i="26"/>
  <c r="AM48" i="26"/>
  <c r="AK48" i="26"/>
  <c r="AD48" i="26"/>
  <c r="AF48" i="26"/>
  <c r="Z48" i="26"/>
  <c r="AB48" i="26"/>
  <c r="Q48" i="26"/>
  <c r="R48" i="26"/>
  <c r="W48" i="26"/>
  <c r="T48" i="26"/>
  <c r="AA48" i="26"/>
  <c r="X48" i="26"/>
  <c r="S48" i="26"/>
  <c r="V48" i="26"/>
  <c r="U48" i="26"/>
  <c r="Y48" i="26"/>
  <c r="P48" i="26"/>
  <c r="O48" i="26"/>
  <c r="N48" i="26"/>
  <c r="M48" i="26"/>
  <c r="L48" i="26"/>
  <c r="K48" i="26"/>
  <c r="J48" i="26"/>
  <c r="I48" i="26"/>
  <c r="H48" i="26"/>
  <c r="G48" i="26"/>
  <c r="F48" i="26"/>
  <c r="E48" i="26"/>
  <c r="Q49" i="26"/>
  <c r="R49" i="26"/>
  <c r="X49" i="26"/>
  <c r="T49" i="26"/>
  <c r="W49" i="26"/>
  <c r="Y49" i="26"/>
  <c r="AA49" i="26"/>
  <c r="Z49" i="26"/>
  <c r="S49" i="26"/>
  <c r="V49" i="26"/>
  <c r="U49" i="26"/>
  <c r="AB49" i="26"/>
  <c r="P68" i="26"/>
  <c r="O68" i="26"/>
  <c r="N68" i="26"/>
  <c r="M68" i="26"/>
  <c r="L68" i="26"/>
  <c r="K68" i="26"/>
  <c r="J68" i="26"/>
  <c r="I68" i="26"/>
  <c r="H68" i="26"/>
  <c r="G68" i="26"/>
  <c r="F68" i="26"/>
  <c r="E68" i="26"/>
  <c r="R71" i="18"/>
  <c r="T71" i="18"/>
  <c r="AE42" i="26"/>
  <c r="AI42" i="26"/>
  <c r="AJ42" i="26"/>
  <c r="AN42" i="26"/>
  <c r="AG42" i="26"/>
  <c r="AH42" i="26"/>
  <c r="AL42" i="26"/>
  <c r="AC42" i="26"/>
  <c r="AM42" i="26"/>
  <c r="AK42" i="26"/>
  <c r="AD42" i="26"/>
  <c r="AF42" i="26"/>
  <c r="T83" i="26"/>
  <c r="Z83" i="26"/>
  <c r="AA83" i="26"/>
  <c r="S83" i="26"/>
  <c r="V83" i="26"/>
  <c r="U83" i="26"/>
  <c r="X59" i="26"/>
  <c r="Z81" i="26"/>
  <c r="R81" i="26"/>
  <c r="Y81" i="26"/>
  <c r="X81" i="26"/>
  <c r="W81" i="26"/>
  <c r="AA81" i="26"/>
  <c r="S81" i="26"/>
  <c r="Q81" i="26"/>
  <c r="F111" i="18"/>
  <c r="AE61" i="26"/>
  <c r="AI61" i="26"/>
  <c r="AJ61" i="26"/>
  <c r="AN61" i="26"/>
  <c r="AG61" i="26"/>
  <c r="AH61" i="26"/>
  <c r="AL61" i="26"/>
  <c r="AC61" i="26"/>
  <c r="AM61" i="26"/>
  <c r="AK61" i="26"/>
  <c r="AD61" i="26"/>
  <c r="AF61" i="26"/>
  <c r="AE40" i="26"/>
  <c r="AI40" i="26"/>
  <c r="AJ40" i="26"/>
  <c r="AN40" i="26"/>
  <c r="AG40" i="26"/>
  <c r="AH40" i="26"/>
  <c r="AL40" i="26"/>
  <c r="AC40" i="26"/>
  <c r="AM40" i="26"/>
  <c r="AK40" i="26"/>
  <c r="AD40" i="26"/>
  <c r="AF40" i="26"/>
  <c r="Y50" i="26"/>
  <c r="Q50" i="26"/>
  <c r="Z50" i="26"/>
  <c r="AB50" i="26"/>
  <c r="X50" i="26"/>
  <c r="W50" i="26"/>
  <c r="AA50" i="26"/>
  <c r="R50" i="26"/>
  <c r="S50" i="26"/>
  <c r="V50" i="26"/>
  <c r="U50" i="26"/>
  <c r="T50" i="26"/>
  <c r="AR40" i="26"/>
  <c r="AO40" i="26"/>
  <c r="AP40" i="26"/>
  <c r="AX40" i="26"/>
  <c r="AV40" i="26"/>
  <c r="AZ40" i="26"/>
  <c r="AW40" i="26"/>
  <c r="AT40" i="26"/>
  <c r="AU40" i="26"/>
  <c r="AY40" i="26"/>
  <c r="AS40" i="26"/>
  <c r="AQ40" i="26"/>
  <c r="AE50" i="26"/>
  <c r="AI50" i="26"/>
  <c r="AJ50" i="26"/>
  <c r="AN50" i="26"/>
  <c r="AG50" i="26"/>
  <c r="AH50" i="26"/>
  <c r="AL50" i="26"/>
  <c r="AC50" i="26"/>
  <c r="AM50" i="26"/>
  <c r="AK50" i="26"/>
  <c r="AD50" i="26"/>
  <c r="AF50" i="26"/>
  <c r="AE39" i="26"/>
  <c r="AI39" i="26"/>
  <c r="AJ39" i="26"/>
  <c r="AN39" i="26"/>
  <c r="AG39" i="26"/>
  <c r="AH39" i="26"/>
  <c r="AL39" i="26"/>
  <c r="AC39" i="26"/>
  <c r="AM39" i="26"/>
  <c r="AK39" i="26"/>
  <c r="AD39" i="26"/>
  <c r="AF39" i="26"/>
  <c r="AR39" i="26"/>
  <c r="AO39" i="26"/>
  <c r="AP39" i="26"/>
  <c r="AX39" i="26"/>
  <c r="AV39" i="26"/>
  <c r="AZ39" i="26"/>
  <c r="AW39" i="26"/>
  <c r="AT39" i="26"/>
  <c r="AU39" i="26"/>
  <c r="AY39" i="26"/>
  <c r="AS39" i="26"/>
  <c r="AQ39" i="26"/>
  <c r="R72" i="18"/>
  <c r="T72" i="18"/>
  <c r="AR43" i="26"/>
  <c r="AO43" i="26"/>
  <c r="AP43" i="26"/>
  <c r="AX43" i="26"/>
  <c r="AV43" i="26"/>
  <c r="AZ43" i="26"/>
  <c r="AW43" i="26"/>
  <c r="AT43" i="26"/>
  <c r="AU43" i="26"/>
  <c r="AY43" i="26"/>
  <c r="AS43" i="26"/>
  <c r="AQ43" i="26"/>
  <c r="M112" i="26"/>
  <c r="L112" i="26"/>
  <c r="I112" i="26"/>
  <c r="H112" i="26"/>
  <c r="G112" i="26"/>
  <c r="F112" i="26"/>
  <c r="AR41" i="26"/>
  <c r="AO41" i="26"/>
  <c r="AP41" i="26"/>
  <c r="AX41" i="26"/>
  <c r="AV41" i="26"/>
  <c r="AZ41" i="26"/>
  <c r="AW41" i="26"/>
  <c r="AT41" i="26"/>
  <c r="AU41" i="26"/>
  <c r="AY41" i="26"/>
  <c r="AS41" i="26"/>
  <c r="AQ4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AJ59" i="26"/>
  <c r="AD59" i="26"/>
  <c r="AR61" i="26"/>
  <c r="AO61" i="26"/>
  <c r="AT61" i="26"/>
  <c r="AE81" i="26"/>
  <c r="AI81" i="26"/>
  <c r="AJ81" i="26"/>
  <c r="AN81" i="26"/>
  <c r="AG81" i="26"/>
  <c r="AH81" i="26"/>
  <c r="AL81" i="26"/>
  <c r="AC81" i="26"/>
  <c r="AK81" i="26"/>
  <c r="Y41" i="26"/>
  <c r="X41" i="26"/>
  <c r="Q41" i="26"/>
  <c r="R41" i="26"/>
  <c r="Z41" i="26"/>
  <c r="S41" i="26"/>
  <c r="AA41" i="26"/>
  <c r="T41" i="26"/>
  <c r="AB41" i="26"/>
  <c r="U41" i="26"/>
  <c r="V41" i="26"/>
  <c r="W41" i="26"/>
  <c r="T51" i="26"/>
  <c r="Z51" i="26"/>
  <c r="Y51" i="26"/>
  <c r="AB51" i="26"/>
  <c r="X51" i="26"/>
  <c r="W51" i="26"/>
  <c r="AA51" i="26"/>
  <c r="S51" i="26"/>
  <c r="V51" i="26"/>
  <c r="Q51" i="26"/>
  <c r="U51" i="26"/>
  <c r="R51" i="26"/>
  <c r="AE41" i="26"/>
  <c r="AI41" i="26"/>
  <c r="AJ41" i="26"/>
  <c r="AN41" i="26"/>
  <c r="AG41" i="26"/>
  <c r="AH41" i="26"/>
  <c r="AL41" i="26"/>
  <c r="AC41" i="26"/>
  <c r="AM41" i="26"/>
  <c r="AK41" i="26"/>
  <c r="AD41" i="26"/>
  <c r="AF41" i="26"/>
  <c r="T61" i="26"/>
  <c r="Z61" i="26"/>
  <c r="Y61" i="26"/>
  <c r="AB61" i="26"/>
  <c r="W61" i="26"/>
  <c r="AA61" i="26"/>
  <c r="S61" i="26"/>
  <c r="Q61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AR83" i="26"/>
  <c r="AO83" i="26"/>
  <c r="AP83" i="26"/>
  <c r="AX83" i="26"/>
  <c r="AZ83" i="26"/>
  <c r="AW83" i="26"/>
  <c r="AY83" i="26"/>
  <c r="H13" i="14"/>
  <c r="N7" i="14"/>
  <c r="P59" i="26"/>
  <c r="O59" i="26"/>
  <c r="N59" i="26"/>
  <c r="M59" i="26"/>
  <c r="L59" i="26"/>
  <c r="K59" i="26"/>
  <c r="J59" i="26"/>
  <c r="I59" i="26"/>
  <c r="H59" i="26"/>
  <c r="G59" i="26"/>
  <c r="F59" i="26"/>
  <c r="E59" i="26"/>
  <c r="N81" i="26"/>
  <c r="K81" i="26"/>
  <c r="J81" i="26"/>
  <c r="I81" i="26"/>
  <c r="H81" i="26"/>
  <c r="F81" i="26"/>
  <c r="E81" i="26"/>
  <c r="J92" i="26"/>
  <c r="I92" i="26"/>
  <c r="P92" i="26"/>
  <c r="H92" i="26"/>
  <c r="O92" i="26"/>
  <c r="G92" i="26"/>
  <c r="N92" i="26"/>
  <c r="F92" i="26"/>
  <c r="M92" i="26"/>
  <c r="E92" i="26"/>
  <c r="L92" i="26"/>
  <c r="K92" i="26"/>
  <c r="B26" i="14"/>
  <c r="N19" i="14"/>
  <c r="N50" i="14"/>
  <c r="B27" i="14"/>
  <c r="N20" i="14"/>
  <c r="N51" i="14"/>
  <c r="H29" i="14"/>
  <c r="H22" i="14"/>
  <c r="B21" i="14"/>
  <c r="N14" i="14"/>
  <c r="N45" i="14"/>
  <c r="H28" i="14"/>
  <c r="U20" i="18"/>
  <c r="U21" i="18" s="1"/>
  <c r="U22" i="18" s="1"/>
  <c r="U23" i="18" s="1"/>
  <c r="G33" i="18"/>
  <c r="V20" i="18" s="1"/>
  <c r="V21" i="18" s="1"/>
  <c r="V22" i="18" s="1"/>
  <c r="H33" i="18"/>
  <c r="W20" i="18" s="1"/>
  <c r="W21" i="18" s="1"/>
  <c r="W22" i="18" s="1"/>
  <c r="W23" i="18" s="1"/>
  <c r="W29" i="18" s="1"/>
  <c r="R78" i="18"/>
  <c r="T78" i="18"/>
  <c r="Q203" i="18"/>
  <c r="U24" i="18"/>
  <c r="P203" i="18"/>
  <c r="N203" i="18"/>
  <c r="O203" i="18"/>
  <c r="F42" i="20"/>
  <c r="H60" i="15"/>
  <c r="G61" i="15"/>
  <c r="O129" i="10"/>
  <c r="M129" i="10"/>
  <c r="M152" i="10"/>
  <c r="P129" i="10"/>
  <c r="N129" i="10"/>
  <c r="N152" i="10"/>
  <c r="U25" i="18"/>
  <c r="U26" i="18" s="1"/>
  <c r="U27" i="18" s="1"/>
  <c r="U28" i="18" s="1"/>
  <c r="M154" i="10"/>
  <c r="K96" i="10"/>
  <c r="L96" i="10"/>
  <c r="G108" i="18"/>
  <c r="AI79" i="26" s="1"/>
  <c r="E111" i="18"/>
  <c r="L82" i="26" s="1"/>
  <c r="T86" i="10"/>
  <c r="U86" i="10"/>
  <c r="R69" i="18"/>
  <c r="T69" i="18"/>
  <c r="H96" i="10"/>
  <c r="E124" i="18"/>
  <c r="R80" i="18"/>
  <c r="T80" i="18"/>
  <c r="R79" i="18"/>
  <c r="T79" i="18"/>
  <c r="R70" i="18"/>
  <c r="T70" i="18"/>
  <c r="R68" i="18"/>
  <c r="T68" i="18"/>
  <c r="E249" i="18"/>
  <c r="J84" i="18"/>
  <c r="F84" i="18"/>
  <c r="R81" i="18"/>
  <c r="T81" i="18"/>
  <c r="R76" i="18"/>
  <c r="T76" i="18"/>
  <c r="E108" i="18"/>
  <c r="F97" i="18"/>
  <c r="E83" i="18"/>
  <c r="G64" i="20"/>
  <c r="G65" i="20"/>
  <c r="F61" i="20"/>
  <c r="F63" i="20"/>
  <c r="E99" i="18"/>
  <c r="F99" i="18"/>
  <c r="G99" i="18"/>
  <c r="H99" i="18"/>
  <c r="R77" i="18"/>
  <c r="T77" i="18"/>
  <c r="V107" i="18"/>
  <c r="E84" i="18"/>
  <c r="R75" i="18"/>
  <c r="T75" i="18"/>
  <c r="H84" i="18"/>
  <c r="Q108" i="18"/>
  <c r="I84" i="18"/>
  <c r="I85" i="18"/>
  <c r="G84" i="18"/>
  <c r="G23" i="8"/>
  <c r="F26" i="8"/>
  <c r="G26" i="8"/>
  <c r="H26" i="8"/>
  <c r="C224" i="8"/>
  <c r="C225" i="8"/>
  <c r="E203" i="8"/>
  <c r="E206" i="8" s="1"/>
  <c r="C202" i="8"/>
  <c r="C201" i="8"/>
  <c r="D201" i="8" s="1"/>
  <c r="E184" i="8"/>
  <c r="G150" i="8"/>
  <c r="H150" i="8"/>
  <c r="I150" i="8"/>
  <c r="J150" i="8"/>
  <c r="K150" i="8"/>
  <c r="L150" i="8"/>
  <c r="M150" i="8"/>
  <c r="N150" i="8"/>
  <c r="O150" i="8"/>
  <c r="P150" i="8"/>
  <c r="Q150" i="8"/>
  <c r="F150" i="8"/>
  <c r="Q168" i="8"/>
  <c r="F163" i="8"/>
  <c r="G163" i="8"/>
  <c r="H163" i="8"/>
  <c r="K163" i="8"/>
  <c r="L163" i="8"/>
  <c r="M163" i="8"/>
  <c r="N163" i="8"/>
  <c r="O163" i="8"/>
  <c r="P163" i="8"/>
  <c r="I161" i="8"/>
  <c r="F100" i="8"/>
  <c r="G100" i="8"/>
  <c r="I100" i="8"/>
  <c r="J100" i="8"/>
  <c r="K100" i="8"/>
  <c r="L100" i="8"/>
  <c r="M100" i="8"/>
  <c r="N100" i="8"/>
  <c r="O100" i="8"/>
  <c r="P100" i="8"/>
  <c r="Q100" i="8"/>
  <c r="H100" i="8"/>
  <c r="H147" i="8"/>
  <c r="I147" i="8"/>
  <c r="J147" i="8"/>
  <c r="K147" i="8"/>
  <c r="L147" i="8"/>
  <c r="M147" i="8"/>
  <c r="N147" i="8"/>
  <c r="O147" i="8"/>
  <c r="P147" i="8"/>
  <c r="Q147" i="8"/>
  <c r="G147" i="8"/>
  <c r="H133" i="8"/>
  <c r="I133" i="8"/>
  <c r="J133" i="8"/>
  <c r="K133" i="8"/>
  <c r="L133" i="8"/>
  <c r="M133" i="8"/>
  <c r="N133" i="8"/>
  <c r="O133" i="8"/>
  <c r="P133" i="8"/>
  <c r="Q133" i="8"/>
  <c r="G133" i="8"/>
  <c r="M119" i="8"/>
  <c r="N119" i="8"/>
  <c r="O119" i="8"/>
  <c r="P119" i="8"/>
  <c r="Q119" i="8"/>
  <c r="H119" i="8"/>
  <c r="I119" i="8"/>
  <c r="J119" i="8"/>
  <c r="K119" i="8"/>
  <c r="L119" i="8"/>
  <c r="G119" i="8"/>
  <c r="M113" i="8"/>
  <c r="H111" i="8"/>
  <c r="G111" i="8"/>
  <c r="F111" i="8"/>
  <c r="R70" i="8"/>
  <c r="N49" i="14"/>
  <c r="N48" i="14"/>
  <c r="AE55" i="26"/>
  <c r="AI55" i="26"/>
  <c r="AJ55" i="26"/>
  <c r="AN55" i="26"/>
  <c r="AG55" i="26"/>
  <c r="AH55" i="26"/>
  <c r="AL55" i="26"/>
  <c r="AC55" i="26"/>
  <c r="AM55" i="26"/>
  <c r="AK55" i="26"/>
  <c r="AD55" i="26"/>
  <c r="AF55" i="26"/>
  <c r="AR55" i="26"/>
  <c r="AO55" i="26"/>
  <c r="AP55" i="26"/>
  <c r="AX55" i="26"/>
  <c r="AV55" i="26"/>
  <c r="AZ55" i="26"/>
  <c r="AW55" i="26"/>
  <c r="AT55" i="26"/>
  <c r="AU55" i="26"/>
  <c r="AY55" i="26"/>
  <c r="AS55" i="26"/>
  <c r="A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AR70" i="26"/>
  <c r="AO70" i="26"/>
  <c r="AP70" i="26"/>
  <c r="AX70" i="26"/>
  <c r="AV70" i="26"/>
  <c r="AZ70" i="26"/>
  <c r="AW70" i="26"/>
  <c r="AT70" i="26"/>
  <c r="AU70" i="26"/>
  <c r="AY70" i="26"/>
  <c r="AS70" i="26"/>
  <c r="AQ70" i="26"/>
  <c r="AE70" i="26"/>
  <c r="AI70" i="26"/>
  <c r="AJ70" i="26"/>
  <c r="AN70" i="26"/>
  <c r="AG70" i="26"/>
  <c r="AH70" i="26"/>
  <c r="AL70" i="26"/>
  <c r="AC70" i="26"/>
  <c r="AM70" i="26"/>
  <c r="AK70" i="26"/>
  <c r="AD70" i="26"/>
  <c r="AF70" i="26"/>
  <c r="T70" i="26"/>
  <c r="Z70" i="26"/>
  <c r="R70" i="26"/>
  <c r="X70" i="26"/>
  <c r="Y70" i="26"/>
  <c r="AB70" i="26"/>
  <c r="W70" i="26"/>
  <c r="AA70" i="26"/>
  <c r="S70" i="26"/>
  <c r="V70" i="26"/>
  <c r="Q70" i="26"/>
  <c r="U70" i="26"/>
  <c r="P70" i="26"/>
  <c r="O70" i="26"/>
  <c r="N70" i="26"/>
  <c r="M70" i="26"/>
  <c r="L70" i="26"/>
  <c r="K70" i="26"/>
  <c r="J70" i="26"/>
  <c r="I70" i="26"/>
  <c r="H70" i="26"/>
  <c r="G70" i="26"/>
  <c r="F70" i="26"/>
  <c r="E70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T68" i="26"/>
  <c r="Y68" i="26"/>
  <c r="X68" i="26"/>
  <c r="AB68" i="26"/>
  <c r="W68" i="26"/>
  <c r="AA68" i="26"/>
  <c r="R68" i="26"/>
  <c r="S68" i="26"/>
  <c r="V68" i="26"/>
  <c r="Q68" i="26"/>
  <c r="U68" i="26"/>
  <c r="Z68" i="26"/>
  <c r="P79" i="26"/>
  <c r="O79" i="26"/>
  <c r="N79" i="26"/>
  <c r="M79" i="26"/>
  <c r="L79" i="26"/>
  <c r="K79" i="26"/>
  <c r="J79" i="26"/>
  <c r="I79" i="26"/>
  <c r="H79" i="26"/>
  <c r="G79" i="26"/>
  <c r="F79" i="26"/>
  <c r="E79" i="26"/>
  <c r="T55" i="26"/>
  <c r="Z55" i="26"/>
  <c r="Y55" i="26"/>
  <c r="AB55" i="26"/>
  <c r="X55" i="26"/>
  <c r="W55" i="26"/>
  <c r="AA55" i="26"/>
  <c r="S55" i="26"/>
  <c r="V55" i="26"/>
  <c r="Q55" i="26"/>
  <c r="U55" i="26"/>
  <c r="R55" i="26"/>
  <c r="P82" i="26"/>
  <c r="M82" i="26"/>
  <c r="J82" i="26"/>
  <c r="G82" i="26"/>
  <c r="F82" i="26"/>
  <c r="T82" i="26"/>
  <c r="Z82" i="26"/>
  <c r="R82" i="26"/>
  <c r="Y82" i="26"/>
  <c r="X82" i="26"/>
  <c r="AB82" i="26"/>
  <c r="W82" i="26"/>
  <c r="AA82" i="26"/>
  <c r="S82" i="26"/>
  <c r="V82" i="26"/>
  <c r="Q82" i="26"/>
  <c r="U82" i="26"/>
  <c r="E246" i="18"/>
  <c r="J95" i="26"/>
  <c r="I95" i="26"/>
  <c r="P95" i="26"/>
  <c r="H95" i="26"/>
  <c r="O95" i="26"/>
  <c r="G95" i="26"/>
  <c r="N95" i="26"/>
  <c r="F95" i="26"/>
  <c r="M95" i="26"/>
  <c r="E95" i="26"/>
  <c r="L95" i="26"/>
  <c r="K95" i="26"/>
  <c r="H24" i="14"/>
  <c r="H21" i="14"/>
  <c r="H27" i="14"/>
  <c r="H25" i="14"/>
  <c r="H26" i="14"/>
  <c r="R97" i="18"/>
  <c r="T97" i="18"/>
  <c r="F43" i="20"/>
  <c r="L151" i="10"/>
  <c r="G63" i="15"/>
  <c r="H63" i="15"/>
  <c r="L126" i="10"/>
  <c r="J85" i="18"/>
  <c r="J242" i="18"/>
  <c r="E85" i="18"/>
  <c r="F83" i="18"/>
  <c r="F103" i="18"/>
  <c r="F65" i="20"/>
  <c r="F64" i="20"/>
  <c r="I242" i="18"/>
  <c r="H103" i="18"/>
  <c r="G103" i="18"/>
  <c r="R99" i="18"/>
  <c r="T99" i="18"/>
  <c r="E103" i="18"/>
  <c r="R84" i="18"/>
  <c r="R133" i="8"/>
  <c r="V133" i="8"/>
  <c r="R147" i="8"/>
  <c r="V147" i="8"/>
  <c r="R119" i="8"/>
  <c r="P74" i="26"/>
  <c r="O74" i="26"/>
  <c r="N74" i="26"/>
  <c r="M74" i="26"/>
  <c r="L74" i="26"/>
  <c r="K74" i="26"/>
  <c r="J74" i="26"/>
  <c r="I74" i="26"/>
  <c r="H74" i="26"/>
  <c r="G74" i="26"/>
  <c r="F74" i="26"/>
  <c r="E74" i="26"/>
  <c r="G104" i="18"/>
  <c r="AE74" i="26"/>
  <c r="AI74" i="26"/>
  <c r="AJ74" i="26"/>
  <c r="AN74" i="26"/>
  <c r="AG74" i="26"/>
  <c r="AH74" i="26"/>
  <c r="AL74" i="26"/>
  <c r="AC74" i="26"/>
  <c r="AM74" i="26"/>
  <c r="AK74" i="26"/>
  <c r="AD74" i="26"/>
  <c r="AF74" i="26"/>
  <c r="H104" i="18"/>
  <c r="H244" i="18"/>
  <c r="AR74" i="26"/>
  <c r="AO74" i="26"/>
  <c r="AP74" i="26"/>
  <c r="AX74" i="26"/>
  <c r="AV74" i="26"/>
  <c r="AZ74" i="26"/>
  <c r="AW74" i="26"/>
  <c r="AT74" i="26"/>
  <c r="AU74" i="26"/>
  <c r="AY74" i="26"/>
  <c r="AS74" i="26"/>
  <c r="AQ74" i="26"/>
  <c r="T74" i="26"/>
  <c r="Z74" i="26"/>
  <c r="R74" i="26"/>
  <c r="Y74" i="26"/>
  <c r="X74" i="26"/>
  <c r="AB74" i="26"/>
  <c r="W74" i="26"/>
  <c r="AA74" i="26"/>
  <c r="S74" i="26"/>
  <c r="V74" i="26"/>
  <c r="Q74" i="26"/>
  <c r="U74" i="26"/>
  <c r="R54" i="26"/>
  <c r="Y54" i="26"/>
  <c r="T54" i="26"/>
  <c r="X54" i="26"/>
  <c r="Z54" i="26"/>
  <c r="W54" i="26"/>
  <c r="AB54" i="26"/>
  <c r="AA54" i="26"/>
  <c r="S54" i="26"/>
  <c r="V54" i="26"/>
  <c r="Q54" i="26"/>
  <c r="U54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F104" i="18"/>
  <c r="F85" i="18"/>
  <c r="G83" i="18"/>
  <c r="E242" i="18"/>
  <c r="R103" i="18"/>
  <c r="E104" i="18"/>
  <c r="G244" i="18"/>
  <c r="V119" i="8"/>
  <c r="P75" i="26"/>
  <c r="O75" i="26"/>
  <c r="N75" i="26"/>
  <c r="M75" i="26"/>
  <c r="L75" i="26"/>
  <c r="K75" i="26"/>
  <c r="J75" i="26"/>
  <c r="I75" i="26"/>
  <c r="H75" i="26"/>
  <c r="G75" i="26"/>
  <c r="F75" i="26"/>
  <c r="E75" i="26"/>
  <c r="AE54" i="26"/>
  <c r="AI54" i="26"/>
  <c r="AJ54" i="26"/>
  <c r="AN54" i="26"/>
  <c r="AG54" i="26"/>
  <c r="AH54" i="26"/>
  <c r="AL54" i="26"/>
  <c r="AC54" i="26"/>
  <c r="AM54" i="26"/>
  <c r="AK54" i="26"/>
  <c r="AD54" i="26"/>
  <c r="AF54" i="26"/>
  <c r="F242" i="18"/>
  <c r="I54" i="14"/>
  <c r="AB56" i="26"/>
  <c r="Y56" i="26"/>
  <c r="X56" i="26"/>
  <c r="W56" i="26"/>
  <c r="AA56" i="26"/>
  <c r="R56" i="26"/>
  <c r="S56" i="26"/>
  <c r="V56" i="26"/>
  <c r="Q56" i="26"/>
  <c r="U56" i="26"/>
  <c r="T56" i="26"/>
  <c r="Z56" i="26"/>
  <c r="F244" i="18"/>
  <c r="T75" i="26"/>
  <c r="Z75" i="26"/>
  <c r="R75" i="26"/>
  <c r="Y75" i="26"/>
  <c r="X75" i="26"/>
  <c r="AB75" i="26"/>
  <c r="W75" i="26"/>
  <c r="AA75" i="26"/>
  <c r="S75" i="26"/>
  <c r="V75" i="26"/>
  <c r="Q75" i="26"/>
  <c r="U75" i="26"/>
  <c r="AR75" i="26"/>
  <c r="AO75" i="26"/>
  <c r="AP75" i="26"/>
  <c r="AX75" i="26"/>
  <c r="AV75" i="26"/>
  <c r="AZ75" i="26"/>
  <c r="AW75" i="26"/>
  <c r="AT75" i="26"/>
  <c r="AU75" i="26"/>
  <c r="AY75" i="26"/>
  <c r="AS75" i="26"/>
  <c r="AQ75" i="26"/>
  <c r="AE75" i="26"/>
  <c r="AI75" i="26"/>
  <c r="AJ75" i="26"/>
  <c r="AN75" i="26"/>
  <c r="AG75" i="26"/>
  <c r="AH75" i="26"/>
  <c r="AL75" i="26"/>
  <c r="AC75" i="26"/>
  <c r="AM75" i="26"/>
  <c r="AK75" i="26"/>
  <c r="AD75" i="26"/>
  <c r="AF75" i="26"/>
  <c r="F141" i="18"/>
  <c r="AA112" i="26" s="1"/>
  <c r="G85" i="18"/>
  <c r="H83" i="18"/>
  <c r="R104" i="18"/>
  <c r="R244" i="18" s="1"/>
  <c r="E244" i="18"/>
  <c r="I56" i="14"/>
  <c r="G42" i="11"/>
  <c r="H42" i="11"/>
  <c r="I42" i="11"/>
  <c r="J42" i="11"/>
  <c r="K42" i="11"/>
  <c r="L42" i="11"/>
  <c r="M42" i="11"/>
  <c r="N42" i="11"/>
  <c r="O42" i="11"/>
  <c r="P42" i="11"/>
  <c r="Q42" i="11"/>
  <c r="F42" i="11"/>
  <c r="J26" i="10"/>
  <c r="G148" i="8"/>
  <c r="H134" i="8"/>
  <c r="I134" i="8"/>
  <c r="J134" i="8"/>
  <c r="K134" i="8"/>
  <c r="L134" i="8"/>
  <c r="M134" i="8"/>
  <c r="N134" i="8"/>
  <c r="O134" i="8"/>
  <c r="P134" i="8"/>
  <c r="Q134" i="8"/>
  <c r="G134" i="8"/>
  <c r="H148" i="8"/>
  <c r="I148" i="8"/>
  <c r="J148" i="8"/>
  <c r="K148" i="8"/>
  <c r="L148" i="8"/>
  <c r="M148" i="8"/>
  <c r="N148" i="8"/>
  <c r="O148" i="8"/>
  <c r="P148" i="8"/>
  <c r="Q148" i="8"/>
  <c r="F148" i="8"/>
  <c r="I163" i="8"/>
  <c r="J163" i="8"/>
  <c r="G161" i="8"/>
  <c r="H161" i="8"/>
  <c r="J161" i="8"/>
  <c r="K161" i="8"/>
  <c r="L161" i="8"/>
  <c r="M161" i="8"/>
  <c r="N161" i="8"/>
  <c r="O161" i="8"/>
  <c r="P161" i="8"/>
  <c r="F161" i="8"/>
  <c r="O102" i="8"/>
  <c r="C99" i="8"/>
  <c r="M99" i="8"/>
  <c r="L159" i="8"/>
  <c r="H93" i="8"/>
  <c r="I93" i="8"/>
  <c r="J93" i="8"/>
  <c r="K93" i="8"/>
  <c r="L93" i="8"/>
  <c r="M93" i="8"/>
  <c r="N93" i="8"/>
  <c r="O93" i="8"/>
  <c r="P93" i="8"/>
  <c r="Q93" i="8"/>
  <c r="G93" i="8"/>
  <c r="G91" i="8"/>
  <c r="F145" i="8"/>
  <c r="H91" i="8"/>
  <c r="G145" i="8"/>
  <c r="I91" i="8"/>
  <c r="H145" i="8"/>
  <c r="J91" i="8"/>
  <c r="I145" i="8"/>
  <c r="K91" i="8"/>
  <c r="J145" i="8"/>
  <c r="L91" i="8"/>
  <c r="K145" i="8"/>
  <c r="M91" i="8"/>
  <c r="L145" i="8"/>
  <c r="N91" i="8"/>
  <c r="M145" i="8"/>
  <c r="O91" i="8"/>
  <c r="N145" i="8"/>
  <c r="P91" i="8"/>
  <c r="O145" i="8"/>
  <c r="Q91" i="8"/>
  <c r="P145" i="8"/>
  <c r="F91" i="8"/>
  <c r="E145" i="8"/>
  <c r="G69" i="8"/>
  <c r="H69" i="8"/>
  <c r="I69" i="8"/>
  <c r="J69" i="8"/>
  <c r="K69" i="8"/>
  <c r="L69" i="8"/>
  <c r="M69" i="8"/>
  <c r="N69" i="8"/>
  <c r="O69" i="8"/>
  <c r="P69" i="8"/>
  <c r="F69" i="8"/>
  <c r="E71" i="8"/>
  <c r="G68" i="8"/>
  <c r="H68" i="8"/>
  <c r="I68" i="8"/>
  <c r="J68" i="8"/>
  <c r="K68" i="8"/>
  <c r="L68" i="8"/>
  <c r="F68" i="8"/>
  <c r="C36" i="11"/>
  <c r="AR54" i="26"/>
  <c r="AO54" i="26"/>
  <c r="AP54" i="26"/>
  <c r="AX54" i="26"/>
  <c r="AV54" i="26"/>
  <c r="AZ54" i="26"/>
  <c r="AW54" i="26"/>
  <c r="AT54" i="26"/>
  <c r="AU54" i="26"/>
  <c r="AY54" i="26"/>
  <c r="AS54" i="26"/>
  <c r="AQ54" i="26"/>
  <c r="AE56" i="26"/>
  <c r="AI56" i="26"/>
  <c r="AJ56" i="26"/>
  <c r="AN56" i="26"/>
  <c r="AG56" i="26"/>
  <c r="AH56" i="26"/>
  <c r="AL56" i="26"/>
  <c r="AC56" i="26"/>
  <c r="AM56" i="26"/>
  <c r="AK56" i="26"/>
  <c r="AD56" i="26"/>
  <c r="AF56" i="26"/>
  <c r="F249" i="18"/>
  <c r="T112" i="26"/>
  <c r="Z112" i="26"/>
  <c r="R112" i="26"/>
  <c r="Y112" i="26"/>
  <c r="X112" i="26"/>
  <c r="AB112" i="26"/>
  <c r="W112" i="26"/>
  <c r="S112" i="26"/>
  <c r="V112" i="26"/>
  <c r="Q112" i="26"/>
  <c r="U112" i="26"/>
  <c r="R83" i="18"/>
  <c r="H85" i="18"/>
  <c r="G242" i="18"/>
  <c r="R100" i="8"/>
  <c r="R69" i="8"/>
  <c r="F99" i="8"/>
  <c r="Q102" i="8"/>
  <c r="Q99" i="8"/>
  <c r="P159" i="8"/>
  <c r="P102" i="8"/>
  <c r="P99" i="8"/>
  <c r="O159" i="8"/>
  <c r="N102" i="8"/>
  <c r="K99" i="8"/>
  <c r="J159" i="8"/>
  <c r="J99" i="8"/>
  <c r="G102" i="8"/>
  <c r="O99" i="8"/>
  <c r="N159" i="8"/>
  <c r="L102" i="8"/>
  <c r="L99" i="8"/>
  <c r="K159" i="8"/>
  <c r="N99" i="8"/>
  <c r="M159" i="8"/>
  <c r="H102" i="8"/>
  <c r="M102" i="8"/>
  <c r="K102" i="8"/>
  <c r="J102" i="8"/>
  <c r="I102" i="8"/>
  <c r="I99" i="8"/>
  <c r="H159" i="8"/>
  <c r="H99" i="8"/>
  <c r="G159" i="8"/>
  <c r="G99" i="8"/>
  <c r="F159" i="8"/>
  <c r="R85" i="18"/>
  <c r="R242" i="18"/>
  <c r="T242" i="18"/>
  <c r="AR56" i="26"/>
  <c r="AO56" i="26"/>
  <c r="AP56" i="26"/>
  <c r="AX56" i="26"/>
  <c r="AV56" i="26"/>
  <c r="AZ56" i="26"/>
  <c r="AW56" i="26"/>
  <c r="AT56" i="26"/>
  <c r="AU56" i="26"/>
  <c r="AY56" i="26"/>
  <c r="AS56" i="26"/>
  <c r="AQ56" i="26"/>
  <c r="H141" i="18"/>
  <c r="AS112" i="26" s="1"/>
  <c r="G141" i="18"/>
  <c r="G249" i="18" s="1"/>
  <c r="H242" i="18"/>
  <c r="D124" i="10"/>
  <c r="D96" i="10"/>
  <c r="F22" i="9"/>
  <c r="C54" i="14"/>
  <c r="O46" i="14"/>
  <c r="AG112" i="26"/>
  <c r="H249" i="18"/>
  <c r="AO112" i="26"/>
  <c r="AX112" i="26"/>
  <c r="AV112" i="26"/>
  <c r="AZ112" i="26"/>
  <c r="AW112" i="26"/>
  <c r="AT112" i="26"/>
  <c r="AQ112" i="26"/>
  <c r="I141" i="18"/>
  <c r="I249" i="18" s="1"/>
  <c r="I94" i="10"/>
  <c r="P49" i="11"/>
  <c r="P48" i="11"/>
  <c r="J141" i="18"/>
  <c r="J249" i="18" s="1"/>
  <c r="J94" i="10"/>
  <c r="T94" i="10"/>
  <c r="I96" i="10"/>
  <c r="E211" i="8"/>
  <c r="C211" i="8"/>
  <c r="C56" i="8"/>
  <c r="C53" i="8"/>
  <c r="C52" i="8"/>
  <c r="F50" i="8"/>
  <c r="R50" i="8" s="1"/>
  <c r="E42" i="8"/>
  <c r="F24" i="8"/>
  <c r="F25" i="8"/>
  <c r="J26" i="8"/>
  <c r="F23" i="8"/>
  <c r="D8" i="8"/>
  <c r="D9" i="8"/>
  <c r="D10" i="8"/>
  <c r="P47" i="11"/>
  <c r="C8" i="10"/>
  <c r="H58" i="10" s="1"/>
  <c r="U54" i="8"/>
  <c r="Q6" i="11"/>
  <c r="C57" i="8"/>
  <c r="F23" i="9"/>
  <c r="F48" i="11"/>
  <c r="G48" i="11" s="1"/>
  <c r="H48" i="11" s="1"/>
  <c r="I48" i="11" s="1"/>
  <c r="J48" i="11" s="1"/>
  <c r="K48" i="11" s="1"/>
  <c r="L48" i="11" s="1"/>
  <c r="M48" i="11" s="1"/>
  <c r="N48" i="11" s="1"/>
  <c r="O48" i="11" s="1"/>
  <c r="S277" i="10"/>
  <c r="C7" i="10"/>
  <c r="K101" i="10" s="1"/>
  <c r="C6" i="10"/>
  <c r="I56" i="10" s="1"/>
  <c r="C102" i="10"/>
  <c r="D102" i="10" s="1"/>
  <c r="C101" i="10"/>
  <c r="C99" i="10"/>
  <c r="D99" i="10" s="1"/>
  <c r="E184" i="10"/>
  <c r="P159" i="10"/>
  <c r="Q159" i="10"/>
  <c r="R159" i="10"/>
  <c r="C158" i="10"/>
  <c r="F49" i="11"/>
  <c r="G49" i="11" s="1"/>
  <c r="H49" i="11" s="1"/>
  <c r="I49" i="11" s="1"/>
  <c r="J49" i="11" s="1"/>
  <c r="K49" i="11" s="1"/>
  <c r="L49" i="11" s="1"/>
  <c r="M49" i="11" s="1"/>
  <c r="N49" i="11" s="1"/>
  <c r="O49" i="11" s="1"/>
  <c r="H70" i="14"/>
  <c r="I80" i="14"/>
  <c r="I79" i="14"/>
  <c r="I78" i="14"/>
  <c r="O7" i="15"/>
  <c r="P7" i="15"/>
  <c r="M7" i="15"/>
  <c r="L7" i="15"/>
  <c r="S267" i="10"/>
  <c r="S268" i="10"/>
  <c r="S269" i="10"/>
  <c r="S270" i="10"/>
  <c r="S274" i="10"/>
  <c r="S275" i="10"/>
  <c r="S278" i="10"/>
  <c r="S279" i="10"/>
  <c r="S280" i="10"/>
  <c r="S281" i="10"/>
  <c r="S284" i="10"/>
  <c r="E209" i="8"/>
  <c r="N35" i="8"/>
  <c r="E63" i="8"/>
  <c r="H63" i="8"/>
  <c r="N63" i="8"/>
  <c r="O63" i="8"/>
  <c r="P63" i="8"/>
  <c r="Q63" i="8"/>
  <c r="H46" i="9"/>
  <c r="I46" i="9"/>
  <c r="J46" i="9"/>
  <c r="K46" i="9"/>
  <c r="L46" i="9"/>
  <c r="M46" i="9"/>
  <c r="N46" i="9"/>
  <c r="O46" i="9"/>
  <c r="P46" i="9"/>
  <c r="Q46" i="9"/>
  <c r="R46" i="9"/>
  <c r="F46" i="9"/>
  <c r="B46" i="9"/>
  <c r="C223" i="8"/>
  <c r="G50" i="10"/>
  <c r="G53" i="10" s="1"/>
  <c r="G267" i="10" s="1"/>
  <c r="Q47" i="11"/>
  <c r="K141" i="18"/>
  <c r="K249" i="18"/>
  <c r="L158" i="10"/>
  <c r="K158" i="10"/>
  <c r="I158" i="10"/>
  <c r="H158" i="10"/>
  <c r="J158" i="10"/>
  <c r="I101" i="10"/>
  <c r="K18" i="10"/>
  <c r="J18" i="10"/>
  <c r="K17" i="10"/>
  <c r="J17" i="10"/>
  <c r="K16" i="10"/>
  <c r="L92" i="8"/>
  <c r="H92" i="8"/>
  <c r="I92" i="8"/>
  <c r="F151" i="8"/>
  <c r="M92" i="8"/>
  <c r="F92" i="8"/>
  <c r="N92" i="8"/>
  <c r="P92" i="8"/>
  <c r="Q92" i="8"/>
  <c r="J92" i="8"/>
  <c r="K92" i="8"/>
  <c r="O92" i="8"/>
  <c r="G92" i="8"/>
  <c r="J84" i="8"/>
  <c r="O84" i="8"/>
  <c r="F84" i="8"/>
  <c r="K84" i="8"/>
  <c r="M84" i="8"/>
  <c r="G84" i="8"/>
  <c r="H84" i="8"/>
  <c r="L84" i="8"/>
  <c r="P84" i="8"/>
  <c r="I84" i="8"/>
  <c r="N84" i="8"/>
  <c r="Q84" i="8"/>
  <c r="P101" i="8"/>
  <c r="P164" i="8"/>
  <c r="H101" i="8"/>
  <c r="L164" i="8"/>
  <c r="M164" i="8"/>
  <c r="Q101" i="8"/>
  <c r="F164" i="8"/>
  <c r="G164" i="8"/>
  <c r="I101" i="8"/>
  <c r="J101" i="8"/>
  <c r="J164" i="8"/>
  <c r="K164" i="8"/>
  <c r="F101" i="8"/>
  <c r="H164" i="8"/>
  <c r="G101" i="8"/>
  <c r="F165" i="8"/>
  <c r="I164" i="8"/>
  <c r="K101" i="8"/>
  <c r="L101" i="8"/>
  <c r="M101" i="8"/>
  <c r="O101" i="8"/>
  <c r="O164" i="8"/>
  <c r="N101" i="8"/>
  <c r="N164" i="8"/>
  <c r="J151" i="8"/>
  <c r="Q151" i="8"/>
  <c r="K151" i="8"/>
  <c r="L151" i="8"/>
  <c r="M151" i="8"/>
  <c r="N151" i="8"/>
  <c r="I151" i="8"/>
  <c r="G151" i="8"/>
  <c r="O151" i="8"/>
  <c r="H151" i="8"/>
  <c r="P151" i="8"/>
  <c r="J89" i="10"/>
  <c r="J96" i="10"/>
  <c r="H23" i="8"/>
  <c r="S8" i="8"/>
  <c r="G22" i="9"/>
  <c r="S10" i="8"/>
  <c r="S9" i="8"/>
  <c r="K26" i="8"/>
  <c r="L26" i="8"/>
  <c r="M26" i="8"/>
  <c r="H25" i="8"/>
  <c r="I25" i="8"/>
  <c r="J25" i="8"/>
  <c r="K25" i="8"/>
  <c r="L25" i="8"/>
  <c r="M25" i="8"/>
  <c r="N25" i="8"/>
  <c r="O25" i="8"/>
  <c r="P25" i="8"/>
  <c r="Q25" i="8"/>
  <c r="H24" i="8"/>
  <c r="I24" i="8"/>
  <c r="J24" i="8"/>
  <c r="K24" i="8"/>
  <c r="L24" i="8"/>
  <c r="M24" i="8"/>
  <c r="H31" i="11"/>
  <c r="C56" i="11"/>
  <c r="C48" i="11"/>
  <c r="C179" i="8"/>
  <c r="N27" i="11"/>
  <c r="C171" i="10" s="1"/>
  <c r="I112" i="10"/>
  <c r="J112" i="10"/>
  <c r="I110" i="10"/>
  <c r="I109" i="10"/>
  <c r="I120" i="10"/>
  <c r="I122" i="10"/>
  <c r="I117" i="10"/>
  <c r="I121" i="10"/>
  <c r="J25" i="10"/>
  <c r="G24" i="10"/>
  <c r="J24" i="10" s="1"/>
  <c r="C24" i="10"/>
  <c r="T11" i="10"/>
  <c r="T10" i="10"/>
  <c r="I23" i="10"/>
  <c r="H23" i="10"/>
  <c r="S21" i="10"/>
  <c r="S20" i="10"/>
  <c r="S12" i="10"/>
  <c r="R12" i="10"/>
  <c r="Q12" i="10"/>
  <c r="P12" i="10"/>
  <c r="O12" i="10"/>
  <c r="N12" i="10"/>
  <c r="M12" i="10"/>
  <c r="L12" i="10"/>
  <c r="K12" i="10"/>
  <c r="T9" i="10"/>
  <c r="N59" i="11" s="1" a="1"/>
  <c r="N59" i="11" s="1"/>
  <c r="B86" i="14"/>
  <c r="B87" i="14"/>
  <c r="N26" i="11"/>
  <c r="G269" i="10"/>
  <c r="B283" i="10"/>
  <c r="B94" i="14"/>
  <c r="B282" i="10"/>
  <c r="B92" i="14"/>
  <c r="H92" i="14"/>
  <c r="B275" i="10"/>
  <c r="B85" i="14"/>
  <c r="N78" i="14"/>
  <c r="B273" i="10"/>
  <c r="B274" i="10"/>
  <c r="B84" i="14"/>
  <c r="B285" i="10"/>
  <c r="B95" i="14"/>
  <c r="B271" i="10"/>
  <c r="B81" i="14" s="1"/>
  <c r="H81" i="14" s="1"/>
  <c r="T261" i="10"/>
  <c r="T273" i="10"/>
  <c r="T287" i="10" s="1"/>
  <c r="B261" i="10"/>
  <c r="B269" i="10"/>
  <c r="B80" i="14"/>
  <c r="B17" i="14" s="1"/>
  <c r="N11" i="14" s="1"/>
  <c r="B268" i="10"/>
  <c r="B79" i="14"/>
  <c r="N73" i="14" s="1"/>
  <c r="B267" i="10"/>
  <c r="B78" i="14" s="1"/>
  <c r="B16" i="14" s="1"/>
  <c r="N10" i="14" s="1"/>
  <c r="S283" i="10"/>
  <c r="S282" i="10"/>
  <c r="T180" i="10"/>
  <c r="T179" i="10"/>
  <c r="T177" i="10"/>
  <c r="T175" i="10"/>
  <c r="T170" i="10"/>
  <c r="T149" i="10"/>
  <c r="G31" i="11"/>
  <c r="F31" i="11"/>
  <c r="B168" i="10"/>
  <c r="B278" i="10"/>
  <c r="B88" i="14"/>
  <c r="F47" i="11"/>
  <c r="G47" i="11" s="1"/>
  <c r="H47" i="11" s="1"/>
  <c r="I47" i="11" s="1"/>
  <c r="J47" i="11" s="1"/>
  <c r="K47" i="11" s="1"/>
  <c r="L47" i="11" s="1"/>
  <c r="M47" i="11" s="1"/>
  <c r="N47" i="11" s="1"/>
  <c r="O47" i="11" s="1"/>
  <c r="J121" i="10"/>
  <c r="T121" i="10"/>
  <c r="J122" i="10"/>
  <c r="T122" i="10"/>
  <c r="H88" i="14"/>
  <c r="N81" i="14"/>
  <c r="N74" i="14"/>
  <c r="H95" i="14"/>
  <c r="H87" i="14"/>
  <c r="N80" i="14"/>
  <c r="H84" i="14"/>
  <c r="N77" i="14"/>
  <c r="H86" i="14"/>
  <c r="N79" i="14"/>
  <c r="J101" i="10"/>
  <c r="J12" i="10"/>
  <c r="T8" i="10"/>
  <c r="H58" i="11" s="1"/>
  <c r="C27" i="10"/>
  <c r="K26" i="10"/>
  <c r="L26" i="10" s="1"/>
  <c r="K25" i="10"/>
  <c r="L25" i="10" s="1"/>
  <c r="T7" i="10"/>
  <c r="K57" i="11" s="1"/>
  <c r="H85" i="14"/>
  <c r="B23" i="14"/>
  <c r="N16" i="14"/>
  <c r="I23" i="8"/>
  <c r="J23" i="8"/>
  <c r="K23" i="8"/>
  <c r="L23" i="8"/>
  <c r="M23" i="8"/>
  <c r="J117" i="10"/>
  <c r="T117" i="10"/>
  <c r="J110" i="10"/>
  <c r="T110" i="10"/>
  <c r="I114" i="10"/>
  <c r="T89" i="10"/>
  <c r="O166" i="8"/>
  <c r="O165" i="8"/>
  <c r="O167" i="8"/>
  <c r="M167" i="8"/>
  <c r="M166" i="8"/>
  <c r="M165" i="8"/>
  <c r="I165" i="8"/>
  <c r="I167" i="8"/>
  <c r="I166" i="8"/>
  <c r="F146" i="8"/>
  <c r="G160" i="8"/>
  <c r="G165" i="8"/>
  <c r="G167" i="8"/>
  <c r="G166" i="8"/>
  <c r="F160" i="8"/>
  <c r="L165" i="8"/>
  <c r="L167" i="8"/>
  <c r="L166" i="8"/>
  <c r="H167" i="8"/>
  <c r="H165" i="8"/>
  <c r="H166" i="8"/>
  <c r="K165" i="8"/>
  <c r="K167" i="8"/>
  <c r="K166" i="8"/>
  <c r="J167" i="8"/>
  <c r="J166" i="8"/>
  <c r="J165" i="8"/>
  <c r="N167" i="8"/>
  <c r="N165" i="8"/>
  <c r="N166" i="8"/>
  <c r="P166" i="8"/>
  <c r="P167" i="8"/>
  <c r="P165" i="8"/>
  <c r="L127" i="10"/>
  <c r="L129" i="10"/>
  <c r="J120" i="10"/>
  <c r="T120" i="10"/>
  <c r="S285" i="10"/>
  <c r="J109" i="10"/>
  <c r="T109" i="10"/>
  <c r="T112" i="10"/>
  <c r="I119" i="10"/>
  <c r="I124" i="10"/>
  <c r="L58" i="11"/>
  <c r="G57" i="11"/>
  <c r="H23" i="14"/>
  <c r="F60" i="15"/>
  <c r="L152" i="10"/>
  <c r="K151" i="10"/>
  <c r="C41" i="14"/>
  <c r="J114" i="10"/>
  <c r="N275" i="10"/>
  <c r="O275" i="10"/>
  <c r="M275" i="10"/>
  <c r="P275" i="10"/>
  <c r="Q275" i="10"/>
  <c r="R275" i="10"/>
  <c r="J119" i="10"/>
  <c r="T119" i="10"/>
  <c r="F61" i="15"/>
  <c r="F63" i="15"/>
  <c r="F62" i="20"/>
  <c r="P124" i="18"/>
  <c r="P246" i="18"/>
  <c r="O124" i="18"/>
  <c r="O246" i="18"/>
  <c r="N124" i="18"/>
  <c r="N246" i="18"/>
  <c r="J124" i="10"/>
  <c r="F62" i="15"/>
  <c r="Q124" i="18"/>
  <c r="Q246" i="18"/>
  <c r="C63" i="10"/>
  <c r="L124" i="18"/>
  <c r="L246" i="18"/>
  <c r="K11" i="15"/>
  <c r="K12" i="15"/>
  <c r="K9" i="15"/>
  <c r="K8" i="15"/>
  <c r="H3" i="10"/>
  <c r="G18" i="15"/>
  <c r="C4" i="24"/>
  <c r="M237" i="18"/>
  <c r="L141" i="18"/>
  <c r="H52" i="10"/>
  <c r="I3" i="10"/>
  <c r="H18" i="15"/>
  <c r="H269" i="10"/>
  <c r="L249" i="18"/>
  <c r="M124" i="18"/>
  <c r="J3" i="10"/>
  <c r="I65" i="10"/>
  <c r="I167" i="10" s="1"/>
  <c r="I18" i="15"/>
  <c r="J52" i="10"/>
  <c r="M246" i="18"/>
  <c r="K3" i="10"/>
  <c r="J65" i="10"/>
  <c r="J18" i="15"/>
  <c r="K52" i="10"/>
  <c r="L3" i="10"/>
  <c r="K65" i="10"/>
  <c r="K167" i="10" s="1"/>
  <c r="K18" i="15"/>
  <c r="L52" i="10"/>
  <c r="M3" i="10"/>
  <c r="L65" i="10"/>
  <c r="L18" i="15"/>
  <c r="M52" i="10"/>
  <c r="N3" i="10"/>
  <c r="N189" i="10"/>
  <c r="M65" i="10"/>
  <c r="M269" i="10" s="1"/>
  <c r="M18" i="15"/>
  <c r="N52" i="10"/>
  <c r="O3" i="10"/>
  <c r="O189" i="10"/>
  <c r="N18" i="15"/>
  <c r="O52" i="10"/>
  <c r="P3" i="10"/>
  <c r="O18" i="15"/>
  <c r="P189" i="10"/>
  <c r="P65" i="10"/>
  <c r="P269" i="10" s="1"/>
  <c r="Q3" i="10"/>
  <c r="P18" i="15"/>
  <c r="Q189" i="10"/>
  <c r="Q65" i="10"/>
  <c r="Q269" i="10" s="1"/>
  <c r="R3" i="10"/>
  <c r="B70" i="14"/>
  <c r="N68" i="14"/>
  <c r="Q18" i="15"/>
  <c r="R189" i="10"/>
  <c r="K11" i="9"/>
  <c r="K12" i="9"/>
  <c r="K9" i="9"/>
  <c r="K8" i="9"/>
  <c r="M7" i="9"/>
  <c r="L7" i="9"/>
  <c r="O7" i="9"/>
  <c r="P7" i="9"/>
  <c r="G44" i="9"/>
  <c r="H44" i="9"/>
  <c r="I44" i="9"/>
  <c r="J44" i="9"/>
  <c r="K44" i="9"/>
  <c r="L44" i="9"/>
  <c r="M44" i="9"/>
  <c r="N44" i="9"/>
  <c r="O44" i="9"/>
  <c r="P44" i="9"/>
  <c r="Q44" i="9"/>
  <c r="R44" i="9"/>
  <c r="F44" i="9"/>
  <c r="B43" i="9"/>
  <c r="H36" i="9"/>
  <c r="I36" i="9"/>
  <c r="J36" i="9"/>
  <c r="K36" i="9"/>
  <c r="L36" i="9"/>
  <c r="M36" i="9"/>
  <c r="N36" i="9"/>
  <c r="O36" i="9"/>
  <c r="P36" i="9"/>
  <c r="Q36" i="9"/>
  <c r="R36" i="9"/>
  <c r="B34" i="9"/>
  <c r="B24" i="9"/>
  <c r="F34" i="9"/>
  <c r="F24" i="9"/>
  <c r="F43" i="9"/>
  <c r="F18" i="9"/>
  <c r="C172" i="8"/>
  <c r="E172" i="8"/>
  <c r="C219" i="8"/>
  <c r="E219" i="8" s="1"/>
  <c r="E220" i="8" s="1"/>
  <c r="C215" i="8"/>
  <c r="P6" i="11"/>
  <c r="G61" i="8" s="1"/>
  <c r="F46" i="11"/>
  <c r="G46" i="11" s="1"/>
  <c r="H46" i="11" s="1"/>
  <c r="I46" i="11" s="1"/>
  <c r="J46" i="11" s="1"/>
  <c r="K46" i="11" s="1"/>
  <c r="L46" i="11" s="1"/>
  <c r="M46" i="11" s="1"/>
  <c r="N46" i="11" s="1"/>
  <c r="O46" i="11" s="1"/>
  <c r="F3" i="8"/>
  <c r="F203" i="8"/>
  <c r="F206" i="8" s="1"/>
  <c r="F257" i="8" s="1"/>
  <c r="H43" i="8"/>
  <c r="H76" i="8"/>
  <c r="F76" i="8"/>
  <c r="K76" i="8"/>
  <c r="I76" i="8"/>
  <c r="J76" i="8"/>
  <c r="L76" i="8"/>
  <c r="O76" i="8"/>
  <c r="P76" i="8"/>
  <c r="G76" i="8"/>
  <c r="Q76" i="8"/>
  <c r="M76" i="8"/>
  <c r="N76" i="8"/>
  <c r="S7" i="8"/>
  <c r="Y29" i="8"/>
  <c r="F209" i="8"/>
  <c r="G3" i="8"/>
  <c r="F19" i="9"/>
  <c r="F20" i="9" s="1"/>
  <c r="E4" i="8"/>
  <c r="F4" i="8" s="1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N55" i="9"/>
  <c r="R55" i="9"/>
  <c r="Q55" i="9"/>
  <c r="J55" i="9"/>
  <c r="M55" i="9"/>
  <c r="L55" i="9"/>
  <c r="K55" i="9"/>
  <c r="I55" i="9"/>
  <c r="P55" i="9"/>
  <c r="O55" i="9"/>
  <c r="H55" i="9"/>
  <c r="F45" i="9"/>
  <c r="D44" i="9"/>
  <c r="G209" i="8"/>
  <c r="H3" i="8"/>
  <c r="I3" i="8"/>
  <c r="J3" i="8"/>
  <c r="K3" i="8"/>
  <c r="L3" i="8"/>
  <c r="M3" i="8"/>
  <c r="N3" i="8"/>
  <c r="O3" i="8"/>
  <c r="P3" i="8"/>
  <c r="Q3" i="8"/>
  <c r="G18" i="9"/>
  <c r="H18" i="9"/>
  <c r="I18" i="9"/>
  <c r="J18" i="9"/>
  <c r="K18" i="9"/>
  <c r="L18" i="9"/>
  <c r="M18" i="9"/>
  <c r="N18" i="9"/>
  <c r="O18" i="9"/>
  <c r="D4" i="12"/>
  <c r="E4" i="12" s="1"/>
  <c r="F4" i="12" s="1"/>
  <c r="G4" i="12" s="1"/>
  <c r="H4" i="12" s="1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U4" i="12" s="1"/>
  <c r="V4" i="12" s="1"/>
  <c r="W4" i="12" s="1"/>
  <c r="X4" i="12" s="1"/>
  <c r="Y4" i="12" s="1"/>
  <c r="Z4" i="12" s="1"/>
  <c r="AA4" i="12" s="1"/>
  <c r="AB4" i="12" s="1"/>
  <c r="AC4" i="12" s="1"/>
  <c r="AD4" i="12" s="1"/>
  <c r="AE4" i="12" s="1"/>
  <c r="AF4" i="12" s="1"/>
  <c r="AG4" i="12" s="1"/>
  <c r="AH4" i="12" s="1"/>
  <c r="AI4" i="12" s="1"/>
  <c r="AJ4" i="12" s="1"/>
  <c r="AK4" i="12" s="1"/>
  <c r="AL4" i="12" s="1"/>
  <c r="AM4" i="12" s="1"/>
  <c r="AN4" i="12" s="1"/>
  <c r="AO4" i="12" s="1"/>
  <c r="AP4" i="12" s="1"/>
  <c r="AQ4" i="12" s="1"/>
  <c r="AR4" i="12" s="1"/>
  <c r="AS4" i="12" s="1"/>
  <c r="AT4" i="12" s="1"/>
  <c r="AU4" i="12" s="1"/>
  <c r="AV4" i="12" s="1"/>
  <c r="AW4" i="12" s="1"/>
  <c r="AX4" i="12" s="1"/>
  <c r="AY4" i="12" s="1"/>
  <c r="AZ4" i="12" s="1"/>
  <c r="BA4" i="12" s="1"/>
  <c r="BB4" i="12" s="1"/>
  <c r="BC4" i="12" s="1"/>
  <c r="BD4" i="12" s="1"/>
  <c r="BE4" i="12" s="1"/>
  <c r="BF4" i="12" s="1"/>
  <c r="BG4" i="12" s="1"/>
  <c r="BH4" i="12" s="1"/>
  <c r="BI4" i="12" s="1"/>
  <c r="BJ4" i="12" s="1"/>
  <c r="BK4" i="12" s="1"/>
  <c r="BL4" i="12" s="1"/>
  <c r="BM4" i="12" s="1"/>
  <c r="BN4" i="12" s="1"/>
  <c r="BO4" i="12" s="1"/>
  <c r="BP4" i="12" s="1"/>
  <c r="BQ4" i="12" s="1"/>
  <c r="BR4" i="12" s="1"/>
  <c r="BS4" i="12" s="1"/>
  <c r="BT4" i="12" s="1"/>
  <c r="BU4" i="12" s="1"/>
  <c r="BV4" i="12" s="1"/>
  <c r="BW4" i="12" s="1"/>
  <c r="BX4" i="12" s="1"/>
  <c r="BY4" i="12" s="1"/>
  <c r="BZ4" i="12" s="1"/>
  <c r="CA4" i="12" s="1"/>
  <c r="CB4" i="12" s="1"/>
  <c r="CC4" i="12" s="1"/>
  <c r="CD4" i="12" s="1"/>
  <c r="CE4" i="12" s="1"/>
  <c r="CF4" i="12" s="1"/>
  <c r="CG4" i="12" s="1"/>
  <c r="CH4" i="12" s="1"/>
  <c r="CI4" i="12" s="1"/>
  <c r="CJ4" i="12" s="1"/>
  <c r="CK4" i="12" s="1"/>
  <c r="CL4" i="12" s="1"/>
  <c r="CM4" i="12" s="1"/>
  <c r="CN4" i="12" s="1"/>
  <c r="CO4" i="12" s="1"/>
  <c r="CP4" i="12" s="1"/>
  <c r="CQ4" i="12" s="1"/>
  <c r="CR4" i="12" s="1"/>
  <c r="CS4" i="12" s="1"/>
  <c r="CT4" i="12" s="1"/>
  <c r="CU4" i="12" s="1"/>
  <c r="CV4" i="12" s="1"/>
  <c r="CW4" i="12" s="1"/>
  <c r="CX4" i="12" s="1"/>
  <c r="CY4" i="12" s="1"/>
  <c r="CZ4" i="12" s="1"/>
  <c r="DA4" i="12" s="1"/>
  <c r="DB4" i="12" s="1"/>
  <c r="DC4" i="12" s="1"/>
  <c r="DD4" i="12" s="1"/>
  <c r="DE4" i="12" s="1"/>
  <c r="DF4" i="12" s="1"/>
  <c r="DG4" i="12" s="1"/>
  <c r="DH4" i="12" s="1"/>
  <c r="DI4" i="12" s="1"/>
  <c r="DJ4" i="12" s="1"/>
  <c r="DK4" i="12" s="1"/>
  <c r="DL4" i="12" s="1"/>
  <c r="DM4" i="12" s="1"/>
  <c r="DN4" i="12" s="1"/>
  <c r="DO4" i="12" s="1"/>
  <c r="DP4" i="12" s="1"/>
  <c r="DQ4" i="12" s="1"/>
  <c r="DR4" i="12" s="1"/>
  <c r="G39" i="11"/>
  <c r="H39" i="11" s="1"/>
  <c r="I39" i="11" s="1"/>
  <c r="J39" i="11" s="1"/>
  <c r="K39" i="11" s="1"/>
  <c r="L39" i="11" s="1"/>
  <c r="M39" i="11" s="1"/>
  <c r="N39" i="11" s="1"/>
  <c r="O39" i="11" s="1"/>
  <c r="P39" i="11" s="1"/>
  <c r="Q39" i="11" s="1"/>
  <c r="C57" i="11"/>
  <c r="C11" i="12"/>
  <c r="C66" i="11"/>
  <c r="B147" i="10"/>
  <c r="G147" i="10"/>
  <c r="G276" i="10"/>
  <c r="I147" i="10"/>
  <c r="I276" i="10" s="1"/>
  <c r="Q147" i="10"/>
  <c r="Q276" i="10"/>
  <c r="R147" i="10"/>
  <c r="R276" i="10"/>
  <c r="H150" i="10"/>
  <c r="K150" i="10"/>
  <c r="G154" i="10"/>
  <c r="P160" i="10"/>
  <c r="P277" i="10"/>
  <c r="Q160" i="10"/>
  <c r="Q277" i="10"/>
  <c r="R160" i="10"/>
  <c r="R277" i="10"/>
  <c r="B160" i="10"/>
  <c r="B173" i="10"/>
  <c r="B279" i="10"/>
  <c r="B89" i="14"/>
  <c r="B178" i="10"/>
  <c r="B280" i="10"/>
  <c r="B90" i="14"/>
  <c r="B182" i="10"/>
  <c r="B281" i="10"/>
  <c r="B91" i="14"/>
  <c r="B259" i="10"/>
  <c r="B76" i="14"/>
  <c r="H76" i="14" s="1"/>
  <c r="B77" i="14"/>
  <c r="C42" i="8"/>
  <c r="H91" i="14"/>
  <c r="N84" i="14"/>
  <c r="H77" i="14"/>
  <c r="H90" i="14"/>
  <c r="N83" i="14"/>
  <c r="H89" i="14"/>
  <c r="N82" i="14"/>
  <c r="F44" i="8"/>
  <c r="Q172" i="10"/>
  <c r="R172" i="10"/>
  <c r="G274" i="10"/>
  <c r="T158" i="10"/>
  <c r="T157" i="10"/>
  <c r="N176" i="10"/>
  <c r="N178" i="10"/>
  <c r="N280" i="10"/>
  <c r="Q176" i="10"/>
  <c r="Q178" i="10"/>
  <c r="Q280" i="10"/>
  <c r="M176" i="10"/>
  <c r="M178" i="10"/>
  <c r="M280" i="10"/>
  <c r="P176" i="10"/>
  <c r="P178" i="10"/>
  <c r="P280" i="10"/>
  <c r="H147" i="10"/>
  <c r="H154" i="10"/>
  <c r="R176" i="10"/>
  <c r="R178" i="10"/>
  <c r="R280" i="10"/>
  <c r="O176" i="10"/>
  <c r="O178" i="10"/>
  <c r="O280" i="10"/>
  <c r="B176" i="8"/>
  <c r="I185" i="8"/>
  <c r="F185" i="8"/>
  <c r="E186" i="8"/>
  <c r="E244" i="8"/>
  <c r="H276" i="10"/>
  <c r="G127" i="10"/>
  <c r="G129" i="10"/>
  <c r="L275" i="10"/>
  <c r="L176" i="10"/>
  <c r="L178" i="10"/>
  <c r="L280" i="10"/>
  <c r="G275" i="10"/>
  <c r="G176" i="10"/>
  <c r="G178" i="10"/>
  <c r="G280" i="10"/>
  <c r="G152" i="10"/>
  <c r="G172" i="10"/>
  <c r="G173" i="10"/>
  <c r="G279" i="10" s="1"/>
  <c r="T114" i="10"/>
  <c r="U114" i="10"/>
  <c r="Q252" i="8"/>
  <c r="Q249" i="8"/>
  <c r="H139" i="8"/>
  <c r="F132" i="8"/>
  <c r="F118" i="8"/>
  <c r="T96" i="10"/>
  <c r="U96" i="10"/>
  <c r="T124" i="10"/>
  <c r="U124" i="10"/>
  <c r="F123" i="8"/>
  <c r="F122" i="8"/>
  <c r="H120" i="8"/>
  <c r="F120" i="8"/>
  <c r="I120" i="8"/>
  <c r="I159" i="8"/>
  <c r="L67" i="8"/>
  <c r="L71" i="8"/>
  <c r="K67" i="8"/>
  <c r="K71" i="8"/>
  <c r="J67" i="8"/>
  <c r="J71" i="8"/>
  <c r="I67" i="8"/>
  <c r="I71" i="8"/>
  <c r="H67" i="8"/>
  <c r="H71" i="8"/>
  <c r="G67" i="8"/>
  <c r="G71" i="8"/>
  <c r="F67" i="8"/>
  <c r="P64" i="8"/>
  <c r="O64" i="8"/>
  <c r="N64" i="8"/>
  <c r="M64" i="8"/>
  <c r="B64" i="8"/>
  <c r="L64" i="8"/>
  <c r="K64" i="8"/>
  <c r="P162" i="8"/>
  <c r="O162" i="8"/>
  <c r="G162" i="8"/>
  <c r="F162" i="8"/>
  <c r="G85" i="8"/>
  <c r="F135" i="8"/>
  <c r="B169" i="8"/>
  <c r="E168" i="8"/>
  <c r="F137" i="8"/>
  <c r="F136" i="8"/>
  <c r="F134" i="8"/>
  <c r="G136" i="8"/>
  <c r="H136" i="8"/>
  <c r="I136" i="8"/>
  <c r="J136" i="8"/>
  <c r="K136" i="8"/>
  <c r="L136" i="8"/>
  <c r="M136" i="8"/>
  <c r="N136" i="8"/>
  <c r="O136" i="8"/>
  <c r="P136" i="8"/>
  <c r="Q136" i="8"/>
  <c r="G137" i="8"/>
  <c r="H137" i="8"/>
  <c r="I137" i="8"/>
  <c r="J137" i="8"/>
  <c r="K137" i="8"/>
  <c r="L137" i="8"/>
  <c r="M137" i="8"/>
  <c r="N137" i="8"/>
  <c r="O137" i="8"/>
  <c r="P137" i="8"/>
  <c r="Q137" i="8"/>
  <c r="B142" i="8"/>
  <c r="Q123" i="8"/>
  <c r="P123" i="8"/>
  <c r="O123" i="8"/>
  <c r="N123" i="8"/>
  <c r="M123" i="8"/>
  <c r="L123" i="8"/>
  <c r="K123" i="8"/>
  <c r="J123" i="8"/>
  <c r="I123" i="8"/>
  <c r="H123" i="8"/>
  <c r="G123" i="8"/>
  <c r="N120" i="8"/>
  <c r="N122" i="8"/>
  <c r="J120" i="8"/>
  <c r="K120" i="8"/>
  <c r="L120" i="8"/>
  <c r="M120" i="8"/>
  <c r="J122" i="8"/>
  <c r="K122" i="8"/>
  <c r="L122" i="8"/>
  <c r="M122" i="8"/>
  <c r="I122" i="8"/>
  <c r="H122" i="8"/>
  <c r="G122" i="8"/>
  <c r="G120" i="8"/>
  <c r="O120" i="8"/>
  <c r="P120" i="8"/>
  <c r="Q120" i="8"/>
  <c r="O122" i="8"/>
  <c r="P122" i="8"/>
  <c r="Q122" i="8"/>
  <c r="P149" i="8"/>
  <c r="O149" i="8"/>
  <c r="N149" i="8"/>
  <c r="M149" i="8"/>
  <c r="L149" i="8"/>
  <c r="K149" i="8"/>
  <c r="J149" i="8"/>
  <c r="I149" i="8"/>
  <c r="H149" i="8"/>
  <c r="G149" i="8"/>
  <c r="F149" i="8"/>
  <c r="G153" i="8"/>
  <c r="Q152" i="8"/>
  <c r="P152" i="8"/>
  <c r="O154" i="8"/>
  <c r="N154" i="8"/>
  <c r="M152" i="8"/>
  <c r="H153" i="8"/>
  <c r="F154" i="8"/>
  <c r="O160" i="8"/>
  <c r="M160" i="8"/>
  <c r="L160" i="8"/>
  <c r="K160" i="8"/>
  <c r="H160" i="8"/>
  <c r="F166" i="8"/>
  <c r="Q85" i="8"/>
  <c r="P135" i="8"/>
  <c r="P85" i="8"/>
  <c r="O135" i="8"/>
  <c r="O85" i="8"/>
  <c r="N135" i="8"/>
  <c r="N85" i="8"/>
  <c r="M135" i="8"/>
  <c r="M85" i="8"/>
  <c r="L135" i="8"/>
  <c r="L85" i="8"/>
  <c r="K135" i="8"/>
  <c r="K85" i="8"/>
  <c r="J135" i="8"/>
  <c r="J85" i="8"/>
  <c r="I135" i="8"/>
  <c r="I85" i="8"/>
  <c r="H135" i="8"/>
  <c r="H85" i="8"/>
  <c r="G135" i="8"/>
  <c r="Q139" i="8"/>
  <c r="P138" i="8"/>
  <c r="O139" i="8"/>
  <c r="N139" i="8"/>
  <c r="M138" i="8"/>
  <c r="L138" i="8"/>
  <c r="K138" i="8"/>
  <c r="I140" i="8"/>
  <c r="H140" i="8"/>
  <c r="G140" i="8"/>
  <c r="F138" i="8"/>
  <c r="Q83" i="8"/>
  <c r="Q131" i="8"/>
  <c r="P83" i="8"/>
  <c r="P131" i="8"/>
  <c r="O83" i="8"/>
  <c r="O131" i="8"/>
  <c r="N83" i="8"/>
  <c r="N131" i="8"/>
  <c r="M83" i="8"/>
  <c r="M131" i="8"/>
  <c r="L83" i="8"/>
  <c r="L131" i="8"/>
  <c r="K83" i="8"/>
  <c r="K131" i="8"/>
  <c r="J83" i="8"/>
  <c r="J131" i="8"/>
  <c r="I83" i="8"/>
  <c r="I131" i="8"/>
  <c r="H83" i="8"/>
  <c r="H131" i="8"/>
  <c r="G83" i="8"/>
  <c r="G131" i="8"/>
  <c r="F83" i="8"/>
  <c r="Q77" i="8"/>
  <c r="P121" i="8"/>
  <c r="P77" i="8"/>
  <c r="O121" i="8"/>
  <c r="O77" i="8"/>
  <c r="N121" i="8"/>
  <c r="N77" i="8"/>
  <c r="M121" i="8"/>
  <c r="M77" i="8"/>
  <c r="L121" i="8"/>
  <c r="L77" i="8"/>
  <c r="K121" i="8"/>
  <c r="K77" i="8"/>
  <c r="J121" i="8"/>
  <c r="J77" i="8"/>
  <c r="I121" i="8"/>
  <c r="I77" i="8"/>
  <c r="H121" i="8"/>
  <c r="H77" i="8"/>
  <c r="G121" i="8"/>
  <c r="G77" i="8"/>
  <c r="E121" i="8"/>
  <c r="F77" i="8"/>
  <c r="Q125" i="8"/>
  <c r="P124" i="8"/>
  <c r="O124" i="8"/>
  <c r="N124" i="8"/>
  <c r="M124" i="8"/>
  <c r="K125" i="8"/>
  <c r="I125" i="8"/>
  <c r="F126" i="8"/>
  <c r="L125" i="8"/>
  <c r="H75" i="8"/>
  <c r="H117" i="8"/>
  <c r="I75" i="8"/>
  <c r="I117" i="8"/>
  <c r="J75" i="8"/>
  <c r="J117" i="8"/>
  <c r="K75" i="8"/>
  <c r="K117" i="8"/>
  <c r="L75" i="8"/>
  <c r="L117" i="8"/>
  <c r="M75" i="8"/>
  <c r="M117" i="8"/>
  <c r="N75" i="8"/>
  <c r="N117" i="8"/>
  <c r="O75" i="8"/>
  <c r="O117" i="8"/>
  <c r="P75" i="8"/>
  <c r="P117" i="8"/>
  <c r="Q75" i="8"/>
  <c r="Q117" i="8"/>
  <c r="G75" i="8"/>
  <c r="G117" i="8"/>
  <c r="F75" i="8"/>
  <c r="E117" i="8"/>
  <c r="B96" i="8"/>
  <c r="E95" i="8"/>
  <c r="E96" i="8"/>
  <c r="B105" i="8"/>
  <c r="E104" i="8"/>
  <c r="E105" i="8"/>
  <c r="E131" i="8"/>
  <c r="F86" i="8"/>
  <c r="F94" i="8"/>
  <c r="G94" i="8"/>
  <c r="G95" i="8"/>
  <c r="E64" i="8"/>
  <c r="P140" i="8"/>
  <c r="O140" i="8"/>
  <c r="M154" i="8"/>
  <c r="F117" i="8"/>
  <c r="L154" i="8"/>
  <c r="F131" i="8"/>
  <c r="Q153" i="8"/>
  <c r="Q140" i="8"/>
  <c r="N160" i="8"/>
  <c r="F121" i="8"/>
  <c r="Q124" i="8"/>
  <c r="G154" i="8"/>
  <c r="J154" i="8"/>
  <c r="F139" i="8"/>
  <c r="F140" i="8"/>
  <c r="M153" i="8"/>
  <c r="N152" i="8"/>
  <c r="H126" i="8"/>
  <c r="N140" i="8"/>
  <c r="J152" i="8"/>
  <c r="F124" i="8"/>
  <c r="G139" i="8"/>
  <c r="E149" i="8"/>
  <c r="P160" i="8"/>
  <c r="N153" i="8"/>
  <c r="K152" i="8"/>
  <c r="H125" i="8"/>
  <c r="P139" i="8"/>
  <c r="I152" i="8"/>
  <c r="I139" i="8"/>
  <c r="F125" i="8"/>
  <c r="M126" i="8"/>
  <c r="L124" i="8"/>
  <c r="Q138" i="8"/>
  <c r="J124" i="8"/>
  <c r="O138" i="8"/>
  <c r="E135" i="8"/>
  <c r="R135" i="8"/>
  <c r="L126" i="8"/>
  <c r="K124" i="8"/>
  <c r="K154" i="8"/>
  <c r="J138" i="8"/>
  <c r="J140" i="8"/>
  <c r="J139" i="8"/>
  <c r="I154" i="8"/>
  <c r="I153" i="8"/>
  <c r="I124" i="8"/>
  <c r="K139" i="8"/>
  <c r="I138" i="8"/>
  <c r="K140" i="8"/>
  <c r="K126" i="8"/>
  <c r="J126" i="8"/>
  <c r="L152" i="8"/>
  <c r="H154" i="8"/>
  <c r="G138" i="8"/>
  <c r="H138" i="8"/>
  <c r="G124" i="8"/>
  <c r="G125" i="8"/>
  <c r="G126" i="8"/>
  <c r="G152" i="8"/>
  <c r="M139" i="8"/>
  <c r="P125" i="8"/>
  <c r="L139" i="8"/>
  <c r="F167" i="8"/>
  <c r="J160" i="8"/>
  <c r="O152" i="8"/>
  <c r="H124" i="8"/>
  <c r="H152" i="8"/>
  <c r="L140" i="8"/>
  <c r="F104" i="8"/>
  <c r="F105" i="8"/>
  <c r="J125" i="8"/>
  <c r="L153" i="8"/>
  <c r="R164" i="8"/>
  <c r="M140" i="8"/>
  <c r="P153" i="8"/>
  <c r="M125" i="8"/>
  <c r="N138" i="8"/>
  <c r="O153" i="8"/>
  <c r="I126" i="8"/>
  <c r="F152" i="8"/>
  <c r="K153" i="8"/>
  <c r="R163" i="8"/>
  <c r="F153" i="8"/>
  <c r="J153" i="8"/>
  <c r="P126" i="8"/>
  <c r="N125" i="8"/>
  <c r="P154" i="8"/>
  <c r="Q126" i="8"/>
  <c r="N126" i="8"/>
  <c r="Q154" i="8"/>
  <c r="O126" i="8"/>
  <c r="O125" i="8"/>
  <c r="E169" i="8"/>
  <c r="R161" i="8"/>
  <c r="R137" i="8"/>
  <c r="R136" i="8"/>
  <c r="R134" i="8"/>
  <c r="R92" i="8"/>
  <c r="N95" i="8"/>
  <c r="N96" i="8"/>
  <c r="O95" i="8"/>
  <c r="O96" i="8"/>
  <c r="P95" i="8"/>
  <c r="P96" i="8"/>
  <c r="Q95" i="8"/>
  <c r="Q96" i="8"/>
  <c r="R93" i="8"/>
  <c r="M95" i="8"/>
  <c r="R91" i="8"/>
  <c r="G103" i="8"/>
  <c r="R101" i="8"/>
  <c r="R99" i="8"/>
  <c r="G16" i="8"/>
  <c r="F42" i="23"/>
  <c r="F42" i="15"/>
  <c r="R131" i="8"/>
  <c r="V131" i="8"/>
  <c r="V135" i="8"/>
  <c r="V134" i="8"/>
  <c r="V136" i="8"/>
  <c r="V137" i="8"/>
  <c r="V164" i="8"/>
  <c r="V163" i="8"/>
  <c r="V161" i="8"/>
  <c r="R159" i="8"/>
  <c r="J141" i="8"/>
  <c r="J142" i="8"/>
  <c r="N155" i="8"/>
  <c r="N168" i="8"/>
  <c r="N169" i="8"/>
  <c r="E127" i="8"/>
  <c r="E141" i="8"/>
  <c r="E142" i="8"/>
  <c r="G155" i="8"/>
  <c r="M155" i="8"/>
  <c r="H141" i="8"/>
  <c r="H142" i="8"/>
  <c r="O168" i="8"/>
  <c r="O169" i="8"/>
  <c r="L155" i="8"/>
  <c r="I141" i="8"/>
  <c r="I142" i="8"/>
  <c r="K141" i="8"/>
  <c r="K142" i="8"/>
  <c r="P141" i="8"/>
  <c r="P142" i="8"/>
  <c r="K168" i="8"/>
  <c r="K169" i="8"/>
  <c r="N141" i="8"/>
  <c r="N142" i="8"/>
  <c r="M168" i="8"/>
  <c r="M169" i="8"/>
  <c r="E155" i="8"/>
  <c r="L168" i="8"/>
  <c r="L169" i="8"/>
  <c r="O141" i="8"/>
  <c r="O142" i="8"/>
  <c r="F141" i="8"/>
  <c r="F142" i="8"/>
  <c r="N127" i="8"/>
  <c r="P127" i="8"/>
  <c r="O155" i="8"/>
  <c r="I127" i="8"/>
  <c r="Q155" i="8"/>
  <c r="Q141" i="8"/>
  <c r="P168" i="8"/>
  <c r="P169" i="8"/>
  <c r="H155" i="8"/>
  <c r="H127" i="8"/>
  <c r="L127" i="8"/>
  <c r="K155" i="8"/>
  <c r="R165" i="8"/>
  <c r="R138" i="8"/>
  <c r="K127" i="8"/>
  <c r="J155" i="8"/>
  <c r="J127" i="8"/>
  <c r="Q127" i="8"/>
  <c r="M127" i="8"/>
  <c r="G127" i="8"/>
  <c r="O127" i="8"/>
  <c r="J168" i="8"/>
  <c r="J169" i="8"/>
  <c r="I155" i="8"/>
  <c r="L141" i="8"/>
  <c r="L142" i="8"/>
  <c r="R132" i="8"/>
  <c r="R140" i="8"/>
  <c r="F155" i="8"/>
  <c r="G168" i="8"/>
  <c r="G169" i="8"/>
  <c r="R166" i="8"/>
  <c r="R139" i="8"/>
  <c r="G141" i="8"/>
  <c r="G142" i="8"/>
  <c r="F168" i="8"/>
  <c r="F169" i="8"/>
  <c r="M141" i="8"/>
  <c r="M142" i="8"/>
  <c r="P155" i="8"/>
  <c r="R160" i="8"/>
  <c r="F95" i="8"/>
  <c r="F96" i="8"/>
  <c r="R167" i="8"/>
  <c r="G104" i="8"/>
  <c r="G105" i="8"/>
  <c r="G96" i="8"/>
  <c r="H94" i="8"/>
  <c r="I94" i="8"/>
  <c r="J94" i="8"/>
  <c r="F78" i="8"/>
  <c r="F44" i="15"/>
  <c r="V140" i="8"/>
  <c r="V132" i="8"/>
  <c r="V138" i="8"/>
  <c r="V139" i="8"/>
  <c r="V167" i="8"/>
  <c r="V166" i="8"/>
  <c r="V165" i="8"/>
  <c r="V160" i="8"/>
  <c r="V159" i="8"/>
  <c r="R142" i="8"/>
  <c r="V142" i="8"/>
  <c r="R141" i="8"/>
  <c r="H95" i="8"/>
  <c r="Q19" i="8"/>
  <c r="P19" i="8"/>
  <c r="O19" i="8"/>
  <c r="N19" i="8"/>
  <c r="M19" i="8"/>
  <c r="L19" i="8"/>
  <c r="K19" i="8"/>
  <c r="J19" i="8"/>
  <c r="I19" i="8"/>
  <c r="H19" i="8"/>
  <c r="Q18" i="8"/>
  <c r="P18" i="8"/>
  <c r="O18" i="8"/>
  <c r="N18" i="8"/>
  <c r="M18" i="8"/>
  <c r="L18" i="8"/>
  <c r="K18" i="8"/>
  <c r="J18" i="8"/>
  <c r="I18" i="8"/>
  <c r="H18" i="8"/>
  <c r="Q17" i="8"/>
  <c r="P17" i="8"/>
  <c r="O17" i="8"/>
  <c r="N17" i="8"/>
  <c r="M17" i="8"/>
  <c r="L17" i="8"/>
  <c r="K17" i="8"/>
  <c r="J17" i="8"/>
  <c r="I17" i="8"/>
  <c r="H17" i="8"/>
  <c r="Q16" i="8"/>
  <c r="P16" i="8"/>
  <c r="O16" i="8"/>
  <c r="N16" i="8"/>
  <c r="M16" i="8"/>
  <c r="L16" i="8"/>
  <c r="K16" i="8"/>
  <c r="J16" i="8"/>
  <c r="I16" i="8"/>
  <c r="H16" i="8"/>
  <c r="Q11" i="8"/>
  <c r="P11" i="8"/>
  <c r="O11" i="8"/>
  <c r="N11" i="8"/>
  <c r="N184" i="8"/>
  <c r="M11" i="8"/>
  <c r="M184" i="8"/>
  <c r="L11" i="8"/>
  <c r="K11" i="8"/>
  <c r="J11" i="8"/>
  <c r="I11" i="8"/>
  <c r="H11" i="8"/>
  <c r="G19" i="8"/>
  <c r="G18" i="8"/>
  <c r="G17" i="8"/>
  <c r="R10" i="8"/>
  <c r="R9" i="8"/>
  <c r="O186" i="8"/>
  <c r="O184" i="8"/>
  <c r="P186" i="8"/>
  <c r="P184" i="8"/>
  <c r="Q186" i="8"/>
  <c r="Q184" i="8"/>
  <c r="H186" i="8"/>
  <c r="H184" i="8"/>
  <c r="I186" i="8"/>
  <c r="I184" i="8"/>
  <c r="J186" i="8"/>
  <c r="J184" i="8"/>
  <c r="K186" i="8"/>
  <c r="K184" i="8"/>
  <c r="L186" i="8"/>
  <c r="L184" i="8"/>
  <c r="T100" i="8"/>
  <c r="T99" i="8"/>
  <c r="T101" i="8"/>
  <c r="C19" i="8"/>
  <c r="T164" i="8"/>
  <c r="T163" i="8"/>
  <c r="T161" i="8"/>
  <c r="T167" i="8"/>
  <c r="T165" i="8"/>
  <c r="T159" i="8"/>
  <c r="T160" i="8"/>
  <c r="T91" i="8"/>
  <c r="T92" i="8"/>
  <c r="T93" i="8"/>
  <c r="T166" i="8"/>
  <c r="M44" i="8"/>
  <c r="K44" i="8"/>
  <c r="L44" i="8"/>
  <c r="I44" i="8"/>
  <c r="J44" i="8"/>
  <c r="C18" i="8"/>
  <c r="N104" i="8"/>
  <c r="N105" i="8"/>
  <c r="M186" i="8"/>
  <c r="O104" i="8"/>
  <c r="O105" i="8"/>
  <c r="N186" i="8"/>
  <c r="V141" i="8"/>
  <c r="T10" i="8"/>
  <c r="V10" i="8"/>
  <c r="V101" i="8"/>
  <c r="T9" i="8"/>
  <c r="V9" i="8"/>
  <c r="V92" i="8"/>
  <c r="M104" i="8"/>
  <c r="M105" i="8"/>
  <c r="H103" i="8"/>
  <c r="P104" i="8"/>
  <c r="P105" i="8"/>
  <c r="Q104" i="8"/>
  <c r="Q105" i="8"/>
  <c r="H96" i="8"/>
  <c r="I95" i="8"/>
  <c r="I20" i="8"/>
  <c r="J20" i="8"/>
  <c r="K20" i="8"/>
  <c r="L20" i="8"/>
  <c r="M20" i="8"/>
  <c r="R17" i="8"/>
  <c r="N20" i="8"/>
  <c r="O20" i="8"/>
  <c r="P20" i="8"/>
  <c r="Q20" i="8"/>
  <c r="R18" i="8"/>
  <c r="R19" i="8"/>
  <c r="R16" i="8"/>
  <c r="H20" i="8"/>
  <c r="H104" i="8"/>
  <c r="H105" i="8"/>
  <c r="I103" i="8"/>
  <c r="R102" i="8"/>
  <c r="J95" i="8"/>
  <c r="J96" i="8"/>
  <c r="I96" i="8"/>
  <c r="B156" i="8"/>
  <c r="B88" i="8"/>
  <c r="E87" i="8"/>
  <c r="T102" i="8"/>
  <c r="I162" i="8"/>
  <c r="I168" i="8"/>
  <c r="I169" i="8"/>
  <c r="H162" i="8"/>
  <c r="J103" i="8"/>
  <c r="I104" i="8"/>
  <c r="I105" i="8"/>
  <c r="K95" i="8"/>
  <c r="K96" i="8"/>
  <c r="M96" i="8"/>
  <c r="L95" i="8"/>
  <c r="E156" i="8"/>
  <c r="G86" i="8"/>
  <c r="H86" i="8"/>
  <c r="R68" i="8"/>
  <c r="F87" i="8"/>
  <c r="E88" i="8"/>
  <c r="R162" i="8"/>
  <c r="H168" i="8"/>
  <c r="H87" i="8"/>
  <c r="H88" i="8"/>
  <c r="I86" i="8"/>
  <c r="J86" i="8"/>
  <c r="J104" i="8"/>
  <c r="J105" i="8"/>
  <c r="R95" i="8"/>
  <c r="T95" i="8"/>
  <c r="R94" i="8"/>
  <c r="T94" i="8"/>
  <c r="L96" i="8"/>
  <c r="R96" i="8"/>
  <c r="V96" i="8"/>
  <c r="G87" i="8"/>
  <c r="G88" i="8"/>
  <c r="F88" i="8"/>
  <c r="H169" i="8"/>
  <c r="R169" i="8"/>
  <c r="R168" i="8"/>
  <c r="V162" i="8"/>
  <c r="T162" i="8"/>
  <c r="T97" i="8" a="1"/>
  <c r="T97" i="8"/>
  <c r="T96" i="8"/>
  <c r="I87" i="8"/>
  <c r="I88" i="8"/>
  <c r="L104" i="8"/>
  <c r="L105" i="8"/>
  <c r="K104" i="8"/>
  <c r="K105" i="8"/>
  <c r="T168" i="8"/>
  <c r="V168" i="8"/>
  <c r="V169" i="8"/>
  <c r="T169" i="8"/>
  <c r="R103" i="8"/>
  <c r="T103" i="8"/>
  <c r="R105" i="8"/>
  <c r="V105" i="8"/>
  <c r="R104" i="8"/>
  <c r="T104" i="8"/>
  <c r="J87" i="8"/>
  <c r="J88" i="8"/>
  <c r="T105" i="8"/>
  <c r="K87" i="8"/>
  <c r="K88" i="8"/>
  <c r="R86" i="8"/>
  <c r="L87" i="8"/>
  <c r="L88" i="8"/>
  <c r="Q32" i="8"/>
  <c r="P32" i="8"/>
  <c r="O32" i="8"/>
  <c r="N32" i="8"/>
  <c r="M32" i="8"/>
  <c r="L32" i="8"/>
  <c r="K32" i="8"/>
  <c r="J32" i="8"/>
  <c r="I32" i="8"/>
  <c r="H32" i="8"/>
  <c r="G32" i="8"/>
  <c r="F187" i="8"/>
  <c r="E35" i="8"/>
  <c r="E200" i="8"/>
  <c r="O48" i="9"/>
  <c r="P48" i="9"/>
  <c r="Q48" i="9"/>
  <c r="R48" i="9"/>
  <c r="F49" i="9"/>
  <c r="H49" i="9"/>
  <c r="I49" i="9"/>
  <c r="J49" i="9"/>
  <c r="K49" i="9"/>
  <c r="L49" i="9"/>
  <c r="M49" i="9"/>
  <c r="N49" i="9"/>
  <c r="O49" i="9"/>
  <c r="P49" i="9"/>
  <c r="Q49" i="9"/>
  <c r="R49" i="9"/>
  <c r="B48" i="9"/>
  <c r="B49" i="9"/>
  <c r="B47" i="9"/>
  <c r="E192" i="8"/>
  <c r="F244" i="8"/>
  <c r="F48" i="9"/>
  <c r="F42" i="8"/>
  <c r="F172" i="8"/>
  <c r="F52" i="8"/>
  <c r="F53" i="8"/>
  <c r="N26" i="8"/>
  <c r="O26" i="8"/>
  <c r="P26" i="8"/>
  <c r="Q26" i="8"/>
  <c r="N24" i="8"/>
  <c r="T170" i="8" a="1"/>
  <c r="T170" i="8"/>
  <c r="T106" i="8" a="1"/>
  <c r="T106" i="8"/>
  <c r="O24" i="8"/>
  <c r="P24" i="8"/>
  <c r="F20" i="8"/>
  <c r="Q24" i="8"/>
  <c r="T143" i="8" a="1"/>
  <c r="T143" i="8"/>
  <c r="R18" i="9"/>
  <c r="Q18" i="9"/>
  <c r="P18" i="9"/>
  <c r="B259" i="8"/>
  <c r="E247" i="8"/>
  <c r="B247" i="8"/>
  <c r="B245" i="8"/>
  <c r="H50" i="14"/>
  <c r="B244" i="8"/>
  <c r="E243" i="8"/>
  <c r="B243" i="8"/>
  <c r="N242" i="8"/>
  <c r="E242" i="8"/>
  <c r="B242" i="8"/>
  <c r="H45" i="14"/>
  <c r="Q241" i="8"/>
  <c r="P241" i="8"/>
  <c r="O241" i="8"/>
  <c r="N241" i="8"/>
  <c r="M241" i="8"/>
  <c r="L241" i="8"/>
  <c r="K241" i="8"/>
  <c r="J241" i="8"/>
  <c r="I241" i="8"/>
  <c r="B241" i="8"/>
  <c r="Q240" i="8"/>
  <c r="P240" i="8"/>
  <c r="O240" i="8"/>
  <c r="N240" i="8"/>
  <c r="M240" i="8"/>
  <c r="L240" i="8"/>
  <c r="K240" i="8"/>
  <c r="J240" i="8"/>
  <c r="I240" i="8"/>
  <c r="H240" i="8"/>
  <c r="G240" i="8"/>
  <c r="B240" i="8"/>
  <c r="H43" i="14"/>
  <c r="Q239" i="8"/>
  <c r="P239" i="8"/>
  <c r="O239" i="8"/>
  <c r="N239" i="8"/>
  <c r="M239" i="8"/>
  <c r="L239" i="8"/>
  <c r="K239" i="8"/>
  <c r="J239" i="8"/>
  <c r="I239" i="8"/>
  <c r="H239" i="8"/>
  <c r="G239" i="8"/>
  <c r="F239" i="8"/>
  <c r="E239" i="8"/>
  <c r="B239" i="8"/>
  <c r="H41" i="14"/>
  <c r="E238" i="8"/>
  <c r="B238" i="8"/>
  <c r="B236" i="8"/>
  <c r="P194" i="8"/>
  <c r="O194" i="8"/>
  <c r="N194" i="8"/>
  <c r="M194" i="8"/>
  <c r="R187" i="8"/>
  <c r="Q180" i="8"/>
  <c r="N175" i="8"/>
  <c r="R175" i="8"/>
  <c r="J174" i="8"/>
  <c r="I174" i="8"/>
  <c r="H174" i="8"/>
  <c r="G174" i="8"/>
  <c r="F174" i="8"/>
  <c r="B128" i="8"/>
  <c r="P114" i="8"/>
  <c r="P251" i="8"/>
  <c r="O114" i="8"/>
  <c r="O251" i="8"/>
  <c r="N114" i="8"/>
  <c r="N251" i="8"/>
  <c r="B114" i="8"/>
  <c r="Q113" i="8"/>
  <c r="Q114" i="8"/>
  <c r="L113" i="8"/>
  <c r="K113" i="8"/>
  <c r="J112" i="8"/>
  <c r="I112" i="8"/>
  <c r="H112" i="8"/>
  <c r="G112" i="8"/>
  <c r="F112" i="8"/>
  <c r="R110" i="8"/>
  <c r="T110" i="8"/>
  <c r="B80" i="8"/>
  <c r="E79" i="8"/>
  <c r="P72" i="8"/>
  <c r="P249" i="8"/>
  <c r="O72" i="8"/>
  <c r="O249" i="8"/>
  <c r="M72" i="8"/>
  <c r="M249" i="8"/>
  <c r="B72" i="8"/>
  <c r="N72" i="8"/>
  <c r="N249" i="8"/>
  <c r="E58" i="8"/>
  <c r="R29" i="8"/>
  <c r="G11" i="8"/>
  <c r="F11" i="8"/>
  <c r="R8" i="8"/>
  <c r="R7" i="8"/>
  <c r="T147" i="8"/>
  <c r="F5" i="8"/>
  <c r="G5" i="8"/>
  <c r="H5" i="8"/>
  <c r="F186" i="8"/>
  <c r="F184" i="8"/>
  <c r="G186" i="8"/>
  <c r="G184" i="8"/>
  <c r="T133" i="8"/>
  <c r="T119" i="8"/>
  <c r="C17" i="8"/>
  <c r="T142" i="8"/>
  <c r="B72" i="14"/>
  <c r="H40" i="14"/>
  <c r="B83" i="14"/>
  <c r="H52" i="14"/>
  <c r="V7" i="8"/>
  <c r="C16" i="8"/>
  <c r="T134" i="8"/>
  <c r="T136" i="8"/>
  <c r="T135" i="8"/>
  <c r="T137" i="8"/>
  <c r="T131" i="8"/>
  <c r="T140" i="8"/>
  <c r="T132" i="8"/>
  <c r="T139" i="8"/>
  <c r="T138" i="8"/>
  <c r="T141" i="8"/>
  <c r="V8" i="8"/>
  <c r="T86" i="8"/>
  <c r="E248" i="8"/>
  <c r="C12" i="8"/>
  <c r="K72" i="8"/>
  <c r="K249" i="8"/>
  <c r="L72" i="8"/>
  <c r="L249" i="8"/>
  <c r="D12" i="8"/>
  <c r="R185" i="8"/>
  <c r="R11" i="8"/>
  <c r="T8" i="8"/>
  <c r="R174" i="8"/>
  <c r="T7" i="8"/>
  <c r="R112" i="8"/>
  <c r="R123" i="8"/>
  <c r="E176" i="8"/>
  <c r="R111" i="8"/>
  <c r="T111" i="8"/>
  <c r="R194" i="8"/>
  <c r="R239" i="8"/>
  <c r="I41" i="14"/>
  <c r="O180" i="8"/>
  <c r="E80" i="8"/>
  <c r="E250" i="8"/>
  <c r="F238" i="8"/>
  <c r="F247" i="8"/>
  <c r="G20" i="8"/>
  <c r="P180" i="8"/>
  <c r="Q251" i="8"/>
  <c r="M180" i="8"/>
  <c r="K114" i="8"/>
  <c r="K251" i="8"/>
  <c r="M114" i="8"/>
  <c r="V11" i="8"/>
  <c r="N180" i="8"/>
  <c r="R76" i="8"/>
  <c r="T76" i="8"/>
  <c r="H83" i="14"/>
  <c r="H72" i="14"/>
  <c r="C13" i="8"/>
  <c r="V123" i="8"/>
  <c r="T123" i="8"/>
  <c r="V76" i="8"/>
  <c r="R154" i="8"/>
  <c r="T154" i="8"/>
  <c r="R149" i="8"/>
  <c r="T149" i="8"/>
  <c r="R148" i="8"/>
  <c r="T148" i="8"/>
  <c r="R152" i="8"/>
  <c r="T152" i="8"/>
  <c r="R153" i="8"/>
  <c r="T153" i="8"/>
  <c r="R146" i="8"/>
  <c r="T146" i="8"/>
  <c r="R150" i="8"/>
  <c r="T150" i="8"/>
  <c r="R84" i="8"/>
  <c r="V84" i="8"/>
  <c r="Q87" i="8"/>
  <c r="Q88" i="8"/>
  <c r="N87" i="8"/>
  <c r="N88" i="8"/>
  <c r="O87" i="8"/>
  <c r="O88" i="8"/>
  <c r="M87" i="8"/>
  <c r="R83" i="8"/>
  <c r="T83" i="8"/>
  <c r="P87" i="8"/>
  <c r="P88" i="8"/>
  <c r="R85" i="8"/>
  <c r="T85" i="8"/>
  <c r="G42" i="8"/>
  <c r="F79" i="8"/>
  <c r="F80" i="8"/>
  <c r="F250" i="8"/>
  <c r="R67" i="8"/>
  <c r="L173" i="8"/>
  <c r="R184" i="8"/>
  <c r="K173" i="8"/>
  <c r="J173" i="8"/>
  <c r="I173" i="8"/>
  <c r="P173" i="8"/>
  <c r="O173" i="8"/>
  <c r="M173" i="8"/>
  <c r="E128" i="8"/>
  <c r="E252" i="8"/>
  <c r="F71" i="8"/>
  <c r="E253" i="8"/>
  <c r="X123" i="8"/>
  <c r="N173" i="8"/>
  <c r="R20" i="8"/>
  <c r="R118" i="8"/>
  <c r="T118" i="8"/>
  <c r="R120" i="8"/>
  <c r="T120" i="8"/>
  <c r="R122" i="8"/>
  <c r="C20" i="8"/>
  <c r="F179" i="8"/>
  <c r="R125" i="8"/>
  <c r="T125" i="8"/>
  <c r="R126" i="8"/>
  <c r="R124" i="8"/>
  <c r="T124" i="8"/>
  <c r="X11" i="8"/>
  <c r="M251" i="8"/>
  <c r="G78" i="8"/>
  <c r="H78" i="8"/>
  <c r="I78" i="8"/>
  <c r="J78" i="8"/>
  <c r="L78" i="8"/>
  <c r="M78" i="8"/>
  <c r="L114" i="8"/>
  <c r="L251" i="8"/>
  <c r="N79" i="8"/>
  <c r="N80" i="8"/>
  <c r="P79" i="8"/>
  <c r="P80" i="8"/>
  <c r="R77" i="8"/>
  <c r="O79" i="8"/>
  <c r="O80" i="8"/>
  <c r="Q79" i="8"/>
  <c r="Q80" i="8"/>
  <c r="G247" i="8"/>
  <c r="G238" i="8"/>
  <c r="R75" i="8"/>
  <c r="T75" i="8"/>
  <c r="M79" i="8"/>
  <c r="T77" i="8"/>
  <c r="P250" i="8"/>
  <c r="V126" i="8"/>
  <c r="T126" i="8"/>
  <c r="V122" i="8"/>
  <c r="T122" i="8"/>
  <c r="V154" i="8"/>
  <c r="T84" i="8"/>
  <c r="N250" i="8"/>
  <c r="Q250" i="8"/>
  <c r="O250" i="8"/>
  <c r="V153" i="8"/>
  <c r="V120" i="8"/>
  <c r="V118" i="8"/>
  <c r="V150" i="8"/>
  <c r="V149" i="8"/>
  <c r="V125" i="8"/>
  <c r="V124" i="8"/>
  <c r="V152" i="8"/>
  <c r="V148" i="8"/>
  <c r="V146" i="8"/>
  <c r="F156" i="8"/>
  <c r="M88" i="8"/>
  <c r="R87" i="8"/>
  <c r="T87" i="8"/>
  <c r="H79" i="8"/>
  <c r="G79" i="8"/>
  <c r="G80" i="8"/>
  <c r="E72" i="8"/>
  <c r="E249" i="8"/>
  <c r="R121" i="8"/>
  <c r="K179" i="8"/>
  <c r="R173" i="8"/>
  <c r="H179" i="8"/>
  <c r="L179" i="8"/>
  <c r="I179" i="8"/>
  <c r="G179" i="8"/>
  <c r="J179" i="8"/>
  <c r="R71" i="8"/>
  <c r="H128" i="8"/>
  <c r="P188" i="8"/>
  <c r="L188" i="8"/>
  <c r="L255" i="8"/>
  <c r="H188" i="8"/>
  <c r="H255" i="8"/>
  <c r="O188" i="8"/>
  <c r="K188" i="8"/>
  <c r="K255" i="8"/>
  <c r="G188" i="8"/>
  <c r="G255" i="8"/>
  <c r="N188" i="8"/>
  <c r="J188" i="8"/>
  <c r="J255" i="8"/>
  <c r="F188" i="8"/>
  <c r="F255" i="8"/>
  <c r="Q188" i="8"/>
  <c r="Q255" i="8"/>
  <c r="M188" i="8"/>
  <c r="I188" i="8"/>
  <c r="I255" i="8"/>
  <c r="N128" i="8"/>
  <c r="F127" i="8"/>
  <c r="F128" i="8"/>
  <c r="R117" i="8"/>
  <c r="T117" i="8"/>
  <c r="I128" i="8"/>
  <c r="H247" i="8"/>
  <c r="H238" i="8"/>
  <c r="I5" i="8"/>
  <c r="K128" i="8"/>
  <c r="L128" i="8"/>
  <c r="J128" i="8"/>
  <c r="P128" i="8"/>
  <c r="O128" i="8"/>
  <c r="M128" i="8"/>
  <c r="G128" i="8"/>
  <c r="V121" i="8"/>
  <c r="T121" i="8"/>
  <c r="F252" i="8"/>
  <c r="G156" i="8"/>
  <c r="G252" i="8"/>
  <c r="G250" i="8"/>
  <c r="V117" i="8"/>
  <c r="R88" i="8"/>
  <c r="V88" i="8"/>
  <c r="I79" i="8"/>
  <c r="H80" i="8"/>
  <c r="H250" i="8"/>
  <c r="F72" i="8"/>
  <c r="E180" i="8"/>
  <c r="R179" i="8"/>
  <c r="G72" i="8"/>
  <c r="N255" i="8"/>
  <c r="R186" i="8"/>
  <c r="E188" i="8"/>
  <c r="P255" i="8"/>
  <c r="M255" i="8"/>
  <c r="I247" i="8"/>
  <c r="I238" i="8"/>
  <c r="J5" i="8"/>
  <c r="K5" i="8"/>
  <c r="L5" i="8"/>
  <c r="R127" i="8"/>
  <c r="T127" i="8"/>
  <c r="O255" i="8"/>
  <c r="R128" i="8"/>
  <c r="T88" i="8"/>
  <c r="T89" i="8" a="1"/>
  <c r="T89" i="8"/>
  <c r="E181" i="8"/>
  <c r="E254" i="8"/>
  <c r="I244" i="8"/>
  <c r="T128" i="8"/>
  <c r="H64" i="8"/>
  <c r="H42" i="8"/>
  <c r="V127" i="8"/>
  <c r="V128" i="8"/>
  <c r="H156" i="8"/>
  <c r="H252" i="8"/>
  <c r="F180" i="8"/>
  <c r="I80" i="8"/>
  <c r="I250" i="8"/>
  <c r="E113" i="8"/>
  <c r="G180" i="8"/>
  <c r="H72" i="8"/>
  <c r="J247" i="8"/>
  <c r="J238" i="8"/>
  <c r="E255" i="8"/>
  <c r="R188" i="8"/>
  <c r="G181" i="8"/>
  <c r="G254" i="8"/>
  <c r="F181" i="8"/>
  <c r="F254" i="8"/>
  <c r="I27" i="8"/>
  <c r="J244" i="8"/>
  <c r="H249" i="8"/>
  <c r="I64" i="8"/>
  <c r="J79" i="8"/>
  <c r="J80" i="8"/>
  <c r="J250" i="8"/>
  <c r="I42" i="8"/>
  <c r="M156" i="8"/>
  <c r="M252" i="8"/>
  <c r="E114" i="8"/>
  <c r="T11" i="8"/>
  <c r="H180" i="8"/>
  <c r="R255" i="8"/>
  <c r="K247" i="8"/>
  <c r="K238" i="8"/>
  <c r="I52" i="8"/>
  <c r="I53" i="8"/>
  <c r="I172" i="8"/>
  <c r="K244" i="8"/>
  <c r="D6" i="9"/>
  <c r="J27" i="8"/>
  <c r="L244" i="8"/>
  <c r="J64" i="8"/>
  <c r="J42" i="8"/>
  <c r="M80" i="8"/>
  <c r="M250" i="8"/>
  <c r="J156" i="8"/>
  <c r="J252" i="8"/>
  <c r="I156" i="8"/>
  <c r="I252" i="8"/>
  <c r="K79" i="8"/>
  <c r="K80" i="8"/>
  <c r="E251" i="8"/>
  <c r="L79" i="8"/>
  <c r="L80" i="8"/>
  <c r="J72" i="8"/>
  <c r="T12" i="8"/>
  <c r="I72" i="8"/>
  <c r="I249" i="8"/>
  <c r="H241" i="8"/>
  <c r="L247" i="8"/>
  <c r="L238" i="8"/>
  <c r="M5" i="8"/>
  <c r="J52" i="8"/>
  <c r="J53" i="8"/>
  <c r="J172" i="8"/>
  <c r="K27" i="8"/>
  <c r="J249" i="8"/>
  <c r="M244" i="8"/>
  <c r="K42" i="8"/>
  <c r="L156" i="8"/>
  <c r="L252" i="8"/>
  <c r="L250" i="8"/>
  <c r="K156" i="8"/>
  <c r="K252" i="8"/>
  <c r="K250" i="8"/>
  <c r="R78" i="8"/>
  <c r="T78" i="8"/>
  <c r="R72" i="8"/>
  <c r="R145" i="8"/>
  <c r="T145" i="8"/>
  <c r="O156" i="8"/>
  <c r="O252" i="8"/>
  <c r="N156" i="8"/>
  <c r="N252" i="8"/>
  <c r="R79" i="8"/>
  <c r="T79" i="8"/>
  <c r="L180" i="8"/>
  <c r="R80" i="8"/>
  <c r="T80" i="8"/>
  <c r="K180" i="8"/>
  <c r="J180" i="8"/>
  <c r="I180" i="8"/>
  <c r="M247" i="8"/>
  <c r="M238" i="8"/>
  <c r="N5" i="8"/>
  <c r="K52" i="8"/>
  <c r="K53" i="8"/>
  <c r="K172" i="8"/>
  <c r="C109" i="8"/>
  <c r="C108" i="8"/>
  <c r="J181" i="8"/>
  <c r="J254" i="8"/>
  <c r="K181" i="8"/>
  <c r="K254" i="8"/>
  <c r="I181" i="8"/>
  <c r="L27" i="8"/>
  <c r="L42" i="8"/>
  <c r="L172" i="8"/>
  <c r="V145" i="8"/>
  <c r="R250" i="8"/>
  <c r="V80" i="8"/>
  <c r="P156" i="8"/>
  <c r="R156" i="8"/>
  <c r="V156" i="8"/>
  <c r="R151" i="8"/>
  <c r="T151" i="8"/>
  <c r="T72" i="8"/>
  <c r="R180" i="8"/>
  <c r="N238" i="8"/>
  <c r="N247" i="8"/>
  <c r="O5" i="8"/>
  <c r="G108" i="8"/>
  <c r="I108" i="8"/>
  <c r="H108" i="8"/>
  <c r="F108" i="8"/>
  <c r="J108" i="8"/>
  <c r="H109" i="8"/>
  <c r="I109" i="8"/>
  <c r="J109" i="8"/>
  <c r="F109" i="8"/>
  <c r="G109" i="8"/>
  <c r="I254" i="8"/>
  <c r="L243" i="8"/>
  <c r="L52" i="8"/>
  <c r="M27" i="8"/>
  <c r="L192" i="8"/>
  <c r="P252" i="8"/>
  <c r="R155" i="8"/>
  <c r="T155" i="8"/>
  <c r="V151" i="8"/>
  <c r="X151" i="8"/>
  <c r="O247" i="8"/>
  <c r="O238" i="8"/>
  <c r="P5" i="8"/>
  <c r="G113" i="8"/>
  <c r="G114" i="8"/>
  <c r="G251" i="8"/>
  <c r="R109" i="8"/>
  <c r="T109" i="8"/>
  <c r="R108" i="8"/>
  <c r="T108" i="8"/>
  <c r="F113" i="8"/>
  <c r="H113" i="8"/>
  <c r="H114" i="8"/>
  <c r="H251" i="8"/>
  <c r="I113" i="8"/>
  <c r="I114" i="8"/>
  <c r="I251" i="8"/>
  <c r="J113" i="8"/>
  <c r="J114" i="8"/>
  <c r="J251" i="8"/>
  <c r="T157" i="8" a="1"/>
  <c r="T157" i="8"/>
  <c r="T156" i="8"/>
  <c r="L53" i="8"/>
  <c r="R252" i="8"/>
  <c r="V155" i="8"/>
  <c r="Q243" i="8"/>
  <c r="P247" i="8"/>
  <c r="P238" i="8"/>
  <c r="Q5" i="8"/>
  <c r="F114" i="8"/>
  <c r="R113" i="8"/>
  <c r="L181" i="8"/>
  <c r="F47" i="9"/>
  <c r="Q247" i="8"/>
  <c r="Q238" i="8"/>
  <c r="F251" i="8"/>
  <c r="R114" i="8"/>
  <c r="L254" i="8"/>
  <c r="F50" i="9"/>
  <c r="P42" i="8"/>
  <c r="G241" i="8"/>
  <c r="T114" i="8"/>
  <c r="R251" i="8"/>
  <c r="P243" i="8"/>
  <c r="E195" i="8"/>
  <c r="E197" i="8"/>
  <c r="E257" i="8"/>
  <c r="E256" i="8"/>
  <c r="E213" i="8"/>
  <c r="F192" i="8"/>
  <c r="F243" i="8"/>
  <c r="G48" i="9"/>
  <c r="F176" i="8"/>
  <c r="F253" i="8"/>
  <c r="I243" i="8"/>
  <c r="K243" i="8"/>
  <c r="H243" i="8"/>
  <c r="J243" i="8"/>
  <c r="G243" i="8"/>
  <c r="K176" i="8"/>
  <c r="K253" i="8"/>
  <c r="I176" i="8"/>
  <c r="I253" i="8"/>
  <c r="I192" i="8"/>
  <c r="M48" i="9"/>
  <c r="J176" i="8"/>
  <c r="J253" i="8"/>
  <c r="K192" i="8"/>
  <c r="J192" i="8"/>
  <c r="L176" i="8"/>
  <c r="L253" i="8"/>
  <c r="J48" i="9"/>
  <c r="K48" i="9"/>
  <c r="L48" i="9"/>
  <c r="F36" i="9"/>
  <c r="E32" i="8"/>
  <c r="E45" i="8"/>
  <c r="E240" i="8"/>
  <c r="E212" i="8"/>
  <c r="E241" i="8"/>
  <c r="E245" i="8"/>
  <c r="F25" i="9"/>
  <c r="F55" i="9"/>
  <c r="F27" i="9"/>
  <c r="F30" i="9"/>
  <c r="AC2" i="8"/>
  <c r="AC1" i="8"/>
  <c r="H20" i="10"/>
  <c r="I20" i="10"/>
  <c r="J20" i="10"/>
  <c r="K20" i="10"/>
  <c r="L20" i="10"/>
  <c r="M20" i="10"/>
  <c r="N20" i="10"/>
  <c r="O20" i="10"/>
  <c r="P20" i="10"/>
  <c r="Q20" i="10"/>
  <c r="R20" i="10"/>
  <c r="Q48" i="11"/>
  <c r="P21" i="10"/>
  <c r="H21" i="10"/>
  <c r="O21" i="10"/>
  <c r="M21" i="10"/>
  <c r="L21" i="10"/>
  <c r="I17" i="10"/>
  <c r="I57" i="10" s="1"/>
  <c r="K21" i="10"/>
  <c r="H17" i="10"/>
  <c r="H57" i="10" s="1"/>
  <c r="N21" i="10"/>
  <c r="R21" i="10"/>
  <c r="J21" i="10"/>
  <c r="Q21" i="10"/>
  <c r="I21" i="10"/>
  <c r="Q171" i="10"/>
  <c r="Q173" i="10" s="1"/>
  <c r="P171" i="10"/>
  <c r="R171" i="10"/>
  <c r="R173" i="10" s="1"/>
  <c r="O171" i="10"/>
  <c r="I52" i="10"/>
  <c r="J274" i="10"/>
  <c r="I84" i="14" s="1"/>
  <c r="H274" i="10"/>
  <c r="O50" i="10"/>
  <c r="P53" i="10"/>
  <c r="P267" i="10" s="1"/>
  <c r="O65" i="10"/>
  <c r="O167" i="10" s="1"/>
  <c r="R53" i="10"/>
  <c r="Q53" i="10"/>
  <c r="Q267" i="10" s="1"/>
  <c r="R267" i="10"/>
  <c r="R65" i="10"/>
  <c r="R167" i="10" s="1"/>
  <c r="K274" i="10"/>
  <c r="L274" i="10"/>
  <c r="M274" i="10"/>
  <c r="N274" i="10"/>
  <c r="O274" i="10"/>
  <c r="P274" i="10"/>
  <c r="Q274" i="10"/>
  <c r="R274" i="10"/>
  <c r="R217" i="8"/>
  <c r="M42" i="8"/>
  <c r="M172" i="8"/>
  <c r="M52" i="8"/>
  <c r="M53" i="8"/>
  <c r="M181" i="8"/>
  <c r="O42" i="8"/>
  <c r="M192" i="8"/>
  <c r="M243" i="8"/>
  <c r="M254" i="8"/>
  <c r="M176" i="8"/>
  <c r="N48" i="9"/>
  <c r="O243" i="8"/>
  <c r="M253" i="8"/>
  <c r="N23" i="8"/>
  <c r="O23" i="8"/>
  <c r="N44" i="8"/>
  <c r="N27" i="8"/>
  <c r="N244" i="8"/>
  <c r="P23" i="8"/>
  <c r="O44" i="8"/>
  <c r="O172" i="8"/>
  <c r="AC18" i="8"/>
  <c r="AC19" i="8"/>
  <c r="AC16" i="8"/>
  <c r="N42" i="8"/>
  <c r="AC17" i="8"/>
  <c r="O244" i="8"/>
  <c r="O52" i="8"/>
  <c r="O176" i="8"/>
  <c r="Q23" i="8"/>
  <c r="P44" i="8"/>
  <c r="P172" i="8"/>
  <c r="AD18" i="8"/>
  <c r="AD19" i="8"/>
  <c r="AD16" i="8"/>
  <c r="AD17" i="8"/>
  <c r="R42" i="8"/>
  <c r="N172" i="8"/>
  <c r="T81" i="8" a="1"/>
  <c r="T81" i="8"/>
  <c r="O53" i="8"/>
  <c r="O181" i="8"/>
  <c r="O254" i="8"/>
  <c r="P52" i="8"/>
  <c r="P27" i="8"/>
  <c r="P176" i="8"/>
  <c r="P244" i="8"/>
  <c r="Q44" i="8"/>
  <c r="AE18" i="8"/>
  <c r="AE19" i="8"/>
  <c r="AE16" i="8"/>
  <c r="AE17" i="8"/>
  <c r="T129" i="8" a="1"/>
  <c r="T129" i="8"/>
  <c r="O253" i="8"/>
  <c r="N52" i="8"/>
  <c r="N243" i="8"/>
  <c r="N45" i="8"/>
  <c r="O27" i="8"/>
  <c r="Q172" i="8"/>
  <c r="Q176" i="8"/>
  <c r="O191" i="8"/>
  <c r="P47" i="9"/>
  <c r="P53" i="8"/>
  <c r="P181" i="8"/>
  <c r="P254" i="8"/>
  <c r="N53" i="8"/>
  <c r="N176" i="8"/>
  <c r="N245" i="8"/>
  <c r="Q52" i="8"/>
  <c r="Q244" i="8"/>
  <c r="Q27" i="8"/>
  <c r="P253" i="8"/>
  <c r="R243" i="8"/>
  <c r="P191" i="8"/>
  <c r="P195" i="8"/>
  <c r="O195" i="8"/>
  <c r="O256" i="8"/>
  <c r="N181" i="8"/>
  <c r="N191" i="8"/>
  <c r="Q53" i="8"/>
  <c r="Q253" i="8"/>
  <c r="N253" i="8"/>
  <c r="Q47" i="9"/>
  <c r="N254" i="8"/>
  <c r="Q181" i="8"/>
  <c r="P256" i="8"/>
  <c r="O47" i="9"/>
  <c r="N195" i="8"/>
  <c r="Q254" i="8"/>
  <c r="Q191" i="8"/>
  <c r="N256" i="8"/>
  <c r="Q195" i="8"/>
  <c r="Q256" i="8"/>
  <c r="R47" i="9"/>
  <c r="M47" i="9"/>
  <c r="L195" i="8"/>
  <c r="K195" i="8"/>
  <c r="L47" i="9"/>
  <c r="M195" i="8"/>
  <c r="N47" i="9"/>
  <c r="M256" i="8"/>
  <c r="K256" i="8"/>
  <c r="L256" i="8"/>
  <c r="H209" i="8"/>
  <c r="R193" i="8"/>
  <c r="G49" i="9"/>
  <c r="D49" i="9"/>
  <c r="G44" i="8"/>
  <c r="G172" i="8"/>
  <c r="H44" i="8"/>
  <c r="H244" i="8"/>
  <c r="H181" i="8"/>
  <c r="H254" i="8"/>
  <c r="H27" i="8"/>
  <c r="H52" i="8"/>
  <c r="H53" i="8"/>
  <c r="G192" i="8"/>
  <c r="R181" i="8"/>
  <c r="R254" i="8"/>
  <c r="G27" i="8"/>
  <c r="R44" i="8"/>
  <c r="R244" i="8"/>
  <c r="H192" i="8"/>
  <c r="I48" i="9"/>
  <c r="G176" i="8"/>
  <c r="H172" i="8"/>
  <c r="H176" i="8"/>
  <c r="H253" i="8"/>
  <c r="D7" i="9"/>
  <c r="G244" i="8"/>
  <c r="T46" i="8"/>
  <c r="G52" i="8"/>
  <c r="U31" i="8"/>
  <c r="R172" i="8"/>
  <c r="D13" i="9"/>
  <c r="H48" i="9"/>
  <c r="D48" i="9"/>
  <c r="R192" i="8"/>
  <c r="G253" i="8"/>
  <c r="R176" i="8"/>
  <c r="R52" i="8"/>
  <c r="G53" i="8"/>
  <c r="R53" i="8"/>
  <c r="U45" i="8"/>
  <c r="T188" i="8"/>
  <c r="T181" i="8"/>
  <c r="T115" i="8"/>
  <c r="U46" i="8"/>
  <c r="T73" i="8"/>
  <c r="T176" i="8"/>
  <c r="R253" i="8"/>
  <c r="R51" i="18"/>
  <c r="R235" i="18"/>
  <c r="T235" i="18"/>
  <c r="I75" i="10"/>
  <c r="T72" i="10"/>
  <c r="C47" i="14"/>
  <c r="C13" i="14"/>
  <c r="J13" i="14"/>
  <c r="I274" i="10"/>
  <c r="T75" i="10"/>
  <c r="I47" i="14"/>
  <c r="O40" i="14"/>
  <c r="O7" i="14"/>
  <c r="T274" i="10"/>
  <c r="V274" i="10" s="1"/>
  <c r="C84" i="14"/>
  <c r="G283" i="10"/>
  <c r="N52" i="23"/>
  <c r="N53" i="23"/>
  <c r="N55" i="23"/>
  <c r="N57" i="23"/>
  <c r="N60" i="23"/>
  <c r="N63" i="23"/>
  <c r="N56" i="23"/>
  <c r="M223" i="18"/>
  <c r="N47" i="20"/>
  <c r="N52" i="20"/>
  <c r="N65" i="23"/>
  <c r="N64" i="23"/>
  <c r="N53" i="20"/>
  <c r="N55" i="20"/>
  <c r="N56" i="20"/>
  <c r="N57" i="20"/>
  <c r="N60" i="20"/>
  <c r="N63" i="20"/>
  <c r="N64" i="20"/>
  <c r="N65" i="20"/>
  <c r="C43" i="14"/>
  <c r="C9" i="14"/>
  <c r="I9" i="14"/>
  <c r="I43" i="14"/>
  <c r="Q48" i="18"/>
  <c r="P48" i="18"/>
  <c r="O48" i="18"/>
  <c r="N48" i="18"/>
  <c r="P52" i="23"/>
  <c r="Q52" i="23"/>
  <c r="R52" i="23"/>
  <c r="R53" i="23"/>
  <c r="R55" i="23"/>
  <c r="P52" i="20"/>
  <c r="P53" i="20"/>
  <c r="P55" i="20"/>
  <c r="P56" i="20"/>
  <c r="Q52" i="20"/>
  <c r="Q53" i="20"/>
  <c r="Q55" i="20"/>
  <c r="Q57" i="20"/>
  <c r="Q60" i="20"/>
  <c r="Q63" i="20"/>
  <c r="Q223" i="18"/>
  <c r="R47" i="20"/>
  <c r="R47" i="23"/>
  <c r="P223" i="18"/>
  <c r="Q47" i="20"/>
  <c r="R57" i="23"/>
  <c r="R60" i="23"/>
  <c r="R63" i="23"/>
  <c r="R56" i="23"/>
  <c r="Q53" i="23"/>
  <c r="Q55" i="23"/>
  <c r="R52" i="20"/>
  <c r="R53" i="20"/>
  <c r="R55" i="20"/>
  <c r="R56" i="20"/>
  <c r="P53" i="23"/>
  <c r="P55" i="23"/>
  <c r="O223" i="18"/>
  <c r="P47" i="20"/>
  <c r="O52" i="23"/>
  <c r="O53" i="23"/>
  <c r="O55" i="23"/>
  <c r="P57" i="20"/>
  <c r="P60" i="20"/>
  <c r="P63" i="20"/>
  <c r="Q56" i="20"/>
  <c r="R57" i="20"/>
  <c r="R60" i="20"/>
  <c r="R63" i="20"/>
  <c r="R65" i="20"/>
  <c r="Q57" i="23"/>
  <c r="Q60" i="23"/>
  <c r="Q63" i="23"/>
  <c r="Q56" i="23"/>
  <c r="P56" i="23"/>
  <c r="P57" i="23"/>
  <c r="P60" i="23"/>
  <c r="P63" i="23"/>
  <c r="O57" i="23"/>
  <c r="O60" i="23"/>
  <c r="O63" i="23"/>
  <c r="O56" i="23"/>
  <c r="R64" i="23"/>
  <c r="R65" i="23"/>
  <c r="O52" i="20"/>
  <c r="O53" i="20"/>
  <c r="O55" i="20"/>
  <c r="O56" i="20"/>
  <c r="N223" i="18"/>
  <c r="O47" i="20"/>
  <c r="P65" i="20"/>
  <c r="P64" i="20"/>
  <c r="Q65" i="20"/>
  <c r="Q64" i="20"/>
  <c r="R64" i="20"/>
  <c r="O64" i="23"/>
  <c r="O65" i="23"/>
  <c r="P64" i="23"/>
  <c r="P65" i="23"/>
  <c r="Q64" i="23"/>
  <c r="Q65" i="23"/>
  <c r="O57" i="20"/>
  <c r="O60" i="20"/>
  <c r="O63" i="20"/>
  <c r="O64" i="20"/>
  <c r="O65" i="20"/>
  <c r="H203" i="18"/>
  <c r="N25" i="20"/>
  <c r="O25" i="20"/>
  <c r="P25" i="20"/>
  <c r="Q25" i="20"/>
  <c r="R25" i="20"/>
  <c r="F47" i="15"/>
  <c r="F47" i="23" s="1"/>
  <c r="F52" i="23" s="1"/>
  <c r="I32" i="15"/>
  <c r="I33" i="15"/>
  <c r="I35" i="15"/>
  <c r="F54" i="15"/>
  <c r="T240" i="10"/>
  <c r="O47" i="15"/>
  <c r="O47" i="23"/>
  <c r="P283" i="10"/>
  <c r="O42" i="15"/>
  <c r="O41" i="23"/>
  <c r="P42" i="15"/>
  <c r="P43" i="15"/>
  <c r="P41" i="23"/>
  <c r="Q283" i="10"/>
  <c r="Q41" i="23"/>
  <c r="Q42" i="15"/>
  <c r="R283" i="10"/>
  <c r="Q43" i="15"/>
  <c r="G203" i="8"/>
  <c r="G206" i="8" s="1"/>
  <c r="G257" i="8" s="1"/>
  <c r="T65" i="20"/>
  <c r="V40" i="18"/>
  <c r="U32" i="8"/>
  <c r="R40" i="18"/>
  <c r="W40" i="18"/>
  <c r="AA40" i="18"/>
  <c r="C183" i="18"/>
  <c r="C197" i="18"/>
  <c r="C189" i="18"/>
  <c r="F197" i="18"/>
  <c r="K197" i="18"/>
  <c r="K198" i="18"/>
  <c r="E197" i="18"/>
  <c r="Q197" i="18"/>
  <c r="C202" i="18"/>
  <c r="I207" i="18"/>
  <c r="I197" i="18"/>
  <c r="I198" i="18"/>
  <c r="H197" i="18"/>
  <c r="H198" i="18"/>
  <c r="C201" i="18"/>
  <c r="I206" i="18"/>
  <c r="M197" i="18"/>
  <c r="P197" i="18"/>
  <c r="L197" i="18"/>
  <c r="L198" i="18"/>
  <c r="G197" i="18"/>
  <c r="G198" i="18"/>
  <c r="J197" i="18"/>
  <c r="J198" i="18"/>
  <c r="N197" i="18"/>
  <c r="C198" i="18"/>
  <c r="O197" i="18"/>
  <c r="G206" i="18"/>
  <c r="H206" i="18"/>
  <c r="F206" i="18"/>
  <c r="E206" i="18"/>
  <c r="F207" i="18"/>
  <c r="G207" i="18"/>
  <c r="H207" i="18"/>
  <c r="E207" i="18"/>
  <c r="C206" i="18"/>
  <c r="C207" i="18"/>
  <c r="E198" i="18"/>
  <c r="R197" i="18"/>
  <c r="K201" i="18"/>
  <c r="F201" i="18"/>
  <c r="H201" i="18"/>
  <c r="G201" i="18"/>
  <c r="E201" i="18"/>
  <c r="J201" i="18"/>
  <c r="H202" i="18"/>
  <c r="F202" i="18"/>
  <c r="G202" i="18"/>
  <c r="E202" i="18"/>
  <c r="J202" i="18"/>
  <c r="K202" i="18"/>
  <c r="N196" i="18"/>
  <c r="N200" i="18"/>
  <c r="N198" i="18"/>
  <c r="Q198" i="18"/>
  <c r="Q196" i="18"/>
  <c r="Q200" i="18"/>
  <c r="F198" i="18"/>
  <c r="O198" i="18"/>
  <c r="O196" i="18"/>
  <c r="O200" i="18"/>
  <c r="P198" i="18"/>
  <c r="P196" i="18"/>
  <c r="P200" i="18"/>
  <c r="M198" i="18"/>
  <c r="M196" i="18"/>
  <c r="M200" i="18"/>
  <c r="E215" i="18"/>
  <c r="F215" i="18"/>
  <c r="E214" i="18"/>
  <c r="E223" i="18"/>
  <c r="F32" i="20"/>
  <c r="F22" i="20"/>
  <c r="R198" i="18"/>
  <c r="E217" i="18"/>
  <c r="M161" i="26"/>
  <c r="I161" i="26"/>
  <c r="J161" i="26"/>
  <c r="E251" i="18"/>
  <c r="F161" i="26"/>
  <c r="N161" i="26"/>
  <c r="G161" i="26"/>
  <c r="O161" i="26"/>
  <c r="E161" i="26"/>
  <c r="H161" i="26"/>
  <c r="P161" i="26"/>
  <c r="K161" i="26"/>
  <c r="L161" i="26"/>
  <c r="F47" i="20"/>
  <c r="F32" i="23"/>
  <c r="F33" i="23"/>
  <c r="F33" i="20"/>
  <c r="G31" i="23"/>
  <c r="F52" i="20"/>
  <c r="F53" i="20"/>
  <c r="F55" i="20"/>
  <c r="F22" i="23"/>
  <c r="F23" i="23"/>
  <c r="F25" i="23"/>
  <c r="F28" i="23" s="1"/>
  <c r="F23" i="20"/>
  <c r="F25" i="20"/>
  <c r="F28" i="20"/>
  <c r="F57" i="20"/>
  <c r="F56" i="20"/>
  <c r="E151" i="18"/>
  <c r="E122" i="26"/>
  <c r="E152" i="18"/>
  <c r="G123" i="26" s="1"/>
  <c r="E48" i="18"/>
  <c r="E19" i="26"/>
  <c r="E29" i="26" s="1"/>
  <c r="E234" i="18"/>
  <c r="E58" i="18"/>
  <c r="E238" i="18" s="1"/>
  <c r="Q16" i="26"/>
  <c r="BA16" i="26"/>
  <c r="BB16" i="26"/>
  <c r="R45" i="18"/>
  <c r="R233" i="18"/>
  <c r="F233" i="18"/>
  <c r="I45" i="14"/>
  <c r="T233" i="18"/>
  <c r="C45" i="14"/>
  <c r="AN137" i="26"/>
  <c r="AZ137" i="26"/>
  <c r="BA137" i="26"/>
  <c r="BB137" i="26" s="1"/>
  <c r="J48" i="18"/>
  <c r="F34" i="23"/>
  <c r="D34" i="20"/>
  <c r="E196" i="18"/>
  <c r="F35" i="20"/>
  <c r="F50" i="20"/>
  <c r="F35" i="23"/>
  <c r="F38" i="20"/>
  <c r="F38" i="23"/>
  <c r="E200" i="18"/>
  <c r="E205" i="18"/>
  <c r="F196" i="18"/>
  <c r="F200" i="18"/>
  <c r="G24" i="20"/>
  <c r="F205" i="18"/>
  <c r="G24" i="23"/>
  <c r="D24" i="23"/>
  <c r="D24" i="20"/>
  <c r="G32" i="20"/>
  <c r="G33" i="20"/>
  <c r="G32" i="23"/>
  <c r="G33" i="23"/>
  <c r="G35" i="20"/>
  <c r="G38" i="20"/>
  <c r="AN125" i="26"/>
  <c r="AZ125" i="26"/>
  <c r="BA125" i="26"/>
  <c r="BB125" i="26" s="1"/>
  <c r="C153" i="26"/>
  <c r="C159" i="26"/>
  <c r="O42" i="23"/>
  <c r="P42" i="23"/>
  <c r="Q42" i="23"/>
  <c r="R42" i="23"/>
  <c r="C42" i="10"/>
  <c r="Q266" i="10"/>
  <c r="P266" i="10"/>
  <c r="P45" i="10"/>
  <c r="O266" i="10"/>
  <c r="Q45" i="10"/>
  <c r="R45" i="10"/>
  <c r="R266" i="10"/>
  <c r="O45" i="10"/>
  <c r="N45" i="10"/>
  <c r="N266" i="10"/>
  <c r="M45" i="10"/>
  <c r="M266" i="10"/>
  <c r="Q42" i="20"/>
  <c r="P42" i="20"/>
  <c r="P50" i="20"/>
  <c r="O141" i="18"/>
  <c r="Q141" i="18"/>
  <c r="R42" i="20"/>
  <c r="O42" i="20"/>
  <c r="N141" i="18"/>
  <c r="N249" i="18"/>
  <c r="P141" i="18"/>
  <c r="P249" i="18"/>
  <c r="U138" i="18"/>
  <c r="M141" i="18"/>
  <c r="P43" i="20"/>
  <c r="Q249" i="18"/>
  <c r="O249" i="18"/>
  <c r="O43" i="20"/>
  <c r="O50" i="20"/>
  <c r="Q50" i="20"/>
  <c r="Q43" i="20"/>
  <c r="R43" i="20"/>
  <c r="M249" i="18"/>
  <c r="R141" i="18"/>
  <c r="R249" i="18" s="1"/>
  <c r="N42" i="20"/>
  <c r="N43" i="20"/>
  <c r="N50" i="20"/>
  <c r="L208" i="18"/>
  <c r="L206" i="18"/>
  <c r="L207" i="18"/>
  <c r="L203" i="18"/>
  <c r="L201" i="18"/>
  <c r="L202" i="18"/>
  <c r="C65" i="11" a="1"/>
  <c r="T232" i="18" l="1"/>
  <c r="C44" i="14"/>
  <c r="E119" i="26"/>
  <c r="BA119" i="26" s="1"/>
  <c r="BB119" i="26" s="1"/>
  <c r="R148" i="18"/>
  <c r="F147" i="18"/>
  <c r="E117" i="26"/>
  <c r="F146" i="18"/>
  <c r="F149" i="18" s="1"/>
  <c r="Q36" i="26"/>
  <c r="E65" i="18"/>
  <c r="C75" i="14"/>
  <c r="V264" i="10"/>
  <c r="J57" i="10"/>
  <c r="C238" i="10"/>
  <c r="C243" i="10" s="1"/>
  <c r="N243" i="10" s="1"/>
  <c r="T243" i="10" s="1"/>
  <c r="O77" i="14"/>
  <c r="C237" i="10"/>
  <c r="S271" i="10"/>
  <c r="D24" i="15"/>
  <c r="H6" i="15" s="1"/>
  <c r="O57" i="11"/>
  <c r="J23" i="10"/>
  <c r="K23" i="10" s="1"/>
  <c r="L23" i="10" s="1"/>
  <c r="M23" i="10" s="1"/>
  <c r="N23" i="10" s="1"/>
  <c r="O23" i="10" s="1"/>
  <c r="P23" i="10" s="1"/>
  <c r="Q23" i="10" s="1"/>
  <c r="R23" i="10" s="1"/>
  <c r="S23" i="10" s="1"/>
  <c r="M57" i="11"/>
  <c r="O172" i="10"/>
  <c r="O276" i="10"/>
  <c r="F53" i="23"/>
  <c r="F55" i="23" s="1"/>
  <c r="O153" i="10"/>
  <c r="P147" i="10"/>
  <c r="N234" i="10"/>
  <c r="T234" i="10" s="1"/>
  <c r="N232" i="10"/>
  <c r="T233" i="10"/>
  <c r="C73" i="14"/>
  <c r="I73" i="14" s="1"/>
  <c r="V262" i="10"/>
  <c r="O154" i="10"/>
  <c r="N153" i="10"/>
  <c r="C74" i="14"/>
  <c r="V263" i="10"/>
  <c r="L57" i="11"/>
  <c r="L52" i="11" s="1"/>
  <c r="O53" i="10"/>
  <c r="I59" i="11"/>
  <c r="F52" i="15"/>
  <c r="G34" i="15"/>
  <c r="M59" i="11" a="1"/>
  <c r="M59" i="11" s="1"/>
  <c r="N72" i="14"/>
  <c r="N133" i="10"/>
  <c r="O173" i="10"/>
  <c r="O279" i="10" s="1"/>
  <c r="N57" i="11"/>
  <c r="N52" i="11" s="1"/>
  <c r="H42" i="14"/>
  <c r="B8" i="14"/>
  <c r="H8" i="14" s="1"/>
  <c r="D61" i="12"/>
  <c r="S32" i="24"/>
  <c r="O44" i="15"/>
  <c r="R269" i="10"/>
  <c r="E228" i="18"/>
  <c r="F219" i="8"/>
  <c r="E201" i="8"/>
  <c r="E204" i="8" s="1"/>
  <c r="S31" i="24"/>
  <c r="F44" i="20"/>
  <c r="R44" i="20"/>
  <c r="O44" i="20"/>
  <c r="C100" i="10"/>
  <c r="D100" i="10" s="1"/>
  <c r="I100" i="10" s="1"/>
  <c r="F52" i="11"/>
  <c r="J102" i="10"/>
  <c r="J107" i="10" s="1"/>
  <c r="G59" i="11"/>
  <c r="K102" i="10"/>
  <c r="K107" i="10" s="1"/>
  <c r="G19" i="9"/>
  <c r="H19" i="9" s="1"/>
  <c r="I19" i="9" s="1"/>
  <c r="J19" i="9" s="1"/>
  <c r="K19" i="9" s="1"/>
  <c r="L19" i="9" s="1"/>
  <c r="M19" i="9" s="1"/>
  <c r="N19" i="9" s="1"/>
  <c r="O19" i="9" s="1"/>
  <c r="P19" i="9" s="1"/>
  <c r="Q19" i="9" s="1"/>
  <c r="R19" i="9" s="1"/>
  <c r="C49" i="11"/>
  <c r="L59" i="11" a="1"/>
  <c r="L59" i="11" s="1"/>
  <c r="K59" i="11" a="1"/>
  <c r="K59" i="11" s="1"/>
  <c r="F60" i="11"/>
  <c r="E123" i="26"/>
  <c r="M123" i="26"/>
  <c r="H14" i="15"/>
  <c r="K24" i="10"/>
  <c r="H22" i="10"/>
  <c r="M22" i="10"/>
  <c r="E171" i="18"/>
  <c r="E250" i="18" s="1"/>
  <c r="E172" i="18"/>
  <c r="J59" i="11"/>
  <c r="F62" i="8"/>
  <c r="R42" i="11"/>
  <c r="I224" i="10"/>
  <c r="I226" i="10" s="1"/>
  <c r="J224" i="10" s="1"/>
  <c r="O43" i="23"/>
  <c r="G62" i="8"/>
  <c r="G63" i="8" s="1"/>
  <c r="G64" i="8" s="1"/>
  <c r="G249" i="8" s="1"/>
  <c r="P43" i="23"/>
  <c r="F61" i="8"/>
  <c r="E240" i="18"/>
  <c r="E255" i="18" s="1"/>
  <c r="J103" i="10"/>
  <c r="J59" i="10"/>
  <c r="R43" i="23"/>
  <c r="P22" i="10"/>
  <c r="G56" i="10"/>
  <c r="C42" i="11"/>
  <c r="I58" i="10"/>
  <c r="I218" i="10"/>
  <c r="I38" i="10" s="1"/>
  <c r="T38" i="10" s="1"/>
  <c r="G57" i="10"/>
  <c r="K103" i="10"/>
  <c r="P167" i="10"/>
  <c r="F145" i="10"/>
  <c r="B19" i="10"/>
  <c r="F19" i="23"/>
  <c r="G26" i="9"/>
  <c r="D26" i="9" s="1"/>
  <c r="F49" i="8"/>
  <c r="I89" i="18"/>
  <c r="I114" i="18" s="1"/>
  <c r="N89" i="18"/>
  <c r="F89" i="18"/>
  <c r="AB60" i="26" s="1"/>
  <c r="Q89" i="18"/>
  <c r="J89" i="18"/>
  <c r="E89" i="18"/>
  <c r="M89" i="18"/>
  <c r="O89" i="18"/>
  <c r="G89" i="18"/>
  <c r="AK60" i="26" s="1"/>
  <c r="K89" i="18"/>
  <c r="L89" i="18"/>
  <c r="H89" i="18"/>
  <c r="F56" i="8"/>
  <c r="W196" i="10"/>
  <c r="R63" i="10"/>
  <c r="P63" i="10"/>
  <c r="Q63" i="10"/>
  <c r="L123" i="26"/>
  <c r="L142" i="26" s="1"/>
  <c r="O123" i="26"/>
  <c r="N123" i="26"/>
  <c r="K123" i="26"/>
  <c r="I123" i="26"/>
  <c r="F123" i="26"/>
  <c r="Q49" i="11"/>
  <c r="Q51" i="11" s="1"/>
  <c r="O63" i="10"/>
  <c r="O267" i="10"/>
  <c r="R22" i="10"/>
  <c r="R29" i="10" s="1"/>
  <c r="E6" i="12"/>
  <c r="F6" i="12" s="1"/>
  <c r="D19" i="12"/>
  <c r="D20" i="12" s="1"/>
  <c r="D21" i="12" s="1"/>
  <c r="D27" i="12"/>
  <c r="D34" i="12"/>
  <c r="D35" i="12" s="1"/>
  <c r="D36" i="12" s="1"/>
  <c r="D23" i="12"/>
  <c r="D24" i="12" s="1"/>
  <c r="D28" i="12"/>
  <c r="D11" i="12"/>
  <c r="K99" i="10"/>
  <c r="R56" i="10"/>
  <c r="H56" i="10"/>
  <c r="J99" i="10"/>
  <c r="M56" i="10"/>
  <c r="O56" i="10"/>
  <c r="P56" i="10"/>
  <c r="Q56" i="10"/>
  <c r="N56" i="10"/>
  <c r="P51" i="11"/>
  <c r="P89" i="18"/>
  <c r="P109" i="18" s="1"/>
  <c r="F52" i="9"/>
  <c r="G20" i="9"/>
  <c r="G52" i="9" s="1"/>
  <c r="N22" i="10"/>
  <c r="L22" i="10"/>
  <c r="O43" i="15"/>
  <c r="Q22" i="10"/>
  <c r="Q29" i="10" s="1"/>
  <c r="H59" i="11"/>
  <c r="F51" i="11"/>
  <c r="D8" i="12" s="1"/>
  <c r="G59" i="10"/>
  <c r="R43" i="15"/>
  <c r="C19" i="12"/>
  <c r="C20" i="12" s="1"/>
  <c r="C21" i="12" s="1"/>
  <c r="S22" i="10"/>
  <c r="S29" i="10" s="1"/>
  <c r="T52" i="10"/>
  <c r="C7" i="24"/>
  <c r="O59" i="11" a="1"/>
  <c r="O59" i="11" s="1"/>
  <c r="H59" i="10"/>
  <c r="I19" i="10"/>
  <c r="T19" i="10" s="1"/>
  <c r="C19" i="10" s="1"/>
  <c r="R44" i="15"/>
  <c r="C27" i="12"/>
  <c r="P44" i="20"/>
  <c r="O269" i="10"/>
  <c r="N44" i="20"/>
  <c r="Q44" i="20"/>
  <c r="Q44" i="15"/>
  <c r="O22" i="10"/>
  <c r="C28" i="12"/>
  <c r="Q167" i="10"/>
  <c r="F53" i="11"/>
  <c r="I103" i="10"/>
  <c r="L6" i="11"/>
  <c r="C202" i="10" s="1"/>
  <c r="B6" i="12"/>
  <c r="F43" i="15"/>
  <c r="C34" i="12"/>
  <c r="C35" i="12" s="1"/>
  <c r="C36" i="12" s="1"/>
  <c r="L53" i="11"/>
  <c r="K27" i="10"/>
  <c r="L27" i="10" s="1"/>
  <c r="H12" i="10"/>
  <c r="F19" i="20"/>
  <c r="F4" i="18"/>
  <c r="C23" i="12"/>
  <c r="C24" i="12" s="1"/>
  <c r="L57" i="10"/>
  <c r="H53" i="11"/>
  <c r="H123" i="26"/>
  <c r="P123" i="26"/>
  <c r="P142" i="26" s="1"/>
  <c r="J123" i="26"/>
  <c r="E221" i="8"/>
  <c r="F220" i="8" s="1"/>
  <c r="F19" i="15"/>
  <c r="G261" i="10"/>
  <c r="G273" i="10" s="1"/>
  <c r="G287" i="10" s="1"/>
  <c r="E155" i="18"/>
  <c r="E126" i="26" s="1"/>
  <c r="C61" i="8"/>
  <c r="R61" i="8"/>
  <c r="L167" i="10"/>
  <c r="L269" i="10"/>
  <c r="T20" i="10"/>
  <c r="T21" i="10"/>
  <c r="C104" i="10"/>
  <c r="D104" i="10" s="1"/>
  <c r="I104" i="10" s="1"/>
  <c r="D101" i="10"/>
  <c r="F32" i="18"/>
  <c r="G32" i="18" s="1"/>
  <c r="S14" i="18"/>
  <c r="T14" i="18" s="1"/>
  <c r="Z156" i="26"/>
  <c r="R156" i="26"/>
  <c r="Y156" i="26"/>
  <c r="Q156" i="26"/>
  <c r="Q158" i="26" s="1"/>
  <c r="X156" i="26"/>
  <c r="W156" i="26"/>
  <c r="F190" i="18"/>
  <c r="G188" i="18" s="1"/>
  <c r="V156" i="26"/>
  <c r="AB156" i="26"/>
  <c r="T156" i="26"/>
  <c r="AA156" i="26"/>
  <c r="S156" i="26"/>
  <c r="G192" i="10"/>
  <c r="G208" i="10"/>
  <c r="G282" i="10" s="1"/>
  <c r="K56" i="10"/>
  <c r="L24" i="10"/>
  <c r="L56" i="10" s="1"/>
  <c r="R158" i="18"/>
  <c r="E129" i="26"/>
  <c r="BA129" i="26" s="1"/>
  <c r="BB129" i="26" s="1"/>
  <c r="T17" i="10"/>
  <c r="C17" i="10" s="1"/>
  <c r="R60" i="26"/>
  <c r="W60" i="26"/>
  <c r="J100" i="10"/>
  <c r="W150" i="26"/>
  <c r="V150" i="26"/>
  <c r="U150" i="26"/>
  <c r="AB150" i="26"/>
  <c r="T150" i="26"/>
  <c r="AA150" i="26"/>
  <c r="S150" i="26"/>
  <c r="Z150" i="26"/>
  <c r="R150" i="26"/>
  <c r="Y150" i="26"/>
  <c r="Q150" i="26"/>
  <c r="Q152" i="26" s="1"/>
  <c r="X150" i="26"/>
  <c r="T101" i="10"/>
  <c r="F43" i="23"/>
  <c r="C44" i="23"/>
  <c r="J16" i="10"/>
  <c r="T6" i="10"/>
  <c r="I99" i="10"/>
  <c r="I12" i="10"/>
  <c r="C45" i="18"/>
  <c r="Q128" i="26"/>
  <c r="BA128" i="26" s="1"/>
  <c r="BB128" i="26" s="1"/>
  <c r="M167" i="10"/>
  <c r="I269" i="10"/>
  <c r="G58" i="10"/>
  <c r="J58" i="10"/>
  <c r="I102" i="10"/>
  <c r="I107" i="10" s="1"/>
  <c r="B16" i="10"/>
  <c r="H102" i="10"/>
  <c r="H106" i="10" s="1"/>
  <c r="H126" i="10" s="1"/>
  <c r="K22" i="10"/>
  <c r="Q93" i="18"/>
  <c r="Q94" i="18" s="1"/>
  <c r="Q243" i="18" s="1"/>
  <c r="B102" i="10"/>
  <c r="H167" i="10"/>
  <c r="X32" i="24"/>
  <c r="Y32" i="24" s="1"/>
  <c r="V32" i="24"/>
  <c r="X31" i="24"/>
  <c r="Y31" i="24" s="1"/>
  <c r="V31" i="24"/>
  <c r="F4" i="24"/>
  <c r="M25" i="10"/>
  <c r="N25" i="10" s="1"/>
  <c r="O25" i="10" s="1"/>
  <c r="M26" i="10"/>
  <c r="L58" i="10"/>
  <c r="K57" i="10"/>
  <c r="N154" i="10"/>
  <c r="M153" i="10"/>
  <c r="N147" i="10"/>
  <c r="N58" i="11"/>
  <c r="J58" i="11"/>
  <c r="J53" i="11" s="1"/>
  <c r="C13" i="10"/>
  <c r="M133" i="10"/>
  <c r="M147" i="10" s="1"/>
  <c r="O58" i="11"/>
  <c r="O53" i="11" s="1"/>
  <c r="K58" i="11"/>
  <c r="K53" i="11" s="1"/>
  <c r="G58" i="11"/>
  <c r="G53" i="11" s="1"/>
  <c r="I58" i="11"/>
  <c r="I53" i="11" s="1"/>
  <c r="M58" i="11"/>
  <c r="M53" i="11" s="1"/>
  <c r="K154" i="10"/>
  <c r="J153" i="10"/>
  <c r="T18" i="10"/>
  <c r="C18" i="10" s="1"/>
  <c r="K58" i="10"/>
  <c r="K147" i="10"/>
  <c r="K276" i="10" s="1"/>
  <c r="J150" i="10"/>
  <c r="T150" i="10" s="1"/>
  <c r="L146" i="10"/>
  <c r="R279" i="10"/>
  <c r="G52" i="11"/>
  <c r="O52" i="11"/>
  <c r="I57" i="11"/>
  <c r="H57" i="11"/>
  <c r="M52" i="11"/>
  <c r="J57" i="11"/>
  <c r="J52" i="11" s="1"/>
  <c r="Q279" i="10"/>
  <c r="K52" i="11"/>
  <c r="J154" i="10"/>
  <c r="J147" i="10"/>
  <c r="I153" i="10"/>
  <c r="K29" i="26"/>
  <c r="N29" i="26"/>
  <c r="AY112" i="26"/>
  <c r="AU112" i="26"/>
  <c r="AP112" i="26"/>
  <c r="AR112" i="26"/>
  <c r="AD112" i="26"/>
  <c r="AK112" i="26"/>
  <c r="AM112" i="26"/>
  <c r="AC112" i="26"/>
  <c r="AL112" i="26"/>
  <c r="AH112" i="26"/>
  <c r="AN112" i="26"/>
  <c r="AJ112" i="26"/>
  <c r="AI112" i="26"/>
  <c r="AE112" i="26"/>
  <c r="AF112" i="26"/>
  <c r="I61" i="14"/>
  <c r="N112" i="26"/>
  <c r="O112" i="26"/>
  <c r="P112" i="26"/>
  <c r="E112" i="26"/>
  <c r="J112" i="26"/>
  <c r="C61" i="14"/>
  <c r="O53" i="14" s="1"/>
  <c r="T249" i="18"/>
  <c r="T244" i="18"/>
  <c r="C56" i="14"/>
  <c r="M29" i="26"/>
  <c r="I33" i="18"/>
  <c r="T37" i="18" a="1"/>
  <c r="T37" i="18" s="1"/>
  <c r="D7" i="20" s="1"/>
  <c r="D7" i="23" s="1"/>
  <c r="X25" i="18"/>
  <c r="X26" i="18" s="1"/>
  <c r="X27" i="18" s="1"/>
  <c r="X28" i="18" s="1"/>
  <c r="J31" i="18"/>
  <c r="W25" i="18"/>
  <c r="W26" i="18" s="1"/>
  <c r="W27" i="18" s="1"/>
  <c r="W28" i="18" s="1"/>
  <c r="T12" i="18"/>
  <c r="T16" i="18" s="1"/>
  <c r="AX59" i="26"/>
  <c r="AP59" i="26"/>
  <c r="D42" i="14"/>
  <c r="D44" i="14"/>
  <c r="D47" i="14"/>
  <c r="D43" i="14"/>
  <c r="D56" i="14"/>
  <c r="D41" i="14"/>
  <c r="D45" i="14"/>
  <c r="D54" i="14"/>
  <c r="D39" i="14"/>
  <c r="K93" i="18"/>
  <c r="K116" i="18"/>
  <c r="K114" i="18"/>
  <c r="K110" i="18"/>
  <c r="L90" i="18"/>
  <c r="K91" i="18"/>
  <c r="J88" i="18"/>
  <c r="J108" i="18" s="1"/>
  <c r="K30" i="18"/>
  <c r="R112" i="18"/>
  <c r="V112" i="18" s="1"/>
  <c r="H108" i="18"/>
  <c r="AS79" i="26" s="1"/>
  <c r="AT59" i="26"/>
  <c r="AW59" i="26"/>
  <c r="AV59" i="26"/>
  <c r="R16" i="18"/>
  <c r="V23" i="18"/>
  <c r="V29" i="18" s="1"/>
  <c r="U29" i="18"/>
  <c r="F53" i="18" s="1"/>
  <c r="F55" i="18"/>
  <c r="F57" i="18"/>
  <c r="V28" i="26" s="1"/>
  <c r="R30" i="18"/>
  <c r="P108" i="18"/>
  <c r="P93" i="18"/>
  <c r="P94" i="18" s="1"/>
  <c r="P243" i="18" s="1"/>
  <c r="J91" i="18"/>
  <c r="N82" i="26"/>
  <c r="AO79" i="26"/>
  <c r="O82" i="26"/>
  <c r="X113" i="18"/>
  <c r="J115" i="18"/>
  <c r="P116" i="18"/>
  <c r="G81" i="26"/>
  <c r="AV83" i="26"/>
  <c r="X61" i="26"/>
  <c r="AF59" i="26"/>
  <c r="AB81" i="26"/>
  <c r="Q83" i="26"/>
  <c r="AZ59" i="26"/>
  <c r="I88" i="18"/>
  <c r="L84" i="26"/>
  <c r="X84" i="26"/>
  <c r="AV84" i="26"/>
  <c r="E82" i="26"/>
  <c r="N111" i="18"/>
  <c r="P114" i="18"/>
  <c r="W83" i="26"/>
  <c r="AO59" i="26"/>
  <c r="X16" i="18"/>
  <c r="P84" i="26"/>
  <c r="T84" i="26"/>
  <c r="AE84" i="26"/>
  <c r="AR84" i="26"/>
  <c r="H82" i="26"/>
  <c r="P115" i="18"/>
  <c r="L81" i="26"/>
  <c r="AQ83" i="26"/>
  <c r="R61" i="26"/>
  <c r="AF81" i="26"/>
  <c r="AS61" i="26"/>
  <c r="T81" i="26"/>
  <c r="AB83" i="26"/>
  <c r="AR59" i="26"/>
  <c r="E84" i="26"/>
  <c r="U84" i="26"/>
  <c r="AF84" i="26"/>
  <c r="AQ84" i="26"/>
  <c r="I82" i="26"/>
  <c r="N114" i="18"/>
  <c r="M81" i="26"/>
  <c r="AS83" i="26"/>
  <c r="U61" i="26"/>
  <c r="AD81" i="26"/>
  <c r="AY61" i="26"/>
  <c r="U81" i="26"/>
  <c r="AB59" i="26"/>
  <c r="X83" i="26"/>
  <c r="AQ59" i="26"/>
  <c r="F84" i="26"/>
  <c r="Q84" i="26"/>
  <c r="AD84" i="26"/>
  <c r="AS84" i="26"/>
  <c r="V59" i="26"/>
  <c r="Y83" i="26"/>
  <c r="AS59" i="26"/>
  <c r="G84" i="26"/>
  <c r="V84" i="26"/>
  <c r="AK84" i="26"/>
  <c r="AY84" i="26"/>
  <c r="Y28" i="26"/>
  <c r="AU79" i="26"/>
  <c r="K82" i="26"/>
  <c r="O81" i="26"/>
  <c r="AU83" i="26"/>
  <c r="AV61" i="26"/>
  <c r="AA59" i="26"/>
  <c r="AY59" i="26"/>
  <c r="AT79" i="26"/>
  <c r="AP61" i="26"/>
  <c r="T59" i="26"/>
  <c r="AO82" i="26"/>
  <c r="AS82" i="26"/>
  <c r="AQ82" i="26"/>
  <c r="AR82" i="26"/>
  <c r="AP82" i="26"/>
  <c r="AZ82" i="26"/>
  <c r="AY82" i="26"/>
  <c r="AR60" i="26"/>
  <c r="C30" i="18"/>
  <c r="G127" i="18" s="1"/>
  <c r="AU60" i="26"/>
  <c r="AZ60" i="26"/>
  <c r="AO60" i="26"/>
  <c r="AP81" i="26"/>
  <c r="AX81" i="26"/>
  <c r="AV81" i="26"/>
  <c r="AZ81" i="26"/>
  <c r="AW81" i="26"/>
  <c r="AT81" i="26"/>
  <c r="R110" i="18"/>
  <c r="AU81" i="26"/>
  <c r="AY81" i="26"/>
  <c r="AS81" i="26"/>
  <c r="AQ81" i="26"/>
  <c r="AR81" i="26"/>
  <c r="AO81" i="26"/>
  <c r="J61" i="14"/>
  <c r="AU82" i="26"/>
  <c r="AQ60" i="26"/>
  <c r="H115" i="18"/>
  <c r="AM59" i="26"/>
  <c r="AZ79" i="26"/>
  <c r="E39" i="14"/>
  <c r="AT82" i="26"/>
  <c r="AS60" i="26"/>
  <c r="AH59" i="26"/>
  <c r="J56" i="14"/>
  <c r="AV79" i="26"/>
  <c r="AW82" i="26"/>
  <c r="AY60" i="26"/>
  <c r="AN59" i="26"/>
  <c r="AP79" i="26"/>
  <c r="AV82" i="26"/>
  <c r="AT60" i="26"/>
  <c r="AI59" i="26"/>
  <c r="AX82" i="26"/>
  <c r="AW60" i="26"/>
  <c r="AE79" i="26"/>
  <c r="H93" i="18"/>
  <c r="AP64" i="26" s="1"/>
  <c r="I127" i="18"/>
  <c r="AF79" i="26"/>
  <c r="R90" i="18"/>
  <c r="AX61" i="26"/>
  <c r="AG59" i="26"/>
  <c r="S59" i="26"/>
  <c r="AD83" i="26"/>
  <c r="AD79" i="26"/>
  <c r="Z59" i="26"/>
  <c r="AK79" i="26"/>
  <c r="AM79" i="26"/>
  <c r="AC79" i="26"/>
  <c r="F108" i="18"/>
  <c r="AQ61" i="26"/>
  <c r="G111" i="18"/>
  <c r="AE59" i="26"/>
  <c r="W59" i="26"/>
  <c r="AL83" i="26"/>
  <c r="AL79" i="26"/>
  <c r="R59" i="26"/>
  <c r="AH79" i="26"/>
  <c r="AG79" i="26"/>
  <c r="AG60" i="26"/>
  <c r="AU61" i="26"/>
  <c r="AK59" i="26"/>
  <c r="Y59" i="26"/>
  <c r="AN83" i="26"/>
  <c r="AN79" i="26"/>
  <c r="AJ79" i="26"/>
  <c r="H91" i="18"/>
  <c r="AW61" i="26"/>
  <c r="AC59" i="26"/>
  <c r="U59" i="26"/>
  <c r="AI83" i="26"/>
  <c r="P29" i="26"/>
  <c r="O29" i="26"/>
  <c r="L29" i="26"/>
  <c r="G29" i="26"/>
  <c r="J29" i="26"/>
  <c r="BA73" i="26"/>
  <c r="BB73" i="26" s="1"/>
  <c r="BA78" i="26"/>
  <c r="BB78" i="26" s="1"/>
  <c r="BA75" i="26"/>
  <c r="BB75" i="26" s="1"/>
  <c r="BA71" i="26"/>
  <c r="BB71" i="26" s="1"/>
  <c r="BA53" i="26"/>
  <c r="BB53" i="26" s="1"/>
  <c r="BA70" i="26"/>
  <c r="BB70" i="26" s="1"/>
  <c r="BA49" i="26"/>
  <c r="BB49" i="26" s="1"/>
  <c r="BA48" i="26"/>
  <c r="BB48" i="26" s="1"/>
  <c r="BA45" i="26"/>
  <c r="BB45" i="26" s="1"/>
  <c r="BA103" i="26"/>
  <c r="BB103" i="26" s="1"/>
  <c r="BA105" i="26"/>
  <c r="BB105" i="26" s="1"/>
  <c r="BA69" i="26"/>
  <c r="BB69" i="26" s="1"/>
  <c r="H29" i="26"/>
  <c r="I29" i="26"/>
  <c r="BA94" i="26"/>
  <c r="BB94" i="26" s="1"/>
  <c r="BA109" i="26"/>
  <c r="BB109" i="26" s="1"/>
  <c r="C65" i="11"/>
  <c r="G142" i="26"/>
  <c r="BA54" i="26"/>
  <c r="BB54" i="26" s="1"/>
  <c r="BA55" i="26"/>
  <c r="BB55" i="26" s="1"/>
  <c r="BA74" i="26"/>
  <c r="BB74" i="26" s="1"/>
  <c r="BA42" i="26"/>
  <c r="BB42" i="26" s="1"/>
  <c r="BA56" i="26"/>
  <c r="BB56" i="26" s="1"/>
  <c r="BA41" i="26"/>
  <c r="BB41" i="26" s="1"/>
  <c r="BA39" i="26"/>
  <c r="BB39" i="26" s="1"/>
  <c r="BA68" i="26"/>
  <c r="BB68" i="26" s="1"/>
  <c r="BA46" i="26"/>
  <c r="BB46" i="26" s="1"/>
  <c r="K269" i="10"/>
  <c r="J269" i="10"/>
  <c r="J167" i="10"/>
  <c r="F29" i="26"/>
  <c r="BA72" i="26"/>
  <c r="BB72" i="26" s="1"/>
  <c r="BA51" i="26"/>
  <c r="BB51" i="26" s="1"/>
  <c r="BA44" i="26"/>
  <c r="BB44" i="26" s="1"/>
  <c r="BA40" i="26"/>
  <c r="BB40" i="26" s="1"/>
  <c r="BA43" i="26"/>
  <c r="BB43" i="26" s="1"/>
  <c r="BA47" i="26"/>
  <c r="BB47" i="26" s="1"/>
  <c r="BA50" i="26"/>
  <c r="BB50" i="26" s="1"/>
  <c r="BA52" i="26"/>
  <c r="BB52" i="26" s="1"/>
  <c r="BA93" i="26"/>
  <c r="BB93" i="26" s="1"/>
  <c r="E261" i="18" l="1"/>
  <c r="E267" i="18"/>
  <c r="R149" i="18"/>
  <c r="Q120" i="26"/>
  <c r="BA120" i="26" s="1"/>
  <c r="BB120" i="26" s="1"/>
  <c r="H118" i="26"/>
  <c r="H143" i="26" s="1"/>
  <c r="M118" i="26"/>
  <c r="M143" i="26" s="1"/>
  <c r="L118" i="26"/>
  <c r="L143" i="26" s="1"/>
  <c r="J118" i="26"/>
  <c r="J143" i="26" s="1"/>
  <c r="K118" i="26"/>
  <c r="K143" i="26" s="1"/>
  <c r="O118" i="26"/>
  <c r="O143" i="26" s="1"/>
  <c r="R147" i="18"/>
  <c r="F118" i="26"/>
  <c r="F143" i="26" s="1"/>
  <c r="N118" i="26"/>
  <c r="N143" i="26" s="1"/>
  <c r="I118" i="26"/>
  <c r="I143" i="26" s="1"/>
  <c r="E118" i="26"/>
  <c r="P118" i="26"/>
  <c r="G118" i="26"/>
  <c r="G143" i="26" s="1"/>
  <c r="I44" i="14"/>
  <c r="J44" i="14" s="1"/>
  <c r="C10" i="14"/>
  <c r="I10" i="14" s="1"/>
  <c r="E36" i="26"/>
  <c r="BA36" i="26" s="1"/>
  <c r="BB36" i="26" s="1"/>
  <c r="E241" i="18"/>
  <c r="I53" i="14" s="1"/>
  <c r="R65" i="18"/>
  <c r="R241" i="18" s="1"/>
  <c r="C15" i="12"/>
  <c r="D15" i="12"/>
  <c r="N238" i="10"/>
  <c r="T238" i="10" s="1"/>
  <c r="N237" i="10"/>
  <c r="C242" i="10"/>
  <c r="N242" i="10" s="1"/>
  <c r="T242" i="10" s="1"/>
  <c r="C8" i="14"/>
  <c r="I75" i="14"/>
  <c r="T107" i="10"/>
  <c r="F57" i="23"/>
  <c r="F56" i="23"/>
  <c r="C7" i="14"/>
  <c r="I74" i="14"/>
  <c r="J226" i="10"/>
  <c r="K224" i="10" s="1"/>
  <c r="P276" i="10"/>
  <c r="P172" i="10"/>
  <c r="P173" i="10" s="1"/>
  <c r="P279" i="10" s="1"/>
  <c r="O159" i="10"/>
  <c r="O160" i="10" s="1"/>
  <c r="M172" i="10"/>
  <c r="G34" i="23"/>
  <c r="D34" i="15"/>
  <c r="G35" i="15"/>
  <c r="G38" i="15" s="1"/>
  <c r="H38" i="15" s="1"/>
  <c r="I38" i="15" s="1"/>
  <c r="F53" i="15"/>
  <c r="F55" i="15" s="1"/>
  <c r="E61" i="12"/>
  <c r="C25" i="12"/>
  <c r="K106" i="10"/>
  <c r="K126" i="10" s="1"/>
  <c r="G116" i="18"/>
  <c r="G91" i="18"/>
  <c r="AC62" i="26" s="1"/>
  <c r="AA60" i="26"/>
  <c r="F109" i="18"/>
  <c r="AB80" i="26" s="1"/>
  <c r="E142" i="26"/>
  <c r="AC60" i="26"/>
  <c r="Y60" i="26"/>
  <c r="G60" i="10"/>
  <c r="G288" i="10" s="1"/>
  <c r="I115" i="18"/>
  <c r="R89" i="18"/>
  <c r="AL60" i="26"/>
  <c r="I109" i="18"/>
  <c r="T103" i="10"/>
  <c r="M142" i="26"/>
  <c r="I59" i="10"/>
  <c r="I60" i="10" s="1"/>
  <c r="H127" i="10"/>
  <c r="H129" i="10" s="1"/>
  <c r="G151" i="10" s="1"/>
  <c r="R62" i="8"/>
  <c r="C12" i="24"/>
  <c r="I22" i="10"/>
  <c r="E27" i="12"/>
  <c r="E23" i="12"/>
  <c r="E24" i="12" s="1"/>
  <c r="D12" i="12"/>
  <c r="C29" i="12"/>
  <c r="C30" i="12" s="1"/>
  <c r="F63" i="8"/>
  <c r="R63" i="8" s="1"/>
  <c r="I39" i="10"/>
  <c r="T39" i="10" s="1"/>
  <c r="I219" i="10"/>
  <c r="K59" i="10"/>
  <c r="H20" i="9"/>
  <c r="I20" i="9" s="1"/>
  <c r="H60" i="10"/>
  <c r="C62" i="8"/>
  <c r="F64" i="8"/>
  <c r="F249" i="8" s="1"/>
  <c r="T218" i="10"/>
  <c r="O142" i="26"/>
  <c r="F142" i="26"/>
  <c r="I142" i="26"/>
  <c r="K142" i="26"/>
  <c r="E11" i="12"/>
  <c r="E15" i="12" s="1"/>
  <c r="E34" i="12"/>
  <c r="E35" i="12" s="1"/>
  <c r="E36" i="12" s="1"/>
  <c r="F57" i="8"/>
  <c r="F211" i="8"/>
  <c r="G57" i="8"/>
  <c r="H23" i="9" s="1"/>
  <c r="G54" i="8"/>
  <c r="G56" i="8" s="1"/>
  <c r="J114" i="18"/>
  <c r="J116" i="18"/>
  <c r="AD60" i="26"/>
  <c r="J93" i="18"/>
  <c r="Z60" i="26"/>
  <c r="D25" i="12"/>
  <c r="T102" i="10"/>
  <c r="F93" i="18"/>
  <c r="Q60" i="26"/>
  <c r="E19" i="12"/>
  <c r="E20" i="12" s="1"/>
  <c r="E21" i="12" s="1"/>
  <c r="D16" i="12"/>
  <c r="AV60" i="26"/>
  <c r="AX60" i="26"/>
  <c r="AP60" i="26"/>
  <c r="H109" i="18"/>
  <c r="H117" i="18" s="1"/>
  <c r="H116" i="18"/>
  <c r="H114" i="18"/>
  <c r="Q115" i="18"/>
  <c r="Q116" i="18"/>
  <c r="Q109" i="18"/>
  <c r="Q114" i="18"/>
  <c r="N142" i="26"/>
  <c r="AH60" i="26"/>
  <c r="G109" i="18"/>
  <c r="AF60" i="26"/>
  <c r="F91" i="18"/>
  <c r="N57" i="10"/>
  <c r="T99" i="10"/>
  <c r="I116" i="18"/>
  <c r="T60" i="26"/>
  <c r="C104" i="26" s="1"/>
  <c r="E28" i="12"/>
  <c r="K115" i="18"/>
  <c r="K109" i="18"/>
  <c r="N109" i="18"/>
  <c r="N115" i="18"/>
  <c r="N116" i="18"/>
  <c r="AJ60" i="26"/>
  <c r="V60" i="26"/>
  <c r="F115" i="18"/>
  <c r="S86" i="26" s="1"/>
  <c r="N93" i="18"/>
  <c r="N94" i="18" s="1"/>
  <c r="N243" i="18" s="1"/>
  <c r="O114" i="18"/>
  <c r="O93" i="18"/>
  <c r="O94" i="18" s="1"/>
  <c r="O243" i="18" s="1"/>
  <c r="O109" i="18"/>
  <c r="O115" i="18"/>
  <c r="O116" i="18"/>
  <c r="AI60" i="26"/>
  <c r="AE60" i="26"/>
  <c r="AN60" i="26"/>
  <c r="G115" i="18"/>
  <c r="AM60" i="26"/>
  <c r="G93" i="18"/>
  <c r="F114" i="18"/>
  <c r="V85" i="26" s="1"/>
  <c r="U60" i="26"/>
  <c r="H4" i="10"/>
  <c r="F240" i="18"/>
  <c r="F255" i="18" s="1"/>
  <c r="F228" i="18"/>
  <c r="G19" i="23"/>
  <c r="G4" i="18"/>
  <c r="G19" i="20"/>
  <c r="C8" i="12"/>
  <c r="C12" i="12" s="1"/>
  <c r="C16" i="12"/>
  <c r="D29" i="12"/>
  <c r="M115" i="18"/>
  <c r="M109" i="18"/>
  <c r="M114" i="18"/>
  <c r="M93" i="18"/>
  <c r="M94" i="18" s="1"/>
  <c r="M243" i="18" s="1"/>
  <c r="M116" i="18"/>
  <c r="R49" i="8"/>
  <c r="T49" i="8" s="1"/>
  <c r="G46" i="9"/>
  <c r="G114" i="18"/>
  <c r="J109" i="18"/>
  <c r="J117" i="18" s="1"/>
  <c r="J118" i="18" s="1"/>
  <c r="J245" i="18" s="1"/>
  <c r="F116" i="18"/>
  <c r="W87" i="26" s="1"/>
  <c r="X60" i="26"/>
  <c r="S60" i="26"/>
  <c r="E8" i="12"/>
  <c r="N60" i="26"/>
  <c r="F60" i="26"/>
  <c r="E109" i="18"/>
  <c r="E115" i="18"/>
  <c r="M60" i="26"/>
  <c r="E60" i="26"/>
  <c r="L60" i="26"/>
  <c r="K60" i="26"/>
  <c r="J60" i="26"/>
  <c r="P60" i="26"/>
  <c r="H60" i="26"/>
  <c r="E92" i="18"/>
  <c r="G60" i="26"/>
  <c r="E91" i="18"/>
  <c r="E114" i="18"/>
  <c r="E93" i="18"/>
  <c r="I60" i="26"/>
  <c r="O60" i="26"/>
  <c r="E116" i="18"/>
  <c r="P143" i="26"/>
  <c r="H142" i="26"/>
  <c r="R152" i="26"/>
  <c r="S152" i="26" s="1"/>
  <c r="T152" i="26" s="1"/>
  <c r="U152" i="26" s="1"/>
  <c r="V152" i="26" s="1"/>
  <c r="W152" i="26" s="1"/>
  <c r="X152" i="26" s="1"/>
  <c r="Y152" i="26" s="1"/>
  <c r="Z152" i="26" s="1"/>
  <c r="AA152" i="26" s="1"/>
  <c r="AB152" i="26" s="1"/>
  <c r="J142" i="26"/>
  <c r="R158" i="26"/>
  <c r="S158" i="26" s="1"/>
  <c r="T158" i="26" s="1"/>
  <c r="U158" i="26" s="1"/>
  <c r="V158" i="26" s="1"/>
  <c r="W158" i="26" s="1"/>
  <c r="X158" i="26" s="1"/>
  <c r="Y158" i="26" s="1"/>
  <c r="Z158" i="26" s="1"/>
  <c r="AA158" i="26" s="1"/>
  <c r="AB158" i="26" s="1"/>
  <c r="G163" i="10"/>
  <c r="G290" i="10" s="1"/>
  <c r="G268" i="10"/>
  <c r="G165" i="10"/>
  <c r="G67" i="10"/>
  <c r="F44" i="23"/>
  <c r="O44" i="23"/>
  <c r="Q44" i="23"/>
  <c r="R44" i="23"/>
  <c r="P44" i="23"/>
  <c r="T100" i="10"/>
  <c r="Q86" i="26"/>
  <c r="T86" i="26"/>
  <c r="W86" i="26"/>
  <c r="V86" i="26"/>
  <c r="Y86" i="26"/>
  <c r="AB86" i="26"/>
  <c r="U86" i="26"/>
  <c r="Z86" i="26"/>
  <c r="E143" i="26"/>
  <c r="K127" i="10"/>
  <c r="K129" i="10" s="1"/>
  <c r="J151" i="10" s="1"/>
  <c r="X80" i="26"/>
  <c r="T80" i="26"/>
  <c r="Y80" i="26"/>
  <c r="R86" i="26"/>
  <c r="Y64" i="26"/>
  <c r="X64" i="26"/>
  <c r="AB64" i="26"/>
  <c r="AN156" i="26"/>
  <c r="AF156" i="26"/>
  <c r="AM156" i="26"/>
  <c r="AE156" i="26"/>
  <c r="AL156" i="26"/>
  <c r="AD156" i="26"/>
  <c r="AK156" i="26"/>
  <c r="AC156" i="26"/>
  <c r="AJ156" i="26"/>
  <c r="AH156" i="26"/>
  <c r="AG156" i="26"/>
  <c r="AI156" i="26"/>
  <c r="H32" i="18"/>
  <c r="V24" i="18"/>
  <c r="R64" i="8"/>
  <c r="G6" i="12"/>
  <c r="F27" i="12"/>
  <c r="F23" i="12"/>
  <c r="F19" i="12"/>
  <c r="F8" i="12"/>
  <c r="F28" i="12"/>
  <c r="F11" i="12"/>
  <c r="F16" i="12" s="1"/>
  <c r="F34" i="12"/>
  <c r="I56" i="11"/>
  <c r="I51" i="11" s="1"/>
  <c r="K56" i="11" a="1"/>
  <c r="K56" i="11" s="1"/>
  <c r="L56" i="11" a="1"/>
  <c r="L56" i="11" s="1"/>
  <c r="G56" i="11"/>
  <c r="G60" i="11" s="1"/>
  <c r="F7" i="24" s="1"/>
  <c r="M56" i="11" a="1"/>
  <c r="M56" i="11" s="1"/>
  <c r="M60" i="11" s="1"/>
  <c r="J56" i="11"/>
  <c r="J51" i="11" s="1"/>
  <c r="N56" i="11" a="1"/>
  <c r="N56" i="11" s="1"/>
  <c r="N60" i="11" s="1"/>
  <c r="T12" i="10"/>
  <c r="O56" i="11" a="1"/>
  <c r="O56" i="11" s="1"/>
  <c r="O60" i="11" s="1"/>
  <c r="D105" i="10"/>
  <c r="D106" i="10"/>
  <c r="D127" i="10" s="1"/>
  <c r="F221" i="8"/>
  <c r="AA86" i="26"/>
  <c r="T16" i="10"/>
  <c r="C16" i="10" s="1"/>
  <c r="C22" i="10" s="1"/>
  <c r="J22" i="10"/>
  <c r="J56" i="10"/>
  <c r="J104" i="10"/>
  <c r="T104" i="10" s="1"/>
  <c r="E226" i="8"/>
  <c r="F33" i="9"/>
  <c r="I4" i="24"/>
  <c r="M57" i="10"/>
  <c r="M27" i="10"/>
  <c r="L59" i="10"/>
  <c r="L60" i="10" s="1"/>
  <c r="L288" i="10" s="1"/>
  <c r="J262" i="18" s="1"/>
  <c r="J268" i="18" s="1"/>
  <c r="N26" i="10"/>
  <c r="M58" i="10"/>
  <c r="P25" i="10"/>
  <c r="O57" i="10"/>
  <c r="M276" i="10"/>
  <c r="T133" i="10"/>
  <c r="N172" i="10"/>
  <c r="N276" i="10"/>
  <c r="N53" i="11"/>
  <c r="M159" i="10"/>
  <c r="M160" i="10" s="1"/>
  <c r="M277" i="10" s="1"/>
  <c r="N159" i="10"/>
  <c r="N160" i="10" s="1"/>
  <c r="N277" i="10" s="1"/>
  <c r="K60" i="10"/>
  <c r="L154" i="10"/>
  <c r="L147" i="10"/>
  <c r="K153" i="10"/>
  <c r="T153" i="10" s="1"/>
  <c r="T146" i="10"/>
  <c r="I52" i="11"/>
  <c r="H52" i="11"/>
  <c r="H60" i="11"/>
  <c r="C8" i="24" s="1"/>
  <c r="H51" i="11"/>
  <c r="J276" i="10"/>
  <c r="I86" i="14" s="1"/>
  <c r="I22" i="14" s="1"/>
  <c r="T40" i="18"/>
  <c r="D8" i="20" s="1"/>
  <c r="D8" i="23" s="1"/>
  <c r="BA112" i="26"/>
  <c r="BB112" i="26" s="1"/>
  <c r="D61" i="14"/>
  <c r="O48" i="14"/>
  <c r="X20" i="18"/>
  <c r="X21" i="18" s="1"/>
  <c r="X22" i="18" s="1"/>
  <c r="X23" i="18" s="1"/>
  <c r="J33" i="18"/>
  <c r="Q28" i="26"/>
  <c r="W28" i="26"/>
  <c r="F237" i="18"/>
  <c r="K31" i="18"/>
  <c r="Y25" i="18"/>
  <c r="Y26" i="18" s="1"/>
  <c r="Y27" i="18" s="1"/>
  <c r="Y28" i="18" s="1"/>
  <c r="F127" i="18"/>
  <c r="W98" i="26" s="1"/>
  <c r="J42" i="14"/>
  <c r="J47" i="14"/>
  <c r="J43" i="14"/>
  <c r="J45" i="14"/>
  <c r="J54" i="14"/>
  <c r="J41" i="14"/>
  <c r="K111" i="18"/>
  <c r="L91" i="18"/>
  <c r="L93" i="18"/>
  <c r="T90" i="18"/>
  <c r="E41" i="14"/>
  <c r="T104" i="18"/>
  <c r="E42" i="14"/>
  <c r="T112" i="18"/>
  <c r="E44" i="14"/>
  <c r="E54" i="14"/>
  <c r="E45" i="14"/>
  <c r="T107" i="18"/>
  <c r="T113" i="18"/>
  <c r="E56" i="14"/>
  <c r="V17" i="18"/>
  <c r="E43" i="14"/>
  <c r="BA84" i="26"/>
  <c r="BB84" i="26" s="1"/>
  <c r="E47" i="14"/>
  <c r="E61" i="14"/>
  <c r="T85" i="18"/>
  <c r="AQ79" i="26"/>
  <c r="AR79" i="26"/>
  <c r="AX79" i="26"/>
  <c r="AW79" i="26"/>
  <c r="AY79" i="26"/>
  <c r="AA30" i="18"/>
  <c r="F52" i="18"/>
  <c r="Z28" i="26"/>
  <c r="S28" i="26"/>
  <c r="R28" i="26"/>
  <c r="AB28" i="26"/>
  <c r="AA28" i="26"/>
  <c r="X28" i="26"/>
  <c r="U28" i="26"/>
  <c r="T28" i="26"/>
  <c r="F54" i="18"/>
  <c r="I93" i="18"/>
  <c r="I91" i="18"/>
  <c r="I108" i="18"/>
  <c r="D6" i="20"/>
  <c r="D6" i="23" s="1"/>
  <c r="T17" i="18"/>
  <c r="Y62" i="26"/>
  <c r="AB62" i="26"/>
  <c r="W62" i="26"/>
  <c r="Q62" i="26"/>
  <c r="U62" i="26"/>
  <c r="T62" i="26"/>
  <c r="BA61" i="26"/>
  <c r="BB61" i="26" s="1"/>
  <c r="Y87" i="26"/>
  <c r="X87" i="26"/>
  <c r="V87" i="26"/>
  <c r="Q87" i="26"/>
  <c r="U87" i="26"/>
  <c r="T87" i="26"/>
  <c r="Z87" i="26"/>
  <c r="P117" i="18"/>
  <c r="P118" i="18" s="1"/>
  <c r="P245" i="18" s="1"/>
  <c r="AT64" i="26"/>
  <c r="R88" i="18"/>
  <c r="T88" i="18" s="1"/>
  <c r="J127" i="18"/>
  <c r="K127" i="18"/>
  <c r="BA81" i="26"/>
  <c r="BB81" i="26" s="1"/>
  <c r="H127" i="18"/>
  <c r="AV98" i="26" s="1"/>
  <c r="AG62" i="26"/>
  <c r="BA59" i="26"/>
  <c r="BB59" i="26" s="1"/>
  <c r="AQ64" i="26"/>
  <c r="E127" i="18"/>
  <c r="M98" i="26" s="1"/>
  <c r="AS86" i="26"/>
  <c r="AQ86" i="26"/>
  <c r="AR86" i="26"/>
  <c r="AO86" i="26"/>
  <c r="AP86" i="26"/>
  <c r="AX86" i="26"/>
  <c r="AV86" i="26"/>
  <c r="AZ86" i="26"/>
  <c r="AW86" i="26"/>
  <c r="AT86" i="26"/>
  <c r="AU86" i="26"/>
  <c r="AY86" i="26"/>
  <c r="T110" i="18"/>
  <c r="V110" i="18"/>
  <c r="BA83" i="26"/>
  <c r="BB83" i="26" s="1"/>
  <c r="K53" i="14"/>
  <c r="K54" i="14"/>
  <c r="K41" i="14"/>
  <c r="K61" i="14"/>
  <c r="K47" i="14"/>
  <c r="K56" i="14"/>
  <c r="K44" i="14"/>
  <c r="K42" i="14"/>
  <c r="K43" i="14"/>
  <c r="K45" i="14"/>
  <c r="AI62" i="26"/>
  <c r="AK62" i="26"/>
  <c r="AD62" i="26"/>
  <c r="AE62" i="26"/>
  <c r="AN62" i="26"/>
  <c r="AH62" i="26"/>
  <c r="AL62" i="26"/>
  <c r="AM62" i="26"/>
  <c r="AO64" i="26"/>
  <c r="AR64" i="26"/>
  <c r="AX64" i="26"/>
  <c r="AZ64" i="26"/>
  <c r="AW64" i="26"/>
  <c r="AU64" i="26"/>
  <c r="AY64" i="26"/>
  <c r="AS64" i="26"/>
  <c r="AJ62" i="26"/>
  <c r="AV64" i="26"/>
  <c r="AF62" i="26"/>
  <c r="AO62" i="26"/>
  <c r="AP62" i="26"/>
  <c r="AX62" i="26"/>
  <c r="AV62" i="26"/>
  <c r="AZ62" i="26"/>
  <c r="AW62" i="26"/>
  <c r="AT62" i="26"/>
  <c r="AU62" i="26"/>
  <c r="AY62" i="26"/>
  <c r="AS62" i="26"/>
  <c r="AQ62" i="26"/>
  <c r="AR62" i="26"/>
  <c r="AI85" i="26"/>
  <c r="AJ85" i="26"/>
  <c r="AN85" i="26"/>
  <c r="AG85" i="26"/>
  <c r="AH85" i="26"/>
  <c r="AL85" i="26"/>
  <c r="AC85" i="26"/>
  <c r="AM85" i="26"/>
  <c r="AK85" i="26"/>
  <c r="AD85" i="26"/>
  <c r="AF85" i="26"/>
  <c r="AE85" i="26"/>
  <c r="AI87" i="26"/>
  <c r="AJ87" i="26"/>
  <c r="AN87" i="26"/>
  <c r="AG87" i="26"/>
  <c r="AH87" i="26"/>
  <c r="AL87" i="26"/>
  <c r="AC87" i="26"/>
  <c r="AM87" i="26"/>
  <c r="AK87" i="26"/>
  <c r="AD87" i="26"/>
  <c r="AF87" i="26"/>
  <c r="AE87" i="26"/>
  <c r="V89" i="18"/>
  <c r="T89" i="18"/>
  <c r="C133" i="18" s="1"/>
  <c r="AI82" i="26"/>
  <c r="AJ82" i="26"/>
  <c r="AN82" i="26"/>
  <c r="AG82" i="26"/>
  <c r="AH82" i="26"/>
  <c r="AL82" i="26"/>
  <c r="AC82" i="26"/>
  <c r="AM82" i="26"/>
  <c r="AK82" i="26"/>
  <c r="AD82" i="26"/>
  <c r="AF82" i="26"/>
  <c r="R111" i="18"/>
  <c r="AE82" i="26"/>
  <c r="AC98" i="26"/>
  <c r="AM98" i="26"/>
  <c r="AK98" i="26"/>
  <c r="AD98" i="26"/>
  <c r="AF98" i="26"/>
  <c r="AE98" i="26"/>
  <c r="AI98" i="26"/>
  <c r="AJ98" i="26"/>
  <c r="AN98" i="26"/>
  <c r="AG98" i="26"/>
  <c r="AH98" i="26"/>
  <c r="AL98" i="26"/>
  <c r="AI80" i="26"/>
  <c r="AJ80" i="26"/>
  <c r="AN80" i="26"/>
  <c r="AG80" i="26"/>
  <c r="AH80" i="26"/>
  <c r="AL80" i="26"/>
  <c r="AC80" i="26"/>
  <c r="AM80" i="26"/>
  <c r="AK80" i="26"/>
  <c r="G117" i="18"/>
  <c r="AD80" i="26"/>
  <c r="AF80" i="26"/>
  <c r="AE80" i="26"/>
  <c r="Z79" i="26"/>
  <c r="Y79" i="26"/>
  <c r="X79" i="26"/>
  <c r="AB79" i="26"/>
  <c r="W79" i="26"/>
  <c r="R79" i="26"/>
  <c r="AA79" i="26"/>
  <c r="S79" i="26"/>
  <c r="V79" i="26"/>
  <c r="Q79" i="26"/>
  <c r="U79" i="26"/>
  <c r="T79" i="26"/>
  <c r="R108" i="18"/>
  <c r="R98" i="26"/>
  <c r="Y98" i="26"/>
  <c r="F267" i="18" l="1"/>
  <c r="F261" i="18"/>
  <c r="F117" i="26"/>
  <c r="G117" i="26" s="1"/>
  <c r="H117" i="26" s="1"/>
  <c r="I117" i="26" s="1"/>
  <c r="J117" i="26" s="1"/>
  <c r="K117" i="26" s="1"/>
  <c r="L117" i="26" s="1"/>
  <c r="M117" i="26" s="1"/>
  <c r="N117" i="26" s="1"/>
  <c r="O117" i="26" s="1"/>
  <c r="P117" i="26" s="1"/>
  <c r="Q117" i="26" s="1"/>
  <c r="BA118" i="26"/>
  <c r="BB118" i="26" s="1"/>
  <c r="T241" i="18"/>
  <c r="C53" i="14"/>
  <c r="I21" i="14"/>
  <c r="J53" i="14"/>
  <c r="T65" i="18"/>
  <c r="M51" i="11"/>
  <c r="I8" i="14"/>
  <c r="J8" i="14"/>
  <c r="T237" i="10"/>
  <c r="N245" i="10"/>
  <c r="M22" i="15" s="1"/>
  <c r="M23" i="15" s="1"/>
  <c r="M25" i="15" s="1"/>
  <c r="N236" i="10"/>
  <c r="N241" i="10" s="1"/>
  <c r="O277" i="10"/>
  <c r="I214" i="10"/>
  <c r="I288" i="10"/>
  <c r="T147" i="10"/>
  <c r="T276" i="10" s="1"/>
  <c r="G35" i="23"/>
  <c r="G38" i="23" s="1"/>
  <c r="D34" i="23"/>
  <c r="K268" i="10"/>
  <c r="K288" i="10"/>
  <c r="I262" i="18" s="1"/>
  <c r="I268" i="18" s="1"/>
  <c r="T22" i="10"/>
  <c r="U22" i="10" s="1"/>
  <c r="H268" i="10"/>
  <c r="H288" i="10"/>
  <c r="F262" i="18" s="1"/>
  <c r="F268" i="18" s="1"/>
  <c r="E262" i="18"/>
  <c r="E268" i="18" s="1"/>
  <c r="E264" i="18"/>
  <c r="E270" i="18" s="1"/>
  <c r="I7" i="14"/>
  <c r="I18" i="14" s="1"/>
  <c r="L18" i="14" s="1"/>
  <c r="J7" i="14"/>
  <c r="I163" i="10"/>
  <c r="I290" i="10" s="1"/>
  <c r="G264" i="18" s="1"/>
  <c r="G270" i="18" s="1"/>
  <c r="I60" i="11"/>
  <c r="F61" i="12"/>
  <c r="D13" i="12"/>
  <c r="D14" i="12" s="1"/>
  <c r="D17" i="12" s="1"/>
  <c r="E29" i="12"/>
  <c r="R80" i="26"/>
  <c r="I268" i="10"/>
  <c r="V80" i="26"/>
  <c r="H52" i="9"/>
  <c r="U80" i="26"/>
  <c r="AA80" i="26"/>
  <c r="S80" i="26"/>
  <c r="Q80" i="26"/>
  <c r="I165" i="10"/>
  <c r="I168" i="10" s="1"/>
  <c r="I278" i="10" s="1"/>
  <c r="W80" i="26"/>
  <c r="Z80" i="26"/>
  <c r="E25" i="12"/>
  <c r="X98" i="26"/>
  <c r="U98" i="26"/>
  <c r="AA85" i="26"/>
  <c r="AB98" i="26"/>
  <c r="H214" i="10"/>
  <c r="H215" i="10" s="1"/>
  <c r="C31" i="12"/>
  <c r="C32" i="12" s="1"/>
  <c r="F15" i="12"/>
  <c r="L94" i="18"/>
  <c r="L243" i="18" s="1"/>
  <c r="N51" i="11"/>
  <c r="X85" i="26"/>
  <c r="H176" i="10"/>
  <c r="H178" i="10" s="1"/>
  <c r="H280" i="10" s="1"/>
  <c r="Z85" i="26"/>
  <c r="N117" i="18"/>
  <c r="N118" i="18" s="1"/>
  <c r="N245" i="18" s="1"/>
  <c r="Q117" i="18"/>
  <c r="Q98" i="26"/>
  <c r="I117" i="18"/>
  <c r="I118" i="18" s="1"/>
  <c r="I245" i="18" s="1"/>
  <c r="H152" i="10"/>
  <c r="T85" i="26"/>
  <c r="R114" i="18"/>
  <c r="V114" i="18" s="1"/>
  <c r="Z98" i="26"/>
  <c r="T98" i="26"/>
  <c r="R85" i="26"/>
  <c r="S98" i="26"/>
  <c r="R116" i="18"/>
  <c r="S87" i="26"/>
  <c r="J60" i="11"/>
  <c r="H275" i="10"/>
  <c r="S85" i="26"/>
  <c r="H163" i="10"/>
  <c r="H290" i="10" s="1"/>
  <c r="F264" i="18" s="1"/>
  <c r="F270" i="18" s="1"/>
  <c r="I245" i="10"/>
  <c r="T245" i="10" s="1"/>
  <c r="I221" i="10"/>
  <c r="H21" i="15"/>
  <c r="T219" i="10"/>
  <c r="I283" i="10"/>
  <c r="V98" i="26"/>
  <c r="R91" i="18"/>
  <c r="T91" i="18" s="1"/>
  <c r="H172" i="10"/>
  <c r="AA98" i="26"/>
  <c r="AA87" i="26"/>
  <c r="Q85" i="26"/>
  <c r="H165" i="10"/>
  <c r="F117" i="18"/>
  <c r="F118" i="18" s="1"/>
  <c r="AB87" i="26"/>
  <c r="K275" i="10"/>
  <c r="BA60" i="26"/>
  <c r="BB60" i="26" s="1"/>
  <c r="O63" i="26"/>
  <c r="M63" i="26"/>
  <c r="G63" i="26"/>
  <c r="P63" i="26"/>
  <c r="H63" i="26"/>
  <c r="F63" i="26"/>
  <c r="N63" i="26"/>
  <c r="E63" i="26"/>
  <c r="L63" i="26"/>
  <c r="I63" i="26"/>
  <c r="K63" i="26"/>
  <c r="J63" i="26"/>
  <c r="L86" i="26"/>
  <c r="I86" i="26"/>
  <c r="J86" i="26"/>
  <c r="E86" i="26"/>
  <c r="P86" i="26"/>
  <c r="N86" i="26"/>
  <c r="O86" i="26"/>
  <c r="M86" i="26"/>
  <c r="K86" i="26"/>
  <c r="G86" i="26"/>
  <c r="H86" i="26"/>
  <c r="F86" i="26"/>
  <c r="R57" i="8"/>
  <c r="T57" i="8" s="1"/>
  <c r="G23" i="9"/>
  <c r="F58" i="8"/>
  <c r="R93" i="18"/>
  <c r="T93" i="18" s="1"/>
  <c r="K172" i="10"/>
  <c r="N87" i="26"/>
  <c r="F87" i="26"/>
  <c r="M87" i="26"/>
  <c r="E87" i="26"/>
  <c r="L87" i="26"/>
  <c r="K87" i="26"/>
  <c r="J87" i="26"/>
  <c r="P87" i="26"/>
  <c r="H87" i="26"/>
  <c r="I87" i="26"/>
  <c r="O87" i="26"/>
  <c r="G87" i="26"/>
  <c r="K80" i="26"/>
  <c r="J80" i="26"/>
  <c r="I80" i="26"/>
  <c r="P80" i="26"/>
  <c r="H80" i="26"/>
  <c r="O80" i="26"/>
  <c r="G80" i="26"/>
  <c r="M80" i="26"/>
  <c r="E80" i="26"/>
  <c r="N80" i="26"/>
  <c r="L80" i="26"/>
  <c r="F80" i="26"/>
  <c r="E117" i="18"/>
  <c r="E118" i="18" s="1"/>
  <c r="M117" i="18"/>
  <c r="M118" i="18" s="1"/>
  <c r="M245" i="18" s="1"/>
  <c r="AI86" i="26"/>
  <c r="AE86" i="26"/>
  <c r="AF86" i="26"/>
  <c r="AC86" i="26"/>
  <c r="AG86" i="26"/>
  <c r="AK86" i="26"/>
  <c r="AN86" i="26"/>
  <c r="AH86" i="26"/>
  <c r="AD86" i="26"/>
  <c r="AM86" i="26"/>
  <c r="AL86" i="26"/>
  <c r="AJ86" i="26"/>
  <c r="R62" i="26"/>
  <c r="X62" i="26"/>
  <c r="Z62" i="26"/>
  <c r="V62" i="26"/>
  <c r="AA62" i="26"/>
  <c r="H54" i="8"/>
  <c r="G211" i="8"/>
  <c r="H57" i="8"/>
  <c r="I23" i="9" s="1"/>
  <c r="D30" i="12"/>
  <c r="D31" i="12"/>
  <c r="G19" i="15"/>
  <c r="C62" i="12"/>
  <c r="C5" i="24"/>
  <c r="F5" i="24" s="1"/>
  <c r="I5" i="24" s="1"/>
  <c r="L5" i="24" s="1"/>
  <c r="O5" i="24" s="1"/>
  <c r="R5" i="24" s="1"/>
  <c r="U5" i="24" s="1"/>
  <c r="X5" i="24" s="1"/>
  <c r="H261" i="10"/>
  <c r="H273" i="10" s="1"/>
  <c r="H287" i="10" s="1"/>
  <c r="AO85" i="26"/>
  <c r="AQ85" i="26"/>
  <c r="AR85" i="26"/>
  <c r="AP85" i="26"/>
  <c r="AX85" i="26"/>
  <c r="AY85" i="26"/>
  <c r="AS85" i="26"/>
  <c r="AZ85" i="26"/>
  <c r="AV85" i="26"/>
  <c r="AT85" i="26"/>
  <c r="AW85" i="26"/>
  <c r="AU85" i="26"/>
  <c r="E16" i="12"/>
  <c r="K152" i="10"/>
  <c r="J64" i="26"/>
  <c r="H64" i="26"/>
  <c r="I64" i="26"/>
  <c r="P64" i="26"/>
  <c r="O64" i="26"/>
  <c r="G64" i="26"/>
  <c r="N64" i="26"/>
  <c r="F64" i="26"/>
  <c r="L64" i="26"/>
  <c r="E64" i="26"/>
  <c r="K64" i="26"/>
  <c r="M64" i="26"/>
  <c r="E12" i="12"/>
  <c r="AO87" i="26"/>
  <c r="AY87" i="26"/>
  <c r="AQ87" i="26"/>
  <c r="AZ87" i="26"/>
  <c r="AW87" i="26"/>
  <c r="AV87" i="26"/>
  <c r="AR87" i="26"/>
  <c r="AX87" i="26"/>
  <c r="AP87" i="26"/>
  <c r="AS87" i="26"/>
  <c r="AT87" i="26"/>
  <c r="AU87" i="26"/>
  <c r="X86" i="26"/>
  <c r="L85" i="26"/>
  <c r="E85" i="26"/>
  <c r="P85" i="26"/>
  <c r="N85" i="26"/>
  <c r="M85" i="26"/>
  <c r="G85" i="26"/>
  <c r="J85" i="26"/>
  <c r="F85" i="26"/>
  <c r="O85" i="26"/>
  <c r="K85" i="26"/>
  <c r="H85" i="26"/>
  <c r="I85" i="26"/>
  <c r="F92" i="18"/>
  <c r="F94" i="18" s="1"/>
  <c r="C13" i="12"/>
  <c r="C14" i="12" s="1"/>
  <c r="C17" i="12" s="1"/>
  <c r="C40" i="12" s="1"/>
  <c r="AO80" i="26"/>
  <c r="AR80" i="26"/>
  <c r="AQ80" i="26"/>
  <c r="AX80" i="26"/>
  <c r="AW80" i="26"/>
  <c r="AU80" i="26"/>
  <c r="AV80" i="26"/>
  <c r="AP80" i="26"/>
  <c r="AZ80" i="26"/>
  <c r="AS80" i="26"/>
  <c r="AY80" i="26"/>
  <c r="AT80" i="26"/>
  <c r="U64" i="26"/>
  <c r="AA64" i="26"/>
  <c r="Z64" i="26"/>
  <c r="W64" i="26"/>
  <c r="R64" i="26"/>
  <c r="Q64" i="26"/>
  <c r="S64" i="26"/>
  <c r="V64" i="26"/>
  <c r="T64" i="26"/>
  <c r="H22" i="9"/>
  <c r="H25" i="9" s="1"/>
  <c r="H27" i="9" s="1"/>
  <c r="G58" i="8"/>
  <c r="G248" i="8" s="1"/>
  <c r="R109" i="18"/>
  <c r="K176" i="10"/>
  <c r="K178" i="10" s="1"/>
  <c r="K280" i="10" s="1"/>
  <c r="M62" i="26"/>
  <c r="N62" i="26"/>
  <c r="L62" i="26"/>
  <c r="I62" i="26"/>
  <c r="H62" i="26"/>
  <c r="G62" i="26"/>
  <c r="P62" i="26"/>
  <c r="F62" i="26"/>
  <c r="O62" i="26"/>
  <c r="J62" i="26"/>
  <c r="E62" i="26"/>
  <c r="K62" i="26"/>
  <c r="E94" i="18"/>
  <c r="W85" i="26"/>
  <c r="Y85" i="26"/>
  <c r="U85" i="26"/>
  <c r="AB85" i="26"/>
  <c r="R115" i="18"/>
  <c r="T115" i="18" s="1"/>
  <c r="R87" i="26"/>
  <c r="S62" i="26"/>
  <c r="K117" i="18"/>
  <c r="G168" i="10"/>
  <c r="G278" i="10" s="1"/>
  <c r="H4" i="18"/>
  <c r="G228" i="18"/>
  <c r="H19" i="20"/>
  <c r="G240" i="18"/>
  <c r="G255" i="18" s="1"/>
  <c r="I4" i="10"/>
  <c r="H19" i="23"/>
  <c r="AH64" i="26"/>
  <c r="AK64" i="26"/>
  <c r="AF64" i="26"/>
  <c r="AC64" i="26"/>
  <c r="AG64" i="26"/>
  <c r="AE64" i="26"/>
  <c r="AN64" i="26"/>
  <c r="AM64" i="26"/>
  <c r="AJ64" i="26"/>
  <c r="AI64" i="26"/>
  <c r="AD64" i="26"/>
  <c r="AL64" i="26"/>
  <c r="O117" i="18"/>
  <c r="O118" i="18" s="1"/>
  <c r="O245" i="18" s="1"/>
  <c r="I215" i="10"/>
  <c r="AC158" i="26"/>
  <c r="AD158" i="26" s="1"/>
  <c r="AE158" i="26" s="1"/>
  <c r="AF158" i="26" s="1"/>
  <c r="AG158" i="26" s="1"/>
  <c r="AH158" i="26" s="1"/>
  <c r="AI158" i="26" s="1"/>
  <c r="AJ158" i="26" s="1"/>
  <c r="AK158" i="26" s="1"/>
  <c r="AL158" i="26" s="1"/>
  <c r="AM158" i="26" s="1"/>
  <c r="AN158" i="26" s="1"/>
  <c r="N171" i="10"/>
  <c r="H171" i="10"/>
  <c r="M171" i="10"/>
  <c r="M173" i="10" s="1"/>
  <c r="M279" i="10" s="1"/>
  <c r="L171" i="10"/>
  <c r="I171" i="10"/>
  <c r="K171" i="10"/>
  <c r="K173" i="10" s="1"/>
  <c r="K279" i="10" s="1"/>
  <c r="J171" i="10"/>
  <c r="G51" i="11"/>
  <c r="F12" i="24" s="1"/>
  <c r="K156" i="10"/>
  <c r="J155" i="10"/>
  <c r="J156" i="10"/>
  <c r="I156" i="10"/>
  <c r="L156" i="10"/>
  <c r="L159" i="10" s="1"/>
  <c r="L160" i="10" s="1"/>
  <c r="K155" i="10"/>
  <c r="I155" i="10"/>
  <c r="H155" i="10"/>
  <c r="L51" i="11"/>
  <c r="L60" i="11"/>
  <c r="G33" i="9"/>
  <c r="F225" i="8"/>
  <c r="F224" i="8"/>
  <c r="F223" i="8"/>
  <c r="F226" i="8" s="1"/>
  <c r="R226" i="8" s="1"/>
  <c r="R258" i="8" s="1"/>
  <c r="J105" i="10"/>
  <c r="W129" i="10" s="1"/>
  <c r="I105" i="10"/>
  <c r="K60" i="11"/>
  <c r="K51" i="11"/>
  <c r="F12" i="12"/>
  <c r="R249" i="8"/>
  <c r="T64" i="8"/>
  <c r="T65" i="8"/>
  <c r="F20" i="12"/>
  <c r="G54" i="18"/>
  <c r="G55" i="18"/>
  <c r="G52" i="18"/>
  <c r="G53" i="18"/>
  <c r="F24" i="12"/>
  <c r="F25" i="12" s="1"/>
  <c r="W24" i="18"/>
  <c r="I32" i="18"/>
  <c r="J60" i="10"/>
  <c r="J288" i="10" s="1"/>
  <c r="H262" i="18" s="1"/>
  <c r="H268" i="18" s="1"/>
  <c r="T56" i="10"/>
  <c r="E31" i="12"/>
  <c r="E30" i="12"/>
  <c r="O51" i="11"/>
  <c r="F35" i="9"/>
  <c r="F35" i="12"/>
  <c r="F29" i="12"/>
  <c r="E228" i="8"/>
  <c r="E258" i="8"/>
  <c r="E232" i="8"/>
  <c r="G19" i="12"/>
  <c r="H6" i="12"/>
  <c r="G27" i="12"/>
  <c r="G28" i="12"/>
  <c r="G23" i="12"/>
  <c r="G11" i="12"/>
  <c r="G15" i="12" s="1"/>
  <c r="G8" i="12"/>
  <c r="G34" i="12"/>
  <c r="G35" i="12" s="1"/>
  <c r="G36" i="12" s="1"/>
  <c r="J20" i="9"/>
  <c r="I52" i="9"/>
  <c r="F8" i="24"/>
  <c r="I7" i="24"/>
  <c r="L4" i="24"/>
  <c r="G159" i="10"/>
  <c r="G160" i="10" s="1"/>
  <c r="K163" i="10"/>
  <c r="K290" i="10" s="1"/>
  <c r="I264" i="18" s="1"/>
  <c r="K165" i="10"/>
  <c r="K29" i="10"/>
  <c r="K214" i="10"/>
  <c r="L165" i="10"/>
  <c r="L163" i="10"/>
  <c r="L290" i="10" s="1"/>
  <c r="J264" i="18" s="1"/>
  <c r="J270" i="18" s="1"/>
  <c r="L268" i="10"/>
  <c r="Q25" i="10"/>
  <c r="P57" i="10"/>
  <c r="O26" i="10"/>
  <c r="N58" i="10"/>
  <c r="N27" i="10"/>
  <c r="M59" i="10"/>
  <c r="M60" i="10" s="1"/>
  <c r="M288" i="10" s="1"/>
  <c r="K262" i="18" s="1"/>
  <c r="K268" i="18" s="1"/>
  <c r="N173" i="10"/>
  <c r="N279" i="10" s="1"/>
  <c r="L276" i="10"/>
  <c r="L172" i="10"/>
  <c r="T154" i="10"/>
  <c r="C86" i="14"/>
  <c r="V276" i="10"/>
  <c r="Y20" i="18"/>
  <c r="Y21" i="18" s="1"/>
  <c r="Y22" i="18" s="1"/>
  <c r="Y23" i="18" s="1"/>
  <c r="Y29" i="18" s="1"/>
  <c r="K33" i="18"/>
  <c r="L31" i="18"/>
  <c r="Z25" i="18"/>
  <c r="Z26" i="18" s="1"/>
  <c r="Z27" i="18" s="1"/>
  <c r="Z28" i="18" s="1"/>
  <c r="L128" i="18"/>
  <c r="L129" i="18" s="1"/>
  <c r="L247" i="18" s="1"/>
  <c r="P98" i="26"/>
  <c r="E98" i="26"/>
  <c r="K118" i="18"/>
  <c r="K245" i="18" s="1"/>
  <c r="F98" i="26"/>
  <c r="H98" i="26"/>
  <c r="I98" i="26"/>
  <c r="J98" i="26"/>
  <c r="L98" i="26"/>
  <c r="N98" i="26"/>
  <c r="K98" i="26"/>
  <c r="O98" i="26"/>
  <c r="AX98" i="26"/>
  <c r="AP98" i="26"/>
  <c r="AO98" i="26"/>
  <c r="AR98" i="26"/>
  <c r="X29" i="18"/>
  <c r="F56" i="18"/>
  <c r="AY98" i="26"/>
  <c r="AQ98" i="26"/>
  <c r="AU98" i="26"/>
  <c r="AT98" i="26"/>
  <c r="AZ98" i="26"/>
  <c r="AS98" i="26"/>
  <c r="R127" i="18"/>
  <c r="G98" i="26"/>
  <c r="AW98" i="26"/>
  <c r="AU88" i="26"/>
  <c r="AY88" i="26"/>
  <c r="AS88" i="26"/>
  <c r="AQ88" i="26"/>
  <c r="AR88" i="26"/>
  <c r="AO88" i="26"/>
  <c r="AP88" i="26"/>
  <c r="AX88" i="26"/>
  <c r="AV88" i="26"/>
  <c r="AZ88" i="26"/>
  <c r="AW88" i="26"/>
  <c r="AT88" i="26"/>
  <c r="H118" i="18"/>
  <c r="W88" i="26"/>
  <c r="AA88" i="26"/>
  <c r="S88" i="26"/>
  <c r="V88" i="26"/>
  <c r="Q88" i="26"/>
  <c r="U88" i="26"/>
  <c r="T88" i="26"/>
  <c r="Z88" i="26"/>
  <c r="R88" i="26"/>
  <c r="Y88" i="26"/>
  <c r="X88" i="26"/>
  <c r="AB88" i="26"/>
  <c r="V108" i="18"/>
  <c r="T108" i="18"/>
  <c r="T109" i="18"/>
  <c r="V109" i="18"/>
  <c r="BA79" i="26"/>
  <c r="BB79" i="26" s="1"/>
  <c r="V111" i="18"/>
  <c r="T111" i="18"/>
  <c r="G133" i="18"/>
  <c r="L133" i="18"/>
  <c r="L135" i="18" s="1"/>
  <c r="P133" i="18"/>
  <c r="P135" i="18" s="1"/>
  <c r="J133" i="18"/>
  <c r="J135" i="18" s="1"/>
  <c r="K133" i="18"/>
  <c r="K135" i="18" s="1"/>
  <c r="M133" i="18"/>
  <c r="M135" i="18" s="1"/>
  <c r="E133" i="18"/>
  <c r="Q133" i="18"/>
  <c r="Q135" i="18" s="1"/>
  <c r="N133" i="18"/>
  <c r="N135" i="18" s="1"/>
  <c r="F133" i="18"/>
  <c r="H133" i="18"/>
  <c r="O133" i="18"/>
  <c r="O135" i="18" s="1"/>
  <c r="I133" i="18"/>
  <c r="I135" i="18" s="1"/>
  <c r="BA82" i="26"/>
  <c r="BB82" i="26" s="1"/>
  <c r="V89" i="26"/>
  <c r="Q89" i="26"/>
  <c r="F245" i="18"/>
  <c r="U89" i="26"/>
  <c r="T89" i="26"/>
  <c r="Z89" i="26"/>
  <c r="R89" i="26"/>
  <c r="Y89" i="26"/>
  <c r="X89" i="26"/>
  <c r="AB89" i="26"/>
  <c r="W89" i="26"/>
  <c r="AA89" i="26"/>
  <c r="S89" i="26"/>
  <c r="AG88" i="26"/>
  <c r="AH88" i="26"/>
  <c r="AL88" i="26"/>
  <c r="AC88" i="26"/>
  <c r="AM88" i="26"/>
  <c r="AK88" i="26"/>
  <c r="AD88" i="26"/>
  <c r="AF88" i="26"/>
  <c r="AE88" i="26"/>
  <c r="AI88" i="26"/>
  <c r="AJ88" i="26"/>
  <c r="AN88" i="26"/>
  <c r="G118" i="18"/>
  <c r="T116" i="18"/>
  <c r="V116" i="18"/>
  <c r="G261" i="18" l="1"/>
  <c r="G267" i="18"/>
  <c r="O45" i="14"/>
  <c r="C21" i="14"/>
  <c r="O14" i="14" s="1"/>
  <c r="D53" i="14"/>
  <c r="E53" i="14"/>
  <c r="H173" i="10"/>
  <c r="H279" i="10" s="1"/>
  <c r="L173" i="10"/>
  <c r="L279" i="10" s="1"/>
  <c r="G262" i="18"/>
  <c r="G268" i="18" s="1"/>
  <c r="G277" i="10"/>
  <c r="C54" i="12"/>
  <c r="G61" i="12"/>
  <c r="C38" i="12"/>
  <c r="C49" i="12"/>
  <c r="C50" i="12"/>
  <c r="T114" i="18"/>
  <c r="D40" i="12"/>
  <c r="C41" i="12"/>
  <c r="C42" i="12"/>
  <c r="C43" i="12"/>
  <c r="C44" i="12"/>
  <c r="H168" i="10"/>
  <c r="H278" i="10" s="1"/>
  <c r="D32" i="12"/>
  <c r="D38" i="12" s="1"/>
  <c r="G16" i="12"/>
  <c r="I232" i="10"/>
  <c r="T221" i="10"/>
  <c r="T171" i="10"/>
  <c r="G92" i="18"/>
  <c r="V115" i="18"/>
  <c r="R117" i="18"/>
  <c r="V117" i="18" s="1"/>
  <c r="K159" i="10"/>
  <c r="K160" i="10" s="1"/>
  <c r="T155" i="10"/>
  <c r="H22" i="15"/>
  <c r="D22" i="15" s="1"/>
  <c r="D21" i="15"/>
  <c r="BA85" i="26"/>
  <c r="BB85" i="26" s="1"/>
  <c r="BA62" i="26"/>
  <c r="BB62" i="26" s="1"/>
  <c r="BA87" i="26"/>
  <c r="BB87" i="26" s="1"/>
  <c r="BA64" i="26"/>
  <c r="BB64" i="26" s="1"/>
  <c r="BA80" i="26"/>
  <c r="BB80" i="26" s="1"/>
  <c r="BA86" i="26"/>
  <c r="BB86" i="26" s="1"/>
  <c r="AI63" i="26"/>
  <c r="AJ63" i="26"/>
  <c r="AB65" i="26"/>
  <c r="Y65" i="26"/>
  <c r="Q65" i="26"/>
  <c r="X65" i="26"/>
  <c r="F243" i="18"/>
  <c r="Z65" i="26"/>
  <c r="F128" i="18"/>
  <c r="S65" i="26"/>
  <c r="W65" i="26"/>
  <c r="V65" i="26"/>
  <c r="R65" i="26"/>
  <c r="AA65" i="26"/>
  <c r="U65" i="26"/>
  <c r="T65" i="26"/>
  <c r="AD63" i="26"/>
  <c r="AM63" i="26"/>
  <c r="E243" i="18"/>
  <c r="K65" i="26"/>
  <c r="P65" i="26"/>
  <c r="F65" i="26"/>
  <c r="E65" i="26"/>
  <c r="J65" i="26"/>
  <c r="I65" i="26"/>
  <c r="O65" i="26"/>
  <c r="N65" i="26"/>
  <c r="E128" i="18"/>
  <c r="L65" i="26"/>
  <c r="H65" i="26"/>
  <c r="G65" i="26"/>
  <c r="M65" i="26"/>
  <c r="AN63" i="26"/>
  <c r="AC63" i="26"/>
  <c r="AH63" i="26"/>
  <c r="H19" i="15"/>
  <c r="I261" i="10"/>
  <c r="I273" i="10" s="1"/>
  <c r="I287" i="10" s="1"/>
  <c r="D62" i="12"/>
  <c r="H56" i="8"/>
  <c r="I22" i="9"/>
  <c r="I25" i="9" s="1"/>
  <c r="I27" i="9" s="1"/>
  <c r="H58" i="8"/>
  <c r="H248" i="8" s="1"/>
  <c r="F248" i="8"/>
  <c r="R58" i="8"/>
  <c r="H228" i="18"/>
  <c r="I19" i="20"/>
  <c r="H240" i="18"/>
  <c r="H255" i="18" s="1"/>
  <c r="I19" i="23"/>
  <c r="J4" i="10"/>
  <c r="I4" i="18"/>
  <c r="E13" i="12"/>
  <c r="E14" i="12" s="1"/>
  <c r="E17" i="12" s="1"/>
  <c r="E40" i="12" s="1"/>
  <c r="E54" i="12" s="1"/>
  <c r="E55" i="12" s="1"/>
  <c r="G89" i="26"/>
  <c r="E245" i="18"/>
  <c r="P89" i="26"/>
  <c r="M89" i="26"/>
  <c r="F89" i="26"/>
  <c r="J89" i="26"/>
  <c r="L89" i="26"/>
  <c r="E89" i="26"/>
  <c r="K89" i="26"/>
  <c r="O89" i="26"/>
  <c r="I89" i="26"/>
  <c r="N89" i="26"/>
  <c r="H89" i="26"/>
  <c r="AG63" i="26"/>
  <c r="AK63" i="26"/>
  <c r="G25" i="9"/>
  <c r="D23" i="9"/>
  <c r="M88" i="26"/>
  <c r="E88" i="26"/>
  <c r="K88" i="26"/>
  <c r="I88" i="26"/>
  <c r="H88" i="26"/>
  <c r="L88" i="26"/>
  <c r="P88" i="26"/>
  <c r="J88" i="26"/>
  <c r="F88" i="26"/>
  <c r="N88" i="26"/>
  <c r="O88" i="26"/>
  <c r="G88" i="26"/>
  <c r="I57" i="14"/>
  <c r="J57" i="14" s="1"/>
  <c r="AF63" i="26"/>
  <c r="AE63" i="26"/>
  <c r="V63" i="26"/>
  <c r="R63" i="26"/>
  <c r="W63" i="26"/>
  <c r="Y63" i="26"/>
  <c r="U63" i="26"/>
  <c r="T63" i="26"/>
  <c r="AB63" i="26"/>
  <c r="Z63" i="26"/>
  <c r="Q63" i="26"/>
  <c r="X63" i="26"/>
  <c r="AA63" i="26"/>
  <c r="S63" i="26"/>
  <c r="H52" i="18"/>
  <c r="H55" i="18"/>
  <c r="H54" i="18"/>
  <c r="H53" i="18"/>
  <c r="E32" i="12"/>
  <c r="G20" i="12"/>
  <c r="G21" i="12" s="1"/>
  <c r="G12" i="12"/>
  <c r="F31" i="12"/>
  <c r="F30" i="12"/>
  <c r="G56" i="18"/>
  <c r="F13" i="12"/>
  <c r="G24" i="9"/>
  <c r="D24" i="9" s="1"/>
  <c r="R223" i="8"/>
  <c r="R224" i="8"/>
  <c r="G34" i="9"/>
  <c r="D34" i="9" s="1"/>
  <c r="G24" i="12"/>
  <c r="G25" i="12" s="1"/>
  <c r="F36" i="12"/>
  <c r="J214" i="10"/>
  <c r="J215" i="10" s="1"/>
  <c r="K215" i="10" s="1"/>
  <c r="J165" i="10"/>
  <c r="J163" i="10"/>
  <c r="J290" i="10" s="1"/>
  <c r="H264" i="18" s="1"/>
  <c r="H270" i="18" s="1"/>
  <c r="J29" i="10"/>
  <c r="J268" i="10"/>
  <c r="F258" i="8"/>
  <c r="J52" i="9"/>
  <c r="K20" i="9"/>
  <c r="T105" i="10"/>
  <c r="I106" i="10"/>
  <c r="F213" i="8"/>
  <c r="G43" i="9"/>
  <c r="R225" i="8"/>
  <c r="E259" i="8"/>
  <c r="E230" i="8"/>
  <c r="F54" i="9"/>
  <c r="F37" i="9"/>
  <c r="F21" i="12"/>
  <c r="G29" i="12"/>
  <c r="H8" i="12"/>
  <c r="H19" i="12"/>
  <c r="H28" i="12"/>
  <c r="I6" i="12"/>
  <c r="H34" i="12"/>
  <c r="H27" i="12"/>
  <c r="H11" i="12"/>
  <c r="H15" i="12" s="1"/>
  <c r="H23" i="12"/>
  <c r="J32" i="18"/>
  <c r="X24" i="18"/>
  <c r="I54" i="18" s="1"/>
  <c r="T156" i="10"/>
  <c r="J106" i="10"/>
  <c r="L7" i="24"/>
  <c r="O4" i="24"/>
  <c r="I12" i="24"/>
  <c r="I8" i="24"/>
  <c r="K168" i="10"/>
  <c r="K181" i="10" s="1"/>
  <c r="K182" i="10" s="1"/>
  <c r="K281" i="10" s="1"/>
  <c r="G181" i="10"/>
  <c r="G182" i="10" s="1"/>
  <c r="G281" i="10" s="1"/>
  <c r="L168" i="10"/>
  <c r="L278" i="10" s="1"/>
  <c r="P26" i="10"/>
  <c r="O58" i="10"/>
  <c r="R25" i="10"/>
  <c r="R57" i="10" s="1"/>
  <c r="Q57" i="10"/>
  <c r="M165" i="10"/>
  <c r="M163" i="10"/>
  <c r="M290" i="10" s="1"/>
  <c r="K264" i="18" s="1"/>
  <c r="K270" i="18" s="1"/>
  <c r="M268" i="10"/>
  <c r="O27" i="10"/>
  <c r="N59" i="10"/>
  <c r="L277" i="10"/>
  <c r="C22" i="14"/>
  <c r="O15" i="14" s="1"/>
  <c r="O79" i="14"/>
  <c r="Z20" i="18"/>
  <c r="Z21" i="18" s="1"/>
  <c r="Z22" i="18" s="1"/>
  <c r="Z23" i="18" s="1"/>
  <c r="Z29" i="18" s="1"/>
  <c r="L33" i="18"/>
  <c r="M31" i="18"/>
  <c r="N31" i="18" s="1"/>
  <c r="O31" i="18" s="1"/>
  <c r="P31" i="18" s="1"/>
  <c r="Q31" i="18" s="1"/>
  <c r="AA25" i="18"/>
  <c r="AA26" i="18" s="1"/>
  <c r="AA27" i="18" s="1"/>
  <c r="AA28" i="18" s="1"/>
  <c r="BA98" i="26"/>
  <c r="BB98" i="26" s="1"/>
  <c r="K94" i="18"/>
  <c r="K243" i="18" s="1"/>
  <c r="S27" i="26"/>
  <c r="S29" i="26" s="1"/>
  <c r="X27" i="26"/>
  <c r="X29" i="26" s="1"/>
  <c r="F236" i="18"/>
  <c r="U27" i="26"/>
  <c r="U29" i="26" s="1"/>
  <c r="AB27" i="26"/>
  <c r="AB29" i="26" s="1"/>
  <c r="AA27" i="26"/>
  <c r="AA29" i="26" s="1"/>
  <c r="F121" i="18"/>
  <c r="R27" i="26"/>
  <c r="R29" i="26" s="1"/>
  <c r="Y27" i="26"/>
  <c r="Y29" i="26" s="1"/>
  <c r="T27" i="26"/>
  <c r="T29" i="26" s="1"/>
  <c r="V27" i="26"/>
  <c r="V29" i="26" s="1"/>
  <c r="G57" i="18"/>
  <c r="W27" i="26"/>
  <c r="W29" i="26" s="1"/>
  <c r="Q27" i="26"/>
  <c r="F178" i="18"/>
  <c r="Z27" i="26"/>
  <c r="Z29" i="26" s="1"/>
  <c r="AW89" i="26"/>
  <c r="AT89" i="26"/>
  <c r="AU89" i="26"/>
  <c r="AY89" i="26"/>
  <c r="AS89" i="26"/>
  <c r="H245" i="18"/>
  <c r="AQ89" i="26"/>
  <c r="AR89" i="26"/>
  <c r="AO89" i="26"/>
  <c r="AP89" i="26"/>
  <c r="AX89" i="26"/>
  <c r="AV89" i="26"/>
  <c r="AZ89" i="26"/>
  <c r="R118" i="18"/>
  <c r="R245" i="18" s="1"/>
  <c r="H135" i="18"/>
  <c r="AS104" i="26"/>
  <c r="AQ104" i="26"/>
  <c r="AR104" i="26"/>
  <c r="AO104" i="26"/>
  <c r="AP104" i="26"/>
  <c r="AX104" i="26"/>
  <c r="AV104" i="26"/>
  <c r="AZ104" i="26"/>
  <c r="AW104" i="26"/>
  <c r="AT104" i="26"/>
  <c r="AU104" i="26"/>
  <c r="AY104" i="26"/>
  <c r="Q104" i="26"/>
  <c r="U104" i="26"/>
  <c r="F135" i="18"/>
  <c r="T104" i="26"/>
  <c r="Z104" i="26"/>
  <c r="R104" i="26"/>
  <c r="Y104" i="26"/>
  <c r="X104" i="26"/>
  <c r="AB104" i="26"/>
  <c r="W104" i="26"/>
  <c r="AA104" i="26"/>
  <c r="S104" i="26"/>
  <c r="V104" i="26"/>
  <c r="AC89" i="26"/>
  <c r="AM89" i="26"/>
  <c r="AK89" i="26"/>
  <c r="AD89" i="26"/>
  <c r="G245" i="18"/>
  <c r="AF89" i="26"/>
  <c r="AE89" i="26"/>
  <c r="AI89" i="26"/>
  <c r="AJ89" i="26"/>
  <c r="AN89" i="26"/>
  <c r="AG89" i="26"/>
  <c r="AH89" i="26"/>
  <c r="AL89" i="26"/>
  <c r="Q143" i="18"/>
  <c r="Q219" i="18" s="1"/>
  <c r="Q252" i="18" s="1"/>
  <c r="Q248" i="18"/>
  <c r="N143" i="18"/>
  <c r="N219" i="18" s="1"/>
  <c r="N252" i="18" s="1"/>
  <c r="N248" i="18"/>
  <c r="F104" i="26"/>
  <c r="E135" i="18"/>
  <c r="E104" i="26"/>
  <c r="P104" i="26"/>
  <c r="O104" i="26"/>
  <c r="N104" i="26"/>
  <c r="M104" i="26"/>
  <c r="L104" i="26"/>
  <c r="K104" i="26"/>
  <c r="J104" i="26"/>
  <c r="I104" i="26"/>
  <c r="H104" i="26"/>
  <c r="G104" i="26"/>
  <c r="R133" i="18"/>
  <c r="M143" i="18"/>
  <c r="M219" i="18" s="1"/>
  <c r="M252" i="18" s="1"/>
  <c r="M248" i="18"/>
  <c r="K248" i="18"/>
  <c r="J248" i="18"/>
  <c r="P143" i="18"/>
  <c r="P219" i="18" s="1"/>
  <c r="P252" i="18" s="1"/>
  <c r="P248" i="18"/>
  <c r="L248" i="18"/>
  <c r="L143" i="18"/>
  <c r="T117" i="18"/>
  <c r="I248" i="18"/>
  <c r="AE104" i="26"/>
  <c r="AI104" i="26"/>
  <c r="AJ104" i="26"/>
  <c r="AN104" i="26"/>
  <c r="AG104" i="26"/>
  <c r="AH104" i="26"/>
  <c r="AL104" i="26"/>
  <c r="AC104" i="26"/>
  <c r="AM104" i="26"/>
  <c r="AK104" i="26"/>
  <c r="AD104" i="26"/>
  <c r="G135" i="18"/>
  <c r="AF104" i="26"/>
  <c r="O143" i="18"/>
  <c r="O219" i="18" s="1"/>
  <c r="O252" i="18" s="1"/>
  <c r="O248" i="18"/>
  <c r="H267" i="18" l="1"/>
  <c r="H261" i="18"/>
  <c r="F179" i="18"/>
  <c r="F7" i="27" s="1"/>
  <c r="F6" i="27"/>
  <c r="F13" i="27" s="1"/>
  <c r="K277" i="10"/>
  <c r="H61" i="12"/>
  <c r="C55" i="12"/>
  <c r="E38" i="12"/>
  <c r="D41" i="12"/>
  <c r="D54" i="12"/>
  <c r="D55" i="12" s="1"/>
  <c r="D42" i="12"/>
  <c r="E49" i="12"/>
  <c r="E50" i="12"/>
  <c r="D43" i="12"/>
  <c r="D49" i="12"/>
  <c r="D50" i="12"/>
  <c r="D44" i="12"/>
  <c r="E41" i="12"/>
  <c r="E42" i="12"/>
  <c r="E43" i="12"/>
  <c r="E44" i="12"/>
  <c r="C45" i="12"/>
  <c r="G184" i="10"/>
  <c r="G251" i="10" s="1"/>
  <c r="G270" i="10" s="1"/>
  <c r="G271" i="10" s="1"/>
  <c r="T57" i="10"/>
  <c r="H23" i="15"/>
  <c r="G94" i="18"/>
  <c r="AL63" i="26"/>
  <c r="H92" i="18"/>
  <c r="I55" i="14"/>
  <c r="K55" i="14" s="1"/>
  <c r="C232" i="10"/>
  <c r="T232" i="10"/>
  <c r="I236" i="10"/>
  <c r="BA88" i="26"/>
  <c r="BB88" i="26" s="1"/>
  <c r="R248" i="8"/>
  <c r="R189" i="8"/>
  <c r="D191" i="8" s="1"/>
  <c r="K278" i="10"/>
  <c r="K99" i="26"/>
  <c r="J99" i="26"/>
  <c r="O99" i="26"/>
  <c r="L99" i="26"/>
  <c r="E99" i="26"/>
  <c r="I99" i="26"/>
  <c r="G99" i="26"/>
  <c r="N99" i="26"/>
  <c r="E129" i="18"/>
  <c r="E143" i="18" s="1"/>
  <c r="E219" i="18" s="1"/>
  <c r="P99" i="26"/>
  <c r="H99" i="26"/>
  <c r="F99" i="26"/>
  <c r="M99" i="26"/>
  <c r="K128" i="18"/>
  <c r="K129" i="18" s="1"/>
  <c r="K247" i="18" s="1"/>
  <c r="G27" i="9"/>
  <c r="D25" i="9"/>
  <c r="J19" i="20"/>
  <c r="I228" i="18"/>
  <c r="J4" i="18"/>
  <c r="I240" i="18"/>
  <c r="I255" i="18" s="1"/>
  <c r="K4" i="10"/>
  <c r="J19" i="23"/>
  <c r="E62" i="12"/>
  <c r="J261" i="10"/>
  <c r="J273" i="10" s="1"/>
  <c r="J287" i="10" s="1"/>
  <c r="I19" i="15"/>
  <c r="F129" i="18"/>
  <c r="R99" i="26"/>
  <c r="V99" i="26"/>
  <c r="Y99" i="26"/>
  <c r="W99" i="26"/>
  <c r="Q99" i="26"/>
  <c r="U99" i="26"/>
  <c r="T99" i="26"/>
  <c r="Z99" i="26"/>
  <c r="X99" i="26"/>
  <c r="AA99" i="26"/>
  <c r="AB99" i="26"/>
  <c r="S99" i="26"/>
  <c r="H211" i="8"/>
  <c r="I54" i="8"/>
  <c r="I56" i="8" s="1"/>
  <c r="I57" i="8"/>
  <c r="J23" i="9" s="1"/>
  <c r="I25" i="14"/>
  <c r="K57" i="14"/>
  <c r="I52" i="18"/>
  <c r="H16" i="12"/>
  <c r="L214" i="10"/>
  <c r="T214" i="10" s="1"/>
  <c r="J168" i="10"/>
  <c r="J278" i="10" s="1"/>
  <c r="I88" i="14" s="1"/>
  <c r="G236" i="18"/>
  <c r="AF27" i="26"/>
  <c r="AE27" i="26"/>
  <c r="AN27" i="26"/>
  <c r="AK27" i="26"/>
  <c r="AH27" i="26"/>
  <c r="AI27" i="26"/>
  <c r="AD27" i="26"/>
  <c r="AC27" i="26"/>
  <c r="AL27" i="26"/>
  <c r="AJ27" i="26"/>
  <c r="AG27" i="26"/>
  <c r="H57" i="18"/>
  <c r="AM27" i="26"/>
  <c r="H20" i="12"/>
  <c r="G45" i="9"/>
  <c r="D43" i="9"/>
  <c r="K52" i="9"/>
  <c r="L20" i="9"/>
  <c r="H24" i="12"/>
  <c r="F40" i="9"/>
  <c r="F56" i="9"/>
  <c r="I126" i="10"/>
  <c r="T106" i="10"/>
  <c r="U106" i="10" s="1"/>
  <c r="I127" i="10"/>
  <c r="F32" i="12"/>
  <c r="J126" i="10"/>
  <c r="J127" i="10"/>
  <c r="H12" i="12"/>
  <c r="G35" i="9"/>
  <c r="G13" i="12"/>
  <c r="G14" i="12" s="1"/>
  <c r="G17" i="12" s="1"/>
  <c r="H29" i="12"/>
  <c r="H56" i="18"/>
  <c r="I55" i="18"/>
  <c r="I53" i="18"/>
  <c r="H35" i="12"/>
  <c r="G31" i="12"/>
  <c r="G30" i="12"/>
  <c r="Y24" i="18"/>
  <c r="K32" i="18"/>
  <c r="I19" i="12"/>
  <c r="I20" i="12" s="1"/>
  <c r="I21" i="12" s="1"/>
  <c r="I34" i="12"/>
  <c r="I35" i="12" s="1"/>
  <c r="I36" i="12" s="1"/>
  <c r="I27" i="12"/>
  <c r="I11" i="12"/>
  <c r="I15" i="12" s="1"/>
  <c r="J6" i="12"/>
  <c r="I28" i="12"/>
  <c r="I23" i="12"/>
  <c r="I8" i="12"/>
  <c r="F14" i="12"/>
  <c r="O7" i="24"/>
  <c r="R4" i="24"/>
  <c r="L12" i="24"/>
  <c r="L8" i="24"/>
  <c r="L181" i="10"/>
  <c r="L182" i="10" s="1"/>
  <c r="L184" i="10" s="1"/>
  <c r="P27" i="10"/>
  <c r="O59" i="10"/>
  <c r="O60" i="10" s="1"/>
  <c r="O288" i="10" s="1"/>
  <c r="M262" i="18" s="1"/>
  <c r="M268" i="18" s="1"/>
  <c r="M168" i="10"/>
  <c r="Q26" i="10"/>
  <c r="P58" i="10"/>
  <c r="N60" i="10"/>
  <c r="N288" i="10" s="1"/>
  <c r="K184" i="10"/>
  <c r="M33" i="18"/>
  <c r="K237" i="18"/>
  <c r="G121" i="18"/>
  <c r="AG28" i="26"/>
  <c r="AF28" i="26"/>
  <c r="AN28" i="26"/>
  <c r="AI28" i="26"/>
  <c r="AM28" i="26"/>
  <c r="AE28" i="26"/>
  <c r="AL28" i="26"/>
  <c r="AD28" i="26"/>
  <c r="AK28" i="26"/>
  <c r="AC28" i="26"/>
  <c r="AJ28" i="26"/>
  <c r="AH28" i="26"/>
  <c r="G237" i="18"/>
  <c r="G178" i="18"/>
  <c r="V92" i="26"/>
  <c r="T92" i="26"/>
  <c r="Q92" i="26"/>
  <c r="W92" i="26"/>
  <c r="S92" i="26"/>
  <c r="Y92" i="26"/>
  <c r="U92" i="26"/>
  <c r="R92" i="26"/>
  <c r="X92" i="26"/>
  <c r="AA92" i="26"/>
  <c r="Z92" i="26"/>
  <c r="AB92" i="26"/>
  <c r="F124" i="18"/>
  <c r="F143" i="18" s="1"/>
  <c r="U154" i="18"/>
  <c r="BA89" i="26"/>
  <c r="BB89" i="26" s="1"/>
  <c r="T118" i="18"/>
  <c r="V118" i="18"/>
  <c r="K106" i="26"/>
  <c r="J106" i="26"/>
  <c r="I106" i="26"/>
  <c r="H106" i="26"/>
  <c r="G106" i="26"/>
  <c r="F106" i="26"/>
  <c r="E106" i="26"/>
  <c r="E248" i="18"/>
  <c r="P106" i="26"/>
  <c r="R135" i="18"/>
  <c r="O106" i="26"/>
  <c r="N106" i="26"/>
  <c r="M106" i="26"/>
  <c r="L106" i="26"/>
  <c r="AW106" i="26"/>
  <c r="H248" i="18"/>
  <c r="AT106" i="26"/>
  <c r="AU106" i="26"/>
  <c r="AY106" i="26"/>
  <c r="AS106" i="26"/>
  <c r="AQ106" i="26"/>
  <c r="AR106" i="26"/>
  <c r="AO106" i="26"/>
  <c r="AP106" i="26"/>
  <c r="AX106" i="26"/>
  <c r="AV106" i="26"/>
  <c r="AZ106" i="26"/>
  <c r="C57" i="14"/>
  <c r="T245" i="18"/>
  <c r="AL106" i="26"/>
  <c r="AC106" i="26"/>
  <c r="AM106" i="26"/>
  <c r="AK106" i="26"/>
  <c r="AD106" i="26"/>
  <c r="AF106" i="26"/>
  <c r="AE106" i="26"/>
  <c r="AI106" i="26"/>
  <c r="G248" i="18"/>
  <c r="AJ106" i="26"/>
  <c r="AN106" i="26"/>
  <c r="AG106" i="26"/>
  <c r="AH106" i="26"/>
  <c r="BA104" i="26"/>
  <c r="BB104" i="26" s="1"/>
  <c r="F248" i="18"/>
  <c r="U106" i="26"/>
  <c r="T106" i="26"/>
  <c r="Z106" i="26"/>
  <c r="R106" i="26"/>
  <c r="Y106" i="26"/>
  <c r="X106" i="26"/>
  <c r="AB106" i="26"/>
  <c r="W106" i="26"/>
  <c r="AA106" i="26"/>
  <c r="S106" i="26"/>
  <c r="V106" i="26"/>
  <c r="Q106" i="26"/>
  <c r="I267" i="18" l="1"/>
  <c r="I261" i="18"/>
  <c r="G179" i="18"/>
  <c r="G7" i="27" s="1"/>
  <c r="G6" i="27"/>
  <c r="G13" i="27" s="1"/>
  <c r="L262" i="18"/>
  <c r="L268" i="18" s="1"/>
  <c r="I61" i="12"/>
  <c r="C47" i="12"/>
  <c r="C51" i="12" s="1"/>
  <c r="D45" i="12"/>
  <c r="D47" i="12" s="1"/>
  <c r="D51" i="12" s="1"/>
  <c r="D57" i="12" s="1"/>
  <c r="J55" i="14"/>
  <c r="G253" i="10"/>
  <c r="G284" i="10"/>
  <c r="G285" i="10" s="1"/>
  <c r="G272" i="10" s="1"/>
  <c r="G40" i="12"/>
  <c r="E45" i="12"/>
  <c r="J129" i="10"/>
  <c r="J172" i="10" s="1"/>
  <c r="J173" i="10" s="1"/>
  <c r="J279" i="10" s="1"/>
  <c r="I16" i="12"/>
  <c r="G32" i="12"/>
  <c r="G38" i="12" s="1"/>
  <c r="AJ29" i="26"/>
  <c r="AO63" i="26"/>
  <c r="H94" i="18"/>
  <c r="AP63" i="26"/>
  <c r="AW63" i="26"/>
  <c r="AX63" i="26"/>
  <c r="AZ63" i="26"/>
  <c r="AY63" i="26"/>
  <c r="AQ63" i="26"/>
  <c r="AV63" i="26"/>
  <c r="AS63" i="26"/>
  <c r="AT63" i="26"/>
  <c r="I92" i="18"/>
  <c r="AR63" i="26"/>
  <c r="AU63" i="26"/>
  <c r="I56" i="18"/>
  <c r="J57" i="18" s="1"/>
  <c r="J34" i="18" s="1"/>
  <c r="AK65" i="26"/>
  <c r="AM65" i="26"/>
  <c r="AL65" i="26"/>
  <c r="AF65" i="26"/>
  <c r="AC65" i="26"/>
  <c r="AE65" i="26"/>
  <c r="AJ65" i="26"/>
  <c r="AH65" i="26"/>
  <c r="AN65" i="26"/>
  <c r="AD65" i="26"/>
  <c r="AG65" i="26"/>
  <c r="G243" i="18"/>
  <c r="AI65" i="26"/>
  <c r="G128" i="18"/>
  <c r="H25" i="15"/>
  <c r="D23" i="15"/>
  <c r="L281" i="10"/>
  <c r="I241" i="10"/>
  <c r="C236" i="10"/>
  <c r="T236" i="10"/>
  <c r="AF29" i="26"/>
  <c r="K19" i="20"/>
  <c r="J228" i="18"/>
  <c r="J240" i="18"/>
  <c r="J255" i="18" s="1"/>
  <c r="L4" i="10"/>
  <c r="K19" i="23"/>
  <c r="K4" i="18"/>
  <c r="L215" i="10"/>
  <c r="M215" i="10" s="1"/>
  <c r="T100" i="26"/>
  <c r="R100" i="26"/>
  <c r="F247" i="18"/>
  <c r="Z100" i="26"/>
  <c r="Y100" i="26"/>
  <c r="V100" i="26"/>
  <c r="Q100" i="26"/>
  <c r="AA100" i="26"/>
  <c r="S100" i="26"/>
  <c r="X100" i="26"/>
  <c r="AB100" i="26"/>
  <c r="W100" i="26"/>
  <c r="U100" i="26"/>
  <c r="J22" i="9"/>
  <c r="J25" i="9" s="1"/>
  <c r="J27" i="9" s="1"/>
  <c r="I58" i="8"/>
  <c r="I248" i="8" s="1"/>
  <c r="L100" i="26"/>
  <c r="L114" i="26" s="1"/>
  <c r="L163" i="26" s="1"/>
  <c r="P100" i="26"/>
  <c r="P114" i="26" s="1"/>
  <c r="P163" i="26" s="1"/>
  <c r="N100" i="26"/>
  <c r="N114" i="26" s="1"/>
  <c r="N163" i="26" s="1"/>
  <c r="I100" i="26"/>
  <c r="I114" i="26" s="1"/>
  <c r="I163" i="26" s="1"/>
  <c r="M100" i="26"/>
  <c r="M114" i="26" s="1"/>
  <c r="M163" i="26" s="1"/>
  <c r="K100" i="26"/>
  <c r="K114" i="26" s="1"/>
  <c r="K163" i="26" s="1"/>
  <c r="O100" i="26"/>
  <c r="O114" i="26" s="1"/>
  <c r="O163" i="26" s="1"/>
  <c r="J100" i="26"/>
  <c r="J114" i="26" s="1"/>
  <c r="J163" i="26" s="1"/>
  <c r="G100" i="26"/>
  <c r="G114" i="26" s="1"/>
  <c r="G163" i="26" s="1"/>
  <c r="F100" i="26"/>
  <c r="F114" i="26" s="1"/>
  <c r="F163" i="26" s="1"/>
  <c r="E100" i="26"/>
  <c r="E114" i="26" s="1"/>
  <c r="E247" i="18"/>
  <c r="I59" i="14" s="1"/>
  <c r="H100" i="26"/>
  <c r="H114" i="26" s="1"/>
  <c r="H163" i="26" s="1"/>
  <c r="J54" i="8"/>
  <c r="I211" i="8"/>
  <c r="J57" i="8"/>
  <c r="K23" i="9" s="1"/>
  <c r="F62" i="12"/>
  <c r="K261" i="10"/>
  <c r="K273" i="10" s="1"/>
  <c r="K287" i="10" s="1"/>
  <c r="J19" i="15"/>
  <c r="H191" i="8"/>
  <c r="J191" i="8"/>
  <c r="I191" i="8"/>
  <c r="G191" i="8"/>
  <c r="F191" i="8"/>
  <c r="G30" i="9"/>
  <c r="H30" i="9" s="1"/>
  <c r="I30" i="9" s="1"/>
  <c r="D27" i="9"/>
  <c r="F28" i="9"/>
  <c r="AK29" i="26"/>
  <c r="AM29" i="26"/>
  <c r="AH29" i="26"/>
  <c r="AG29" i="26"/>
  <c r="AN29" i="26"/>
  <c r="AE29" i="26"/>
  <c r="AL29" i="26"/>
  <c r="I236" i="18"/>
  <c r="I151" i="10"/>
  <c r="J176" i="10"/>
  <c r="J178" i="10" s="1"/>
  <c r="J280" i="10" s="1"/>
  <c r="J152" i="10"/>
  <c r="J159" i="10" s="1"/>
  <c r="J160" i="10" s="1"/>
  <c r="H21" i="12"/>
  <c r="I24" i="12"/>
  <c r="I25" i="12" s="1"/>
  <c r="J54" i="18"/>
  <c r="J53" i="18"/>
  <c r="J52" i="18"/>
  <c r="J55" i="18"/>
  <c r="H36" i="12"/>
  <c r="T126" i="10"/>
  <c r="M20" i="9"/>
  <c r="L52" i="9"/>
  <c r="T127" i="10"/>
  <c r="AD29" i="26"/>
  <c r="G54" i="9"/>
  <c r="D54" i="9" s="1"/>
  <c r="H5" i="9" s="1"/>
  <c r="D35" i="9"/>
  <c r="H34" i="18"/>
  <c r="AT28" i="26"/>
  <c r="AR28" i="26"/>
  <c r="AW28" i="26"/>
  <c r="AQ28" i="26"/>
  <c r="AO28" i="26"/>
  <c r="AZ28" i="26"/>
  <c r="AS28" i="26"/>
  <c r="AV28" i="26"/>
  <c r="H237" i="18"/>
  <c r="AP28" i="26"/>
  <c r="AY28" i="26"/>
  <c r="AU28" i="26"/>
  <c r="AX28" i="26"/>
  <c r="F17" i="12"/>
  <c r="F40" i="12" s="1"/>
  <c r="J28" i="12"/>
  <c r="K6" i="12"/>
  <c r="J19" i="12"/>
  <c r="J20" i="12" s="1"/>
  <c r="J21" i="12" s="1"/>
  <c r="J34" i="12"/>
  <c r="J23" i="12"/>
  <c r="J11" i="12"/>
  <c r="J16" i="12" s="1"/>
  <c r="J27" i="12"/>
  <c r="J8" i="12"/>
  <c r="H13" i="12"/>
  <c r="AO27" i="26"/>
  <c r="AR27" i="26"/>
  <c r="AY27" i="26"/>
  <c r="AX27" i="26"/>
  <c r="AZ27" i="26"/>
  <c r="I237" i="18"/>
  <c r="AT27" i="26"/>
  <c r="AU27" i="26"/>
  <c r="AQ27" i="26"/>
  <c r="AS27" i="26"/>
  <c r="AV27" i="26"/>
  <c r="AW27" i="26"/>
  <c r="H236" i="18"/>
  <c r="AP27" i="26"/>
  <c r="H121" i="18"/>
  <c r="H178" i="18"/>
  <c r="F57" i="9"/>
  <c r="D45" i="9"/>
  <c r="G50" i="9"/>
  <c r="D50" i="9" s="1"/>
  <c r="Z24" i="18"/>
  <c r="L32" i="18"/>
  <c r="I29" i="12"/>
  <c r="AI29" i="26"/>
  <c r="I12" i="12"/>
  <c r="H30" i="12"/>
  <c r="H31" i="12"/>
  <c r="I129" i="10"/>
  <c r="H25" i="12"/>
  <c r="R7" i="24"/>
  <c r="U4" i="24"/>
  <c r="O12" i="24"/>
  <c r="O8" i="24"/>
  <c r="R26" i="10"/>
  <c r="R58" i="10" s="1"/>
  <c r="Q58" i="10"/>
  <c r="O67" i="10"/>
  <c r="O163" i="10"/>
  <c r="O290" i="10" s="1"/>
  <c r="M264" i="18" s="1"/>
  <c r="M270" i="18" s="1"/>
  <c r="O165" i="10"/>
  <c r="O268" i="10"/>
  <c r="M278" i="10"/>
  <c r="M181" i="10"/>
  <c r="M182" i="10" s="1"/>
  <c r="M281" i="10" s="1"/>
  <c r="Q27" i="10"/>
  <c r="P59" i="10"/>
  <c r="P60" i="10" s="1"/>
  <c r="P288" i="10" s="1"/>
  <c r="N268" i="10"/>
  <c r="N163" i="10"/>
  <c r="N290" i="10" s="1"/>
  <c r="N165" i="10"/>
  <c r="N33" i="18"/>
  <c r="M54" i="18"/>
  <c r="AJ92" i="26"/>
  <c r="AI92" i="26"/>
  <c r="AM92" i="26"/>
  <c r="AL92" i="26"/>
  <c r="AH92" i="26"/>
  <c r="AD92" i="26"/>
  <c r="AK92" i="26"/>
  <c r="AE92" i="26"/>
  <c r="AG92" i="26"/>
  <c r="G124" i="18"/>
  <c r="AC92" i="26"/>
  <c r="AN92" i="26"/>
  <c r="AF92" i="26"/>
  <c r="AB95" i="26"/>
  <c r="Y95" i="26"/>
  <c r="AA95" i="26"/>
  <c r="X95" i="26"/>
  <c r="W95" i="26"/>
  <c r="Q95" i="26"/>
  <c r="R95" i="26"/>
  <c r="S95" i="26"/>
  <c r="T95" i="26"/>
  <c r="U95" i="26"/>
  <c r="V95" i="26"/>
  <c r="Z95" i="26"/>
  <c r="F246" i="18"/>
  <c r="I58" i="14" s="1"/>
  <c r="I60" i="14"/>
  <c r="K60" i="14" s="1"/>
  <c r="BA106" i="26"/>
  <c r="BB106" i="26" s="1"/>
  <c r="R248" i="18"/>
  <c r="Y114" i="26"/>
  <c r="S114" i="26"/>
  <c r="T114" i="26"/>
  <c r="AB114" i="26"/>
  <c r="AA114" i="26"/>
  <c r="X114" i="26"/>
  <c r="Q114" i="26"/>
  <c r="R114" i="26"/>
  <c r="V114" i="26"/>
  <c r="W114" i="26"/>
  <c r="Z114" i="26"/>
  <c r="U114" i="26"/>
  <c r="D57" i="14"/>
  <c r="C25" i="14"/>
  <c r="O18" i="14" s="1"/>
  <c r="O49" i="14"/>
  <c r="E57" i="14"/>
  <c r="E221" i="18"/>
  <c r="E252" i="18"/>
  <c r="J261" i="18" l="1"/>
  <c r="J267" i="18"/>
  <c r="H179" i="18"/>
  <c r="H7" i="27" s="1"/>
  <c r="H6" i="27"/>
  <c r="H13" i="27" s="1"/>
  <c r="J275" i="10"/>
  <c r="L264" i="18"/>
  <c r="L270" i="18" s="1"/>
  <c r="N262" i="18"/>
  <c r="N268" i="18" s="1"/>
  <c r="J277" i="10"/>
  <c r="J61" i="12"/>
  <c r="C57" i="12"/>
  <c r="F54" i="12"/>
  <c r="E47" i="12"/>
  <c r="E51" i="12" s="1"/>
  <c r="E57" i="12" s="1"/>
  <c r="F38" i="12"/>
  <c r="C93" i="12" s="1"/>
  <c r="G42" i="12"/>
  <c r="G54" i="12"/>
  <c r="G55" i="12" s="1"/>
  <c r="G43" i="12"/>
  <c r="G49" i="12"/>
  <c r="G50" i="12"/>
  <c r="F49" i="12"/>
  <c r="F50" i="12"/>
  <c r="G41" i="12"/>
  <c r="G44" i="12"/>
  <c r="F42" i="12"/>
  <c r="F43" i="12"/>
  <c r="F44" i="12"/>
  <c r="F41" i="12"/>
  <c r="H28" i="15"/>
  <c r="I28" i="15" s="1"/>
  <c r="J28" i="15" s="1"/>
  <c r="K28" i="15" s="1"/>
  <c r="L28" i="15" s="1"/>
  <c r="M28" i="15" s="1"/>
  <c r="N28" i="15" s="1"/>
  <c r="O28" i="15" s="1"/>
  <c r="P28" i="15" s="1"/>
  <c r="Q28" i="15" s="1"/>
  <c r="R28" i="15" s="1"/>
  <c r="D25" i="15"/>
  <c r="F27" i="15"/>
  <c r="AJ99" i="26"/>
  <c r="AH99" i="26"/>
  <c r="AN99" i="26"/>
  <c r="AF99" i="26"/>
  <c r="AI99" i="26"/>
  <c r="AE99" i="26"/>
  <c r="AL99" i="26"/>
  <c r="AM99" i="26"/>
  <c r="AG99" i="26"/>
  <c r="AC99" i="26"/>
  <c r="AK99" i="26"/>
  <c r="G129" i="18"/>
  <c r="AD99" i="26"/>
  <c r="J92" i="18"/>
  <c r="I94" i="18"/>
  <c r="AY65" i="26"/>
  <c r="AZ65" i="26"/>
  <c r="AP65" i="26"/>
  <c r="AX65" i="26"/>
  <c r="AU65" i="26"/>
  <c r="AS65" i="26"/>
  <c r="H243" i="18"/>
  <c r="H128" i="18"/>
  <c r="AW65" i="26"/>
  <c r="AQ65" i="26"/>
  <c r="AR65" i="26"/>
  <c r="AO65" i="26"/>
  <c r="AV65" i="26"/>
  <c r="AT65" i="26"/>
  <c r="C241" i="10"/>
  <c r="T241" i="10"/>
  <c r="BA63" i="26"/>
  <c r="BB63" i="26" s="1"/>
  <c r="J12" i="12"/>
  <c r="J30" i="9"/>
  <c r="K228" i="18"/>
  <c r="L4" i="18"/>
  <c r="L19" i="23"/>
  <c r="K240" i="18"/>
  <c r="K255" i="18" s="1"/>
  <c r="L19" i="20"/>
  <c r="M4" i="10"/>
  <c r="J59" i="14"/>
  <c r="K59" i="14"/>
  <c r="H47" i="9"/>
  <c r="G195" i="8"/>
  <c r="G62" i="12"/>
  <c r="K19" i="15"/>
  <c r="L261" i="10"/>
  <c r="L273" i="10" s="1"/>
  <c r="L287" i="10" s="1"/>
  <c r="J237" i="18"/>
  <c r="J47" i="9"/>
  <c r="I195" i="8"/>
  <c r="K47" i="9"/>
  <c r="J195" i="8"/>
  <c r="J56" i="8"/>
  <c r="J58" i="8"/>
  <c r="J248" i="8" s="1"/>
  <c r="K22" i="9"/>
  <c r="K25" i="9" s="1"/>
  <c r="K27" i="9" s="1"/>
  <c r="J181" i="10"/>
  <c r="J182" i="10" s="1"/>
  <c r="J281" i="10" s="1"/>
  <c r="R191" i="8"/>
  <c r="V191" i="8" s="1"/>
  <c r="F195" i="8"/>
  <c r="G47" i="9"/>
  <c r="D47" i="9" s="1"/>
  <c r="I47" i="9"/>
  <c r="H195" i="8"/>
  <c r="AX29" i="26"/>
  <c r="BA28" i="26"/>
  <c r="BB28" i="26" s="1"/>
  <c r="AU29" i="26"/>
  <c r="BA27" i="26"/>
  <c r="BB27" i="26" s="1"/>
  <c r="I275" i="10"/>
  <c r="I85" i="14" s="1"/>
  <c r="I23" i="14" s="1"/>
  <c r="T129" i="10"/>
  <c r="U107" i="10" s="1"/>
  <c r="I176" i="10"/>
  <c r="I172" i="10"/>
  <c r="H151" i="10"/>
  <c r="I152" i="10"/>
  <c r="T152" i="10" s="1"/>
  <c r="I13" i="12"/>
  <c r="I14" i="12" s="1"/>
  <c r="I17" i="12" s="1"/>
  <c r="J35" i="12"/>
  <c r="AQ29" i="26"/>
  <c r="H14" i="12"/>
  <c r="AY29" i="26"/>
  <c r="AW29" i="26"/>
  <c r="J56" i="18"/>
  <c r="I178" i="18"/>
  <c r="H32" i="12"/>
  <c r="K34" i="12"/>
  <c r="K35" i="12" s="1"/>
  <c r="K36" i="12" s="1"/>
  <c r="K19" i="12"/>
  <c r="K20" i="12" s="1"/>
  <c r="L6" i="12"/>
  <c r="K11" i="12"/>
  <c r="K15" i="12" s="1"/>
  <c r="K23" i="12"/>
  <c r="K24" i="12" s="1"/>
  <c r="K25" i="12" s="1"/>
  <c r="K27" i="12"/>
  <c r="K28" i="12"/>
  <c r="K8" i="12"/>
  <c r="AP29" i="26"/>
  <c r="AR29" i="26"/>
  <c r="I121" i="18"/>
  <c r="J15" i="12"/>
  <c r="AT29" i="26"/>
  <c r="AZ92" i="26"/>
  <c r="AS92" i="26"/>
  <c r="AX92" i="26"/>
  <c r="AP92" i="26"/>
  <c r="AT92" i="26"/>
  <c r="AQ92" i="26"/>
  <c r="AY92" i="26"/>
  <c r="AO92" i="26"/>
  <c r="AV92" i="26"/>
  <c r="H124" i="18"/>
  <c r="AW92" i="26"/>
  <c r="AU92" i="26"/>
  <c r="AR92" i="26"/>
  <c r="AV29" i="26"/>
  <c r="N20" i="9"/>
  <c r="M52" i="9"/>
  <c r="M32" i="18"/>
  <c r="N32" i="18" s="1"/>
  <c r="O32" i="18" s="1"/>
  <c r="P32" i="18" s="1"/>
  <c r="Q32" i="18" s="1"/>
  <c r="AA24" i="18"/>
  <c r="I34" i="18"/>
  <c r="J29" i="12"/>
  <c r="AS29" i="26"/>
  <c r="J24" i="12"/>
  <c r="I30" i="12"/>
  <c r="I31" i="12"/>
  <c r="K55" i="18"/>
  <c r="K52" i="18"/>
  <c r="K53" i="18"/>
  <c r="K54" i="18"/>
  <c r="AZ29" i="26"/>
  <c r="R12" i="24"/>
  <c r="R8" i="24"/>
  <c r="U7" i="24"/>
  <c r="X4" i="24"/>
  <c r="P67" i="10"/>
  <c r="P165" i="10"/>
  <c r="P163" i="10"/>
  <c r="P290" i="10" s="1"/>
  <c r="N264" i="18" s="1"/>
  <c r="N270" i="18" s="1"/>
  <c r="P268" i="10"/>
  <c r="Q59" i="10"/>
  <c r="Q60" i="10" s="1"/>
  <c r="Q288" i="10" s="1"/>
  <c r="R27" i="10"/>
  <c r="R59" i="10" s="1"/>
  <c r="M184" i="10"/>
  <c r="O168" i="10"/>
  <c r="T58" i="10"/>
  <c r="M56" i="18"/>
  <c r="M236" i="18" s="1"/>
  <c r="N54" i="18"/>
  <c r="O33" i="18"/>
  <c r="J60" i="14"/>
  <c r="AL95" i="26"/>
  <c r="AD95" i="26"/>
  <c r="AM95" i="26"/>
  <c r="AN95" i="26"/>
  <c r="AH95" i="26"/>
  <c r="AG95" i="26"/>
  <c r="AC95" i="26"/>
  <c r="AE95" i="26"/>
  <c r="AF95" i="26"/>
  <c r="G246" i="18"/>
  <c r="AJ95" i="26"/>
  <c r="AK95" i="26"/>
  <c r="AI95" i="26"/>
  <c r="G143" i="18"/>
  <c r="J58" i="14"/>
  <c r="K58" i="14"/>
  <c r="I26" i="14"/>
  <c r="E163" i="26"/>
  <c r="E165" i="26" s="1"/>
  <c r="F165" i="26" s="1"/>
  <c r="G165" i="26" s="1"/>
  <c r="H165" i="26" s="1"/>
  <c r="I165" i="26" s="1"/>
  <c r="J165" i="26" s="1"/>
  <c r="K165" i="26" s="1"/>
  <c r="L165" i="26" s="1"/>
  <c r="M165" i="26" s="1"/>
  <c r="N165" i="26" s="1"/>
  <c r="O165" i="26" s="1"/>
  <c r="P165" i="26" s="1"/>
  <c r="T248" i="18"/>
  <c r="C60" i="14"/>
  <c r="K261" i="18" l="1"/>
  <c r="K267" i="18"/>
  <c r="I179" i="18"/>
  <c r="I6" i="27"/>
  <c r="I13" i="27" s="1"/>
  <c r="I124" i="18"/>
  <c r="I246" i="18" s="1"/>
  <c r="I258" i="18"/>
  <c r="O262" i="18"/>
  <c r="O268" i="18" s="1"/>
  <c r="S289" i="10"/>
  <c r="Q289" i="10"/>
  <c r="O263" i="18" s="1"/>
  <c r="O269" i="18" s="1"/>
  <c r="R289" i="10"/>
  <c r="P289" i="10"/>
  <c r="N289" i="10"/>
  <c r="O289" i="10"/>
  <c r="M289" i="10"/>
  <c r="L289" i="10"/>
  <c r="G289" i="10"/>
  <c r="K289" i="10"/>
  <c r="J289" i="10"/>
  <c r="F55" i="12"/>
  <c r="G45" i="12"/>
  <c r="I40" i="12"/>
  <c r="I54" i="12" s="1"/>
  <c r="I55" i="12" s="1"/>
  <c r="J184" i="10"/>
  <c r="I159" i="10"/>
  <c r="I160" i="10" s="1"/>
  <c r="J13" i="12"/>
  <c r="J14" i="12" s="1"/>
  <c r="J17" i="12" s="1"/>
  <c r="K30" i="9"/>
  <c r="BA65" i="26"/>
  <c r="BB65" i="26" s="1"/>
  <c r="G247" i="18"/>
  <c r="AG100" i="26"/>
  <c r="AN100" i="26"/>
  <c r="AC100" i="26"/>
  <c r="AJ100" i="26"/>
  <c r="AD100" i="26"/>
  <c r="AK100" i="26"/>
  <c r="AF100" i="26"/>
  <c r="AL100" i="26"/>
  <c r="AH100" i="26"/>
  <c r="AE100" i="26"/>
  <c r="AI100" i="26"/>
  <c r="AM100" i="26"/>
  <c r="AR99" i="26"/>
  <c r="AV99" i="26"/>
  <c r="AO99" i="26"/>
  <c r="AS99" i="26"/>
  <c r="AW99" i="26"/>
  <c r="AZ99" i="26"/>
  <c r="H129" i="18"/>
  <c r="AT99" i="26"/>
  <c r="AP99" i="26"/>
  <c r="AU99" i="26"/>
  <c r="AQ99" i="26"/>
  <c r="AX99" i="26"/>
  <c r="AY99" i="26"/>
  <c r="I243" i="18"/>
  <c r="I128" i="18"/>
  <c r="J94" i="18"/>
  <c r="R92" i="18"/>
  <c r="T92" i="18" s="1"/>
  <c r="L19" i="15"/>
  <c r="M261" i="10"/>
  <c r="M273" i="10" s="1"/>
  <c r="M287" i="10" s="1"/>
  <c r="H62" i="12"/>
  <c r="I32" i="12"/>
  <c r="I38" i="12" s="1"/>
  <c r="K16" i="12"/>
  <c r="H256" i="8"/>
  <c r="H197" i="8"/>
  <c r="J211" i="8"/>
  <c r="K54" i="8"/>
  <c r="K56" i="8" s="1"/>
  <c r="K57" i="8"/>
  <c r="L23" i="9" s="1"/>
  <c r="J197" i="8"/>
  <c r="J256" i="8"/>
  <c r="G256" i="8"/>
  <c r="G197" i="8"/>
  <c r="L228" i="18"/>
  <c r="M4" i="18"/>
  <c r="L240" i="18"/>
  <c r="L255" i="18" s="1"/>
  <c r="M19" i="23"/>
  <c r="N4" i="10"/>
  <c r="M19" i="20"/>
  <c r="R195" i="8"/>
  <c r="F256" i="8"/>
  <c r="F197" i="8"/>
  <c r="I256" i="8"/>
  <c r="I197" i="8"/>
  <c r="T59" i="10"/>
  <c r="BA92" i="26"/>
  <c r="BB92" i="26" s="1"/>
  <c r="J25" i="12"/>
  <c r="AU95" i="26"/>
  <c r="AR95" i="26"/>
  <c r="AW95" i="26"/>
  <c r="AZ95" i="26"/>
  <c r="AX95" i="26"/>
  <c r="H246" i="18"/>
  <c r="AQ95" i="26"/>
  <c r="AY95" i="26"/>
  <c r="AS95" i="26"/>
  <c r="AO95" i="26"/>
  <c r="AT95" i="26"/>
  <c r="AP95" i="26"/>
  <c r="AV95" i="26"/>
  <c r="J236" i="18"/>
  <c r="J58" i="18"/>
  <c r="J238" i="18" s="1"/>
  <c r="J121" i="18"/>
  <c r="J124" i="18" s="1"/>
  <c r="H159" i="10"/>
  <c r="T151" i="10"/>
  <c r="K56" i="18"/>
  <c r="N52" i="9"/>
  <c r="O20" i="9"/>
  <c r="T172" i="10"/>
  <c r="I173" i="10"/>
  <c r="K29" i="12"/>
  <c r="H17" i="12"/>
  <c r="H40" i="12" s="1"/>
  <c r="U129" i="10"/>
  <c r="T275" i="10"/>
  <c r="J36" i="12"/>
  <c r="I178" i="10"/>
  <c r="T176" i="10"/>
  <c r="J31" i="12"/>
  <c r="J30" i="12"/>
  <c r="F45" i="12"/>
  <c r="M6" i="12"/>
  <c r="L11" i="12"/>
  <c r="L16" i="12" s="1"/>
  <c r="L23" i="12"/>
  <c r="L28" i="12"/>
  <c r="L19" i="12"/>
  <c r="L27" i="12"/>
  <c r="L34" i="12"/>
  <c r="L8" i="12"/>
  <c r="K12" i="12"/>
  <c r="K21" i="12"/>
  <c r="U12" i="24"/>
  <c r="U8" i="24"/>
  <c r="X7" i="24"/>
  <c r="P168" i="10"/>
  <c r="P278" i="10" s="1"/>
  <c r="Q165" i="10"/>
  <c r="Q163" i="10"/>
  <c r="Q290" i="10" s="1"/>
  <c r="O264" i="18" s="1"/>
  <c r="O270" i="18" s="1"/>
  <c r="Q268" i="10"/>
  <c r="Q67" i="10"/>
  <c r="O278" i="10"/>
  <c r="O181" i="10"/>
  <c r="O182" i="10" s="1"/>
  <c r="O281" i="10" s="1"/>
  <c r="R60" i="10"/>
  <c r="R288" i="10" s="1"/>
  <c r="P262" i="18" s="1"/>
  <c r="P268" i="18" s="1"/>
  <c r="O54" i="18"/>
  <c r="P33" i="18"/>
  <c r="N56" i="18"/>
  <c r="N236" i="18" s="1"/>
  <c r="AM114" i="26"/>
  <c r="AK114" i="26"/>
  <c r="AD114" i="26"/>
  <c r="AF114" i="26"/>
  <c r="AE114" i="26"/>
  <c r="AI114" i="26"/>
  <c r="AN114" i="26"/>
  <c r="AJ114" i="26"/>
  <c r="AG114" i="26"/>
  <c r="AH114" i="26"/>
  <c r="AL114" i="26"/>
  <c r="AC114" i="26"/>
  <c r="E60" i="14"/>
  <c r="O52" i="14"/>
  <c r="D60" i="14"/>
  <c r="L261" i="18" l="1"/>
  <c r="L267" i="18"/>
  <c r="J178" i="18"/>
  <c r="I7" i="27"/>
  <c r="R258" i="18"/>
  <c r="I259" i="18"/>
  <c r="R259" i="18" s="1"/>
  <c r="I270" i="18"/>
  <c r="T159" i="10"/>
  <c r="I277" i="10"/>
  <c r="I289" i="10"/>
  <c r="J291" i="10"/>
  <c r="H265" i="18" s="1"/>
  <c r="H271" i="18" s="1"/>
  <c r="H263" i="18"/>
  <c r="H269" i="18" s="1"/>
  <c r="T288" i="10"/>
  <c r="R262" i="18" s="1"/>
  <c r="R268" i="18" s="1"/>
  <c r="K291" i="10"/>
  <c r="I265" i="18" s="1"/>
  <c r="I271" i="18" s="1"/>
  <c r="I263" i="18"/>
  <c r="I269" i="18" s="1"/>
  <c r="G291" i="10"/>
  <c r="E263" i="18"/>
  <c r="E269" i="18" s="1"/>
  <c r="L291" i="10"/>
  <c r="J265" i="18" s="1"/>
  <c r="J271" i="18" s="1"/>
  <c r="J263" i="18"/>
  <c r="J269" i="18" s="1"/>
  <c r="M291" i="10"/>
  <c r="K265" i="18" s="1"/>
  <c r="K271" i="18" s="1"/>
  <c r="K263" i="18"/>
  <c r="K269" i="18" s="1"/>
  <c r="O291" i="10"/>
  <c r="M265" i="18" s="1"/>
  <c r="M271" i="18" s="1"/>
  <c r="M263" i="18"/>
  <c r="M269" i="18" s="1"/>
  <c r="N291" i="10"/>
  <c r="L265" i="18" s="1"/>
  <c r="L271" i="18" s="1"/>
  <c r="L263" i="18"/>
  <c r="L269" i="18" s="1"/>
  <c r="N263" i="18"/>
  <c r="N269" i="18" s="1"/>
  <c r="P291" i="10"/>
  <c r="N265" i="18" s="1"/>
  <c r="N271" i="18" s="1"/>
  <c r="P263" i="18"/>
  <c r="P269" i="18" s="1"/>
  <c r="S291" i="10"/>
  <c r="Q265" i="18" s="1"/>
  <c r="Q271" i="18" s="1"/>
  <c r="Q263" i="18"/>
  <c r="Q269" i="18" s="1"/>
  <c r="Q291" i="10"/>
  <c r="O265" i="18" s="1"/>
  <c r="O271" i="18" s="1"/>
  <c r="I181" i="10"/>
  <c r="I182" i="10" s="1"/>
  <c r="I281" i="10" s="1"/>
  <c r="H54" i="12"/>
  <c r="G47" i="12"/>
  <c r="G51" i="12" s="1"/>
  <c r="G57" i="12" s="1"/>
  <c r="F47" i="12"/>
  <c r="H38" i="12"/>
  <c r="H50" i="12"/>
  <c r="H49" i="12"/>
  <c r="I49" i="12"/>
  <c r="I50" i="12"/>
  <c r="H44" i="12"/>
  <c r="H42" i="12"/>
  <c r="H41" i="12"/>
  <c r="H43" i="12"/>
  <c r="I41" i="12"/>
  <c r="I43" i="12"/>
  <c r="I42" i="12"/>
  <c r="I44" i="12"/>
  <c r="J40" i="12"/>
  <c r="J54" i="12" s="1"/>
  <c r="J55" i="12" s="1"/>
  <c r="L12" i="12"/>
  <c r="BA99" i="26"/>
  <c r="BB99" i="26" s="1"/>
  <c r="J128" i="18"/>
  <c r="J129" i="18" s="1"/>
  <c r="J247" i="18" s="1"/>
  <c r="J243" i="18"/>
  <c r="R94" i="18"/>
  <c r="R128" i="18"/>
  <c r="I129" i="18"/>
  <c r="AX100" i="26"/>
  <c r="AQ100" i="26"/>
  <c r="AP100" i="26"/>
  <c r="AT100" i="26"/>
  <c r="AS100" i="26"/>
  <c r="AY100" i="26"/>
  <c r="AZ100" i="26"/>
  <c r="AV100" i="26"/>
  <c r="AR100" i="26"/>
  <c r="H247" i="18"/>
  <c r="AO100" i="26"/>
  <c r="AW100" i="26"/>
  <c r="AU100" i="26"/>
  <c r="H143" i="18"/>
  <c r="AW114" i="26" s="1"/>
  <c r="N261" i="10"/>
  <c r="N273" i="10" s="1"/>
  <c r="N287" i="10" s="1"/>
  <c r="I62" i="12"/>
  <c r="M19" i="15"/>
  <c r="M228" i="18"/>
  <c r="N19" i="20"/>
  <c r="O4" i="10"/>
  <c r="N19" i="23"/>
  <c r="N4" i="18"/>
  <c r="M240" i="18"/>
  <c r="M255" i="18" s="1"/>
  <c r="L22" i="9"/>
  <c r="L25" i="9" s="1"/>
  <c r="L27" i="9" s="1"/>
  <c r="L30" i="9" s="1"/>
  <c r="K58" i="8"/>
  <c r="L54" i="8"/>
  <c r="K211" i="8"/>
  <c r="L57" i="8"/>
  <c r="M23" i="9" s="1"/>
  <c r="F228" i="8"/>
  <c r="R197" i="8"/>
  <c r="T197" i="8" s="1"/>
  <c r="U29" i="8"/>
  <c r="U30" i="8" s="1"/>
  <c r="U33" i="8" s="1"/>
  <c r="U34" i="8" s="1"/>
  <c r="P181" i="10"/>
  <c r="P182" i="10" s="1"/>
  <c r="P281" i="10" s="1"/>
  <c r="T195" i="8"/>
  <c r="R256" i="8"/>
  <c r="BA95" i="26"/>
  <c r="BB95" i="26" s="1"/>
  <c r="K13" i="12"/>
  <c r="J143" i="18"/>
  <c r="J246" i="18"/>
  <c r="L24" i="12"/>
  <c r="J32" i="12"/>
  <c r="J38" i="12" s="1"/>
  <c r="L20" i="12"/>
  <c r="AP114" i="26"/>
  <c r="AY114" i="26"/>
  <c r="AV114" i="26"/>
  <c r="K30" i="12"/>
  <c r="K31" i="12"/>
  <c r="P20" i="9"/>
  <c r="O52" i="9"/>
  <c r="L15" i="12"/>
  <c r="N6" i="12"/>
  <c r="M19" i="12"/>
  <c r="M20" i="12" s="1"/>
  <c r="M21" i="12" s="1"/>
  <c r="M28" i="12"/>
  <c r="M27" i="12"/>
  <c r="M34" i="12"/>
  <c r="M35" i="12" s="1"/>
  <c r="M36" i="12" s="1"/>
  <c r="M11" i="12"/>
  <c r="M16" i="12" s="1"/>
  <c r="M23" i="12"/>
  <c r="M24" i="12" s="1"/>
  <c r="M25" i="12" s="1"/>
  <c r="M8" i="12"/>
  <c r="C85" i="14"/>
  <c r="O78" i="14" s="1"/>
  <c r="V275" i="10"/>
  <c r="T178" i="10"/>
  <c r="T280" i="10" s="1"/>
  <c r="I280" i="10"/>
  <c r="I90" i="14" s="1"/>
  <c r="I28" i="14" s="1"/>
  <c r="T173" i="10"/>
  <c r="T279" i="10" s="1"/>
  <c r="I279" i="10"/>
  <c r="I89" i="14" s="1"/>
  <c r="I27" i="14" s="1"/>
  <c r="K58" i="18"/>
  <c r="K238" i="18" s="1"/>
  <c r="K236" i="18"/>
  <c r="K121" i="18"/>
  <c r="L35" i="12"/>
  <c r="H160" i="10"/>
  <c r="H289" i="10" s="1"/>
  <c r="L29" i="12"/>
  <c r="X12" i="24"/>
  <c r="X8" i="24"/>
  <c r="Q168" i="10"/>
  <c r="Q278" i="10" s="1"/>
  <c r="O184" i="10"/>
  <c r="R268" i="10"/>
  <c r="R165" i="10"/>
  <c r="T165" i="10" s="1"/>
  <c r="R163" i="10"/>
  <c r="R290" i="10" s="1"/>
  <c r="P264" i="18" s="1"/>
  <c r="P270" i="18" s="1"/>
  <c r="R67" i="10"/>
  <c r="T60" i="10"/>
  <c r="T268" i="10" s="1"/>
  <c r="P54" i="18"/>
  <c r="Q33" i="18"/>
  <c r="Q54" i="18" s="1"/>
  <c r="AA20" i="18" a="1"/>
  <c r="O56" i="18"/>
  <c r="O236" i="18" s="1"/>
  <c r="M261" i="18" l="1"/>
  <c r="M267" i="18"/>
  <c r="R178" i="18"/>
  <c r="J6" i="27"/>
  <c r="J13" i="27" s="1"/>
  <c r="J179" i="18"/>
  <c r="H291" i="10"/>
  <c r="F265" i="18" s="1"/>
  <c r="F271" i="18" s="1"/>
  <c r="F263" i="18"/>
  <c r="F269" i="18" s="1"/>
  <c r="T289" i="10"/>
  <c r="R263" i="18" s="1"/>
  <c r="R269" i="18" s="1"/>
  <c r="I184" i="10"/>
  <c r="Q181" i="10"/>
  <c r="Q182" i="10" s="1"/>
  <c r="Q281" i="10" s="1"/>
  <c r="E265" i="18"/>
  <c r="E271" i="18" s="1"/>
  <c r="T290" i="10"/>
  <c r="R264" i="18" s="1"/>
  <c r="R270" i="18" s="1"/>
  <c r="R291" i="10"/>
  <c r="P265" i="18" s="1"/>
  <c r="P271" i="18" s="1"/>
  <c r="G263" i="18"/>
  <c r="G269" i="18" s="1"/>
  <c r="I291" i="10"/>
  <c r="G265" i="18" s="1"/>
  <c r="G271" i="18" s="1"/>
  <c r="F51" i="12"/>
  <c r="H55" i="12"/>
  <c r="J49" i="12"/>
  <c r="J50" i="12"/>
  <c r="AO114" i="26"/>
  <c r="AS114" i="26"/>
  <c r="AT114" i="26"/>
  <c r="AZ114" i="26"/>
  <c r="I45" i="12"/>
  <c r="J41" i="12"/>
  <c r="J42" i="12"/>
  <c r="J44" i="12"/>
  <c r="J43" i="12"/>
  <c r="AR114" i="26"/>
  <c r="AX114" i="26"/>
  <c r="AQ114" i="26"/>
  <c r="AU114" i="26"/>
  <c r="L13" i="12"/>
  <c r="L14" i="12" s="1"/>
  <c r="L17" i="12" s="1"/>
  <c r="BA100" i="26"/>
  <c r="BB100" i="26" s="1"/>
  <c r="P184" i="10"/>
  <c r="R129" i="18"/>
  <c r="R247" i="18" s="1"/>
  <c r="I143" i="18"/>
  <c r="I247" i="18"/>
  <c r="T94" i="18"/>
  <c r="R243" i="18"/>
  <c r="V94" i="18"/>
  <c r="M29" i="12"/>
  <c r="M31" i="12" s="1"/>
  <c r="L56" i="8"/>
  <c r="M22" i="9"/>
  <c r="M25" i="9" s="1"/>
  <c r="M27" i="9" s="1"/>
  <c r="M30" i="9" s="1"/>
  <c r="L58" i="8"/>
  <c r="O19" i="23"/>
  <c r="O19" i="20"/>
  <c r="N240" i="18"/>
  <c r="N255" i="18" s="1"/>
  <c r="N228" i="18"/>
  <c r="P4" i="10"/>
  <c r="O4" i="18"/>
  <c r="R54" i="8"/>
  <c r="T54" i="8" s="1"/>
  <c r="T58" i="8" s="1"/>
  <c r="F259" i="8"/>
  <c r="R228" i="8"/>
  <c r="R259" i="8" s="1"/>
  <c r="K248" i="8"/>
  <c r="K197" i="8"/>
  <c r="J62" i="12"/>
  <c r="N19" i="15"/>
  <c r="O261" i="10"/>
  <c r="O273" i="10" s="1"/>
  <c r="O287" i="10" s="1"/>
  <c r="M15" i="12"/>
  <c r="M12" i="12"/>
  <c r="K124" i="18"/>
  <c r="R121" i="18"/>
  <c r="O55" i="14" s="1"/>
  <c r="F31" i="8"/>
  <c r="V34" i="8"/>
  <c r="K14" i="12"/>
  <c r="L31" i="12"/>
  <c r="L30" i="12"/>
  <c r="K32" i="12"/>
  <c r="L25" i="12"/>
  <c r="O6" i="12"/>
  <c r="N19" i="12"/>
  <c r="N20" i="12" s="1"/>
  <c r="N21" i="12" s="1"/>
  <c r="N34" i="12"/>
  <c r="N27" i="12"/>
  <c r="N11" i="12"/>
  <c r="N16" i="12" s="1"/>
  <c r="N28" i="12"/>
  <c r="N23" i="12"/>
  <c r="N24" i="12" s="1"/>
  <c r="N25" i="12" s="1"/>
  <c r="N8" i="12"/>
  <c r="H45" i="12"/>
  <c r="H47" i="12" s="1"/>
  <c r="H277" i="10"/>
  <c r="I87" i="14" s="1"/>
  <c r="I24" i="14" s="1"/>
  <c r="T160" i="10"/>
  <c r="T277" i="10" s="1"/>
  <c r="H181" i="10"/>
  <c r="H182" i="10" s="1"/>
  <c r="L36" i="12"/>
  <c r="C89" i="14"/>
  <c r="V279" i="10"/>
  <c r="P52" i="9"/>
  <c r="Q20" i="9"/>
  <c r="L21" i="12"/>
  <c r="V280" i="10"/>
  <c r="C90" i="14"/>
  <c r="C200" i="8"/>
  <c r="C34" i="8"/>
  <c r="Q184" i="10"/>
  <c r="C79" i="14"/>
  <c r="O73" i="14" s="1"/>
  <c r="V268" i="10"/>
  <c r="R168" i="10"/>
  <c r="T163" i="10"/>
  <c r="O55" i="18"/>
  <c r="P55" i="18"/>
  <c r="AA20" i="18"/>
  <c r="M55" i="18"/>
  <c r="M58" i="18" s="1"/>
  <c r="M238" i="18" s="1"/>
  <c r="N55" i="18"/>
  <c r="N57" i="18"/>
  <c r="N237" i="18" s="1"/>
  <c r="O57" i="18"/>
  <c r="O237" i="18" s="1"/>
  <c r="P57" i="18"/>
  <c r="P237" i="18" s="1"/>
  <c r="Q56" i="18"/>
  <c r="Q236" i="18" s="1"/>
  <c r="P56" i="18"/>
  <c r="P236" i="18" s="1"/>
  <c r="N267" i="18" l="1"/>
  <c r="N261" i="18"/>
  <c r="K179" i="18"/>
  <c r="L179" i="18" s="1"/>
  <c r="J7" i="27"/>
  <c r="T291" i="10"/>
  <c r="R265" i="18" s="1"/>
  <c r="R271" i="18" s="1"/>
  <c r="F57" i="12"/>
  <c r="I47" i="12"/>
  <c r="I51" i="12" s="1"/>
  <c r="I57" i="12" s="1"/>
  <c r="H51" i="12"/>
  <c r="L40" i="12"/>
  <c r="L54" i="12" s="1"/>
  <c r="L55" i="12" s="1"/>
  <c r="J45" i="12"/>
  <c r="M30" i="12"/>
  <c r="M32" i="12" s="1"/>
  <c r="BA114" i="26"/>
  <c r="BB114" i="26" s="1"/>
  <c r="N15" i="12"/>
  <c r="C55" i="14"/>
  <c r="T243" i="18"/>
  <c r="T247" i="18"/>
  <c r="C59" i="14"/>
  <c r="C27" i="14" s="1"/>
  <c r="O20" i="14" s="1"/>
  <c r="L248" i="8"/>
  <c r="L197" i="8"/>
  <c r="P19" i="23"/>
  <c r="Q4" i="10"/>
  <c r="P4" i="18"/>
  <c r="O240" i="18"/>
  <c r="O255" i="18" s="1"/>
  <c r="P19" i="20"/>
  <c r="O228" i="18"/>
  <c r="M57" i="8"/>
  <c r="N23" i="9" s="1"/>
  <c r="L211" i="8"/>
  <c r="M54" i="8"/>
  <c r="M56" i="8" s="1"/>
  <c r="N29" i="12"/>
  <c r="N31" i="12" s="1"/>
  <c r="O19" i="15"/>
  <c r="P261" i="10"/>
  <c r="P273" i="10" s="1"/>
  <c r="P287" i="10" s="1"/>
  <c r="Q52" i="9"/>
  <c r="R20" i="9"/>
  <c r="R52" i="9" s="1"/>
  <c r="H281" i="10"/>
  <c r="I91" i="14" s="1"/>
  <c r="I29" i="14" s="1"/>
  <c r="H184" i="10"/>
  <c r="L32" i="12"/>
  <c r="L38" i="12" s="1"/>
  <c r="V277" i="10"/>
  <c r="C87" i="14"/>
  <c r="K17" i="12"/>
  <c r="K40" i="12" s="1"/>
  <c r="O83" i="14"/>
  <c r="C28" i="14"/>
  <c r="O21" i="14" s="1"/>
  <c r="N35" i="12"/>
  <c r="O82" i="14"/>
  <c r="N12" i="12"/>
  <c r="G36" i="9"/>
  <c r="R31" i="8"/>
  <c r="F212" i="8"/>
  <c r="F32" i="8"/>
  <c r="F240" i="8"/>
  <c r="F232" i="8"/>
  <c r="O19" i="12"/>
  <c r="O20" i="12" s="1"/>
  <c r="P6" i="12"/>
  <c r="O23" i="12"/>
  <c r="O27" i="12"/>
  <c r="O28" i="12"/>
  <c r="O11" i="12"/>
  <c r="O16" i="12" s="1"/>
  <c r="O34" i="12"/>
  <c r="O35" i="12" s="1"/>
  <c r="O36" i="12" s="1"/>
  <c r="O8" i="12"/>
  <c r="R124" i="18"/>
  <c r="K246" i="18"/>
  <c r="K143" i="18"/>
  <c r="M13" i="12"/>
  <c r="R278" i="10"/>
  <c r="R181" i="10"/>
  <c r="R182" i="10" s="1"/>
  <c r="R281" i="10" s="1"/>
  <c r="P58" i="18"/>
  <c r="P238" i="18" s="1"/>
  <c r="N58" i="18"/>
  <c r="N238" i="18" s="1"/>
  <c r="AA21" i="18"/>
  <c r="AA22" i="18" s="1"/>
  <c r="AA23" i="18" s="1"/>
  <c r="AA29" i="18" s="1"/>
  <c r="L52" i="18"/>
  <c r="L54" i="18"/>
  <c r="L55" i="18"/>
  <c r="L53" i="18"/>
  <c r="AA3" i="18"/>
  <c r="L57" i="18"/>
  <c r="Q57" i="18"/>
  <c r="O58" i="18"/>
  <c r="O238" i="18" s="1"/>
  <c r="O261" i="18" l="1"/>
  <c r="O267" i="18"/>
  <c r="H57" i="12"/>
  <c r="K54" i="12"/>
  <c r="J47" i="12"/>
  <c r="J51" i="12" s="1"/>
  <c r="J57" i="12" s="1"/>
  <c r="K38" i="12"/>
  <c r="K49" i="12"/>
  <c r="K50" i="12"/>
  <c r="L49" i="12"/>
  <c r="L50" i="12"/>
  <c r="L41" i="12"/>
  <c r="L42" i="12"/>
  <c r="L43" i="12"/>
  <c r="L44" i="12"/>
  <c r="K41" i="12"/>
  <c r="K42" i="12"/>
  <c r="K43" i="12"/>
  <c r="K44" i="12"/>
  <c r="N30" i="12"/>
  <c r="N32" i="12" s="1"/>
  <c r="O51" i="14"/>
  <c r="E59" i="14"/>
  <c r="D59" i="14"/>
  <c r="C23" i="14"/>
  <c r="O16" i="14" s="1"/>
  <c r="E55" i="14"/>
  <c r="D55" i="14"/>
  <c r="O47" i="14"/>
  <c r="R4" i="10"/>
  <c r="P240" i="18"/>
  <c r="P255" i="18" s="1"/>
  <c r="Q4" i="18"/>
  <c r="Q19" i="23"/>
  <c r="Q19" i="20"/>
  <c r="P228" i="18"/>
  <c r="O29" i="12"/>
  <c r="O30" i="12" s="1"/>
  <c r="N57" i="8"/>
  <c r="O23" i="9" s="1"/>
  <c r="M211" i="8"/>
  <c r="N54" i="8"/>
  <c r="Q261" i="10"/>
  <c r="Q273" i="10" s="1"/>
  <c r="Q287" i="10" s="1"/>
  <c r="P19" i="15"/>
  <c r="N22" i="9"/>
  <c r="N25" i="9" s="1"/>
  <c r="N27" i="9" s="1"/>
  <c r="N30" i="9" s="1"/>
  <c r="M58" i="8"/>
  <c r="N36" i="12"/>
  <c r="O80" i="14"/>
  <c r="C24" i="14"/>
  <c r="O17" i="14" s="1"/>
  <c r="T138" i="18"/>
  <c r="V138" i="18" s="1"/>
  <c r="R246" i="18"/>
  <c r="R143" i="18"/>
  <c r="W250" i="8"/>
  <c r="R232" i="8"/>
  <c r="O24" i="12"/>
  <c r="O12" i="12"/>
  <c r="P19" i="12"/>
  <c r="P20" i="12" s="1"/>
  <c r="P21" i="12" s="1"/>
  <c r="P28" i="12"/>
  <c r="Q6" i="12"/>
  <c r="P11" i="12"/>
  <c r="P15" i="12" s="1"/>
  <c r="P27" i="12"/>
  <c r="P34" i="12"/>
  <c r="P23" i="12"/>
  <c r="P24" i="12" s="1"/>
  <c r="P25" i="12" s="1"/>
  <c r="P8" i="12"/>
  <c r="F241" i="8"/>
  <c r="F34" i="8"/>
  <c r="W186" i="10"/>
  <c r="H42" i="10"/>
  <c r="N13" i="12"/>
  <c r="N14" i="12" s="1"/>
  <c r="N17" i="12" s="1"/>
  <c r="O15" i="12"/>
  <c r="O21" i="12"/>
  <c r="G219" i="8"/>
  <c r="G220" i="8" s="1"/>
  <c r="M14" i="12"/>
  <c r="R32" i="8"/>
  <c r="R240" i="8"/>
  <c r="D36" i="9"/>
  <c r="G55" i="9"/>
  <c r="D55" i="9" s="1"/>
  <c r="H6" i="9" s="1"/>
  <c r="H8" i="9" s="1"/>
  <c r="G37" i="9"/>
  <c r="R184" i="10"/>
  <c r="L56" i="18"/>
  <c r="L237" i="18"/>
  <c r="R57" i="18"/>
  <c r="Q237" i="18"/>
  <c r="Q58" i="18"/>
  <c r="Q238" i="18" s="1"/>
  <c r="P267" i="18" l="1"/>
  <c r="P261" i="18"/>
  <c r="K55" i="12"/>
  <c r="N38" i="12"/>
  <c r="N40" i="12"/>
  <c r="N54" i="12" s="1"/>
  <c r="N55" i="12" s="1"/>
  <c r="L45" i="12"/>
  <c r="O31" i="12"/>
  <c r="O32" i="12" s="1"/>
  <c r="M197" i="8"/>
  <c r="M248" i="8"/>
  <c r="Q228" i="18"/>
  <c r="R19" i="20"/>
  <c r="S4" i="10"/>
  <c r="Q240" i="18"/>
  <c r="Q255" i="18" s="1"/>
  <c r="R19" i="23"/>
  <c r="P29" i="12"/>
  <c r="P31" i="12" s="1"/>
  <c r="N56" i="8"/>
  <c r="N58" i="8"/>
  <c r="O22" i="9"/>
  <c r="O25" i="9" s="1"/>
  <c r="O27" i="9" s="1"/>
  <c r="O30" i="9" s="1"/>
  <c r="Q19" i="15"/>
  <c r="R261" i="10"/>
  <c r="R273" i="10" s="1"/>
  <c r="R287" i="10" s="1"/>
  <c r="I42" i="10"/>
  <c r="I265" i="10" s="1"/>
  <c r="H201" i="10"/>
  <c r="H265" i="10"/>
  <c r="F162" i="18"/>
  <c r="T246" i="18"/>
  <c r="C58" i="14"/>
  <c r="P35" i="12"/>
  <c r="D5" i="9"/>
  <c r="Y30" i="8"/>
  <c r="D8" i="9" s="1"/>
  <c r="R241" i="8"/>
  <c r="Q11" i="12"/>
  <c r="Q15" i="12" s="1"/>
  <c r="Q23" i="12"/>
  <c r="Q24" i="12" s="1"/>
  <c r="Q25" i="12" s="1"/>
  <c r="R6" i="12"/>
  <c r="Q28" i="12"/>
  <c r="Q34" i="12"/>
  <c r="Q35" i="12" s="1"/>
  <c r="Q36" i="12" s="1"/>
  <c r="Q27" i="12"/>
  <c r="Q19" i="12"/>
  <c r="Q20" i="12" s="1"/>
  <c r="Q8" i="12"/>
  <c r="M17" i="12"/>
  <c r="P12" i="12"/>
  <c r="O25" i="12"/>
  <c r="R34" i="8"/>
  <c r="F35" i="8"/>
  <c r="G221" i="8"/>
  <c r="P16" i="12"/>
  <c r="F38" i="9"/>
  <c r="G40" i="9"/>
  <c r="AD2" i="8" s="1"/>
  <c r="AD1" i="8" s="1"/>
  <c r="AA193" i="8" s="1"/>
  <c r="G56" i="9"/>
  <c r="D37" i="9"/>
  <c r="K45" i="12"/>
  <c r="O13" i="12"/>
  <c r="R237" i="18"/>
  <c r="L58" i="18"/>
  <c r="L238" i="18" s="1"/>
  <c r="L236" i="18"/>
  <c r="R56" i="18"/>
  <c r="Q267" i="18" l="1"/>
  <c r="Q261" i="18"/>
  <c r="P30" i="12"/>
  <c r="N42" i="12"/>
  <c r="L47" i="12"/>
  <c r="L51" i="12" s="1"/>
  <c r="L57" i="12" s="1"/>
  <c r="K47" i="12"/>
  <c r="K51" i="12" s="1"/>
  <c r="N41" i="12"/>
  <c r="N44" i="12"/>
  <c r="N43" i="12"/>
  <c r="N50" i="12"/>
  <c r="M40" i="12"/>
  <c r="M38" i="12"/>
  <c r="N49" i="12"/>
  <c r="Q16" i="12"/>
  <c r="Q12" i="12"/>
  <c r="T42" i="10"/>
  <c r="T265" i="10" s="1"/>
  <c r="C76" i="14" s="1"/>
  <c r="N248" i="8"/>
  <c r="N197" i="8"/>
  <c r="Q29" i="12"/>
  <c r="Q31" i="12" s="1"/>
  <c r="O54" i="8"/>
  <c r="O56" i="8" s="1"/>
  <c r="O57" i="8"/>
  <c r="P23" i="9" s="1"/>
  <c r="N211" i="8"/>
  <c r="R19" i="15"/>
  <c r="F26" i="15" s="1"/>
  <c r="S261" i="10"/>
  <c r="S273" i="10" s="1"/>
  <c r="S287" i="10" s="1"/>
  <c r="D58" i="14"/>
  <c r="E58" i="14"/>
  <c r="O50" i="14"/>
  <c r="O14" i="12"/>
  <c r="H10" i="9"/>
  <c r="K7" i="9" s="1"/>
  <c r="F58" i="9"/>
  <c r="D56" i="9"/>
  <c r="H7" i="9" s="1"/>
  <c r="H9" i="9" s="1"/>
  <c r="G57" i="9"/>
  <c r="F242" i="8"/>
  <c r="F200" i="8"/>
  <c r="R35" i="8"/>
  <c r="F45" i="8"/>
  <c r="P32" i="12"/>
  <c r="S6" i="12"/>
  <c r="R11" i="12"/>
  <c r="R16" i="12" s="1"/>
  <c r="R23" i="12"/>
  <c r="R34" i="12"/>
  <c r="R35" i="12" s="1"/>
  <c r="R36" i="12" s="1"/>
  <c r="R28" i="12"/>
  <c r="R19" i="12"/>
  <c r="R20" i="12" s="1"/>
  <c r="R21" i="12" s="1"/>
  <c r="R27" i="12"/>
  <c r="R8" i="12"/>
  <c r="F163" i="18"/>
  <c r="Q133" i="26"/>
  <c r="Q138" i="26" s="1"/>
  <c r="R133" i="26" s="1"/>
  <c r="R138" i="26" s="1"/>
  <c r="S133" i="26" s="1"/>
  <c r="S138" i="26" s="1"/>
  <c r="T133" i="26" s="1"/>
  <c r="T138" i="26" s="1"/>
  <c r="U133" i="26" s="1"/>
  <c r="U138" i="26" s="1"/>
  <c r="V133" i="26" s="1"/>
  <c r="V138" i="26" s="1"/>
  <c r="W133" i="26" s="1"/>
  <c r="W138" i="26" s="1"/>
  <c r="X133" i="26" s="1"/>
  <c r="X138" i="26" s="1"/>
  <c r="Y133" i="26" s="1"/>
  <c r="Y138" i="26" s="1"/>
  <c r="Z133" i="26" s="1"/>
  <c r="Z138" i="26" s="1"/>
  <c r="AA133" i="26" s="1"/>
  <c r="AA138" i="26" s="1"/>
  <c r="AB133" i="26" s="1"/>
  <c r="AB138" i="26" s="1"/>
  <c r="AC133" i="26" s="1"/>
  <c r="AC138" i="26" s="1"/>
  <c r="AD133" i="26" s="1"/>
  <c r="AD138" i="26" s="1"/>
  <c r="AE133" i="26" s="1"/>
  <c r="AE138" i="26" s="1"/>
  <c r="AF133" i="26" s="1"/>
  <c r="AF138" i="26" s="1"/>
  <c r="AG133" i="26" s="1"/>
  <c r="AG138" i="26" s="1"/>
  <c r="AH133" i="26" s="1"/>
  <c r="AH138" i="26" s="1"/>
  <c r="AI133" i="26" s="1"/>
  <c r="AI138" i="26" s="1"/>
  <c r="AJ133" i="26" s="1"/>
  <c r="AJ138" i="26" s="1"/>
  <c r="AK133" i="26" s="1"/>
  <c r="AK138" i="26" s="1"/>
  <c r="AL133" i="26" s="1"/>
  <c r="AL138" i="26" s="1"/>
  <c r="AM133" i="26" s="1"/>
  <c r="AM138" i="26" s="1"/>
  <c r="AN133" i="26" s="1"/>
  <c r="AN138" i="26" s="1"/>
  <c r="AO133" i="26" s="1"/>
  <c r="AO138" i="26" s="1"/>
  <c r="AP133" i="26" s="1"/>
  <c r="AP138" i="26" s="1"/>
  <c r="AQ133" i="26" s="1"/>
  <c r="AQ138" i="26" s="1"/>
  <c r="AR133" i="26" s="1"/>
  <c r="AR138" i="26" s="1"/>
  <c r="AS133" i="26" s="1"/>
  <c r="AS138" i="26" s="1"/>
  <c r="AT133" i="26" s="1"/>
  <c r="AT138" i="26" s="1"/>
  <c r="AU133" i="26" s="1"/>
  <c r="AU138" i="26" s="1"/>
  <c r="AV133" i="26" s="1"/>
  <c r="AV138" i="26" s="1"/>
  <c r="AW133" i="26" s="1"/>
  <c r="AW138" i="26" s="1"/>
  <c r="AX133" i="26" s="1"/>
  <c r="AX138" i="26" s="1"/>
  <c r="AY133" i="26" s="1"/>
  <c r="AY138" i="26" s="1"/>
  <c r="AZ133" i="26" s="1"/>
  <c r="AZ138" i="26" s="1"/>
  <c r="F167" i="18"/>
  <c r="G162" i="18" s="1"/>
  <c r="G224" i="8"/>
  <c r="H33" i="9"/>
  <c r="G225" i="8"/>
  <c r="G223" i="8"/>
  <c r="H24" i="9" s="1"/>
  <c r="H202" i="10"/>
  <c r="H206" i="10"/>
  <c r="I201" i="10" s="1"/>
  <c r="P13" i="12"/>
  <c r="P14" i="12" s="1"/>
  <c r="P17" i="12" s="1"/>
  <c r="P40" i="12" s="1"/>
  <c r="P54" i="12" s="1"/>
  <c r="P55" i="12" s="1"/>
  <c r="Q21" i="12"/>
  <c r="P36" i="12"/>
  <c r="R236" i="18"/>
  <c r="T34" i="18"/>
  <c r="H5" i="20"/>
  <c r="H5" i="23" s="1"/>
  <c r="T59" i="18"/>
  <c r="T237" i="18"/>
  <c r="C49" i="14"/>
  <c r="T57" i="18"/>
  <c r="V265" i="10" l="1"/>
  <c r="N45" i="12"/>
  <c r="N47" i="12" s="1"/>
  <c r="N51" i="12" s="1"/>
  <c r="N57" i="12" s="1"/>
  <c r="K57" i="12"/>
  <c r="M54" i="12"/>
  <c r="M49" i="12"/>
  <c r="M44" i="12"/>
  <c r="M42" i="12"/>
  <c r="M41" i="12"/>
  <c r="M50" i="12"/>
  <c r="P38" i="12"/>
  <c r="M43" i="12"/>
  <c r="P50" i="12"/>
  <c r="P49" i="12"/>
  <c r="P44" i="12"/>
  <c r="P42" i="12"/>
  <c r="P41" i="12"/>
  <c r="P43" i="12"/>
  <c r="Q13" i="12"/>
  <c r="Q14" i="12" s="1"/>
  <c r="Q17" i="12" s="1"/>
  <c r="Q30" i="12"/>
  <c r="Q32" i="12" s="1"/>
  <c r="O211" i="8"/>
  <c r="P54" i="8"/>
  <c r="P56" i="8" s="1"/>
  <c r="P57" i="8"/>
  <c r="Q23" i="9" s="1"/>
  <c r="O58" i="8"/>
  <c r="P22" i="9"/>
  <c r="G226" i="8"/>
  <c r="G258" i="8" s="1"/>
  <c r="Y31" i="8"/>
  <c r="D10" i="9" s="1"/>
  <c r="R242" i="8"/>
  <c r="Y32" i="8"/>
  <c r="D9" i="9" s="1"/>
  <c r="C11" i="14"/>
  <c r="J11" i="14" s="1"/>
  <c r="I76" i="14"/>
  <c r="R15" i="12"/>
  <c r="S27" i="12"/>
  <c r="S34" i="12"/>
  <c r="S35" i="12" s="1"/>
  <c r="S36" i="12" s="1"/>
  <c r="T6" i="12"/>
  <c r="S19" i="12"/>
  <c r="S20" i="12" s="1"/>
  <c r="S21" i="12" s="1"/>
  <c r="S28" i="12"/>
  <c r="S11" i="12"/>
  <c r="S16" i="12" s="1"/>
  <c r="S23" i="12"/>
  <c r="S24" i="12" s="1"/>
  <c r="S25" i="12" s="1"/>
  <c r="S8" i="12"/>
  <c r="R12" i="12"/>
  <c r="F230" i="8"/>
  <c r="G34" i="8" s="1"/>
  <c r="G35" i="8" s="1"/>
  <c r="F245" i="8"/>
  <c r="R45" i="8"/>
  <c r="I202" i="10"/>
  <c r="I206" i="10"/>
  <c r="J201" i="10" s="1"/>
  <c r="H203" i="10"/>
  <c r="T203" i="10" s="1"/>
  <c r="F204" i="8"/>
  <c r="F201" i="8"/>
  <c r="R201" i="8" s="1"/>
  <c r="F202" i="8"/>
  <c r="R202" i="8" s="1"/>
  <c r="R29" i="12"/>
  <c r="R24" i="12"/>
  <c r="R25" i="12" s="1"/>
  <c r="O17" i="12"/>
  <c r="H43" i="9"/>
  <c r="H45" i="9" s="1"/>
  <c r="H50" i="9" s="1"/>
  <c r="G213" i="8"/>
  <c r="H34" i="9"/>
  <c r="H35" i="9" s="1"/>
  <c r="G212" i="8"/>
  <c r="W134" i="26"/>
  <c r="S134" i="26"/>
  <c r="V134" i="26"/>
  <c r="U134" i="26"/>
  <c r="AB134" i="26"/>
  <c r="AA134" i="26"/>
  <c r="Y134" i="26"/>
  <c r="X134" i="26"/>
  <c r="Z134" i="26"/>
  <c r="R134" i="26"/>
  <c r="Q134" i="26"/>
  <c r="T134" i="26"/>
  <c r="F164" i="18"/>
  <c r="G167" i="18"/>
  <c r="H162" i="18" s="1"/>
  <c r="G163" i="18"/>
  <c r="V57" i="18"/>
  <c r="U57" i="18"/>
  <c r="D49" i="14"/>
  <c r="E49" i="14"/>
  <c r="C15" i="14"/>
  <c r="O42" i="14"/>
  <c r="T143" i="18"/>
  <c r="T86" i="18"/>
  <c r="T119" i="18"/>
  <c r="T129" i="18"/>
  <c r="T105" i="18"/>
  <c r="U59" i="18"/>
  <c r="T141" i="18"/>
  <c r="T95" i="18"/>
  <c r="T135" i="18"/>
  <c r="T124" i="18"/>
  <c r="W34" i="18"/>
  <c r="AD224" i="18"/>
  <c r="C48" i="14"/>
  <c r="T236" i="18"/>
  <c r="M55" i="12" l="1"/>
  <c r="M45" i="12"/>
  <c r="M47" i="12" s="1"/>
  <c r="M51" i="12" s="1"/>
  <c r="Q38" i="12"/>
  <c r="O40" i="12"/>
  <c r="O54" i="12" s="1"/>
  <c r="O55" i="12" s="1"/>
  <c r="O38" i="12"/>
  <c r="Q40" i="12"/>
  <c r="Q54" i="12" s="1"/>
  <c r="Q55" i="12" s="1"/>
  <c r="P45" i="12"/>
  <c r="S15" i="12"/>
  <c r="S29" i="12"/>
  <c r="S30" i="12" s="1"/>
  <c r="G228" i="8"/>
  <c r="G259" i="8" s="1"/>
  <c r="G232" i="8"/>
  <c r="P211" i="8"/>
  <c r="Q54" i="8"/>
  <c r="Q57" i="8"/>
  <c r="R23" i="9" s="1"/>
  <c r="P25" i="9"/>
  <c r="P27" i="9" s="1"/>
  <c r="O197" i="8"/>
  <c r="O248" i="8"/>
  <c r="P58" i="8"/>
  <c r="Q22" i="9"/>
  <c r="Q25" i="9" s="1"/>
  <c r="Q27" i="9" s="1"/>
  <c r="S12" i="12"/>
  <c r="G200" i="8"/>
  <c r="G202" i="8" s="1"/>
  <c r="J206" i="10"/>
  <c r="K201" i="10" s="1"/>
  <c r="J202" i="10"/>
  <c r="R13" i="12"/>
  <c r="R14" i="12" s="1"/>
  <c r="U6" i="12"/>
  <c r="T27" i="12"/>
  <c r="T11" i="12"/>
  <c r="T16" i="12" s="1"/>
  <c r="T28" i="12"/>
  <c r="T34" i="12"/>
  <c r="T23" i="12"/>
  <c r="T19" i="12"/>
  <c r="T8" i="12"/>
  <c r="AG134" i="26"/>
  <c r="AD134" i="26"/>
  <c r="AI134" i="26"/>
  <c r="AL134" i="26"/>
  <c r="AF134" i="26"/>
  <c r="AM134" i="26"/>
  <c r="AN134" i="26"/>
  <c r="AE134" i="26"/>
  <c r="AC134" i="26"/>
  <c r="AJ134" i="26"/>
  <c r="AH134" i="26"/>
  <c r="AK134" i="26"/>
  <c r="F46" i="18"/>
  <c r="Q135" i="26"/>
  <c r="BA135" i="26" s="1"/>
  <c r="BB135" i="26" s="1"/>
  <c r="R164" i="18"/>
  <c r="H219" i="8"/>
  <c r="H220" i="8" s="1"/>
  <c r="R245" i="8"/>
  <c r="AA232" i="8"/>
  <c r="G45" i="8"/>
  <c r="G242" i="8"/>
  <c r="R31" i="12"/>
  <c r="R30" i="12"/>
  <c r="H167" i="18"/>
  <c r="I162" i="18" s="1"/>
  <c r="H163" i="18"/>
  <c r="V30" i="8"/>
  <c r="D14" i="9"/>
  <c r="D15" i="9" s="1"/>
  <c r="H37" i="9"/>
  <c r="H54" i="9"/>
  <c r="U153" i="18"/>
  <c r="U155" i="18" s="1"/>
  <c r="C14" i="14"/>
  <c r="E48" i="14"/>
  <c r="D48" i="14"/>
  <c r="O41" i="14"/>
  <c r="O9" i="14"/>
  <c r="M57" i="12" l="1"/>
  <c r="O43" i="12"/>
  <c r="O49" i="12"/>
  <c r="O41" i="12"/>
  <c r="P47" i="12"/>
  <c r="P51" i="12" s="1"/>
  <c r="P57" i="12" s="1"/>
  <c r="O44" i="12"/>
  <c r="O50" i="12"/>
  <c r="O42" i="12"/>
  <c r="Q49" i="12"/>
  <c r="Q50" i="12"/>
  <c r="G201" i="8"/>
  <c r="Q41" i="12"/>
  <c r="Q43" i="12"/>
  <c r="Q42" i="12"/>
  <c r="Q44" i="12"/>
  <c r="S31" i="12"/>
  <c r="S32" i="12" s="1"/>
  <c r="S13" i="12"/>
  <c r="S14" i="12" s="1"/>
  <c r="S17" i="12" s="1"/>
  <c r="S40" i="12" s="1"/>
  <c r="S54" i="12" s="1"/>
  <c r="S55" i="12" s="1"/>
  <c r="G204" i="8"/>
  <c r="P197" i="8"/>
  <c r="P248" i="8"/>
  <c r="P30" i="9"/>
  <c r="Q30" i="9" s="1"/>
  <c r="R32" i="12"/>
  <c r="Q56" i="8"/>
  <c r="Q211" i="8" s="1"/>
  <c r="Q58" i="8"/>
  <c r="R22" i="9"/>
  <c r="H40" i="9"/>
  <c r="AE2" i="8" s="1"/>
  <c r="AE1" i="8" s="1"/>
  <c r="H56" i="9"/>
  <c r="T15" i="12"/>
  <c r="V6" i="12"/>
  <c r="U11" i="12"/>
  <c r="U15" i="12" s="1"/>
  <c r="U28" i="12"/>
  <c r="U23" i="12"/>
  <c r="U19" i="12"/>
  <c r="U20" i="12" s="1"/>
  <c r="U21" i="12" s="1"/>
  <c r="U34" i="12"/>
  <c r="U35" i="12" s="1"/>
  <c r="U36" i="12" s="1"/>
  <c r="U27" i="12"/>
  <c r="U8" i="12"/>
  <c r="Q17" i="26"/>
  <c r="BA17" i="26" s="1"/>
  <c r="BB17" i="26" s="1"/>
  <c r="R46" i="18"/>
  <c r="T48" i="18" s="1"/>
  <c r="D10" i="20" s="1"/>
  <c r="D10" i="23" s="1"/>
  <c r="F151" i="18"/>
  <c r="G230" i="8"/>
  <c r="H34" i="8" s="1"/>
  <c r="H35" i="8" s="1"/>
  <c r="H200" i="8" s="1"/>
  <c r="G245" i="8"/>
  <c r="D17" i="9"/>
  <c r="D16" i="9"/>
  <c r="T24" i="12"/>
  <c r="T25" i="12" s="1"/>
  <c r="T35" i="12"/>
  <c r="R17" i="12"/>
  <c r="R40" i="12" s="1"/>
  <c r="R54" i="12" s="1"/>
  <c r="R55" i="12" s="1"/>
  <c r="T20" i="12"/>
  <c r="U156" i="18"/>
  <c r="U158" i="18" s="1"/>
  <c r="AZ134" i="26"/>
  <c r="AS134" i="26"/>
  <c r="AV134" i="26"/>
  <c r="AW134" i="26"/>
  <c r="AO134" i="26"/>
  <c r="AU134" i="26"/>
  <c r="AT134" i="26"/>
  <c r="AY134" i="26"/>
  <c r="AQ134" i="26"/>
  <c r="AR134" i="26"/>
  <c r="AP134" i="26"/>
  <c r="AX134" i="26"/>
  <c r="I167" i="18"/>
  <c r="J162" i="18" s="1"/>
  <c r="I163" i="18"/>
  <c r="H221" i="8"/>
  <c r="T12" i="12"/>
  <c r="K206" i="10"/>
  <c r="L201" i="10" s="1"/>
  <c r="K202" i="10"/>
  <c r="T29" i="12"/>
  <c r="O8" i="14"/>
  <c r="O43" i="14"/>
  <c r="P41" i="14" s="1"/>
  <c r="O45" i="12" l="1"/>
  <c r="O47" i="12" s="1"/>
  <c r="O51" i="12" s="1"/>
  <c r="O57" i="12" s="1"/>
  <c r="S38" i="12"/>
  <c r="R38" i="12"/>
  <c r="R49" i="12"/>
  <c r="R50" i="12"/>
  <c r="S49" i="12"/>
  <c r="S50" i="12"/>
  <c r="Q45" i="12"/>
  <c r="R41" i="12"/>
  <c r="R42" i="12"/>
  <c r="R44" i="12"/>
  <c r="R43" i="12"/>
  <c r="S41" i="12"/>
  <c r="S42" i="12"/>
  <c r="S43" i="12"/>
  <c r="S44" i="12"/>
  <c r="R25" i="9"/>
  <c r="R27" i="9" s="1"/>
  <c r="D22" i="9"/>
  <c r="Q197" i="8"/>
  <c r="Q248" i="8"/>
  <c r="U12" i="12"/>
  <c r="U29" i="12"/>
  <c r="U30" i="12" s="1"/>
  <c r="BA134" i="26"/>
  <c r="BB134" i="26" s="1"/>
  <c r="W6" i="12"/>
  <c r="V11" i="12"/>
  <c r="V15" i="12" s="1"/>
  <c r="V19" i="12"/>
  <c r="V34" i="12"/>
  <c r="V27" i="12"/>
  <c r="V23" i="12"/>
  <c r="V28" i="12"/>
  <c r="V8" i="12"/>
  <c r="L204" i="10"/>
  <c r="L205" i="10"/>
  <c r="T205" i="10" s="1"/>
  <c r="C93" i="14" s="1"/>
  <c r="L202" i="10"/>
  <c r="H202" i="8"/>
  <c r="H201" i="8"/>
  <c r="U16" i="12"/>
  <c r="Q122" i="26"/>
  <c r="F152" i="18"/>
  <c r="H57" i="9"/>
  <c r="T21" i="12"/>
  <c r="H225" i="8"/>
  <c r="H223" i="8"/>
  <c r="I24" i="9" s="1"/>
  <c r="H224" i="8"/>
  <c r="I33" i="9"/>
  <c r="T30" i="12"/>
  <c r="T31" i="12"/>
  <c r="T13" i="12"/>
  <c r="J165" i="18"/>
  <c r="R165" i="18" s="1"/>
  <c r="J166" i="18"/>
  <c r="R166" i="18" s="1"/>
  <c r="C63" i="14" s="1"/>
  <c r="J163" i="18"/>
  <c r="U24" i="12"/>
  <c r="U25" i="12" s="1"/>
  <c r="C151" i="18"/>
  <c r="F153" i="18" s="1"/>
  <c r="C42" i="18"/>
  <c r="U157" i="18"/>
  <c r="C46" i="18" s="1"/>
  <c r="T36" i="12"/>
  <c r="H45" i="8"/>
  <c r="H242" i="8"/>
  <c r="P43" i="14"/>
  <c r="P40" i="14"/>
  <c r="P42" i="14"/>
  <c r="Q47" i="12" l="1"/>
  <c r="Q51" i="12" s="1"/>
  <c r="Q57" i="12" s="1"/>
  <c r="R45" i="12"/>
  <c r="S45" i="12"/>
  <c r="J167" i="18"/>
  <c r="K162" i="18" s="1"/>
  <c r="U13" i="12"/>
  <c r="U14" i="12" s="1"/>
  <c r="U17" i="12" s="1"/>
  <c r="U40" i="12" s="1"/>
  <c r="U54" i="12" s="1"/>
  <c r="U55" i="12" s="1"/>
  <c r="L206" i="10"/>
  <c r="M201" i="10" s="1"/>
  <c r="M206" i="10" s="1"/>
  <c r="N201" i="10" s="1"/>
  <c r="U31" i="12"/>
  <c r="U32" i="12" s="1"/>
  <c r="R30" i="9"/>
  <c r="F29" i="9"/>
  <c r="H226" i="8"/>
  <c r="I34" i="9"/>
  <c r="I35" i="9" s="1"/>
  <c r="H212" i="8"/>
  <c r="V16" i="12"/>
  <c r="V20" i="12"/>
  <c r="H245" i="8"/>
  <c r="H203" i="8"/>
  <c r="H258" i="8"/>
  <c r="H232" i="8"/>
  <c r="E63" i="14"/>
  <c r="D63" i="14"/>
  <c r="C31" i="14"/>
  <c r="F155" i="18"/>
  <c r="G151" i="18" s="1"/>
  <c r="G152" i="18" s="1"/>
  <c r="V123" i="26"/>
  <c r="AA123" i="26"/>
  <c r="W123" i="26"/>
  <c r="F172" i="18"/>
  <c r="T123" i="26"/>
  <c r="F171" i="18"/>
  <c r="F250" i="18" s="1"/>
  <c r="I62" i="14" s="1"/>
  <c r="S123" i="26"/>
  <c r="Y123" i="26"/>
  <c r="R123" i="26"/>
  <c r="U123" i="26"/>
  <c r="AB123" i="26"/>
  <c r="Q123" i="26"/>
  <c r="X123" i="26"/>
  <c r="F47" i="18"/>
  <c r="Z123" i="26"/>
  <c r="V24" i="12"/>
  <c r="V25" i="12" s="1"/>
  <c r="V12" i="12"/>
  <c r="T14" i="12"/>
  <c r="T32" i="12"/>
  <c r="I43" i="9"/>
  <c r="I45" i="9" s="1"/>
  <c r="I50" i="9" s="1"/>
  <c r="H213" i="8"/>
  <c r="V29" i="12"/>
  <c r="Q124" i="26"/>
  <c r="X6" i="12"/>
  <c r="W19" i="12"/>
  <c r="W20" i="12" s="1"/>
  <c r="W21" i="12" s="1"/>
  <c r="W27" i="12"/>
  <c r="W28" i="12"/>
  <c r="W34" i="12"/>
  <c r="W35" i="12" s="1"/>
  <c r="W36" i="12" s="1"/>
  <c r="W11" i="12"/>
  <c r="W16" i="12" s="1"/>
  <c r="W23" i="12"/>
  <c r="W8" i="12"/>
  <c r="K163" i="18"/>
  <c r="K167" i="18"/>
  <c r="L162" i="18" s="1"/>
  <c r="V35" i="12"/>
  <c r="M202" i="10" l="1"/>
  <c r="S47" i="12"/>
  <c r="S51" i="12" s="1"/>
  <c r="S57" i="12" s="1"/>
  <c r="R47" i="12"/>
  <c r="R51" i="12" s="1"/>
  <c r="R57" i="12" s="1"/>
  <c r="U38" i="12"/>
  <c r="U50" i="12"/>
  <c r="U49" i="12"/>
  <c r="U41" i="12"/>
  <c r="U42" i="12"/>
  <c r="U43" i="12"/>
  <c r="U44" i="12"/>
  <c r="W12" i="12"/>
  <c r="W15" i="12"/>
  <c r="Q126" i="26"/>
  <c r="R122" i="26" s="1"/>
  <c r="R126" i="26" s="1"/>
  <c r="S122" i="26" s="1"/>
  <c r="S126" i="26" s="1"/>
  <c r="T122" i="26" s="1"/>
  <c r="T126" i="26" s="1"/>
  <c r="U122" i="26" s="1"/>
  <c r="U126" i="26" s="1"/>
  <c r="V122" i="26" s="1"/>
  <c r="V126" i="26" s="1"/>
  <c r="W122" i="26" s="1"/>
  <c r="W126" i="26" s="1"/>
  <c r="X122" i="26" s="1"/>
  <c r="X126" i="26" s="1"/>
  <c r="Y122" i="26" s="1"/>
  <c r="Y126" i="26" s="1"/>
  <c r="Z122" i="26" s="1"/>
  <c r="Z126" i="26" s="1"/>
  <c r="AA122" i="26" s="1"/>
  <c r="AA126" i="26" s="1"/>
  <c r="AB122" i="26" s="1"/>
  <c r="AB126" i="26" s="1"/>
  <c r="AC122" i="26" s="1"/>
  <c r="X143" i="26"/>
  <c r="X142" i="26"/>
  <c r="I219" i="8"/>
  <c r="I220" i="8" s="1"/>
  <c r="K172" i="18"/>
  <c r="K171" i="18"/>
  <c r="K250" i="18" s="1"/>
  <c r="W29" i="12"/>
  <c r="V31" i="12"/>
  <c r="V30" i="12"/>
  <c r="AB142" i="26"/>
  <c r="AB143" i="26"/>
  <c r="W143" i="26"/>
  <c r="W142" i="26"/>
  <c r="Q142" i="26"/>
  <c r="Q143" i="26"/>
  <c r="H204" i="8"/>
  <c r="H206" i="8"/>
  <c r="R203" i="8"/>
  <c r="X27" i="12"/>
  <c r="Y6" i="12"/>
  <c r="X28" i="12"/>
  <c r="X23" i="12"/>
  <c r="X11" i="12"/>
  <c r="X16" i="12" s="1"/>
  <c r="X19" i="12"/>
  <c r="X20" i="12" s="1"/>
  <c r="X21" i="12" s="1"/>
  <c r="X34" i="12"/>
  <c r="X8" i="12"/>
  <c r="U142" i="26"/>
  <c r="U143" i="26"/>
  <c r="AA142" i="26"/>
  <c r="AA143" i="26"/>
  <c r="V13" i="12"/>
  <c r="V36" i="12"/>
  <c r="W24" i="12"/>
  <c r="W25" i="12" s="1"/>
  <c r="N206" i="10"/>
  <c r="T206" i="10" s="1"/>
  <c r="N202" i="10"/>
  <c r="T202" i="10" s="1"/>
  <c r="T201" i="10"/>
  <c r="Y143" i="26"/>
  <c r="Y142" i="26"/>
  <c r="G155" i="18"/>
  <c r="H151" i="18" s="1"/>
  <c r="AM123" i="26"/>
  <c r="G47" i="18"/>
  <c r="G171" i="18"/>
  <c r="G250" i="18" s="1"/>
  <c r="AD123" i="26"/>
  <c r="AH123" i="26"/>
  <c r="AG123" i="26"/>
  <c r="AI123" i="26"/>
  <c r="AE123" i="26"/>
  <c r="AJ123" i="26"/>
  <c r="AC123" i="26"/>
  <c r="AN123" i="26"/>
  <c r="AK123" i="26"/>
  <c r="AF123" i="26"/>
  <c r="G172" i="18"/>
  <c r="AL123" i="26"/>
  <c r="L167" i="18"/>
  <c r="L163" i="18"/>
  <c r="T143" i="26"/>
  <c r="T142" i="26"/>
  <c r="V142" i="26"/>
  <c r="V143" i="26"/>
  <c r="I37" i="9"/>
  <c r="I54" i="9"/>
  <c r="Z142" i="26"/>
  <c r="Z143" i="26"/>
  <c r="S143" i="26"/>
  <c r="S142" i="26"/>
  <c r="V21" i="12"/>
  <c r="R142" i="26"/>
  <c r="R143" i="26"/>
  <c r="T17" i="12"/>
  <c r="T40" i="12" s="1"/>
  <c r="T54" i="12" s="1"/>
  <c r="T55" i="12" s="1"/>
  <c r="Q18" i="26"/>
  <c r="F48" i="18"/>
  <c r="F234" i="18"/>
  <c r="K62" i="14"/>
  <c r="J62" i="14"/>
  <c r="T38" i="12" l="1"/>
  <c r="W13" i="12"/>
  <c r="W14" i="12" s="1"/>
  <c r="T49" i="12"/>
  <c r="T50" i="12"/>
  <c r="W17" i="12"/>
  <c r="T41" i="12"/>
  <c r="T42" i="12"/>
  <c r="T43" i="12"/>
  <c r="T44" i="12"/>
  <c r="U45" i="12"/>
  <c r="X15" i="12"/>
  <c r="X29" i="12"/>
  <c r="X31" i="12" s="1"/>
  <c r="I221" i="8"/>
  <c r="R163" i="18"/>
  <c r="L172" i="18"/>
  <c r="L171" i="18"/>
  <c r="L250" i="18" s="1"/>
  <c r="AC142" i="26"/>
  <c r="AC143" i="26"/>
  <c r="AC18" i="26"/>
  <c r="G48" i="18"/>
  <c r="G234" i="18"/>
  <c r="AE143" i="26"/>
  <c r="AE142" i="26"/>
  <c r="H153" i="18"/>
  <c r="H152" i="18"/>
  <c r="X35" i="12"/>
  <c r="H257" i="8"/>
  <c r="R206" i="8"/>
  <c r="R257" i="8" s="1"/>
  <c r="H228" i="8"/>
  <c r="V14" i="12"/>
  <c r="I40" i="9"/>
  <c r="AF2" i="8" s="1"/>
  <c r="AF1" i="8" s="1"/>
  <c r="I56" i="9"/>
  <c r="AL143" i="26"/>
  <c r="AL142" i="26"/>
  <c r="AI142" i="26"/>
  <c r="AI143" i="26"/>
  <c r="W31" i="12"/>
  <c r="W30" i="12"/>
  <c r="Y23" i="12"/>
  <c r="Z6" i="12"/>
  <c r="Y11" i="12"/>
  <c r="Y15" i="12" s="1"/>
  <c r="Y28" i="12"/>
  <c r="Y27" i="12"/>
  <c r="Y19" i="12"/>
  <c r="Y34" i="12"/>
  <c r="Y35" i="12" s="1"/>
  <c r="Y36" i="12" s="1"/>
  <c r="Y8" i="12"/>
  <c r="AJ143" i="26"/>
  <c r="AJ142" i="26"/>
  <c r="AG142" i="26"/>
  <c r="AG143" i="26"/>
  <c r="AN143" i="26"/>
  <c r="AN142" i="26"/>
  <c r="Q19" i="26"/>
  <c r="T42" i="18"/>
  <c r="F58" i="18"/>
  <c r="AM142" i="26"/>
  <c r="AM143" i="26"/>
  <c r="V32" i="12"/>
  <c r="AF142" i="26"/>
  <c r="AF143" i="26"/>
  <c r="AH142" i="26"/>
  <c r="AH143" i="26"/>
  <c r="X24" i="12"/>
  <c r="X25" i="12" s="1"/>
  <c r="AC126" i="26"/>
  <c r="AD122" i="26" s="1"/>
  <c r="AD126" i="26" s="1"/>
  <c r="AE122" i="26" s="1"/>
  <c r="AE126" i="26" s="1"/>
  <c r="AF122" i="26" s="1"/>
  <c r="AF126" i="26" s="1"/>
  <c r="AG122" i="26" s="1"/>
  <c r="AG126" i="26" s="1"/>
  <c r="AH122" i="26" s="1"/>
  <c r="AH126" i="26" s="1"/>
  <c r="AI122" i="26" s="1"/>
  <c r="AI126" i="26" s="1"/>
  <c r="AJ122" i="26" s="1"/>
  <c r="AJ126" i="26" s="1"/>
  <c r="AK122" i="26" s="1"/>
  <c r="AK126" i="26" s="1"/>
  <c r="AL122" i="26" s="1"/>
  <c r="AL126" i="26" s="1"/>
  <c r="AM122" i="26" s="1"/>
  <c r="AM126" i="26" s="1"/>
  <c r="AN122" i="26" s="1"/>
  <c r="AN126" i="26" s="1"/>
  <c r="AO122" i="26" s="1"/>
  <c r="X12" i="12"/>
  <c r="AK142" i="26"/>
  <c r="AK143" i="26"/>
  <c r="AD142" i="26"/>
  <c r="AD143" i="26"/>
  <c r="W40" i="12" l="1"/>
  <c r="W54" i="12" s="1"/>
  <c r="W55" i="12" s="1"/>
  <c r="U47" i="12"/>
  <c r="U51" i="12" s="1"/>
  <c r="U57" i="12" s="1"/>
  <c r="T45" i="12"/>
  <c r="W43" i="12"/>
  <c r="W41" i="12"/>
  <c r="W42" i="12"/>
  <c r="X30" i="12"/>
  <c r="X32" i="12" s="1"/>
  <c r="Y29" i="12"/>
  <c r="Y31" i="12" s="1"/>
  <c r="Y12" i="12"/>
  <c r="W32" i="12"/>
  <c r="W38" i="12" s="1"/>
  <c r="H155" i="18"/>
  <c r="I151" i="18" s="1"/>
  <c r="I152" i="18" s="1"/>
  <c r="I171" i="18" s="1"/>
  <c r="I250" i="18" s="1"/>
  <c r="X13" i="12"/>
  <c r="F176" i="18"/>
  <c r="F238" i="18"/>
  <c r="Y20" i="12"/>
  <c r="AO123" i="26"/>
  <c r="AZ123" i="26"/>
  <c r="AW123" i="26"/>
  <c r="H172" i="18"/>
  <c r="AX123" i="26"/>
  <c r="AU123" i="26"/>
  <c r="AR123" i="26"/>
  <c r="AT123" i="26"/>
  <c r="AS123" i="26"/>
  <c r="AV123" i="26"/>
  <c r="H171" i="18"/>
  <c r="AQ123" i="26"/>
  <c r="AP123" i="26"/>
  <c r="H47" i="18"/>
  <c r="AY123" i="26"/>
  <c r="V156" i="18"/>
  <c r="F12" i="11" s="1"/>
  <c r="Q29" i="26"/>
  <c r="AO124" i="26"/>
  <c r="BA124" i="26" s="1"/>
  <c r="BB124" i="26" s="1"/>
  <c r="R153" i="18"/>
  <c r="G58" i="18"/>
  <c r="G238" i="18" s="1"/>
  <c r="AC19" i="26"/>
  <c r="AC29" i="26" s="1"/>
  <c r="J33" i="9"/>
  <c r="H259" i="8"/>
  <c r="H230" i="8"/>
  <c r="I34" i="8" s="1"/>
  <c r="I35" i="8" s="1"/>
  <c r="X36" i="12"/>
  <c r="V17" i="12"/>
  <c r="V40" i="12" s="1"/>
  <c r="V54" i="12" s="1"/>
  <c r="V55" i="12" s="1"/>
  <c r="AA6" i="12"/>
  <c r="Z28" i="12"/>
  <c r="Z11" i="12"/>
  <c r="Z15" i="12" s="1"/>
  <c r="Z27" i="12"/>
  <c r="Z8" i="12"/>
  <c r="Y24" i="12"/>
  <c r="Y25" i="12" s="1"/>
  <c r="Y16" i="12"/>
  <c r="I57" i="9"/>
  <c r="W44" i="12" l="1"/>
  <c r="W45" i="12" s="1"/>
  <c r="W50" i="12"/>
  <c r="W49" i="12"/>
  <c r="T47" i="12"/>
  <c r="T51" i="12" s="1"/>
  <c r="T57" i="12" s="1"/>
  <c r="V38" i="12"/>
  <c r="V49" i="12"/>
  <c r="V50" i="12"/>
  <c r="V42" i="12"/>
  <c r="V43" i="12"/>
  <c r="V44" i="12"/>
  <c r="V41" i="12"/>
  <c r="Y30" i="12"/>
  <c r="Y32" i="12" s="1"/>
  <c r="Y13" i="12"/>
  <c r="Y14" i="12" s="1"/>
  <c r="Y17" i="12" s="1"/>
  <c r="I172" i="18"/>
  <c r="I155" i="18"/>
  <c r="J151" i="18" s="1"/>
  <c r="J152" i="18" s="1"/>
  <c r="Z16" i="12"/>
  <c r="AO126" i="26"/>
  <c r="AP122" i="26" s="1"/>
  <c r="AP126" i="26" s="1"/>
  <c r="AQ122" i="26" s="1"/>
  <c r="AQ126" i="26" s="1"/>
  <c r="AR122" i="26" s="1"/>
  <c r="AR126" i="26" s="1"/>
  <c r="AS122" i="26" s="1"/>
  <c r="AS126" i="26" s="1"/>
  <c r="AT122" i="26" s="1"/>
  <c r="AT126" i="26" s="1"/>
  <c r="AU122" i="26" s="1"/>
  <c r="AU126" i="26" s="1"/>
  <c r="AV122" i="26" s="1"/>
  <c r="AV126" i="26" s="1"/>
  <c r="AW122" i="26" s="1"/>
  <c r="AW126" i="26" s="1"/>
  <c r="AX122" i="26" s="1"/>
  <c r="AX126" i="26" s="1"/>
  <c r="AY122" i="26" s="1"/>
  <c r="AY126" i="26" s="1"/>
  <c r="AZ122" i="26" s="1"/>
  <c r="AZ126" i="26" s="1"/>
  <c r="AT143" i="26"/>
  <c r="AT142" i="26"/>
  <c r="X14" i="12"/>
  <c r="I45" i="8"/>
  <c r="I242" i="8"/>
  <c r="I200" i="8"/>
  <c r="AY143" i="26"/>
  <c r="AY142" i="26"/>
  <c r="AR142" i="26"/>
  <c r="AR143" i="26"/>
  <c r="Y21" i="12"/>
  <c r="AB6" i="12"/>
  <c r="AA11" i="12"/>
  <c r="AA15" i="12" s="1"/>
  <c r="AA28" i="12"/>
  <c r="AA27" i="12"/>
  <c r="AA8" i="12"/>
  <c r="AP142" i="26"/>
  <c r="AP143" i="26"/>
  <c r="AX143" i="26"/>
  <c r="AX142" i="26"/>
  <c r="AU143" i="26"/>
  <c r="AU142" i="26"/>
  <c r="AQ143" i="26"/>
  <c r="AQ142" i="26"/>
  <c r="H250" i="18"/>
  <c r="AW143" i="26"/>
  <c r="AW142" i="26"/>
  <c r="F218" i="18"/>
  <c r="AB147" i="26"/>
  <c r="F183" i="18"/>
  <c r="AO18" i="26"/>
  <c r="BA18" i="26" s="1"/>
  <c r="BB18" i="26" s="1"/>
  <c r="H234" i="18"/>
  <c r="H48" i="18"/>
  <c r="I47" i="18"/>
  <c r="Z12" i="12"/>
  <c r="AV142" i="26"/>
  <c r="AV143" i="26"/>
  <c r="AZ142" i="26"/>
  <c r="AZ143" i="26"/>
  <c r="Z29" i="12"/>
  <c r="AS143" i="26"/>
  <c r="AS142" i="26"/>
  <c r="AO142" i="26"/>
  <c r="AO143" i="26"/>
  <c r="BA123" i="26"/>
  <c r="BB123" i="26" s="1"/>
  <c r="J154" i="18" l="1"/>
  <c r="R154" i="18" s="1"/>
  <c r="W47" i="12"/>
  <c r="W51" i="12" s="1"/>
  <c r="W57" i="12" s="1"/>
  <c r="Y40" i="12"/>
  <c r="Y54" i="12" s="1"/>
  <c r="Y55" i="12" s="1"/>
  <c r="Y38" i="12"/>
  <c r="V45" i="12"/>
  <c r="AA16" i="12"/>
  <c r="BA143" i="26"/>
  <c r="BB143" i="26" s="1"/>
  <c r="BA142" i="26"/>
  <c r="BB142" i="26" s="1"/>
  <c r="R47" i="18"/>
  <c r="I48" i="18"/>
  <c r="I58" i="18" s="1"/>
  <c r="I238" i="18" s="1"/>
  <c r="I234" i="18"/>
  <c r="AA29" i="12"/>
  <c r="J172" i="18"/>
  <c r="R152" i="18"/>
  <c r="R172" i="18" s="1"/>
  <c r="X17" i="12"/>
  <c r="Z13" i="12"/>
  <c r="Z23" i="12"/>
  <c r="Z19" i="12"/>
  <c r="Z34" i="12"/>
  <c r="H58" i="18"/>
  <c r="AO19" i="26"/>
  <c r="Z30" i="12"/>
  <c r="Z31" i="12"/>
  <c r="F193" i="18"/>
  <c r="F214" i="18"/>
  <c r="F184" i="18"/>
  <c r="G21" i="20"/>
  <c r="AC6" i="12"/>
  <c r="AB11" i="12"/>
  <c r="AB16" i="12" s="1"/>
  <c r="AB28" i="12"/>
  <c r="AB27" i="12"/>
  <c r="AB8" i="12"/>
  <c r="I201" i="8"/>
  <c r="I202" i="8"/>
  <c r="AA12" i="12"/>
  <c r="I203" i="8"/>
  <c r="I209" i="8" s="1"/>
  <c r="I245" i="8"/>
  <c r="J171" i="18" l="1"/>
  <c r="J155" i="18"/>
  <c r="W158" i="18" s="1"/>
  <c r="Y44" i="12"/>
  <c r="Y50" i="12"/>
  <c r="Y49" i="12"/>
  <c r="Y42" i="12"/>
  <c r="Y43" i="12"/>
  <c r="V47" i="12"/>
  <c r="V51" i="12" s="1"/>
  <c r="V57" i="12" s="1"/>
  <c r="Y41" i="12"/>
  <c r="X40" i="12"/>
  <c r="X54" i="12" s="1"/>
  <c r="X55" i="12" s="1"/>
  <c r="X38" i="12"/>
  <c r="R48" i="18"/>
  <c r="T46" i="18" s="1"/>
  <c r="D9" i="20" s="1"/>
  <c r="D9" i="23" s="1"/>
  <c r="AB29" i="12"/>
  <c r="AB12" i="12"/>
  <c r="I223" i="8"/>
  <c r="I224" i="8"/>
  <c r="R209" i="8"/>
  <c r="I225" i="8"/>
  <c r="Z24" i="12"/>
  <c r="Z25" i="12" s="1"/>
  <c r="H6" i="20"/>
  <c r="O54" i="14"/>
  <c r="AD6" i="12"/>
  <c r="AC11" i="12"/>
  <c r="AC15" i="12" s="1"/>
  <c r="AC28" i="12"/>
  <c r="AC27" i="12"/>
  <c r="AC8" i="12"/>
  <c r="Z32" i="12"/>
  <c r="J250" i="18"/>
  <c r="R171" i="18"/>
  <c r="R250" i="18" s="1"/>
  <c r="I204" i="8"/>
  <c r="I206" i="8"/>
  <c r="AB15" i="12"/>
  <c r="AA30" i="12"/>
  <c r="AA31" i="12"/>
  <c r="G21" i="23"/>
  <c r="AO29" i="26"/>
  <c r="BA29" i="26" s="1"/>
  <c r="BB29" i="26" s="1"/>
  <c r="BA19" i="26"/>
  <c r="BB19" i="26" s="1"/>
  <c r="AA13" i="12"/>
  <c r="AA14" i="12" s="1"/>
  <c r="AA17" i="12" s="1"/>
  <c r="AA34" i="12"/>
  <c r="AA35" i="12" s="1"/>
  <c r="AA36" i="12" s="1"/>
  <c r="AA23" i="12"/>
  <c r="AA19" i="12"/>
  <c r="AA20" i="12" s="1"/>
  <c r="AA21" i="12" s="1"/>
  <c r="G182" i="18"/>
  <c r="H238" i="18"/>
  <c r="R58" i="18"/>
  <c r="R238" i="18" s="1"/>
  <c r="Z14" i="12"/>
  <c r="G22" i="20"/>
  <c r="G22" i="23" s="1"/>
  <c r="Z35" i="12"/>
  <c r="R234" i="18"/>
  <c r="V158" i="18"/>
  <c r="F209" i="18"/>
  <c r="F213" i="18"/>
  <c r="F216" i="18" s="1"/>
  <c r="G41" i="20" s="1"/>
  <c r="Z20" i="12"/>
  <c r="X43" i="12" l="1"/>
  <c r="D5" i="20"/>
  <c r="D5" i="23" s="1"/>
  <c r="Y45" i="12"/>
  <c r="Y47" i="12" s="1"/>
  <c r="Y51" i="12" s="1"/>
  <c r="Y57" i="12" s="1"/>
  <c r="X41" i="12"/>
  <c r="X42" i="12"/>
  <c r="X44" i="12"/>
  <c r="X49" i="12"/>
  <c r="X50" i="12"/>
  <c r="AB34" i="12"/>
  <c r="AB35" i="12" s="1"/>
  <c r="AB36" i="12" s="1"/>
  <c r="AB13" i="12"/>
  <c r="AB14" i="12" s="1"/>
  <c r="AB17" i="12" s="1"/>
  <c r="AA40" i="12"/>
  <c r="AA54" i="12" s="1"/>
  <c r="AA55" i="12" s="1"/>
  <c r="AB31" i="12"/>
  <c r="AC16" i="12"/>
  <c r="AC29" i="12"/>
  <c r="AB30" i="12"/>
  <c r="F217" i="18"/>
  <c r="R161" i="26" s="1"/>
  <c r="AB19" i="12"/>
  <c r="AB20" i="12" s="1"/>
  <c r="AB21" i="12" s="1"/>
  <c r="AB23" i="12"/>
  <c r="AB24" i="12" s="1"/>
  <c r="AB25" i="12" s="1"/>
  <c r="AA32" i="12"/>
  <c r="G42" i="20"/>
  <c r="F223" i="18"/>
  <c r="G47" i="20" s="1"/>
  <c r="G52" i="20" s="1"/>
  <c r="G53" i="20" s="1"/>
  <c r="G55" i="20" s="1"/>
  <c r="T250" i="18"/>
  <c r="C62" i="14"/>
  <c r="AF150" i="26"/>
  <c r="AD150" i="26"/>
  <c r="AH150" i="26"/>
  <c r="AL150" i="26"/>
  <c r="AG150" i="26"/>
  <c r="AE150" i="26"/>
  <c r="AK150" i="26"/>
  <c r="AM150" i="26"/>
  <c r="AJ150" i="26"/>
  <c r="AC150" i="26"/>
  <c r="AC152" i="26" s="1"/>
  <c r="AI150" i="26"/>
  <c r="AN150" i="26"/>
  <c r="X45" i="12"/>
  <c r="X47" i="12" s="1"/>
  <c r="Z17" i="12"/>
  <c r="Z40" i="12" s="1"/>
  <c r="J43" i="9"/>
  <c r="J45" i="9" s="1"/>
  <c r="J50" i="9" s="1"/>
  <c r="I213" i="8"/>
  <c r="T234" i="18"/>
  <c r="C46" i="14"/>
  <c r="C50" i="14"/>
  <c r="T238" i="18"/>
  <c r="AA24" i="12"/>
  <c r="AA25" i="12" s="1"/>
  <c r="G23" i="20"/>
  <c r="G25" i="20" s="1"/>
  <c r="I257" i="8"/>
  <c r="AE6" i="12"/>
  <c r="AD28" i="12"/>
  <c r="AD11" i="12"/>
  <c r="AD15" i="12" s="1"/>
  <c r="AD27" i="12"/>
  <c r="AD8" i="12"/>
  <c r="G23" i="23"/>
  <c r="G25" i="23" s="1"/>
  <c r="G28" i="23" s="1"/>
  <c r="O56" i="14"/>
  <c r="J34" i="9"/>
  <c r="J35" i="9" s="1"/>
  <c r="I212" i="8"/>
  <c r="Z21" i="12"/>
  <c r="Z36" i="12"/>
  <c r="AC12" i="12"/>
  <c r="H6" i="23"/>
  <c r="H7" i="20"/>
  <c r="J24" i="9"/>
  <c r="I226" i="8"/>
  <c r="I228" i="8" s="1"/>
  <c r="Z161" i="26" l="1"/>
  <c r="F219" i="18"/>
  <c r="W163" i="26" s="1"/>
  <c r="Q161" i="26"/>
  <c r="AB161" i="26"/>
  <c r="S161" i="26"/>
  <c r="W161" i="26"/>
  <c r="X161" i="26"/>
  <c r="V161" i="26"/>
  <c r="T161" i="26"/>
  <c r="Y161" i="26"/>
  <c r="AA161" i="26"/>
  <c r="U161" i="26"/>
  <c r="Z54" i="12"/>
  <c r="X51" i="12"/>
  <c r="X57" i="12" s="1"/>
  <c r="Z38" i="12"/>
  <c r="AA38" i="12"/>
  <c r="Z50" i="12"/>
  <c r="Z49" i="12"/>
  <c r="AA50" i="12"/>
  <c r="AA49" i="12"/>
  <c r="Z44" i="12"/>
  <c r="Z43" i="12"/>
  <c r="Z42" i="12"/>
  <c r="Z41" i="12"/>
  <c r="AA44" i="12"/>
  <c r="AA43" i="12"/>
  <c r="AA42" i="12"/>
  <c r="AA41" i="12"/>
  <c r="AB32" i="12"/>
  <c r="AB38" i="12" s="1"/>
  <c r="AC30" i="12"/>
  <c r="AB40" i="12"/>
  <c r="AB54" i="12" s="1"/>
  <c r="AB55" i="12" s="1"/>
  <c r="AC31" i="12"/>
  <c r="AD29" i="12"/>
  <c r="AD152" i="26"/>
  <c r="AE152" i="26" s="1"/>
  <c r="AF152" i="26" s="1"/>
  <c r="AG152" i="26" s="1"/>
  <c r="AH152" i="26" s="1"/>
  <c r="AI152" i="26" s="1"/>
  <c r="AJ152" i="26" s="1"/>
  <c r="AK152" i="26" s="1"/>
  <c r="AL152" i="26" s="1"/>
  <c r="AM152" i="26" s="1"/>
  <c r="AN152" i="26" s="1"/>
  <c r="I259" i="8"/>
  <c r="I230" i="8"/>
  <c r="J34" i="8" s="1"/>
  <c r="J35" i="8" s="1"/>
  <c r="P49" i="14"/>
  <c r="P52" i="14"/>
  <c r="P47" i="14"/>
  <c r="P56" i="14"/>
  <c r="P51" i="14"/>
  <c r="P50" i="14"/>
  <c r="P46" i="14"/>
  <c r="P45" i="14"/>
  <c r="O58" i="14"/>
  <c r="P58" i="14" s="1"/>
  <c r="P53" i="14"/>
  <c r="P48" i="14"/>
  <c r="P55" i="14"/>
  <c r="D62" i="14"/>
  <c r="E62" i="14"/>
  <c r="AC13" i="12"/>
  <c r="AC14" i="12" s="1"/>
  <c r="AC34" i="12"/>
  <c r="AC35" i="12" s="1"/>
  <c r="AC23" i="12"/>
  <c r="AC24" i="12" s="1"/>
  <c r="AC25" i="12" s="1"/>
  <c r="AC19" i="12"/>
  <c r="AC20" i="12" s="1"/>
  <c r="AD16" i="12"/>
  <c r="Q163" i="26"/>
  <c r="Q165" i="26" s="1"/>
  <c r="R163" i="26"/>
  <c r="F252" i="18"/>
  <c r="AA163" i="26"/>
  <c r="S163" i="26"/>
  <c r="F221" i="18"/>
  <c r="G176" i="18" s="1"/>
  <c r="U163" i="26"/>
  <c r="X163" i="26"/>
  <c r="T163" i="26"/>
  <c r="Y163" i="26"/>
  <c r="AB163" i="26"/>
  <c r="V163" i="26"/>
  <c r="F45" i="14"/>
  <c r="D50" i="14"/>
  <c r="F43" i="14"/>
  <c r="F44" i="14"/>
  <c r="F47" i="14"/>
  <c r="F49" i="14"/>
  <c r="F48" i="14"/>
  <c r="F41" i="14"/>
  <c r="F42" i="14"/>
  <c r="E50" i="14"/>
  <c r="F50" i="14" s="1"/>
  <c r="G57" i="20"/>
  <c r="G56" i="20"/>
  <c r="AF6" i="12"/>
  <c r="AE28" i="12"/>
  <c r="AE11" i="12"/>
  <c r="AE16" i="12" s="1"/>
  <c r="AE27" i="12"/>
  <c r="AE8" i="12"/>
  <c r="I46" i="14"/>
  <c r="E46" i="14"/>
  <c r="D46" i="14"/>
  <c r="F46" i="14"/>
  <c r="G44" i="20"/>
  <c r="G43" i="20"/>
  <c r="J219" i="8"/>
  <c r="J220" i="8" s="1"/>
  <c r="I232" i="8"/>
  <c r="I258" i="8"/>
  <c r="J37" i="9"/>
  <c r="J54" i="9"/>
  <c r="H7" i="23"/>
  <c r="H9" i="20"/>
  <c r="H9" i="23" s="1"/>
  <c r="H8" i="20"/>
  <c r="H8" i="23" s="1"/>
  <c r="P54" i="14"/>
  <c r="AD12" i="12"/>
  <c r="G28" i="20"/>
  <c r="G50" i="20"/>
  <c r="Z163" i="26" l="1"/>
  <c r="Z55" i="12"/>
  <c r="AB50" i="12"/>
  <c r="AB49" i="12"/>
  <c r="AC32" i="12"/>
  <c r="AB44" i="12"/>
  <c r="AB43" i="12"/>
  <c r="AB42" i="12"/>
  <c r="AB41" i="12"/>
  <c r="AD30" i="12"/>
  <c r="AA45" i="12"/>
  <c r="Z45" i="12"/>
  <c r="AD31" i="12"/>
  <c r="AE15" i="12"/>
  <c r="AE29" i="12"/>
  <c r="R165" i="26"/>
  <c r="S165" i="26" s="1"/>
  <c r="T165" i="26" s="1"/>
  <c r="U165" i="26" s="1"/>
  <c r="V165" i="26" s="1"/>
  <c r="W165" i="26" s="1"/>
  <c r="X165" i="26" s="1"/>
  <c r="Y165" i="26" s="1"/>
  <c r="Z165" i="26" s="1"/>
  <c r="AA165" i="26" s="1"/>
  <c r="AB165" i="26" s="1"/>
  <c r="AC21" i="12"/>
  <c r="K46" i="14"/>
  <c r="I50" i="14"/>
  <c r="J46" i="14"/>
  <c r="AC36" i="12"/>
  <c r="J45" i="8"/>
  <c r="J242" i="8"/>
  <c r="J200" i="8"/>
  <c r="J221" i="8"/>
  <c r="G189" i="18"/>
  <c r="G183" i="18"/>
  <c r="G218" i="18"/>
  <c r="AN147" i="26"/>
  <c r="AG6" i="12"/>
  <c r="AF28" i="12"/>
  <c r="AF11" i="12"/>
  <c r="AF16" i="12" s="1"/>
  <c r="AF27" i="12"/>
  <c r="AF8" i="12"/>
  <c r="AD23" i="12"/>
  <c r="AD24" i="12" s="1"/>
  <c r="AD25" i="12" s="1"/>
  <c r="AD13" i="12"/>
  <c r="AD14" i="12" s="1"/>
  <c r="AD17" i="12" s="1"/>
  <c r="AD34" i="12"/>
  <c r="AD35" i="12" s="1"/>
  <c r="AD36" i="12" s="1"/>
  <c r="AD19" i="12"/>
  <c r="AD20" i="12" s="1"/>
  <c r="AD21" i="12" s="1"/>
  <c r="J40" i="9"/>
  <c r="AG2" i="8" s="1"/>
  <c r="AG1" i="8" s="1"/>
  <c r="J56" i="9"/>
  <c r="AE12" i="12"/>
  <c r="AC17" i="12"/>
  <c r="AC40" i="12" s="1"/>
  <c r="AC54" i="12" s="1"/>
  <c r="AC55" i="12" s="1"/>
  <c r="Z47" i="12" l="1"/>
  <c r="AA47" i="12"/>
  <c r="AA51" i="12" s="1"/>
  <c r="AA57" i="12" s="1"/>
  <c r="AC38" i="12"/>
  <c r="AC50" i="12"/>
  <c r="AC49" i="12"/>
  <c r="AB45" i="12"/>
  <c r="AC43" i="12"/>
  <c r="AC41" i="12"/>
  <c r="AC44" i="12"/>
  <c r="AC42" i="12"/>
  <c r="AD32" i="12"/>
  <c r="AD38" i="12" s="1"/>
  <c r="AD40" i="12"/>
  <c r="AE30" i="12"/>
  <c r="AE31" i="12"/>
  <c r="G215" i="18"/>
  <c r="G191" i="18"/>
  <c r="G190" i="18"/>
  <c r="H188" i="18" s="1"/>
  <c r="H31" i="20"/>
  <c r="H31" i="23" s="1"/>
  <c r="AF12" i="12"/>
  <c r="K33" i="9"/>
  <c r="J203" i="8"/>
  <c r="J209" i="8" s="1"/>
  <c r="J245" i="8"/>
  <c r="AG11" i="12"/>
  <c r="AG15" i="12" s="1"/>
  <c r="AH6" i="12"/>
  <c r="AG28" i="12"/>
  <c r="AG27" i="12"/>
  <c r="AG8" i="12"/>
  <c r="G193" i="18"/>
  <c r="J57" i="9"/>
  <c r="AF15" i="12"/>
  <c r="L46" i="14"/>
  <c r="L43" i="14"/>
  <c r="L44" i="14"/>
  <c r="J50" i="14"/>
  <c r="L41" i="14"/>
  <c r="I65" i="14"/>
  <c r="L50" i="14"/>
  <c r="L42" i="14"/>
  <c r="L47" i="14"/>
  <c r="L45" i="14"/>
  <c r="K50" i="14"/>
  <c r="AE13" i="12"/>
  <c r="AE14" i="12" s="1"/>
  <c r="AE17" i="12" s="1"/>
  <c r="AE19" i="12"/>
  <c r="AE20" i="12" s="1"/>
  <c r="AE21" i="12" s="1"/>
  <c r="AE23" i="12"/>
  <c r="AE24" i="12" s="1"/>
  <c r="AE25" i="12" s="1"/>
  <c r="AE34" i="12"/>
  <c r="AE35" i="12" s="1"/>
  <c r="AE36" i="12" s="1"/>
  <c r="AF29" i="12"/>
  <c r="G185" i="18"/>
  <c r="H21" i="20"/>
  <c r="H21" i="23" s="1"/>
  <c r="G214" i="18"/>
  <c r="G184" i="18"/>
  <c r="H182" i="18" s="1"/>
  <c r="J202" i="8"/>
  <c r="J201" i="8"/>
  <c r="G196" i="18" l="1"/>
  <c r="G200" i="18" s="1"/>
  <c r="G205" i="18" s="1"/>
  <c r="AD54" i="12"/>
  <c r="Z51" i="12"/>
  <c r="AB47" i="12"/>
  <c r="AB51" i="12" s="1"/>
  <c r="AB57" i="12" s="1"/>
  <c r="AD50" i="12"/>
  <c r="AD49" i="12"/>
  <c r="AD44" i="12"/>
  <c r="AD43" i="12"/>
  <c r="AD42" i="12"/>
  <c r="AD41" i="12"/>
  <c r="AC45" i="12"/>
  <c r="AC47" i="12" s="1"/>
  <c r="AE32" i="12"/>
  <c r="AE38" i="12" s="1"/>
  <c r="E93" i="12" s="1"/>
  <c r="AE40" i="12"/>
  <c r="AE54" i="12" s="1"/>
  <c r="AE55" i="12" s="1"/>
  <c r="AG16" i="12"/>
  <c r="AG12" i="12"/>
  <c r="AG29" i="12"/>
  <c r="J224" i="8"/>
  <c r="J225" i="8"/>
  <c r="J223" i="8"/>
  <c r="L56" i="14"/>
  <c r="L53" i="14"/>
  <c r="I64" i="14"/>
  <c r="L61" i="14"/>
  <c r="L62" i="14"/>
  <c r="L65" i="14"/>
  <c r="L59" i="14"/>
  <c r="K65" i="14"/>
  <c r="L58" i="14"/>
  <c r="L60" i="14"/>
  <c r="J65" i="14"/>
  <c r="L54" i="14"/>
  <c r="L55" i="14"/>
  <c r="L57" i="14"/>
  <c r="G213" i="18"/>
  <c r="G216" i="18" s="1"/>
  <c r="H41" i="20" s="1"/>
  <c r="H42" i="20" s="1"/>
  <c r="G209" i="18"/>
  <c r="J206" i="8"/>
  <c r="J204" i="8"/>
  <c r="AW156" i="26"/>
  <c r="AU156" i="26"/>
  <c r="AV156" i="26"/>
  <c r="AX156" i="26"/>
  <c r="AY156" i="26"/>
  <c r="AQ156" i="26"/>
  <c r="AR156" i="26"/>
  <c r="AS156" i="26"/>
  <c r="AP156" i="26"/>
  <c r="AZ156" i="26"/>
  <c r="AT156" i="26"/>
  <c r="AO156" i="26"/>
  <c r="AF30" i="12"/>
  <c r="AF31" i="12"/>
  <c r="AZ150" i="26"/>
  <c r="AU150" i="26"/>
  <c r="AO150" i="26"/>
  <c r="AW150" i="26"/>
  <c r="AX150" i="26"/>
  <c r="AR150" i="26"/>
  <c r="AS150" i="26"/>
  <c r="AY150" i="26"/>
  <c r="AP150" i="26"/>
  <c r="AT150" i="26"/>
  <c r="AV150" i="26"/>
  <c r="AQ150" i="26"/>
  <c r="AI6" i="12"/>
  <c r="AH28" i="12"/>
  <c r="AH11" i="12"/>
  <c r="AH16" i="12" s="1"/>
  <c r="AH27" i="12"/>
  <c r="AH8" i="12"/>
  <c r="H32" i="20"/>
  <c r="H22" i="20"/>
  <c r="AF13" i="12"/>
  <c r="AF23" i="12"/>
  <c r="AF34" i="12"/>
  <c r="AF19" i="12"/>
  <c r="G217" i="18" l="1"/>
  <c r="AD55" i="12"/>
  <c r="Z57" i="12"/>
  <c r="AC51" i="12"/>
  <c r="AC57" i="12" s="1"/>
  <c r="AG34" i="12"/>
  <c r="AG35" i="12" s="1"/>
  <c r="AG36" i="12" s="1"/>
  <c r="AE50" i="12"/>
  <c r="AE49" i="12"/>
  <c r="AE44" i="12"/>
  <c r="AE43" i="12"/>
  <c r="AE42" i="12"/>
  <c r="AE41" i="12"/>
  <c r="AD45" i="12"/>
  <c r="AG31" i="12"/>
  <c r="G223" i="18"/>
  <c r="H47" i="20" s="1"/>
  <c r="H52" i="20" s="1"/>
  <c r="H53" i="20" s="1"/>
  <c r="H55" i="20" s="1"/>
  <c r="H56" i="20" s="1"/>
  <c r="AG19" i="12"/>
  <c r="AG20" i="12" s="1"/>
  <c r="AG21" i="12" s="1"/>
  <c r="AG13" i="12"/>
  <c r="AG14" i="12" s="1"/>
  <c r="AG17" i="12" s="1"/>
  <c r="AG23" i="12"/>
  <c r="AG24" i="12" s="1"/>
  <c r="AG25" i="12" s="1"/>
  <c r="AH15" i="12"/>
  <c r="AG30" i="12"/>
  <c r="AF20" i="12"/>
  <c r="K34" i="9"/>
  <c r="K35" i="9" s="1"/>
  <c r="J212" i="8"/>
  <c r="AF35" i="12"/>
  <c r="AJ6" i="12"/>
  <c r="AI28" i="12"/>
  <c r="AI11" i="12"/>
  <c r="AI15" i="12" s="1"/>
  <c r="AI27" i="12"/>
  <c r="AI8" i="12"/>
  <c r="AF24" i="12"/>
  <c r="AL161" i="26"/>
  <c r="G219" i="18"/>
  <c r="G251" i="18"/>
  <c r="AM161" i="26"/>
  <c r="AE161" i="26"/>
  <c r="AH161" i="26"/>
  <c r="AN161" i="26"/>
  <c r="AC161" i="26"/>
  <c r="AF161" i="26"/>
  <c r="AK161" i="26"/>
  <c r="AD161" i="26"/>
  <c r="AJ161" i="26"/>
  <c r="AI161" i="26"/>
  <c r="AG161" i="26"/>
  <c r="AF32" i="12"/>
  <c r="J257" i="8"/>
  <c r="AH12" i="12"/>
  <c r="J64" i="14"/>
  <c r="L64" i="14"/>
  <c r="K64" i="14"/>
  <c r="BA150" i="26"/>
  <c r="BB150" i="26" s="1"/>
  <c r="AO152" i="26"/>
  <c r="AP152" i="26" s="1"/>
  <c r="AQ152" i="26" s="1"/>
  <c r="AR152" i="26" s="1"/>
  <c r="AS152" i="26" s="1"/>
  <c r="AT152" i="26" s="1"/>
  <c r="AU152" i="26" s="1"/>
  <c r="AV152" i="26" s="1"/>
  <c r="AW152" i="26" s="1"/>
  <c r="AX152" i="26" s="1"/>
  <c r="AY152" i="26" s="1"/>
  <c r="AZ152" i="26" s="1"/>
  <c r="H43" i="20"/>
  <c r="H44" i="20"/>
  <c r="AF14" i="12"/>
  <c r="H33" i="20"/>
  <c r="H35" i="20" s="1"/>
  <c r="H32" i="23"/>
  <c r="H33" i="23" s="1"/>
  <c r="H35" i="23" s="1"/>
  <c r="H38" i="23" s="1"/>
  <c r="AH29" i="12"/>
  <c r="BA156" i="26"/>
  <c r="BB156" i="26" s="1"/>
  <c r="AO158" i="26"/>
  <c r="AP158" i="26" s="1"/>
  <c r="AQ158" i="26" s="1"/>
  <c r="AR158" i="26" s="1"/>
  <c r="AS158" i="26" s="1"/>
  <c r="AT158" i="26" s="1"/>
  <c r="AU158" i="26" s="1"/>
  <c r="AV158" i="26" s="1"/>
  <c r="AW158" i="26" s="1"/>
  <c r="AX158" i="26" s="1"/>
  <c r="AY158" i="26" s="1"/>
  <c r="AZ158" i="26" s="1"/>
  <c r="K24" i="9"/>
  <c r="J226" i="8"/>
  <c r="J228" i="8" s="1"/>
  <c r="H23" i="20"/>
  <c r="H25" i="20" s="1"/>
  <c r="H28" i="20" s="1"/>
  <c r="H22" i="23"/>
  <c r="H23" i="23" s="1"/>
  <c r="H25" i="23" s="1"/>
  <c r="H28" i="23" s="1"/>
  <c r="K43" i="9"/>
  <c r="K45" i="9" s="1"/>
  <c r="K50" i="9" s="1"/>
  <c r="J213" i="8"/>
  <c r="H57" i="20" l="1"/>
  <c r="AD47" i="12"/>
  <c r="AG32" i="12"/>
  <c r="AG38" i="12" s="1"/>
  <c r="AE45" i="12"/>
  <c r="AG40" i="12"/>
  <c r="AG54" i="12" s="1"/>
  <c r="AG55" i="12" s="1"/>
  <c r="AI12" i="12"/>
  <c r="AI16" i="12"/>
  <c r="AI29" i="12"/>
  <c r="J259" i="8"/>
  <c r="J230" i="8"/>
  <c r="K34" i="8" s="1"/>
  <c r="K35" i="8" s="1"/>
  <c r="H38" i="20"/>
  <c r="H50" i="20"/>
  <c r="AF17" i="12"/>
  <c r="AF40" i="12" s="1"/>
  <c r="AF36" i="12"/>
  <c r="K219" i="8"/>
  <c r="K220" i="8" s="1"/>
  <c r="K37" i="9"/>
  <c r="K54" i="9"/>
  <c r="AH13" i="12"/>
  <c r="AH19" i="12"/>
  <c r="AH34" i="12"/>
  <c r="AH23" i="12"/>
  <c r="AL163" i="26"/>
  <c r="AI163" i="26"/>
  <c r="AG163" i="26"/>
  <c r="AN163" i="26"/>
  <c r="AH163" i="26"/>
  <c r="AE163" i="26"/>
  <c r="AF163" i="26"/>
  <c r="G252" i="18"/>
  <c r="AJ163" i="26"/>
  <c r="AC163" i="26"/>
  <c r="AC165" i="26" s="1"/>
  <c r="AM163" i="26"/>
  <c r="G221" i="18"/>
  <c r="H176" i="18" s="1"/>
  <c r="AD163" i="26"/>
  <c r="AK163" i="26"/>
  <c r="AF21" i="12"/>
  <c r="AH30" i="12"/>
  <c r="AH31" i="12"/>
  <c r="J232" i="8"/>
  <c r="J258" i="8"/>
  <c r="AF25" i="12"/>
  <c r="AK6" i="12"/>
  <c r="AJ11" i="12"/>
  <c r="AJ16" i="12" s="1"/>
  <c r="AJ28" i="12"/>
  <c r="AJ27" i="12"/>
  <c r="AJ8" i="12"/>
  <c r="AF54" i="12" l="1"/>
  <c r="AD51" i="12"/>
  <c r="AE47" i="12"/>
  <c r="AE51" i="12" s="1"/>
  <c r="AE57" i="12" s="1"/>
  <c r="AF38" i="12"/>
  <c r="AI34" i="12"/>
  <c r="AI35" i="12" s="1"/>
  <c r="AI36" i="12" s="1"/>
  <c r="AF50" i="12"/>
  <c r="AF49" i="12"/>
  <c r="AG50" i="12"/>
  <c r="AG49" i="12"/>
  <c r="AF44" i="12"/>
  <c r="AF43" i="12"/>
  <c r="AF42" i="12"/>
  <c r="AF41" i="12"/>
  <c r="AG44" i="12"/>
  <c r="AG43" i="12"/>
  <c r="AG42" i="12"/>
  <c r="AG41" i="12"/>
  <c r="AI31" i="12"/>
  <c r="AI23" i="12"/>
  <c r="AI24" i="12" s="1"/>
  <c r="AI25" i="12" s="1"/>
  <c r="AI13" i="12"/>
  <c r="AI14" i="12" s="1"/>
  <c r="AI17" i="12" s="1"/>
  <c r="AI19" i="12"/>
  <c r="AI20" i="12" s="1"/>
  <c r="AI21" i="12" s="1"/>
  <c r="AJ15" i="12"/>
  <c r="AI30" i="12"/>
  <c r="AD165" i="26"/>
  <c r="AE165" i="26" s="1"/>
  <c r="AF165" i="26" s="1"/>
  <c r="AG165" i="26" s="1"/>
  <c r="AH165" i="26" s="1"/>
  <c r="AI165" i="26" s="1"/>
  <c r="AJ165" i="26" s="1"/>
  <c r="AK165" i="26" s="1"/>
  <c r="AL165" i="26" s="1"/>
  <c r="AM165" i="26" s="1"/>
  <c r="AN165" i="26" s="1"/>
  <c r="AJ12" i="12"/>
  <c r="K221" i="8"/>
  <c r="AH35" i="12"/>
  <c r="K40" i="9"/>
  <c r="AH2" i="8" s="1"/>
  <c r="AH1" i="8" s="1"/>
  <c r="K56" i="9"/>
  <c r="K57" i="9" s="1"/>
  <c r="AJ29" i="12"/>
  <c r="AH20" i="12"/>
  <c r="AL6" i="12"/>
  <c r="AK11" i="12"/>
  <c r="AK15" i="12" s="1"/>
  <c r="AK28" i="12"/>
  <c r="AK27" i="12"/>
  <c r="AK8" i="12"/>
  <c r="H189" i="18"/>
  <c r="H183" i="18"/>
  <c r="H218" i="18"/>
  <c r="AZ147" i="26"/>
  <c r="BA147" i="26" s="1"/>
  <c r="BB147" i="26" s="1"/>
  <c r="K242" i="8"/>
  <c r="K45" i="8"/>
  <c r="K200" i="8"/>
  <c r="AH24" i="12"/>
  <c r="AH32" i="12"/>
  <c r="AH14" i="12"/>
  <c r="AD57" i="12" l="1"/>
  <c r="AF55" i="12"/>
  <c r="AF45" i="12"/>
  <c r="AG45" i="12"/>
  <c r="AI32" i="12"/>
  <c r="AI38" i="12" s="1"/>
  <c r="AI40" i="12"/>
  <c r="AI54" i="12" s="1"/>
  <c r="AI55" i="12" s="1"/>
  <c r="K201" i="8"/>
  <c r="K202" i="8"/>
  <c r="H184" i="18"/>
  <c r="I182" i="18" s="1"/>
  <c r="H214" i="18"/>
  <c r="BB151" i="26"/>
  <c r="I21" i="20"/>
  <c r="I21" i="23" s="1"/>
  <c r="H185" i="18"/>
  <c r="AK16" i="12"/>
  <c r="AH36" i="12"/>
  <c r="K203" i="8"/>
  <c r="K245" i="8"/>
  <c r="BB157" i="26"/>
  <c r="H190" i="18"/>
  <c r="I188" i="18" s="1"/>
  <c r="I31" i="20"/>
  <c r="I31" i="23" s="1"/>
  <c r="H215" i="18"/>
  <c r="H191" i="18"/>
  <c r="AH17" i="12"/>
  <c r="AH40" i="12" s="1"/>
  <c r="AM6" i="12"/>
  <c r="AL28" i="12"/>
  <c r="AL11" i="12"/>
  <c r="AL16" i="12" s="1"/>
  <c r="AL27" i="12"/>
  <c r="AL8" i="12"/>
  <c r="AJ31" i="12"/>
  <c r="AJ30" i="12"/>
  <c r="AJ13" i="12"/>
  <c r="AJ23" i="12"/>
  <c r="AJ34" i="12"/>
  <c r="AJ19" i="12"/>
  <c r="L33" i="9"/>
  <c r="AK12" i="12"/>
  <c r="H193" i="18"/>
  <c r="AH25" i="12"/>
  <c r="AK29" i="12"/>
  <c r="AH21" i="12"/>
  <c r="AH54" i="12" l="1"/>
  <c r="AG47" i="12"/>
  <c r="AG51" i="12" s="1"/>
  <c r="AG57" i="12" s="1"/>
  <c r="AF47" i="12"/>
  <c r="AH38" i="12"/>
  <c r="AH50" i="12"/>
  <c r="AH49" i="12"/>
  <c r="AI49" i="12"/>
  <c r="AI50" i="12"/>
  <c r="AH44" i="12"/>
  <c r="AH43" i="12"/>
  <c r="AH42" i="12"/>
  <c r="AH41" i="12"/>
  <c r="AI44" i="12"/>
  <c r="AI43" i="12"/>
  <c r="AI42" i="12"/>
  <c r="AI41" i="12"/>
  <c r="I32" i="20"/>
  <c r="I33" i="20" s="1"/>
  <c r="I35" i="20" s="1"/>
  <c r="I38" i="20" s="1"/>
  <c r="AL15" i="12"/>
  <c r="AL12" i="12"/>
  <c r="H196" i="18"/>
  <c r="H200" i="18" s="1"/>
  <c r="H205" i="18" s="1"/>
  <c r="AJ14" i="12"/>
  <c r="AN6" i="12"/>
  <c r="AM11" i="12"/>
  <c r="AM16" i="12" s="1"/>
  <c r="AM28" i="12"/>
  <c r="AM27" i="12"/>
  <c r="AM8" i="12"/>
  <c r="AK31" i="12"/>
  <c r="AK30" i="12"/>
  <c r="K206" i="8"/>
  <c r="K204" i="8"/>
  <c r="I22" i="20"/>
  <c r="K209" i="8"/>
  <c r="H209" i="18"/>
  <c r="H213" i="18"/>
  <c r="H216" i="18" s="1"/>
  <c r="I41" i="20" s="1"/>
  <c r="I42" i="20" s="1"/>
  <c r="I44" i="20" s="1"/>
  <c r="AL29" i="12"/>
  <c r="AJ24" i="12"/>
  <c r="AK13" i="12"/>
  <c r="AK14" i="12" s="1"/>
  <c r="AK17" i="12" s="1"/>
  <c r="AK34" i="12"/>
  <c r="AK35" i="12" s="1"/>
  <c r="AK36" i="12" s="1"/>
  <c r="AK19" i="12"/>
  <c r="AK20" i="12" s="1"/>
  <c r="AK21" i="12" s="1"/>
  <c r="AK23" i="12"/>
  <c r="AK24" i="12" s="1"/>
  <c r="AK25" i="12" s="1"/>
  <c r="AJ20" i="12"/>
  <c r="AJ35" i="12"/>
  <c r="AJ32" i="12"/>
  <c r="I32" i="23" l="1"/>
  <c r="I33" i="23" s="1"/>
  <c r="I35" i="23" s="1"/>
  <c r="I38" i="23" s="1"/>
  <c r="AF51" i="12"/>
  <c r="AH55" i="12"/>
  <c r="AL34" i="12"/>
  <c r="AL35" i="12" s="1"/>
  <c r="AL36" i="12" s="1"/>
  <c r="AI45" i="12"/>
  <c r="AH45" i="12"/>
  <c r="AK40" i="12"/>
  <c r="AK54" i="12" s="1"/>
  <c r="AK55" i="12" s="1"/>
  <c r="AL13" i="12"/>
  <c r="AL14" i="12" s="1"/>
  <c r="AL17" i="12" s="1"/>
  <c r="AL19" i="12"/>
  <c r="AL20" i="12" s="1"/>
  <c r="AL21" i="12" s="1"/>
  <c r="AL23" i="12"/>
  <c r="AL24" i="12" s="1"/>
  <c r="AL25" i="12" s="1"/>
  <c r="AK32" i="12"/>
  <c r="AK38" i="12" s="1"/>
  <c r="AL30" i="12"/>
  <c r="AL31" i="12"/>
  <c r="AJ21" i="12"/>
  <c r="H217" i="18"/>
  <c r="AM29" i="12"/>
  <c r="I23" i="20"/>
  <c r="I25" i="20" s="1"/>
  <c r="I22" i="23"/>
  <c r="I23" i="23" s="1"/>
  <c r="I25" i="23" s="1"/>
  <c r="I28" i="23" s="1"/>
  <c r="AJ36" i="12"/>
  <c r="K224" i="8"/>
  <c r="K225" i="8"/>
  <c r="K223" i="8"/>
  <c r="AO6" i="12"/>
  <c r="AN28" i="12"/>
  <c r="AN11" i="12"/>
  <c r="AN15" i="12" s="1"/>
  <c r="AN27" i="12"/>
  <c r="AN8" i="12"/>
  <c r="K257" i="8"/>
  <c r="AM12" i="12"/>
  <c r="AJ25" i="12"/>
  <c r="AM15" i="12"/>
  <c r="AJ17" i="12"/>
  <c r="AJ40" i="12" s="1"/>
  <c r="I43" i="20"/>
  <c r="H223" i="18"/>
  <c r="I47" i="20" s="1"/>
  <c r="I52" i="20" s="1"/>
  <c r="I53" i="20" s="1"/>
  <c r="I55" i="20" s="1"/>
  <c r="AJ54" i="12" l="1"/>
  <c r="AF57" i="12"/>
  <c r="AI47" i="12"/>
  <c r="AI51" i="12" s="1"/>
  <c r="AI57" i="12" s="1"/>
  <c r="AJ38" i="12"/>
  <c r="AH47" i="12"/>
  <c r="AJ50" i="12"/>
  <c r="AJ49" i="12"/>
  <c r="AK50" i="12"/>
  <c r="AK49" i="12"/>
  <c r="AL40" i="12"/>
  <c r="AL54" i="12" s="1"/>
  <c r="AL55" i="12" s="1"/>
  <c r="AJ44" i="12"/>
  <c r="AJ43" i="12"/>
  <c r="AJ42" i="12"/>
  <c r="AJ41" i="12"/>
  <c r="AK44" i="12"/>
  <c r="AK42" i="12"/>
  <c r="AK43" i="12"/>
  <c r="AK41" i="12"/>
  <c r="AN16" i="12"/>
  <c r="AN29" i="12"/>
  <c r="AM31" i="12"/>
  <c r="AM30" i="12"/>
  <c r="AP6" i="12"/>
  <c r="AO11" i="12"/>
  <c r="AO16" i="12" s="1"/>
  <c r="AO28" i="12"/>
  <c r="AO27" i="12"/>
  <c r="AO8" i="12"/>
  <c r="L24" i="9"/>
  <c r="K226" i="8"/>
  <c r="AO161" i="26"/>
  <c r="AW161" i="26"/>
  <c r="AP161" i="26"/>
  <c r="AX161" i="26"/>
  <c r="AY161" i="26"/>
  <c r="AT161" i="26"/>
  <c r="AV161" i="26"/>
  <c r="AQ161" i="26"/>
  <c r="AU161" i="26"/>
  <c r="H219" i="18"/>
  <c r="AS161" i="26"/>
  <c r="AR161" i="26"/>
  <c r="H251" i="18"/>
  <c r="AZ161" i="26"/>
  <c r="AN12" i="12"/>
  <c r="L43" i="9"/>
  <c r="L45" i="9" s="1"/>
  <c r="L50" i="9" s="1"/>
  <c r="K213" i="8"/>
  <c r="AL32" i="12"/>
  <c r="AL38" i="12" s="1"/>
  <c r="AM13" i="12"/>
  <c r="AM14" i="12" s="1"/>
  <c r="AM34" i="12"/>
  <c r="AM19" i="12"/>
  <c r="AM23" i="12"/>
  <c r="L34" i="9"/>
  <c r="L35" i="9" s="1"/>
  <c r="K212" i="8"/>
  <c r="I28" i="20"/>
  <c r="I50" i="20"/>
  <c r="I57" i="20"/>
  <c r="I56" i="20"/>
  <c r="AH51" i="12" l="1"/>
  <c r="AJ55" i="12"/>
  <c r="AL44" i="12"/>
  <c r="AL50" i="12"/>
  <c r="AL49" i="12"/>
  <c r="AL41" i="12"/>
  <c r="AL42" i="12"/>
  <c r="AL43" i="12"/>
  <c r="AK45" i="12"/>
  <c r="AO12" i="12"/>
  <c r="AO15" i="12"/>
  <c r="AO29" i="12"/>
  <c r="AM35" i="12"/>
  <c r="BA161" i="26"/>
  <c r="BB161" i="26" s="1"/>
  <c r="AQ6" i="12"/>
  <c r="AP11" i="12"/>
  <c r="AP16" i="12" s="1"/>
  <c r="AP28" i="12"/>
  <c r="AP27" i="12"/>
  <c r="AP8" i="12"/>
  <c r="AN13" i="12"/>
  <c r="AN14" i="12" s="1"/>
  <c r="AN17" i="12" s="1"/>
  <c r="AN19" i="12"/>
  <c r="AN20" i="12" s="1"/>
  <c r="AN21" i="12" s="1"/>
  <c r="AN34" i="12"/>
  <c r="AN35" i="12" s="1"/>
  <c r="AN36" i="12" s="1"/>
  <c r="AN23" i="12"/>
  <c r="AN24" i="12" s="1"/>
  <c r="AN25" i="12" s="1"/>
  <c r="L37" i="9"/>
  <c r="L54" i="9"/>
  <c r="AM17" i="12"/>
  <c r="AM40" i="12" s="1"/>
  <c r="AM54" i="12" s="1"/>
  <c r="AM55" i="12" s="1"/>
  <c r="K232" i="8"/>
  <c r="K258" i="8"/>
  <c r="K228" i="8"/>
  <c r="AM32" i="12"/>
  <c r="L219" i="8"/>
  <c r="L220" i="8" s="1"/>
  <c r="AM24" i="12"/>
  <c r="AJ45" i="12"/>
  <c r="AN30" i="12"/>
  <c r="AN31" i="12"/>
  <c r="AM20" i="12"/>
  <c r="H252" i="18"/>
  <c r="H221" i="18"/>
  <c r="I176" i="18" s="1"/>
  <c r="AR163" i="26"/>
  <c r="AZ163" i="26"/>
  <c r="AU163" i="26"/>
  <c r="AW163" i="26"/>
  <c r="AV163" i="26"/>
  <c r="AT163" i="26"/>
  <c r="AO163" i="26"/>
  <c r="AP163" i="26"/>
  <c r="AX163" i="26"/>
  <c r="AQ163" i="26"/>
  <c r="AY163" i="26"/>
  <c r="AS163" i="26"/>
  <c r="I60" i="20"/>
  <c r="I63" i="20" s="1"/>
  <c r="AJ47" i="12" l="1"/>
  <c r="AJ51" i="12" s="1"/>
  <c r="AJ57" i="12" s="1"/>
  <c r="AH57" i="12"/>
  <c r="AK47" i="12"/>
  <c r="AK51" i="12" s="1"/>
  <c r="AK57" i="12" s="1"/>
  <c r="AO23" i="12"/>
  <c r="AO24" i="12" s="1"/>
  <c r="AO25" i="12" s="1"/>
  <c r="AM50" i="12"/>
  <c r="AM49" i="12"/>
  <c r="AO34" i="12"/>
  <c r="AO35" i="12" s="1"/>
  <c r="AO36" i="12" s="1"/>
  <c r="AM44" i="12"/>
  <c r="AM43" i="12"/>
  <c r="AM42" i="12"/>
  <c r="AM41" i="12"/>
  <c r="AN40" i="12"/>
  <c r="AN54" i="12" s="1"/>
  <c r="AN55" i="12" s="1"/>
  <c r="AO30" i="12"/>
  <c r="AL45" i="12"/>
  <c r="AO31" i="12"/>
  <c r="AO19" i="12"/>
  <c r="AO20" i="12" s="1"/>
  <c r="AO21" i="12" s="1"/>
  <c r="AO13" i="12"/>
  <c r="AO14" i="12" s="1"/>
  <c r="AO17" i="12" s="1"/>
  <c r="AP29" i="12"/>
  <c r="AN32" i="12"/>
  <c r="AN38" i="12" s="1"/>
  <c r="AP15" i="12"/>
  <c r="AP12" i="12"/>
  <c r="I218" i="18"/>
  <c r="I183" i="18"/>
  <c r="I189" i="18"/>
  <c r="BA163" i="26"/>
  <c r="BB163" i="26" s="1"/>
  <c r="AO165" i="26"/>
  <c r="AP165" i="26" s="1"/>
  <c r="AQ165" i="26" s="1"/>
  <c r="AR165" i="26" s="1"/>
  <c r="AS165" i="26" s="1"/>
  <c r="AT165" i="26" s="1"/>
  <c r="AU165" i="26" s="1"/>
  <c r="AV165" i="26" s="1"/>
  <c r="AW165" i="26" s="1"/>
  <c r="AX165" i="26" s="1"/>
  <c r="AY165" i="26" s="1"/>
  <c r="AZ165" i="26" s="1"/>
  <c r="AM36" i="12"/>
  <c r="K259" i="8"/>
  <c r="K230" i="8"/>
  <c r="L34" i="8" s="1"/>
  <c r="L35" i="8" s="1"/>
  <c r="L40" i="9"/>
  <c r="AI2" i="8" s="1"/>
  <c r="AI1" i="8" s="1"/>
  <c r="L56" i="9"/>
  <c r="L57" i="9" s="1"/>
  <c r="AR6" i="12"/>
  <c r="AQ11" i="12"/>
  <c r="AQ16" i="12" s="1"/>
  <c r="AQ28" i="12"/>
  <c r="AQ27" i="12"/>
  <c r="AQ8" i="12"/>
  <c r="AM25" i="12"/>
  <c r="AM21" i="12"/>
  <c r="L221" i="8"/>
  <c r="I65" i="20"/>
  <c r="I64" i="20"/>
  <c r="I203" i="18"/>
  <c r="I201" i="18"/>
  <c r="I202" i="18"/>
  <c r="R199" i="18"/>
  <c r="AL47" i="12" l="1"/>
  <c r="AL51" i="12" s="1"/>
  <c r="AL57" i="12" s="1"/>
  <c r="AM38" i="12"/>
  <c r="AN50" i="12"/>
  <c r="AN49" i="12"/>
  <c r="AN44" i="12"/>
  <c r="AN43" i="12"/>
  <c r="AN42" i="12"/>
  <c r="AN41" i="12"/>
  <c r="AO32" i="12"/>
  <c r="AO38" i="12" s="1"/>
  <c r="AO40" i="12"/>
  <c r="AO54" i="12" s="1"/>
  <c r="AO55" i="12" s="1"/>
  <c r="AP31" i="12"/>
  <c r="AP30" i="12"/>
  <c r="AQ15" i="12"/>
  <c r="AQ29" i="12"/>
  <c r="I193" i="18"/>
  <c r="I209" i="18" s="1"/>
  <c r="I213" i="18" s="1"/>
  <c r="I216" i="18" s="1"/>
  <c r="AQ12" i="12"/>
  <c r="BA165" i="26"/>
  <c r="J21" i="20"/>
  <c r="J21" i="23" s="1"/>
  <c r="I185" i="18"/>
  <c r="I184" i="18"/>
  <c r="J182" i="18" s="1"/>
  <c r="AS6" i="12"/>
  <c r="AR28" i="12"/>
  <c r="AR11" i="12"/>
  <c r="AR15" i="12" s="1"/>
  <c r="AR8" i="12"/>
  <c r="AR27" i="12"/>
  <c r="L45" i="8"/>
  <c r="L242" i="8"/>
  <c r="L200" i="8"/>
  <c r="AP13" i="12"/>
  <c r="AP14" i="12" s="1"/>
  <c r="AP19" i="12"/>
  <c r="AP20" i="12" s="1"/>
  <c r="AP23" i="12"/>
  <c r="AP24" i="12" s="1"/>
  <c r="AP25" i="12" s="1"/>
  <c r="AP34" i="12"/>
  <c r="AP35" i="12" s="1"/>
  <c r="M33" i="9"/>
  <c r="I191" i="18"/>
  <c r="J31" i="20"/>
  <c r="I190" i="18"/>
  <c r="J188" i="18" s="1"/>
  <c r="R202" i="18"/>
  <c r="I215" i="18"/>
  <c r="R201" i="18"/>
  <c r="I214" i="18"/>
  <c r="R203" i="18"/>
  <c r="AO50" i="12" l="1"/>
  <c r="AO49" i="12"/>
  <c r="AN45" i="12"/>
  <c r="AO44" i="12"/>
  <c r="AO43" i="12"/>
  <c r="AO42" i="12"/>
  <c r="AO41" i="12"/>
  <c r="AP32" i="12"/>
  <c r="AQ30" i="12"/>
  <c r="AQ23" i="12"/>
  <c r="AQ24" i="12" s="1"/>
  <c r="AQ25" i="12" s="1"/>
  <c r="AQ34" i="12"/>
  <c r="AQ35" i="12" s="1"/>
  <c r="AQ36" i="12" s="1"/>
  <c r="AQ31" i="12"/>
  <c r="AR16" i="12"/>
  <c r="AQ13" i="12"/>
  <c r="AQ14" i="12" s="1"/>
  <c r="AQ17" i="12" s="1"/>
  <c r="AQ19" i="12"/>
  <c r="AQ20" i="12" s="1"/>
  <c r="AQ21" i="12" s="1"/>
  <c r="AP21" i="12"/>
  <c r="AT6" i="12"/>
  <c r="AS11" i="12"/>
  <c r="AS15" i="12" s="1"/>
  <c r="AS28" i="12"/>
  <c r="AS8" i="12"/>
  <c r="AS27" i="12"/>
  <c r="AR29" i="12"/>
  <c r="L202" i="8"/>
  <c r="L201" i="8"/>
  <c r="AM45" i="12"/>
  <c r="AP36" i="12"/>
  <c r="I196" i="18"/>
  <c r="I200" i="18" s="1"/>
  <c r="I205" i="18" s="1"/>
  <c r="AP17" i="12"/>
  <c r="AP40" i="12" s="1"/>
  <c r="AP54" i="12" s="1"/>
  <c r="AP55" i="12" s="1"/>
  <c r="L245" i="8"/>
  <c r="L203" i="8"/>
  <c r="AR12" i="12"/>
  <c r="J41" i="20"/>
  <c r="I217" i="18"/>
  <c r="J22" i="20"/>
  <c r="I223" i="18"/>
  <c r="J32" i="20"/>
  <c r="AN47" i="12" l="1"/>
  <c r="AN51" i="12" s="1"/>
  <c r="AN57" i="12" s="1"/>
  <c r="AM47" i="12"/>
  <c r="AP38" i="12"/>
  <c r="AP50" i="12"/>
  <c r="AP49" i="12"/>
  <c r="AO45" i="12"/>
  <c r="AP44" i="12"/>
  <c r="AP43" i="12"/>
  <c r="AP42" i="12"/>
  <c r="AP41" i="12"/>
  <c r="AQ32" i="12"/>
  <c r="AQ38" i="12" s="1"/>
  <c r="AQ40" i="12"/>
  <c r="AQ54" i="12" s="1"/>
  <c r="AQ55" i="12" s="1"/>
  <c r="AS16" i="12"/>
  <c r="AR13" i="12"/>
  <c r="AR34" i="12"/>
  <c r="AR23" i="12"/>
  <c r="AR19" i="12"/>
  <c r="AU6" i="12"/>
  <c r="AT28" i="12"/>
  <c r="AT11" i="12"/>
  <c r="AT27" i="12"/>
  <c r="AT8" i="12"/>
  <c r="L206" i="8"/>
  <c r="L204" i="8"/>
  <c r="AS29" i="12"/>
  <c r="L209" i="8"/>
  <c r="AR31" i="12"/>
  <c r="AR30" i="12"/>
  <c r="AS12" i="12"/>
  <c r="J47" i="20"/>
  <c r="I251" i="18"/>
  <c r="I219" i="18"/>
  <c r="J22" i="23"/>
  <c r="J23" i="23" s="1"/>
  <c r="J23" i="20"/>
  <c r="J33" i="20"/>
  <c r="J42" i="20"/>
  <c r="AM51" i="12" l="1"/>
  <c r="AO47" i="12"/>
  <c r="AO51" i="12" s="1"/>
  <c r="AO57" i="12" s="1"/>
  <c r="AQ50" i="12"/>
  <c r="AQ49" i="12"/>
  <c r="AQ44" i="12"/>
  <c r="AQ43" i="12"/>
  <c r="AQ42" i="12"/>
  <c r="AQ41" i="12"/>
  <c r="AP45" i="12"/>
  <c r="AP47" i="12" s="1"/>
  <c r="L257" i="8"/>
  <c r="AR32" i="12"/>
  <c r="L224" i="8"/>
  <c r="L225" i="8"/>
  <c r="L223" i="8"/>
  <c r="AS31" i="12"/>
  <c r="AS30" i="12"/>
  <c r="AT16" i="12"/>
  <c r="AR20" i="12"/>
  <c r="AV6" i="12"/>
  <c r="AU28" i="12"/>
  <c r="AU11" i="12"/>
  <c r="AU27" i="12"/>
  <c r="AU8" i="12"/>
  <c r="AT12" i="12"/>
  <c r="AR24" i="12"/>
  <c r="AR25" i="12" s="1"/>
  <c r="AT29" i="12"/>
  <c r="AR35" i="12"/>
  <c r="AS13" i="12"/>
  <c r="AS14" i="12" s="1"/>
  <c r="AS17" i="12" s="1"/>
  <c r="AS19" i="12"/>
  <c r="AS20" i="12" s="1"/>
  <c r="AS21" i="12" s="1"/>
  <c r="AS23" i="12"/>
  <c r="AS24" i="12" s="1"/>
  <c r="AS25" i="12" s="1"/>
  <c r="AS34" i="12"/>
  <c r="AS35" i="12" s="1"/>
  <c r="AS36" i="12" s="1"/>
  <c r="AT15" i="12"/>
  <c r="AR14" i="12"/>
  <c r="J25" i="23"/>
  <c r="J35" i="20"/>
  <c r="I252" i="18"/>
  <c r="I221" i="18"/>
  <c r="J176" i="18" s="1"/>
  <c r="J43" i="20"/>
  <c r="J44" i="20"/>
  <c r="J25" i="20"/>
  <c r="J52" i="20"/>
  <c r="AM57" i="12" l="1"/>
  <c r="AP51" i="12"/>
  <c r="AP57" i="12" s="1"/>
  <c r="AQ45" i="12"/>
  <c r="AS40" i="12"/>
  <c r="AS54" i="12" s="1"/>
  <c r="AS55" i="12" s="1"/>
  <c r="AS32" i="12"/>
  <c r="AS38" i="12" s="1"/>
  <c r="AU15" i="12"/>
  <c r="AR36" i="12"/>
  <c r="AT13" i="12"/>
  <c r="AT14" i="12" s="1"/>
  <c r="AT17" i="12" s="1"/>
  <c r="AT34" i="12"/>
  <c r="AT23" i="12"/>
  <c r="AT19" i="12"/>
  <c r="AT20" i="12" s="1"/>
  <c r="AT21" i="12" s="1"/>
  <c r="AU16" i="12"/>
  <c r="AT31" i="12"/>
  <c r="AT30" i="12"/>
  <c r="AW6" i="12"/>
  <c r="AV28" i="12"/>
  <c r="AV11" i="12"/>
  <c r="AV16" i="12" s="1"/>
  <c r="AV27" i="12"/>
  <c r="AV8" i="12"/>
  <c r="M24" i="9"/>
  <c r="L226" i="8"/>
  <c r="AR17" i="12"/>
  <c r="AR40" i="12" s="1"/>
  <c r="M43" i="9"/>
  <c r="M45" i="9" s="1"/>
  <c r="M50" i="9" s="1"/>
  <c r="L213" i="8"/>
  <c r="AU12" i="12"/>
  <c r="AR21" i="12"/>
  <c r="M34" i="9"/>
  <c r="M35" i="9" s="1"/>
  <c r="L212" i="8"/>
  <c r="AU29" i="12"/>
  <c r="J189" i="18"/>
  <c r="J183" i="18"/>
  <c r="J218" i="18"/>
  <c r="J53" i="20"/>
  <c r="J55" i="20" s="1"/>
  <c r="J28" i="23"/>
  <c r="J28" i="20"/>
  <c r="J38" i="20"/>
  <c r="J50" i="20"/>
  <c r="AR54" i="12" l="1"/>
  <c r="AQ47" i="12"/>
  <c r="AQ51" i="12" s="1"/>
  <c r="AQ57" i="12" s="1"/>
  <c r="AR38" i="12"/>
  <c r="AR50" i="12"/>
  <c r="AR49" i="12"/>
  <c r="AS50" i="12"/>
  <c r="AS49" i="12"/>
  <c r="AR44" i="12"/>
  <c r="AR43" i="12"/>
  <c r="AR42" i="12"/>
  <c r="AR41" i="12"/>
  <c r="AS44" i="12"/>
  <c r="AS41" i="12"/>
  <c r="AS43" i="12"/>
  <c r="AS42" i="12"/>
  <c r="AT40" i="12"/>
  <c r="AT54" i="12" s="1"/>
  <c r="AT55" i="12" s="1"/>
  <c r="AW28" i="12"/>
  <c r="AW11" i="12"/>
  <c r="AW16" i="12" s="1"/>
  <c r="AX6" i="12"/>
  <c r="AW8" i="12"/>
  <c r="AW27" i="12"/>
  <c r="M219" i="8"/>
  <c r="M220" i="8" s="1"/>
  <c r="AT24" i="12"/>
  <c r="AU31" i="12"/>
  <c r="AU30" i="12"/>
  <c r="M37" i="9"/>
  <c r="M54" i="9"/>
  <c r="AV12" i="12"/>
  <c r="AT35" i="12"/>
  <c r="AV29" i="12"/>
  <c r="AT32" i="12"/>
  <c r="AV15" i="12"/>
  <c r="AU13" i="12"/>
  <c r="AU34" i="12"/>
  <c r="AU35" i="12" s="1"/>
  <c r="AU36" i="12" s="1"/>
  <c r="AU19" i="12"/>
  <c r="AU20" i="12" s="1"/>
  <c r="AU21" i="12" s="1"/>
  <c r="AU23" i="12"/>
  <c r="AU24" i="12" s="1"/>
  <c r="AU25" i="12" s="1"/>
  <c r="L258" i="8"/>
  <c r="L232" i="8"/>
  <c r="L228" i="8"/>
  <c r="J57" i="20"/>
  <c r="J60" i="20" s="1"/>
  <c r="J63" i="20" s="1"/>
  <c r="J56" i="20"/>
  <c r="K21" i="20"/>
  <c r="J185" i="18"/>
  <c r="J184" i="18"/>
  <c r="J193" i="18"/>
  <c r="J191" i="18"/>
  <c r="K31" i="20"/>
  <c r="J190" i="18"/>
  <c r="AR55" i="12" l="1"/>
  <c r="AT50" i="12"/>
  <c r="AT49" i="12"/>
  <c r="AT44" i="12"/>
  <c r="AT43" i="12"/>
  <c r="AT42" i="12"/>
  <c r="AT41" i="12"/>
  <c r="AR45" i="12"/>
  <c r="AS45" i="12"/>
  <c r="AV30" i="12"/>
  <c r="AV31" i="12"/>
  <c r="AW12" i="12"/>
  <c r="M40" i="9"/>
  <c r="AJ2" i="8" s="1"/>
  <c r="AJ1" i="8" s="1"/>
  <c r="M56" i="9"/>
  <c r="M57" i="9" s="1"/>
  <c r="AY6" i="12"/>
  <c r="AX28" i="12"/>
  <c r="AX11" i="12"/>
  <c r="AX15" i="12" s="1"/>
  <c r="AX8" i="12"/>
  <c r="AX27" i="12"/>
  <c r="AU32" i="12"/>
  <c r="AU14" i="12"/>
  <c r="AT36" i="12"/>
  <c r="AT25" i="12"/>
  <c r="AW15" i="12"/>
  <c r="L259" i="8"/>
  <c r="L230" i="8"/>
  <c r="AV13" i="12"/>
  <c r="AV14" i="12" s="1"/>
  <c r="AV17" i="12" s="1"/>
  <c r="AV34" i="12"/>
  <c r="AV35" i="12" s="1"/>
  <c r="AV36" i="12" s="1"/>
  <c r="AV19" i="12"/>
  <c r="AV23" i="12"/>
  <c r="AV24" i="12" s="1"/>
  <c r="AV25" i="12" s="1"/>
  <c r="M221" i="8"/>
  <c r="AW29" i="12"/>
  <c r="K182" i="18"/>
  <c r="K188" i="18"/>
  <c r="J64" i="20"/>
  <c r="J65" i="20"/>
  <c r="J209" i="18"/>
  <c r="J213" i="18" s="1"/>
  <c r="J196" i="18"/>
  <c r="K21" i="23"/>
  <c r="C191" i="18"/>
  <c r="AS47" i="12" l="1"/>
  <c r="AS51" i="12" s="1"/>
  <c r="AS57" i="12" s="1"/>
  <c r="AR47" i="12"/>
  <c r="AT38" i="12"/>
  <c r="AV40" i="12"/>
  <c r="AV54" i="12" s="1"/>
  <c r="AV55" i="12" s="1"/>
  <c r="AX16" i="12"/>
  <c r="AV32" i="12"/>
  <c r="AX29" i="12"/>
  <c r="AW13" i="12"/>
  <c r="AW19" i="12"/>
  <c r="AW20" i="12" s="1"/>
  <c r="AW21" i="12" s="1"/>
  <c r="AW34" i="12"/>
  <c r="AW35" i="12" s="1"/>
  <c r="AW36" i="12" s="1"/>
  <c r="AW23" i="12"/>
  <c r="AV20" i="12"/>
  <c r="AA233" i="8"/>
  <c r="M34" i="8"/>
  <c r="M35" i="8" s="1"/>
  <c r="AX12" i="12"/>
  <c r="N33" i="9"/>
  <c r="AU17" i="12"/>
  <c r="AU40" i="12" s="1"/>
  <c r="AW31" i="12"/>
  <c r="AW30" i="12"/>
  <c r="AZ6" i="12"/>
  <c r="AY11" i="12"/>
  <c r="AY15" i="12" s="1"/>
  <c r="AY28" i="12"/>
  <c r="AY8" i="12"/>
  <c r="AY27" i="12"/>
  <c r="J200" i="18"/>
  <c r="J206" i="18"/>
  <c r="J207" i="18"/>
  <c r="J208" i="18"/>
  <c r="AR51" i="12" l="1"/>
  <c r="AU54" i="12"/>
  <c r="AU38" i="12"/>
  <c r="AU50" i="12"/>
  <c r="AU49" i="12"/>
  <c r="AV50" i="12"/>
  <c r="AV49" i="12"/>
  <c r="AU44" i="12"/>
  <c r="AU43" i="12"/>
  <c r="AU42" i="12"/>
  <c r="AU41" i="12"/>
  <c r="AV44" i="12"/>
  <c r="AV43" i="12"/>
  <c r="AV42" i="12"/>
  <c r="AV41" i="12"/>
  <c r="AT45" i="12"/>
  <c r="AY12" i="12"/>
  <c r="AY34" i="12" s="1"/>
  <c r="AY35" i="12" s="1"/>
  <c r="AY36" i="12" s="1"/>
  <c r="BA6" i="12"/>
  <c r="AZ28" i="12"/>
  <c r="AZ11" i="12"/>
  <c r="AZ15" i="12" s="1"/>
  <c r="AZ8" i="12"/>
  <c r="AZ27" i="12"/>
  <c r="M242" i="8"/>
  <c r="M45" i="8"/>
  <c r="M200" i="8"/>
  <c r="AV21" i="12"/>
  <c r="AV38" i="12" s="1"/>
  <c r="AY29" i="12"/>
  <c r="AW24" i="12"/>
  <c r="AW14" i="12"/>
  <c r="AY16" i="12"/>
  <c r="AX13" i="12"/>
  <c r="AX14" i="12" s="1"/>
  <c r="AX17" i="12" s="1"/>
  <c r="AX34" i="12"/>
  <c r="AX19" i="12"/>
  <c r="AX23" i="12"/>
  <c r="AX24" i="12" s="1"/>
  <c r="AX25" i="12" s="1"/>
  <c r="AX30" i="12"/>
  <c r="AX31" i="12"/>
  <c r="AW32" i="12"/>
  <c r="J216" i="18"/>
  <c r="J215" i="18"/>
  <c r="J214" i="18"/>
  <c r="J205" i="18"/>
  <c r="AU55" i="12" l="1"/>
  <c r="AR57" i="12"/>
  <c r="AT47" i="12"/>
  <c r="AY19" i="12"/>
  <c r="AY20" i="12" s="1"/>
  <c r="AY21" i="12" s="1"/>
  <c r="AY13" i="12"/>
  <c r="AY14" i="12" s="1"/>
  <c r="AY17" i="12" s="1"/>
  <c r="AX40" i="12"/>
  <c r="AX54" i="12" s="1"/>
  <c r="AX55" i="12" s="1"/>
  <c r="AZ16" i="12"/>
  <c r="AY23" i="12"/>
  <c r="AY24" i="12" s="1"/>
  <c r="AY25" i="12" s="1"/>
  <c r="AX32" i="12"/>
  <c r="AX35" i="12"/>
  <c r="AU45" i="12"/>
  <c r="AY30" i="12"/>
  <c r="AY31" i="12"/>
  <c r="AW25" i="12"/>
  <c r="BB6" i="12"/>
  <c r="BA11" i="12"/>
  <c r="BA16" i="12" s="1"/>
  <c r="BA28" i="12"/>
  <c r="BA8" i="12"/>
  <c r="BA27" i="12"/>
  <c r="AX20" i="12"/>
  <c r="M202" i="8"/>
  <c r="M201" i="8"/>
  <c r="AZ29" i="12"/>
  <c r="AW17" i="12"/>
  <c r="AW40" i="12" s="1"/>
  <c r="M245" i="8"/>
  <c r="M203" i="8"/>
  <c r="M209" i="8" s="1"/>
  <c r="AZ12" i="12"/>
  <c r="J217" i="18"/>
  <c r="K22" i="20"/>
  <c r="J223" i="18"/>
  <c r="K32" i="20"/>
  <c r="K41" i="20"/>
  <c r="AT51" i="12" l="1"/>
  <c r="AW54" i="12"/>
  <c r="AU47" i="12"/>
  <c r="AU51" i="12" s="1"/>
  <c r="AU57" i="12" s="1"/>
  <c r="AW38" i="12"/>
  <c r="AW50" i="12"/>
  <c r="AW49" i="12"/>
  <c r="AX50" i="12"/>
  <c r="AX49" i="12"/>
  <c r="AY40" i="12"/>
  <c r="AY54" i="12" s="1"/>
  <c r="AY55" i="12" s="1"/>
  <c r="AW44" i="12"/>
  <c r="AW43" i="12"/>
  <c r="AW42" i="12"/>
  <c r="AW41" i="12"/>
  <c r="AX44" i="12"/>
  <c r="AX43" i="12"/>
  <c r="AX42" i="12"/>
  <c r="AX41" i="12"/>
  <c r="BA29" i="12"/>
  <c r="BA31" i="12" s="1"/>
  <c r="AV45" i="12"/>
  <c r="BA12" i="12"/>
  <c r="BA15" i="12"/>
  <c r="AY32" i="12"/>
  <c r="AY38" i="12" s="1"/>
  <c r="M225" i="8"/>
  <c r="M223" i="8"/>
  <c r="M224" i="8"/>
  <c r="AZ30" i="12"/>
  <c r="AZ31" i="12"/>
  <c r="AX21" i="12"/>
  <c r="M204" i="8"/>
  <c r="N200" i="8" s="1"/>
  <c r="M206" i="8"/>
  <c r="BC6" i="12"/>
  <c r="BB28" i="12"/>
  <c r="BB11" i="12"/>
  <c r="BB15" i="12" s="1"/>
  <c r="BB8" i="12"/>
  <c r="BB27" i="12"/>
  <c r="AZ13" i="12"/>
  <c r="AZ14" i="12" s="1"/>
  <c r="AZ23" i="12"/>
  <c r="AZ19" i="12"/>
  <c r="AZ20" i="12" s="1"/>
  <c r="AZ21" i="12" s="1"/>
  <c r="AZ34" i="12"/>
  <c r="AZ35" i="12" s="1"/>
  <c r="AZ36" i="12" s="1"/>
  <c r="AX36" i="12"/>
  <c r="K33" i="20"/>
  <c r="K47" i="20"/>
  <c r="K42" i="20"/>
  <c r="K22" i="23"/>
  <c r="K23" i="23" s="1"/>
  <c r="K23" i="20"/>
  <c r="J251" i="18"/>
  <c r="J219" i="18"/>
  <c r="AX38" i="12" l="1"/>
  <c r="AW55" i="12"/>
  <c r="AT57" i="12"/>
  <c r="AV47" i="12"/>
  <c r="AV51" i="12" s="1"/>
  <c r="AV57" i="12" s="1"/>
  <c r="AY44" i="12"/>
  <c r="AY50" i="12"/>
  <c r="AY49" i="12"/>
  <c r="AY41" i="12"/>
  <c r="AY42" i="12"/>
  <c r="AY43" i="12"/>
  <c r="BA34" i="12"/>
  <c r="BA35" i="12" s="1"/>
  <c r="BA36" i="12" s="1"/>
  <c r="BA30" i="12"/>
  <c r="BA32" i="12" s="1"/>
  <c r="BA23" i="12"/>
  <c r="BA24" i="12" s="1"/>
  <c r="BA25" i="12" s="1"/>
  <c r="BA13" i="12"/>
  <c r="BA14" i="12" s="1"/>
  <c r="BA17" i="12" s="1"/>
  <c r="BA19" i="12"/>
  <c r="BA20" i="12" s="1"/>
  <c r="BA21" i="12" s="1"/>
  <c r="AW45" i="12"/>
  <c r="AW47" i="12" s="1"/>
  <c r="BB12" i="12"/>
  <c r="BB16" i="12"/>
  <c r="AZ32" i="12"/>
  <c r="M257" i="8"/>
  <c r="AZ24" i="12"/>
  <c r="BD6" i="12"/>
  <c r="BC28" i="12"/>
  <c r="BC11" i="12"/>
  <c r="BC16" i="12" s="1"/>
  <c r="BC8" i="12"/>
  <c r="BC27" i="12"/>
  <c r="N202" i="8"/>
  <c r="N201" i="8"/>
  <c r="N203" i="8"/>
  <c r="N34" i="9"/>
  <c r="N35" i="9" s="1"/>
  <c r="M212" i="8"/>
  <c r="BB29" i="12"/>
  <c r="N24" i="9"/>
  <c r="M226" i="8"/>
  <c r="AZ17" i="12"/>
  <c r="AZ40" i="12" s="1"/>
  <c r="AZ54" i="12" s="1"/>
  <c r="AZ55" i="12" s="1"/>
  <c r="N43" i="9"/>
  <c r="N45" i="9" s="1"/>
  <c r="N50" i="9" s="1"/>
  <c r="M213" i="8"/>
  <c r="K52" i="20"/>
  <c r="K55" i="20" s="1"/>
  <c r="K25" i="20"/>
  <c r="K25" i="23"/>
  <c r="K43" i="20"/>
  <c r="K44" i="20"/>
  <c r="J221" i="18"/>
  <c r="K176" i="18" s="1"/>
  <c r="J252" i="18"/>
  <c r="K35" i="20"/>
  <c r="BA38" i="12" l="1"/>
  <c r="AW51" i="12"/>
  <c r="BB13" i="12"/>
  <c r="BB14" i="12" s="1"/>
  <c r="BB17" i="12" s="1"/>
  <c r="AZ50" i="12"/>
  <c r="AZ49" i="12"/>
  <c r="AY45" i="12"/>
  <c r="AZ44" i="12"/>
  <c r="AZ43" i="12"/>
  <c r="AZ42" i="12"/>
  <c r="AZ41" i="12"/>
  <c r="AX45" i="12"/>
  <c r="BA40" i="12"/>
  <c r="BA54" i="12" s="1"/>
  <c r="BC15" i="12"/>
  <c r="BC12" i="12"/>
  <c r="BB19" i="12"/>
  <c r="BB20" i="12" s="1"/>
  <c r="BB21" i="12" s="1"/>
  <c r="BB23" i="12"/>
  <c r="BB24" i="12" s="1"/>
  <c r="BB25" i="12" s="1"/>
  <c r="BB34" i="12"/>
  <c r="BB35" i="12" s="1"/>
  <c r="BB36" i="12" s="1"/>
  <c r="M232" i="8"/>
  <c r="M258" i="8"/>
  <c r="BE6" i="12"/>
  <c r="BD11" i="12"/>
  <c r="BD16" i="12" s="1"/>
  <c r="BD28" i="12"/>
  <c r="BD27" i="12"/>
  <c r="BD8" i="12"/>
  <c r="AZ25" i="12"/>
  <c r="AZ38" i="12" s="1"/>
  <c r="BB31" i="12"/>
  <c r="BB30" i="12"/>
  <c r="BC29" i="12"/>
  <c r="M228" i="8"/>
  <c r="N219" i="8"/>
  <c r="N220" i="8" s="1"/>
  <c r="N204" i="8"/>
  <c r="N206" i="8"/>
  <c r="N209" i="8"/>
  <c r="N37" i="9"/>
  <c r="N54" i="9"/>
  <c r="K38" i="20"/>
  <c r="K50" i="20"/>
  <c r="K183" i="18"/>
  <c r="K189" i="18"/>
  <c r="K218" i="18"/>
  <c r="K28" i="23"/>
  <c r="K28" i="20"/>
  <c r="K57" i="20"/>
  <c r="K60" i="20" s="1"/>
  <c r="K63" i="20" s="1"/>
  <c r="K56" i="20"/>
  <c r="AW57" i="12" l="1"/>
  <c r="BA55" i="12"/>
  <c r="AX47" i="12"/>
  <c r="AX51" i="12" s="1"/>
  <c r="AX57" i="12" s="1"/>
  <c r="AY47" i="12"/>
  <c r="AY51" i="12" s="1"/>
  <c r="AY57" i="12" s="1"/>
  <c r="BC13" i="12"/>
  <c r="BC14" i="12" s="1"/>
  <c r="BC17" i="12" s="1"/>
  <c r="BA50" i="12"/>
  <c r="BA49" i="12"/>
  <c r="BA44" i="12"/>
  <c r="BA43" i="12"/>
  <c r="BA41" i="12"/>
  <c r="BA42" i="12"/>
  <c r="AZ45" i="12"/>
  <c r="AZ47" i="12" s="1"/>
  <c r="BB40" i="12"/>
  <c r="BB54" i="12" s="1"/>
  <c r="BB55" i="12" s="1"/>
  <c r="BD15" i="12"/>
  <c r="BC23" i="12"/>
  <c r="BC24" i="12" s="1"/>
  <c r="BC25" i="12" s="1"/>
  <c r="BC19" i="12"/>
  <c r="BC20" i="12" s="1"/>
  <c r="BC21" i="12" s="1"/>
  <c r="BC34" i="12"/>
  <c r="BC35" i="12" s="1"/>
  <c r="BC36" i="12" s="1"/>
  <c r="BB32" i="12"/>
  <c r="BB38" i="12" s="1"/>
  <c r="N221" i="8"/>
  <c r="N224" i="8" s="1"/>
  <c r="BD12" i="12"/>
  <c r="BE11" i="12"/>
  <c r="BE15" i="12" s="1"/>
  <c r="BE28" i="12"/>
  <c r="BF6" i="12"/>
  <c r="BE8" i="12"/>
  <c r="BE27" i="12"/>
  <c r="M259" i="8"/>
  <c r="M230" i="8"/>
  <c r="BC31" i="12"/>
  <c r="BC30" i="12"/>
  <c r="N40" i="9"/>
  <c r="N56" i="9"/>
  <c r="N57" i="9" s="1"/>
  <c r="N257" i="8"/>
  <c r="BD29" i="12"/>
  <c r="K191" i="18"/>
  <c r="L31" i="20"/>
  <c r="K190" i="18"/>
  <c r="L21" i="20"/>
  <c r="K185" i="18"/>
  <c r="K184" i="18"/>
  <c r="K65" i="20"/>
  <c r="K64" i="20"/>
  <c r="K193" i="18"/>
  <c r="AZ51" i="12" l="1"/>
  <c r="AZ57" i="12" s="1"/>
  <c r="BB50" i="12"/>
  <c r="BB49" i="12"/>
  <c r="BA45" i="12"/>
  <c r="BB44" i="12"/>
  <c r="BB43" i="12"/>
  <c r="BB42" i="12"/>
  <c r="BB41" i="12"/>
  <c r="BC40" i="12"/>
  <c r="BC54" i="12" s="1"/>
  <c r="N223" i="8"/>
  <c r="O24" i="9" s="1"/>
  <c r="BC32" i="12"/>
  <c r="BC38" i="12" s="1"/>
  <c r="BD13" i="12"/>
  <c r="BD14" i="12" s="1"/>
  <c r="BD34" i="12"/>
  <c r="BD23" i="12"/>
  <c r="BD19" i="12"/>
  <c r="BE16" i="12"/>
  <c r="BD30" i="12"/>
  <c r="BD31" i="12"/>
  <c r="BG6" i="12"/>
  <c r="BF11" i="12"/>
  <c r="BF16" i="12" s="1"/>
  <c r="BF28" i="12"/>
  <c r="BF8" i="12"/>
  <c r="BF27" i="12"/>
  <c r="O33" i="9"/>
  <c r="N225" i="8"/>
  <c r="BE29" i="12"/>
  <c r="O34" i="9"/>
  <c r="N212" i="8"/>
  <c r="BE12" i="12"/>
  <c r="L188" i="18"/>
  <c r="R188" i="18" s="1"/>
  <c r="K196" i="18"/>
  <c r="K204" i="18"/>
  <c r="K209" i="18" s="1"/>
  <c r="K213" i="18" s="1"/>
  <c r="L182" i="18"/>
  <c r="R182" i="18" s="1"/>
  <c r="L21" i="23"/>
  <c r="BC55" i="12" l="1"/>
  <c r="BA47" i="12"/>
  <c r="BA51" i="12" s="1"/>
  <c r="BA57" i="12" s="1"/>
  <c r="BC50" i="12"/>
  <c r="BC49" i="12"/>
  <c r="N226" i="8"/>
  <c r="BB45" i="12"/>
  <c r="BC44" i="12"/>
  <c r="BC43" i="12"/>
  <c r="BC42" i="12"/>
  <c r="BC41" i="12"/>
  <c r="BF15" i="12"/>
  <c r="BD17" i="12"/>
  <c r="BD40" i="12" s="1"/>
  <c r="BH6" i="12"/>
  <c r="BG11" i="12"/>
  <c r="BG16" i="12" s="1"/>
  <c r="BG28" i="12"/>
  <c r="BG8" i="12"/>
  <c r="BG27" i="12"/>
  <c r="BE31" i="12"/>
  <c r="BE30" i="12"/>
  <c r="O43" i="9"/>
  <c r="O45" i="9" s="1"/>
  <c r="O50" i="9" s="1"/>
  <c r="N213" i="8"/>
  <c r="O35" i="9"/>
  <c r="BF12" i="12"/>
  <c r="BD20" i="12"/>
  <c r="BF29" i="12"/>
  <c r="BE13" i="12"/>
  <c r="BE14" i="12" s="1"/>
  <c r="BE17" i="12" s="1"/>
  <c r="BE23" i="12"/>
  <c r="BE24" i="12" s="1"/>
  <c r="BE25" i="12" s="1"/>
  <c r="BE19" i="12"/>
  <c r="BE20" i="12" s="1"/>
  <c r="BE21" i="12" s="1"/>
  <c r="BE34" i="12"/>
  <c r="BE35" i="12" s="1"/>
  <c r="BE36" i="12" s="1"/>
  <c r="N232" i="8"/>
  <c r="N258" i="8"/>
  <c r="N228" i="8"/>
  <c r="BD24" i="12"/>
  <c r="BD25" i="12" s="1"/>
  <c r="BD32" i="12"/>
  <c r="O219" i="8"/>
  <c r="O220" i="8" s="1"/>
  <c r="BD35" i="12"/>
  <c r="K206" i="18"/>
  <c r="K207" i="18"/>
  <c r="K208" i="18"/>
  <c r="R204" i="18"/>
  <c r="K200" i="18"/>
  <c r="BD54" i="12" l="1"/>
  <c r="BB47" i="12"/>
  <c r="BB51" i="12" s="1"/>
  <c r="BB57" i="12" s="1"/>
  <c r="BD50" i="12"/>
  <c r="BD49" i="12"/>
  <c r="BC45" i="12"/>
  <c r="BD44" i="12"/>
  <c r="BD43" i="12"/>
  <c r="BD42" i="12"/>
  <c r="BD41" i="12"/>
  <c r="BE40" i="12"/>
  <c r="BE54" i="12" s="1"/>
  <c r="BE55" i="12" s="1"/>
  <c r="BG29" i="12"/>
  <c r="BG30" i="12" s="1"/>
  <c r="BG12" i="12"/>
  <c r="BG15" i="12"/>
  <c r="BE32" i="12"/>
  <c r="BE38" i="12" s="1"/>
  <c r="BF31" i="12"/>
  <c r="BF30" i="12"/>
  <c r="BI6" i="12"/>
  <c r="BH11" i="12"/>
  <c r="BH15" i="12" s="1"/>
  <c r="BH28" i="12"/>
  <c r="BH8" i="12"/>
  <c r="BH27" i="12"/>
  <c r="BD21" i="12"/>
  <c r="BD36" i="12"/>
  <c r="BF13" i="12"/>
  <c r="BF19" i="12"/>
  <c r="BF20" i="12" s="1"/>
  <c r="BF21" i="12" s="1"/>
  <c r="BF34" i="12"/>
  <c r="BF35" i="12" s="1"/>
  <c r="BF36" i="12" s="1"/>
  <c r="BF23" i="12"/>
  <c r="N230" i="8"/>
  <c r="O34" i="8" s="1"/>
  <c r="O35" i="8" s="1"/>
  <c r="N259" i="8"/>
  <c r="O37" i="9"/>
  <c r="O54" i="9"/>
  <c r="O221" i="8"/>
  <c r="K205" i="18"/>
  <c r="R207" i="18"/>
  <c r="K215" i="18"/>
  <c r="K216" i="18"/>
  <c r="L41" i="20" s="1"/>
  <c r="R208" i="18"/>
  <c r="R206" i="18"/>
  <c r="K214" i="18"/>
  <c r="BD38" i="12" l="1"/>
  <c r="BD55" i="12"/>
  <c r="BC47" i="12"/>
  <c r="BC51" i="12" s="1"/>
  <c r="BC57" i="12" s="1"/>
  <c r="BG13" i="12"/>
  <c r="BG14" i="12" s="1"/>
  <c r="BG17" i="12" s="1"/>
  <c r="BE50" i="12"/>
  <c r="BE49" i="12"/>
  <c r="BG23" i="12"/>
  <c r="BG24" i="12" s="1"/>
  <c r="BG25" i="12" s="1"/>
  <c r="BE44" i="12"/>
  <c r="BE43" i="12"/>
  <c r="BE42" i="12"/>
  <c r="BE41" i="12"/>
  <c r="BG31" i="12"/>
  <c r="BG32" i="12" s="1"/>
  <c r="BG34" i="12"/>
  <c r="BG35" i="12" s="1"/>
  <c r="BG36" i="12" s="1"/>
  <c r="BG19" i="12"/>
  <c r="BG20" i="12" s="1"/>
  <c r="BG21" i="12" s="1"/>
  <c r="BH16" i="12"/>
  <c r="O40" i="9"/>
  <c r="O56" i="9"/>
  <c r="O57" i="9" s="1"/>
  <c r="O242" i="8"/>
  <c r="O45" i="8"/>
  <c r="O200" i="8"/>
  <c r="BJ6" i="12"/>
  <c r="BI28" i="12"/>
  <c r="BI11" i="12"/>
  <c r="BI15" i="12" s="1"/>
  <c r="BI27" i="12"/>
  <c r="BI8" i="12"/>
  <c r="P33" i="9"/>
  <c r="BF24" i="12"/>
  <c r="BF14" i="12"/>
  <c r="BH29" i="12"/>
  <c r="BH12" i="12"/>
  <c r="BF32" i="12"/>
  <c r="L32" i="20"/>
  <c r="L42" i="20"/>
  <c r="K217" i="18"/>
  <c r="K223" i="18"/>
  <c r="L47" i="20" s="1"/>
  <c r="L22" i="20"/>
  <c r="BG38" i="12" l="1"/>
  <c r="BD45" i="12"/>
  <c r="BE45" i="12"/>
  <c r="BG40" i="12"/>
  <c r="BG54" i="12" s="1"/>
  <c r="BG55" i="12" s="1"/>
  <c r="BI16" i="12"/>
  <c r="BI29" i="12"/>
  <c r="BI12" i="12"/>
  <c r="O201" i="8"/>
  <c r="O202" i="8"/>
  <c r="BH13" i="12"/>
  <c r="BH19" i="12"/>
  <c r="BH23" i="12"/>
  <c r="BH34" i="12"/>
  <c r="BF25" i="12"/>
  <c r="BF17" i="12"/>
  <c r="BF40" i="12" s="1"/>
  <c r="O245" i="8"/>
  <c r="O203" i="8"/>
  <c r="O209" i="8" s="1"/>
  <c r="BH30" i="12"/>
  <c r="BH31" i="12"/>
  <c r="BK6" i="12"/>
  <c r="BJ28" i="12"/>
  <c r="BJ11" i="12"/>
  <c r="BJ15" i="12" s="1"/>
  <c r="BJ27" i="12"/>
  <c r="BJ8" i="12"/>
  <c r="K251" i="18"/>
  <c r="K219" i="18"/>
  <c r="L44" i="20"/>
  <c r="L43" i="20"/>
  <c r="L22" i="23"/>
  <c r="L23" i="23" s="1"/>
  <c r="L25" i="23" s="1"/>
  <c r="L28" i="23" s="1"/>
  <c r="L23" i="20"/>
  <c r="L25" i="20" s="1"/>
  <c r="L28" i="20" s="1"/>
  <c r="L52" i="20"/>
  <c r="L33" i="20"/>
  <c r="BF54" i="12" l="1"/>
  <c r="BE47" i="12"/>
  <c r="BE51" i="12" s="1"/>
  <c r="BE57" i="12" s="1"/>
  <c r="BD47" i="12"/>
  <c r="BF38" i="12"/>
  <c r="BI23" i="12"/>
  <c r="BI24" i="12" s="1"/>
  <c r="BI25" i="12" s="1"/>
  <c r="BG50" i="12"/>
  <c r="BG49" i="12"/>
  <c r="BF50" i="12"/>
  <c r="BF49" i="12"/>
  <c r="BI34" i="12"/>
  <c r="BI35" i="12" s="1"/>
  <c r="BI36" i="12" s="1"/>
  <c r="BG44" i="12"/>
  <c r="BG43" i="12"/>
  <c r="BG42" i="12"/>
  <c r="BG41" i="12"/>
  <c r="BF44" i="12"/>
  <c r="BF43" i="12"/>
  <c r="BF42" i="12"/>
  <c r="BF41" i="12"/>
  <c r="BI13" i="12"/>
  <c r="BI14" i="12" s="1"/>
  <c r="BI17" i="12" s="1"/>
  <c r="BI30" i="12"/>
  <c r="BJ16" i="12"/>
  <c r="BI19" i="12"/>
  <c r="BI20" i="12" s="1"/>
  <c r="BI21" i="12" s="1"/>
  <c r="BI31" i="12"/>
  <c r="O225" i="8"/>
  <c r="O224" i="8"/>
  <c r="O223" i="8"/>
  <c r="BH35" i="12"/>
  <c r="BH24" i="12"/>
  <c r="BJ12" i="12"/>
  <c r="BH32" i="12"/>
  <c r="BH20" i="12"/>
  <c r="BJ29" i="12"/>
  <c r="BL6" i="12"/>
  <c r="BK11" i="12"/>
  <c r="BK16" i="12" s="1"/>
  <c r="BK28" i="12"/>
  <c r="BK8" i="12"/>
  <c r="BK27" i="12"/>
  <c r="BH14" i="12"/>
  <c r="O206" i="8"/>
  <c r="O204" i="8"/>
  <c r="L35" i="20"/>
  <c r="L53" i="20"/>
  <c r="L55" i="20" s="1"/>
  <c r="K221" i="18"/>
  <c r="L176" i="18" s="1"/>
  <c r="K252" i="18"/>
  <c r="BD51" i="12" l="1"/>
  <c r="BF55" i="12"/>
  <c r="BG45" i="12"/>
  <c r="BI32" i="12"/>
  <c r="BI38" i="12" s="1"/>
  <c r="BI40" i="12"/>
  <c r="BI54" i="12" s="1"/>
  <c r="BI55" i="12" s="1"/>
  <c r="BM6" i="12"/>
  <c r="BL11" i="12"/>
  <c r="BL16" i="12" s="1"/>
  <c r="BL28" i="12"/>
  <c r="BL27" i="12"/>
  <c r="BL8" i="12"/>
  <c r="BK15" i="12"/>
  <c r="BJ31" i="12"/>
  <c r="BJ30" i="12"/>
  <c r="BH36" i="12"/>
  <c r="P24" i="9"/>
  <c r="O226" i="8"/>
  <c r="BH17" i="12"/>
  <c r="BH40" i="12" s="1"/>
  <c r="BH25" i="12"/>
  <c r="BK29" i="12"/>
  <c r="O257" i="8"/>
  <c r="BH21" i="12"/>
  <c r="BJ13" i="12"/>
  <c r="BJ34" i="12"/>
  <c r="BJ23" i="12"/>
  <c r="BJ19" i="12"/>
  <c r="P34" i="9"/>
  <c r="P35" i="9" s="1"/>
  <c r="O212" i="8"/>
  <c r="BF45" i="12"/>
  <c r="BK12" i="12"/>
  <c r="P43" i="9"/>
  <c r="P45" i="9" s="1"/>
  <c r="P50" i="9" s="1"/>
  <c r="O213" i="8"/>
  <c r="F54" i="20"/>
  <c r="AA223" i="18" s="1"/>
  <c r="T53" i="20"/>
  <c r="L218" i="18"/>
  <c r="R218" i="18" s="1"/>
  <c r="L189" i="18"/>
  <c r="L183" i="18"/>
  <c r="R176" i="18"/>
  <c r="L57" i="20"/>
  <c r="L60" i="20" s="1"/>
  <c r="L63" i="20" s="1"/>
  <c r="L56" i="20"/>
  <c r="L50" i="20"/>
  <c r="L38" i="20"/>
  <c r="BH54" i="12" l="1"/>
  <c r="BD57" i="12"/>
  <c r="BG47" i="12"/>
  <c r="BG51" i="12" s="1"/>
  <c r="BG57" i="12" s="1"/>
  <c r="BF47" i="12"/>
  <c r="BH38" i="12"/>
  <c r="BI50" i="12"/>
  <c r="BI49" i="12"/>
  <c r="BH50" i="12"/>
  <c r="BH49" i="12"/>
  <c r="BL12" i="12"/>
  <c r="BL23" i="12" s="1"/>
  <c r="BL24" i="12" s="1"/>
  <c r="BL25" i="12" s="1"/>
  <c r="BI41" i="12"/>
  <c r="BI42" i="12"/>
  <c r="BI44" i="12"/>
  <c r="BI43" i="12"/>
  <c r="BH44" i="12"/>
  <c r="BH43" i="12"/>
  <c r="BH42" i="12"/>
  <c r="BH41" i="12"/>
  <c r="BL15" i="12"/>
  <c r="BJ20" i="12"/>
  <c r="O232" i="8"/>
  <c r="O258" i="8"/>
  <c r="BJ24" i="12"/>
  <c r="O228" i="8"/>
  <c r="BK13" i="12"/>
  <c r="BK14" i="12" s="1"/>
  <c r="BK17" i="12" s="1"/>
  <c r="BK23" i="12"/>
  <c r="BK24" i="12" s="1"/>
  <c r="BK25" i="12" s="1"/>
  <c r="BK19" i="12"/>
  <c r="BK20" i="12" s="1"/>
  <c r="BK21" i="12" s="1"/>
  <c r="BK34" i="12"/>
  <c r="BK35" i="12" s="1"/>
  <c r="BK36" i="12" s="1"/>
  <c r="BK30" i="12"/>
  <c r="BK31" i="12"/>
  <c r="BJ32" i="12"/>
  <c r="BL29" i="12"/>
  <c r="P219" i="8"/>
  <c r="P220" i="8" s="1"/>
  <c r="BJ14" i="12"/>
  <c r="BM11" i="12"/>
  <c r="BM15" i="12" s="1"/>
  <c r="BM28" i="12"/>
  <c r="BN6" i="12"/>
  <c r="BM8" i="12"/>
  <c r="BM27" i="12"/>
  <c r="BJ35" i="12"/>
  <c r="P37" i="9"/>
  <c r="P54" i="9"/>
  <c r="L65" i="20"/>
  <c r="L64" i="20"/>
  <c r="L185" i="18"/>
  <c r="M21" i="20"/>
  <c r="L214" i="18"/>
  <c r="R183" i="18"/>
  <c r="L184" i="18"/>
  <c r="M31" i="20"/>
  <c r="L215" i="18"/>
  <c r="L191" i="18"/>
  <c r="R191" i="18" s="1"/>
  <c r="R189" i="18"/>
  <c r="L190" i="18"/>
  <c r="L193" i="18"/>
  <c r="BH55" i="12" l="1"/>
  <c r="BF51" i="12"/>
  <c r="BL34" i="12"/>
  <c r="BL35" i="12" s="1"/>
  <c r="BL36" i="12" s="1"/>
  <c r="BL19" i="12"/>
  <c r="BL20" i="12" s="1"/>
  <c r="BL21" i="12" s="1"/>
  <c r="BL13" i="12"/>
  <c r="BL14" i="12" s="1"/>
  <c r="BL17" i="12" s="1"/>
  <c r="BI45" i="12"/>
  <c r="BK40" i="12"/>
  <c r="BK54" i="12" s="1"/>
  <c r="BK55" i="12" s="1"/>
  <c r="BH45" i="12"/>
  <c r="BM12" i="12"/>
  <c r="BK32" i="12"/>
  <c r="BK38" i="12" s="1"/>
  <c r="P40" i="9"/>
  <c r="P56" i="9"/>
  <c r="P57" i="9" s="1"/>
  <c r="BJ17" i="12"/>
  <c r="BJ40" i="12" s="1"/>
  <c r="BM16" i="12"/>
  <c r="BO6" i="12"/>
  <c r="BN28" i="12"/>
  <c r="BN11" i="12"/>
  <c r="BN15" i="12" s="1"/>
  <c r="BN27" i="12"/>
  <c r="BN8" i="12"/>
  <c r="BJ21" i="12"/>
  <c r="BL30" i="12"/>
  <c r="BL31" i="12"/>
  <c r="O259" i="8"/>
  <c r="O230" i="8"/>
  <c r="P34" i="8" s="1"/>
  <c r="P35" i="8" s="1"/>
  <c r="BJ36" i="12"/>
  <c r="BM29" i="12"/>
  <c r="BJ25" i="12"/>
  <c r="P221" i="8"/>
  <c r="L209" i="18"/>
  <c r="R193" i="18"/>
  <c r="M22" i="20"/>
  <c r="M23" i="20" s="1"/>
  <c r="R214" i="18"/>
  <c r="M21" i="23"/>
  <c r="D21" i="20"/>
  <c r="M32" i="20"/>
  <c r="R215" i="18"/>
  <c r="D31" i="20"/>
  <c r="L196" i="18"/>
  <c r="R185" i="18"/>
  <c r="C185" i="18"/>
  <c r="BF57" i="12" l="1"/>
  <c r="BJ54" i="12"/>
  <c r="BI47" i="12"/>
  <c r="BI51" i="12" s="1"/>
  <c r="BI57" i="12" s="1"/>
  <c r="BJ38" i="12"/>
  <c r="BH47" i="12"/>
  <c r="BK50" i="12"/>
  <c r="BK49" i="12"/>
  <c r="BJ50" i="12"/>
  <c r="BJ49" i="12"/>
  <c r="BJ44" i="12"/>
  <c r="BJ43" i="12"/>
  <c r="BJ42" i="12"/>
  <c r="BJ41" i="12"/>
  <c r="BK44" i="12"/>
  <c r="BK43" i="12"/>
  <c r="BK42" i="12"/>
  <c r="BK41" i="12"/>
  <c r="BL40" i="12"/>
  <c r="BL54" i="12" s="1"/>
  <c r="BL55" i="12" s="1"/>
  <c r="BM34" i="12"/>
  <c r="BM35" i="12" s="1"/>
  <c r="BM19" i="12"/>
  <c r="BM20" i="12" s="1"/>
  <c r="BM23" i="12"/>
  <c r="BM24" i="12" s="1"/>
  <c r="BM25" i="12" s="1"/>
  <c r="BM13" i="12"/>
  <c r="BM14" i="12" s="1"/>
  <c r="BM17" i="12" s="1"/>
  <c r="BN16" i="12"/>
  <c r="BN12" i="12"/>
  <c r="BP6" i="12"/>
  <c r="BO28" i="12"/>
  <c r="BO11" i="12"/>
  <c r="BO15" i="12" s="1"/>
  <c r="BO8" i="12"/>
  <c r="BO27" i="12"/>
  <c r="BL32" i="12"/>
  <c r="BL38" i="12" s="1"/>
  <c r="BM31" i="12"/>
  <c r="BM30" i="12"/>
  <c r="P45" i="8"/>
  <c r="P242" i="8"/>
  <c r="P200" i="8"/>
  <c r="BN29" i="12"/>
  <c r="Q33" i="9"/>
  <c r="D32" i="20"/>
  <c r="M33" i="20"/>
  <c r="L200" i="18"/>
  <c r="R196" i="18"/>
  <c r="C196" i="18"/>
  <c r="L213" i="18"/>
  <c r="R209" i="18"/>
  <c r="M25" i="20"/>
  <c r="D23" i="20"/>
  <c r="D21" i="23"/>
  <c r="M22" i="23"/>
  <c r="D22" i="23" s="1"/>
  <c r="D22" i="20"/>
  <c r="BJ55" i="12" l="1"/>
  <c r="BH51" i="12"/>
  <c r="BL50" i="12"/>
  <c r="BL49" i="12"/>
  <c r="BL44" i="12"/>
  <c r="BL43" i="12"/>
  <c r="BL42" i="12"/>
  <c r="BL41" i="12"/>
  <c r="BJ45" i="12"/>
  <c r="BK45" i="12"/>
  <c r="BM40" i="12"/>
  <c r="BM54" i="12" s="1"/>
  <c r="BM55" i="12" s="1"/>
  <c r="BN19" i="12"/>
  <c r="BN20" i="12" s="1"/>
  <c r="BN21" i="12" s="1"/>
  <c r="BN13" i="12"/>
  <c r="BN14" i="12" s="1"/>
  <c r="BN17" i="12" s="1"/>
  <c r="BO29" i="12"/>
  <c r="BN34" i="12"/>
  <c r="BN35" i="12" s="1"/>
  <c r="BN36" i="12" s="1"/>
  <c r="BN23" i="12"/>
  <c r="BN24" i="12" s="1"/>
  <c r="BN25" i="12" s="1"/>
  <c r="BM32" i="12"/>
  <c r="P201" i="8"/>
  <c r="P202" i="8"/>
  <c r="BM21" i="12"/>
  <c r="BO12" i="12"/>
  <c r="BO16" i="12"/>
  <c r="BM36" i="12"/>
  <c r="BQ6" i="12"/>
  <c r="BP28" i="12"/>
  <c r="BP11" i="12"/>
  <c r="BP16" i="12" s="1"/>
  <c r="BP8" i="12"/>
  <c r="BP27" i="12"/>
  <c r="P203" i="8"/>
  <c r="P209" i="8" s="1"/>
  <c r="P245" i="8"/>
  <c r="BN31" i="12"/>
  <c r="BN30" i="12"/>
  <c r="M23" i="23"/>
  <c r="M28" i="20"/>
  <c r="N28" i="20" s="1"/>
  <c r="O28" i="20" s="1"/>
  <c r="P28" i="20" s="1"/>
  <c r="Q28" i="20" s="1"/>
  <c r="R28" i="20" s="1"/>
  <c r="D25" i="20"/>
  <c r="F26" i="20"/>
  <c r="F27" i="20"/>
  <c r="M35" i="20"/>
  <c r="D33" i="20"/>
  <c r="L216" i="18"/>
  <c r="R213" i="18"/>
  <c r="L205" i="18"/>
  <c r="C200" i="18"/>
  <c r="R200" i="18"/>
  <c r="BH57" i="12" l="1"/>
  <c r="BK47" i="12"/>
  <c r="BK51" i="12" s="1"/>
  <c r="BK57" i="12" s="1"/>
  <c r="BM38" i="12"/>
  <c r="BJ47" i="12"/>
  <c r="BM50" i="12"/>
  <c r="BM49" i="12"/>
  <c r="BM44" i="12"/>
  <c r="BM43" i="12"/>
  <c r="BM42" i="12"/>
  <c r="BM41" i="12"/>
  <c r="BN40" i="12"/>
  <c r="BN54" i="12" s="1"/>
  <c r="BO31" i="12"/>
  <c r="BP15" i="12"/>
  <c r="BO30" i="12"/>
  <c r="P225" i="8"/>
  <c r="P224" i="8"/>
  <c r="P223" i="8"/>
  <c r="BL45" i="12"/>
  <c r="P204" i="8"/>
  <c r="P206" i="8"/>
  <c r="BP12" i="12"/>
  <c r="BO13" i="12"/>
  <c r="BO14" i="12" s="1"/>
  <c r="BO17" i="12" s="1"/>
  <c r="BO34" i="12"/>
  <c r="BO35" i="12" s="1"/>
  <c r="BO19" i="12"/>
  <c r="BO20" i="12" s="1"/>
  <c r="BO23" i="12"/>
  <c r="BO24" i="12" s="1"/>
  <c r="BO25" i="12" s="1"/>
  <c r="BR6" i="12"/>
  <c r="BQ28" i="12"/>
  <c r="BQ11" i="12"/>
  <c r="BQ15" i="12" s="1"/>
  <c r="BQ27" i="12"/>
  <c r="BQ8" i="12"/>
  <c r="BN32" i="12"/>
  <c r="BN38" i="12" s="1"/>
  <c r="BP29" i="12"/>
  <c r="M38" i="20"/>
  <c r="N38" i="20" s="1"/>
  <c r="O38" i="20" s="1"/>
  <c r="P38" i="20" s="1"/>
  <c r="Q38" i="20" s="1"/>
  <c r="R38" i="20" s="1"/>
  <c r="F36" i="20"/>
  <c r="F37" i="20"/>
  <c r="D35" i="20"/>
  <c r="R205" i="18"/>
  <c r="C205" i="18"/>
  <c r="M41" i="20"/>
  <c r="R216" i="18"/>
  <c r="L217" i="18"/>
  <c r="L223" i="18"/>
  <c r="M25" i="23"/>
  <c r="D23" i="23"/>
  <c r="BJ51" i="12" l="1"/>
  <c r="BN55" i="12"/>
  <c r="BL47" i="12"/>
  <c r="BL51" i="12" s="1"/>
  <c r="BL57" i="12" s="1"/>
  <c r="BN50" i="12"/>
  <c r="BN49" i="12"/>
  <c r="BN44" i="12"/>
  <c r="BN43" i="12"/>
  <c r="BN42" i="12"/>
  <c r="BN41" i="12"/>
  <c r="BO32" i="12"/>
  <c r="BO40" i="12"/>
  <c r="BO54" i="12" s="1"/>
  <c r="BO55" i="12" s="1"/>
  <c r="BM45" i="12"/>
  <c r="BQ12" i="12"/>
  <c r="BO36" i="12"/>
  <c r="BS6" i="12"/>
  <c r="BR28" i="12"/>
  <c r="BR11" i="12"/>
  <c r="BR15" i="12" s="1"/>
  <c r="BR8" i="12"/>
  <c r="BR27" i="12"/>
  <c r="BQ29" i="12"/>
  <c r="BP13" i="12"/>
  <c r="BP14" i="12" s="1"/>
  <c r="BP19" i="12"/>
  <c r="BP34" i="12"/>
  <c r="BP23" i="12"/>
  <c r="Q24" i="9"/>
  <c r="P226" i="8"/>
  <c r="P228" i="8" s="1"/>
  <c r="BQ16" i="12"/>
  <c r="Q34" i="9"/>
  <c r="Q35" i="9" s="1"/>
  <c r="P212" i="8"/>
  <c r="BP31" i="12"/>
  <c r="BP30" i="12"/>
  <c r="BO21" i="12"/>
  <c r="P257" i="8"/>
  <c r="Q43" i="9"/>
  <c r="Q45" i="9" s="1"/>
  <c r="Q50" i="9" s="1"/>
  <c r="P213" i="8"/>
  <c r="M28" i="23"/>
  <c r="N28" i="23" s="1"/>
  <c r="O28" i="23" s="1"/>
  <c r="P28" i="23" s="1"/>
  <c r="Q28" i="23" s="1"/>
  <c r="R28" i="23" s="1"/>
  <c r="D25" i="23"/>
  <c r="F27" i="23"/>
  <c r="F26" i="23"/>
  <c r="M47" i="20"/>
  <c r="D13" i="20"/>
  <c r="D16" i="20"/>
  <c r="C223" i="18"/>
  <c r="L251" i="18"/>
  <c r="L219" i="18"/>
  <c r="R217" i="18"/>
  <c r="M42" i="20"/>
  <c r="D41" i="20"/>
  <c r="BJ57" i="12" l="1"/>
  <c r="BM47" i="12"/>
  <c r="BM51" i="12" s="1"/>
  <c r="BM57" i="12" s="1"/>
  <c r="BO38" i="12"/>
  <c r="BQ34" i="12"/>
  <c r="BQ35" i="12" s="1"/>
  <c r="BQ36" i="12" s="1"/>
  <c r="BO50" i="12"/>
  <c r="BO49" i="12"/>
  <c r="BO44" i="12"/>
  <c r="BO43" i="12"/>
  <c r="BO42" i="12"/>
  <c r="BO41" i="12"/>
  <c r="BN45" i="12"/>
  <c r="BQ13" i="12"/>
  <c r="BQ14" i="12" s="1"/>
  <c r="BQ17" i="12" s="1"/>
  <c r="BQ23" i="12"/>
  <c r="BQ24" i="12" s="1"/>
  <c r="BQ25" i="12" s="1"/>
  <c r="BR16" i="12"/>
  <c r="BQ19" i="12"/>
  <c r="BQ20" i="12" s="1"/>
  <c r="BQ21" i="12" s="1"/>
  <c r="BR12" i="12"/>
  <c r="P259" i="8"/>
  <c r="P230" i="8"/>
  <c r="Q34" i="8" s="1"/>
  <c r="Q35" i="8" s="1"/>
  <c r="Q37" i="9"/>
  <c r="Q54" i="9"/>
  <c r="BP35" i="12"/>
  <c r="BQ31" i="12"/>
  <c r="BQ30" i="12"/>
  <c r="BP20" i="12"/>
  <c r="BR29" i="12"/>
  <c r="BP17" i="12"/>
  <c r="BP40" i="12" s="1"/>
  <c r="P258" i="8"/>
  <c r="P232" i="8"/>
  <c r="BP32" i="12"/>
  <c r="Q219" i="8"/>
  <c r="Q220" i="8" s="1"/>
  <c r="Q221" i="8" s="1"/>
  <c r="BP24" i="12"/>
  <c r="BP25" i="12" s="1"/>
  <c r="BT6" i="12"/>
  <c r="BS11" i="12"/>
  <c r="BS15" i="12" s="1"/>
  <c r="BS28" i="12"/>
  <c r="BS8" i="12"/>
  <c r="BS27" i="12"/>
  <c r="M52" i="20"/>
  <c r="M55" i="20" s="1"/>
  <c r="F48" i="20"/>
  <c r="F49" i="20"/>
  <c r="G49" i="20"/>
  <c r="D47" i="20"/>
  <c r="D14" i="20"/>
  <c r="R251" i="18"/>
  <c r="D15" i="20"/>
  <c r="D15" i="23" s="1"/>
  <c r="D13" i="23"/>
  <c r="AC219" i="18"/>
  <c r="D16" i="23"/>
  <c r="AI224" i="18"/>
  <c r="L252" i="18"/>
  <c r="L221" i="18"/>
  <c r="R219" i="18"/>
  <c r="M44" i="20"/>
  <c r="D44" i="20" s="1"/>
  <c r="M43" i="20"/>
  <c r="D43" i="20" s="1"/>
  <c r="D42" i="20"/>
  <c r="M50" i="20"/>
  <c r="BP54" i="12" l="1"/>
  <c r="BN47" i="12"/>
  <c r="BN51" i="12" s="1"/>
  <c r="BR34" i="12"/>
  <c r="BR35" i="12" s="1"/>
  <c r="BR36" i="12" s="1"/>
  <c r="BP50" i="12"/>
  <c r="BP49" i="12"/>
  <c r="BQ40" i="12"/>
  <c r="BQ54" i="12" s="1"/>
  <c r="BQ55" i="12" s="1"/>
  <c r="BP44" i="12"/>
  <c r="BP43" i="12"/>
  <c r="BP42" i="12"/>
  <c r="BP41" i="12"/>
  <c r="BO45" i="12"/>
  <c r="BR23" i="12"/>
  <c r="BR24" i="12" s="1"/>
  <c r="BR25" i="12" s="1"/>
  <c r="BR13" i="12"/>
  <c r="BR14" i="12" s="1"/>
  <c r="BR17" i="12" s="1"/>
  <c r="BR19" i="12"/>
  <c r="BR20" i="12" s="1"/>
  <c r="BR21" i="12" s="1"/>
  <c r="BS16" i="12"/>
  <c r="BS29" i="12"/>
  <c r="BS12" i="12"/>
  <c r="BU6" i="12"/>
  <c r="BT28" i="12"/>
  <c r="BT11" i="12"/>
  <c r="BT16" i="12" s="1"/>
  <c r="BT8" i="12"/>
  <c r="BT27" i="12"/>
  <c r="R33" i="9"/>
  <c r="R221" i="8"/>
  <c r="BP21" i="12"/>
  <c r="Q40" i="9"/>
  <c r="Q56" i="9"/>
  <c r="Q57" i="9" s="1"/>
  <c r="BQ32" i="12"/>
  <c r="BQ38" i="12" s="1"/>
  <c r="BR31" i="12"/>
  <c r="BR30" i="12"/>
  <c r="BP36" i="12"/>
  <c r="Q242" i="8"/>
  <c r="Q45" i="8"/>
  <c r="Q200" i="8"/>
  <c r="AF224" i="18"/>
  <c r="D14" i="23"/>
  <c r="C64" i="14"/>
  <c r="T251" i="18"/>
  <c r="M56" i="20"/>
  <c r="T56" i="20" s="1"/>
  <c r="W71" i="20" s="1"/>
  <c r="M57" i="20"/>
  <c r="R252" i="18"/>
  <c r="AA219" i="18"/>
  <c r="T221" i="18"/>
  <c r="M221" i="18"/>
  <c r="AA221" i="18"/>
  <c r="BN57" i="12" l="1"/>
  <c r="BP55" i="12"/>
  <c r="BO47" i="12"/>
  <c r="BO51" i="12" s="1"/>
  <c r="BO57" i="12" s="1"/>
  <c r="BP38" i="12"/>
  <c r="BS13" i="12"/>
  <c r="BS14" i="12" s="1"/>
  <c r="BS17" i="12" s="1"/>
  <c r="BQ44" i="12"/>
  <c r="BQ50" i="12"/>
  <c r="BQ49" i="12"/>
  <c r="BQ41" i="12"/>
  <c r="BQ43" i="12"/>
  <c r="BQ42" i="12"/>
  <c r="BR40" i="12"/>
  <c r="BR54" i="12" s="1"/>
  <c r="BR55" i="12" s="1"/>
  <c r="BS30" i="12"/>
  <c r="BS23" i="12"/>
  <c r="BS24" i="12" s="1"/>
  <c r="BS34" i="12"/>
  <c r="BS35" i="12" s="1"/>
  <c r="BS36" i="12" s="1"/>
  <c r="BS19" i="12"/>
  <c r="BS20" i="12" s="1"/>
  <c r="BS21" i="12" s="1"/>
  <c r="BS31" i="12"/>
  <c r="Q245" i="8"/>
  <c r="Q203" i="8"/>
  <c r="Q209" i="8" s="1"/>
  <c r="D33" i="9"/>
  <c r="BT15" i="12"/>
  <c r="BU11" i="12"/>
  <c r="BU15" i="12" s="1"/>
  <c r="BU28" i="12"/>
  <c r="BV6" i="12"/>
  <c r="BU8" i="12"/>
  <c r="BU27" i="12"/>
  <c r="BT29" i="12"/>
  <c r="BR32" i="12"/>
  <c r="BR38" i="12" s="1"/>
  <c r="BT12" i="12"/>
  <c r="Q201" i="8"/>
  <c r="Q202" i="8"/>
  <c r="T252" i="18"/>
  <c r="C65" i="14"/>
  <c r="E64" i="14"/>
  <c r="D64" i="14"/>
  <c r="M60" i="20"/>
  <c r="M63" i="20" s="1"/>
  <c r="T57" i="20"/>
  <c r="V71" i="20" s="1"/>
  <c r="N52" i="15"/>
  <c r="N221" i="18"/>
  <c r="BQ45" i="12" l="1"/>
  <c r="BR50" i="12"/>
  <c r="BR49" i="12"/>
  <c r="BR44" i="12"/>
  <c r="BR43" i="12"/>
  <c r="BR42" i="12"/>
  <c r="BR41" i="12"/>
  <c r="BP45" i="12"/>
  <c r="BS32" i="12"/>
  <c r="BS40" i="12"/>
  <c r="BU12" i="12"/>
  <c r="BU16" i="12"/>
  <c r="Q223" i="8"/>
  <c r="Q224" i="8"/>
  <c r="Q225" i="8"/>
  <c r="BT30" i="12"/>
  <c r="BT31" i="12"/>
  <c r="BU29" i="12"/>
  <c r="Q206" i="8"/>
  <c r="Q204" i="8"/>
  <c r="BS25" i="12"/>
  <c r="BW6" i="12"/>
  <c r="BV28" i="12"/>
  <c r="BV11" i="12"/>
  <c r="BV15" i="12" s="1"/>
  <c r="BV27" i="12"/>
  <c r="BV8" i="12"/>
  <c r="BT13" i="12"/>
  <c r="BT23" i="12"/>
  <c r="BT34" i="12"/>
  <c r="BT19" i="12"/>
  <c r="O52" i="15"/>
  <c r="O221" i="18"/>
  <c r="N53" i="15"/>
  <c r="N55" i="15" s="1"/>
  <c r="D65" i="14"/>
  <c r="E65" i="14"/>
  <c r="F64" i="14" s="1"/>
  <c r="M64" i="20"/>
  <c r="M65" i="20"/>
  <c r="BS54" i="12" l="1"/>
  <c r="BQ47" i="12"/>
  <c r="BQ51" i="12" s="1"/>
  <c r="BQ57" i="12" s="1"/>
  <c r="BP47" i="12"/>
  <c r="BS38" i="12"/>
  <c r="BU34" i="12"/>
  <c r="BU35" i="12" s="1"/>
  <c r="BU36" i="12" s="1"/>
  <c r="BV29" i="12"/>
  <c r="BV30" i="12" s="1"/>
  <c r="BS50" i="12"/>
  <c r="BS49" i="12"/>
  <c r="BU13" i="12"/>
  <c r="BU14" i="12" s="1"/>
  <c r="BU17" i="12" s="1"/>
  <c r="BS44" i="12"/>
  <c r="BS43" i="12"/>
  <c r="BS42" i="12"/>
  <c r="BS41" i="12"/>
  <c r="BU23" i="12"/>
  <c r="BU24" i="12" s="1"/>
  <c r="BU25" i="12" s="1"/>
  <c r="BU19" i="12"/>
  <c r="BU20" i="12" s="1"/>
  <c r="BU21" i="12" s="1"/>
  <c r="BV12" i="12"/>
  <c r="BV16" i="12"/>
  <c r="BT20" i="12"/>
  <c r="BT14" i="12"/>
  <c r="BR45" i="12"/>
  <c r="Q257" i="8"/>
  <c r="BT32" i="12"/>
  <c r="BU31" i="12"/>
  <c r="BU30" i="12"/>
  <c r="BT24" i="12"/>
  <c r="R43" i="9"/>
  <c r="R45" i="9" s="1"/>
  <c r="R50" i="9" s="1"/>
  <c r="Q213" i="8"/>
  <c r="BT35" i="12"/>
  <c r="R34" i="9"/>
  <c r="R35" i="9" s="1"/>
  <c r="Q212" i="8"/>
  <c r="BX6" i="12"/>
  <c r="BW28" i="12"/>
  <c r="BW11" i="12"/>
  <c r="BW15" i="12" s="1"/>
  <c r="BW8" i="12"/>
  <c r="BW27" i="12"/>
  <c r="R24" i="9"/>
  <c r="Q226" i="8"/>
  <c r="Q228" i="8" s="1"/>
  <c r="F55" i="14"/>
  <c r="F57" i="14"/>
  <c r="F61" i="14"/>
  <c r="F65" i="14"/>
  <c r="F58" i="14"/>
  <c r="F54" i="14"/>
  <c r="F53" i="14"/>
  <c r="F60" i="14"/>
  <c r="F56" i="14"/>
  <c r="F59" i="14"/>
  <c r="F63" i="14"/>
  <c r="F62" i="14"/>
  <c r="P221" i="18"/>
  <c r="P52" i="15"/>
  <c r="O53" i="15"/>
  <c r="O55" i="15" s="1"/>
  <c r="BS55" i="12" l="1"/>
  <c r="BP51" i="12"/>
  <c r="BR47" i="12"/>
  <c r="BR51" i="12" s="1"/>
  <c r="BR57" i="12" s="1"/>
  <c r="BV19" i="12"/>
  <c r="BV20" i="12" s="1"/>
  <c r="BV21" i="12" s="1"/>
  <c r="BV31" i="12"/>
  <c r="BV32" i="12" s="1"/>
  <c r="BV23" i="12"/>
  <c r="BV24" i="12" s="1"/>
  <c r="BV25" i="12" s="1"/>
  <c r="BV34" i="12"/>
  <c r="BV35" i="12" s="1"/>
  <c r="BV36" i="12" s="1"/>
  <c r="BU40" i="12"/>
  <c r="BU54" i="12" s="1"/>
  <c r="BU55" i="12" s="1"/>
  <c r="BV13" i="12"/>
  <c r="BV14" i="12" s="1"/>
  <c r="BV17" i="12" s="1"/>
  <c r="BS45" i="12"/>
  <c r="BS47" i="12" s="1"/>
  <c r="BU32" i="12"/>
  <c r="BU38" i="12" s="1"/>
  <c r="Q259" i="8"/>
  <c r="Q230" i="8"/>
  <c r="BY6" i="12"/>
  <c r="BX28" i="12"/>
  <c r="BX11" i="12"/>
  <c r="BX15" i="12" s="1"/>
  <c r="BX8" i="12"/>
  <c r="BX27" i="12"/>
  <c r="BW29" i="12"/>
  <c r="BW12" i="12"/>
  <c r="BW16" i="12"/>
  <c r="BT25" i="12"/>
  <c r="BT17" i="12"/>
  <c r="BT40" i="12" s="1"/>
  <c r="Q232" i="8"/>
  <c r="Q258" i="8"/>
  <c r="BT21" i="12"/>
  <c r="R37" i="9"/>
  <c r="R54" i="9"/>
  <c r="BT36" i="12"/>
  <c r="P53" i="15"/>
  <c r="P55" i="15" s="1"/>
  <c r="Q52" i="15"/>
  <c r="Q221" i="18"/>
  <c r="R52" i="15" s="1"/>
  <c r="BP57" i="12" l="1"/>
  <c r="BT54" i="12"/>
  <c r="BS51" i="12"/>
  <c r="BS57" i="12" s="1"/>
  <c r="BT38" i="12"/>
  <c r="BV38" i="12"/>
  <c r="BV40" i="12"/>
  <c r="BV44" i="12" s="1"/>
  <c r="BT50" i="12"/>
  <c r="BT49" i="12"/>
  <c r="BU41" i="12"/>
  <c r="BU50" i="12"/>
  <c r="BU49" i="12"/>
  <c r="BU43" i="12"/>
  <c r="BU42" i="12"/>
  <c r="BU44" i="12"/>
  <c r="BT44" i="12"/>
  <c r="BT43" i="12"/>
  <c r="BT42" i="12"/>
  <c r="BT41" i="12"/>
  <c r="BX12" i="12"/>
  <c r="BX16" i="12"/>
  <c r="BZ6" i="12"/>
  <c r="BY28" i="12"/>
  <c r="BY11" i="12"/>
  <c r="BY16" i="12" s="1"/>
  <c r="BY27" i="12"/>
  <c r="BY8" i="12"/>
  <c r="BW13" i="12"/>
  <c r="BW14" i="12" s="1"/>
  <c r="BW34" i="12"/>
  <c r="BW35" i="12" s="1"/>
  <c r="BW23" i="12"/>
  <c r="BW19" i="12"/>
  <c r="R40" i="9"/>
  <c r="R56" i="9"/>
  <c r="F59" i="9" s="1"/>
  <c r="F39" i="9"/>
  <c r="BX29" i="12"/>
  <c r="BW31" i="12"/>
  <c r="BW30" i="12"/>
  <c r="Q53" i="15"/>
  <c r="Q55" i="15" s="1"/>
  <c r="R53" i="15"/>
  <c r="BT55" i="12" l="1"/>
  <c r="BX13" i="12"/>
  <c r="BX14" i="12" s="1"/>
  <c r="BV43" i="12"/>
  <c r="BV54" i="12"/>
  <c r="BV55" i="12" s="1"/>
  <c r="BV49" i="12"/>
  <c r="BV50" i="12"/>
  <c r="BV41" i="12"/>
  <c r="BV42" i="12"/>
  <c r="BU45" i="12"/>
  <c r="BX23" i="12"/>
  <c r="BX24" i="12" s="1"/>
  <c r="BX25" i="12" s="1"/>
  <c r="BX17" i="12"/>
  <c r="BY12" i="12"/>
  <c r="BX34" i="12"/>
  <c r="BX35" i="12" s="1"/>
  <c r="BX36" i="12" s="1"/>
  <c r="BX19" i="12"/>
  <c r="BX20" i="12" s="1"/>
  <c r="BX21" i="12" s="1"/>
  <c r="BY29" i="12"/>
  <c r="BY15" i="12"/>
  <c r="BW17" i="12"/>
  <c r="BW40" i="12" s="1"/>
  <c r="BX30" i="12"/>
  <c r="BX31" i="12"/>
  <c r="BT45" i="12"/>
  <c r="R57" i="9"/>
  <c r="BW20" i="12"/>
  <c r="BW24" i="12"/>
  <c r="CA6" i="12"/>
  <c r="BZ28" i="12"/>
  <c r="BZ11" i="12"/>
  <c r="BZ15" i="12" s="1"/>
  <c r="BZ27" i="12"/>
  <c r="BZ8" i="12"/>
  <c r="BW32" i="12"/>
  <c r="BW36" i="12"/>
  <c r="R55" i="15"/>
  <c r="BW54" i="12" l="1"/>
  <c r="BU47" i="12"/>
  <c r="BU51" i="12" s="1"/>
  <c r="BU57" i="12" s="1"/>
  <c r="BT47" i="12"/>
  <c r="BV45" i="12"/>
  <c r="BW50" i="12"/>
  <c r="BW49" i="12"/>
  <c r="BW44" i="12"/>
  <c r="BW43" i="12"/>
  <c r="BW42" i="12"/>
  <c r="BW41" i="12"/>
  <c r="BX40" i="12"/>
  <c r="BX54" i="12" s="1"/>
  <c r="BX55" i="12" s="1"/>
  <c r="BY19" i="12"/>
  <c r="BY20" i="12" s="1"/>
  <c r="BY21" i="12" s="1"/>
  <c r="BY34" i="12"/>
  <c r="BY35" i="12" s="1"/>
  <c r="BY36" i="12" s="1"/>
  <c r="BY13" i="12"/>
  <c r="BY14" i="12" s="1"/>
  <c r="BY17" i="12" s="1"/>
  <c r="BY31" i="12"/>
  <c r="BY23" i="12"/>
  <c r="BY24" i="12" s="1"/>
  <c r="BY25" i="12" s="1"/>
  <c r="BZ12" i="12"/>
  <c r="BZ16" i="12"/>
  <c r="BY30" i="12"/>
  <c r="CB6" i="12"/>
  <c r="CA28" i="12"/>
  <c r="CA11" i="12"/>
  <c r="CA16" i="12" s="1"/>
  <c r="CA27" i="12"/>
  <c r="CA8" i="12"/>
  <c r="BZ29" i="12"/>
  <c r="BW25" i="12"/>
  <c r="BW21" i="12"/>
  <c r="BX32" i="12"/>
  <c r="BX38" i="12" s="1"/>
  <c r="BT51" i="12" l="1"/>
  <c r="BW55" i="12"/>
  <c r="BV47" i="12"/>
  <c r="BV51" i="12" s="1"/>
  <c r="BV57" i="12" s="1"/>
  <c r="BW38" i="12"/>
  <c r="BZ23" i="12"/>
  <c r="BZ24" i="12" s="1"/>
  <c r="BZ25" i="12" s="1"/>
  <c r="BX50" i="12"/>
  <c r="BX49" i="12"/>
  <c r="BZ13" i="12"/>
  <c r="BZ14" i="12" s="1"/>
  <c r="BZ17" i="12" s="1"/>
  <c r="BZ34" i="12"/>
  <c r="BZ35" i="12" s="1"/>
  <c r="BZ36" i="12" s="1"/>
  <c r="BX44" i="12"/>
  <c r="BX43" i="12"/>
  <c r="BX42" i="12"/>
  <c r="BX41" i="12"/>
  <c r="BY40" i="12"/>
  <c r="BY54" i="12" s="1"/>
  <c r="BY55" i="12" s="1"/>
  <c r="BY32" i="12"/>
  <c r="BY38" i="12" s="1"/>
  <c r="BZ19" i="12"/>
  <c r="BZ20" i="12" s="1"/>
  <c r="BZ21" i="12" s="1"/>
  <c r="CA29" i="12"/>
  <c r="CA15" i="12"/>
  <c r="CC6" i="12"/>
  <c r="CB11" i="12"/>
  <c r="CB28" i="12"/>
  <c r="CB27" i="12"/>
  <c r="CB8" i="12"/>
  <c r="BZ31" i="12"/>
  <c r="BZ30" i="12"/>
  <c r="CA12" i="12"/>
  <c r="BT57" i="12" l="1"/>
  <c r="BY50" i="12"/>
  <c r="BY49" i="12"/>
  <c r="BY44" i="12"/>
  <c r="BY43" i="12"/>
  <c r="BY42" i="12"/>
  <c r="BY41" i="12"/>
  <c r="BW45" i="12"/>
  <c r="BX45" i="12"/>
  <c r="BZ40" i="12"/>
  <c r="BZ54" i="12" s="1"/>
  <c r="CA31" i="12"/>
  <c r="CA30" i="12"/>
  <c r="BZ32" i="12"/>
  <c r="BZ38" i="12" s="1"/>
  <c r="CB29" i="12"/>
  <c r="CA13" i="12"/>
  <c r="CA14" i="12" s="1"/>
  <c r="CA17" i="12" s="1"/>
  <c r="CA23" i="12"/>
  <c r="CA24" i="12" s="1"/>
  <c r="CA34" i="12"/>
  <c r="CA35" i="12" s="1"/>
  <c r="CA36" i="12" s="1"/>
  <c r="CA19" i="12"/>
  <c r="CA20" i="12" s="1"/>
  <c r="CB12" i="12"/>
  <c r="CB15" i="12"/>
  <c r="CD6" i="12"/>
  <c r="CC11" i="12"/>
  <c r="CC15" i="12" s="1"/>
  <c r="CC28" i="12"/>
  <c r="CC27" i="12"/>
  <c r="CC8" i="12"/>
  <c r="CB16" i="12"/>
  <c r="BZ55" i="12" l="1"/>
  <c r="BX47" i="12"/>
  <c r="BX51" i="12" s="1"/>
  <c r="BX57" i="12" s="1"/>
  <c r="BW47" i="12"/>
  <c r="BZ50" i="12"/>
  <c r="BZ49" i="12"/>
  <c r="BZ44" i="12"/>
  <c r="BZ43" i="12"/>
  <c r="BZ42" i="12"/>
  <c r="BZ41" i="12"/>
  <c r="CA32" i="12"/>
  <c r="BY45" i="12"/>
  <c r="CA40" i="12"/>
  <c r="CA54" i="12" s="1"/>
  <c r="CA55" i="12" s="1"/>
  <c r="CC16" i="12"/>
  <c r="CC12" i="12"/>
  <c r="CC19" i="12" s="1"/>
  <c r="CC20" i="12" s="1"/>
  <c r="CC21" i="12" s="1"/>
  <c r="CC29" i="12"/>
  <c r="CB19" i="12"/>
  <c r="CB13" i="12"/>
  <c r="CB23" i="12"/>
  <c r="CB34" i="12"/>
  <c r="CA21" i="12"/>
  <c r="CA25" i="12"/>
  <c r="CB30" i="12"/>
  <c r="CB31" i="12"/>
  <c r="CE6" i="12"/>
  <c r="CD11" i="12"/>
  <c r="CD15" i="12" s="1"/>
  <c r="CD28" i="12"/>
  <c r="CD8" i="12"/>
  <c r="CD27" i="12"/>
  <c r="BW51" i="12" l="1"/>
  <c r="BY47" i="12"/>
  <c r="BY51" i="12" s="1"/>
  <c r="BY57" i="12" s="1"/>
  <c r="CA38" i="12"/>
  <c r="CC34" i="12"/>
  <c r="CC35" i="12" s="1"/>
  <c r="CC36" i="12" s="1"/>
  <c r="CC13" i="12"/>
  <c r="CC14" i="12" s="1"/>
  <c r="CC17" i="12" s="1"/>
  <c r="CA50" i="12"/>
  <c r="CA49" i="12"/>
  <c r="BZ45" i="12"/>
  <c r="CA44" i="12"/>
  <c r="CA43" i="12"/>
  <c r="CA42" i="12"/>
  <c r="CA41" i="12"/>
  <c r="CC30" i="12"/>
  <c r="CD29" i="12"/>
  <c r="CC23" i="12"/>
  <c r="CC24" i="12" s="1"/>
  <c r="CC25" i="12" s="1"/>
  <c r="CD12" i="12"/>
  <c r="CC31" i="12"/>
  <c r="CB35" i="12"/>
  <c r="CF6" i="12"/>
  <c r="CE28" i="12"/>
  <c r="CE11" i="12"/>
  <c r="CE27" i="12"/>
  <c r="CE8" i="12"/>
  <c r="CB32" i="12"/>
  <c r="CB24" i="12"/>
  <c r="CD16" i="12"/>
  <c r="CB14" i="12"/>
  <c r="CB20" i="12"/>
  <c r="BW57" i="12" l="1"/>
  <c r="BZ47" i="12"/>
  <c r="CD34" i="12"/>
  <c r="CD35" i="12" s="1"/>
  <c r="CD36" i="12" s="1"/>
  <c r="CC40" i="12"/>
  <c r="CC54" i="12" s="1"/>
  <c r="CC55" i="12" s="1"/>
  <c r="CC32" i="12"/>
  <c r="CC38" i="12" s="1"/>
  <c r="CD30" i="12"/>
  <c r="CD19" i="12"/>
  <c r="CD20" i="12" s="1"/>
  <c r="CD21" i="12" s="1"/>
  <c r="CD23" i="12"/>
  <c r="CD24" i="12" s="1"/>
  <c r="CD25" i="12" s="1"/>
  <c r="CD31" i="12"/>
  <c r="CD13" i="12"/>
  <c r="CD14" i="12" s="1"/>
  <c r="CD17" i="12" s="1"/>
  <c r="CE29" i="12"/>
  <c r="CB25" i="12"/>
  <c r="CE15" i="12"/>
  <c r="CE12" i="12"/>
  <c r="CE16" i="12"/>
  <c r="CB36" i="12"/>
  <c r="CB21" i="12"/>
  <c r="CG6" i="12"/>
  <c r="CF11" i="12"/>
  <c r="CF15" i="12" s="1"/>
  <c r="CF28" i="12"/>
  <c r="CF27" i="12"/>
  <c r="CF8" i="12"/>
  <c r="CB17" i="12"/>
  <c r="CB40" i="12" s="1"/>
  <c r="CB54" i="12" l="1"/>
  <c r="BZ51" i="12"/>
  <c r="CB38" i="12"/>
  <c r="CB50" i="12"/>
  <c r="CB49" i="12"/>
  <c r="CC50" i="12"/>
  <c r="CC49" i="12"/>
  <c r="CD32" i="12"/>
  <c r="CD38" i="12" s="1"/>
  <c r="CB44" i="12"/>
  <c r="CB43" i="12"/>
  <c r="CB42" i="12"/>
  <c r="CB41" i="12"/>
  <c r="CC44" i="12"/>
  <c r="CC43" i="12"/>
  <c r="CC42" i="12"/>
  <c r="CC41" i="12"/>
  <c r="CD40" i="12"/>
  <c r="CD54" i="12" s="1"/>
  <c r="CD55" i="12" s="1"/>
  <c r="CE30" i="12"/>
  <c r="CA45" i="12"/>
  <c r="CF29" i="12"/>
  <c r="CE31" i="12"/>
  <c r="CF16" i="12"/>
  <c r="CF12" i="12"/>
  <c r="CE13" i="12"/>
  <c r="CE23" i="12"/>
  <c r="CE19" i="12"/>
  <c r="CE34" i="12"/>
  <c r="CH6" i="12"/>
  <c r="CG28" i="12"/>
  <c r="CG11" i="12"/>
  <c r="CG16" i="12" s="1"/>
  <c r="CG27" i="12"/>
  <c r="CG8" i="12"/>
  <c r="BZ57" i="12" l="1"/>
  <c r="CB55" i="12"/>
  <c r="CA47" i="12"/>
  <c r="CD50" i="12"/>
  <c r="CD49" i="12"/>
  <c r="CC45" i="12"/>
  <c r="CD44" i="12"/>
  <c r="CD43" i="12"/>
  <c r="CD42" i="12"/>
  <c r="CD41" i="12"/>
  <c r="CB45" i="12"/>
  <c r="CE32" i="12"/>
  <c r="CF30" i="12"/>
  <c r="CF13" i="12"/>
  <c r="CF14" i="12" s="1"/>
  <c r="CF17" i="12" s="1"/>
  <c r="CF31" i="12"/>
  <c r="CG29" i="12"/>
  <c r="CG15" i="12"/>
  <c r="CF23" i="12"/>
  <c r="CF24" i="12" s="1"/>
  <c r="CF25" i="12" s="1"/>
  <c r="CF19" i="12"/>
  <c r="CF20" i="12" s="1"/>
  <c r="CF21" i="12" s="1"/>
  <c r="CF34" i="12"/>
  <c r="CF35" i="12" s="1"/>
  <c r="CF36" i="12" s="1"/>
  <c r="CE20" i="12"/>
  <c r="CI6" i="12"/>
  <c r="CH11" i="12"/>
  <c r="CH16" i="12" s="1"/>
  <c r="CH28" i="12"/>
  <c r="CH27" i="12"/>
  <c r="CH8" i="12"/>
  <c r="CE24" i="12"/>
  <c r="CE35" i="12"/>
  <c r="CE14" i="12"/>
  <c r="CG12" i="12"/>
  <c r="CB47" i="12" l="1"/>
  <c r="CA51" i="12"/>
  <c r="CC47" i="12"/>
  <c r="CC51" i="12" s="1"/>
  <c r="CC57" i="12" s="1"/>
  <c r="CD45" i="12"/>
  <c r="CF32" i="12"/>
  <c r="CF38" i="12" s="1"/>
  <c r="CF40" i="12"/>
  <c r="CF54" i="12" s="1"/>
  <c r="CF55" i="12" s="1"/>
  <c r="CG30" i="12"/>
  <c r="CG31" i="12"/>
  <c r="CH12" i="12"/>
  <c r="CH15" i="12"/>
  <c r="CE21" i="12"/>
  <c r="CJ6" i="12"/>
  <c r="CI28" i="12"/>
  <c r="CI11" i="12"/>
  <c r="CI16" i="12" s="1"/>
  <c r="CI27" i="12"/>
  <c r="CI8" i="12"/>
  <c r="CG13" i="12"/>
  <c r="CG23" i="12"/>
  <c r="CG19" i="12"/>
  <c r="CG34" i="12"/>
  <c r="CE36" i="12"/>
  <c r="CE17" i="12"/>
  <c r="CE40" i="12" s="1"/>
  <c r="CH29" i="12"/>
  <c r="CE25" i="12"/>
  <c r="CA57" i="12" l="1"/>
  <c r="CE54" i="12"/>
  <c r="CB51" i="12"/>
  <c r="CD47" i="12"/>
  <c r="CD51" i="12" s="1"/>
  <c r="CD57" i="12" s="1"/>
  <c r="CE38" i="12"/>
  <c r="CF50" i="12"/>
  <c r="CF49" i="12"/>
  <c r="CE50" i="12"/>
  <c r="CE49" i="12"/>
  <c r="CI12" i="12"/>
  <c r="CG32" i="12"/>
  <c r="CF44" i="12"/>
  <c r="CF43" i="12"/>
  <c r="CF42" i="12"/>
  <c r="CF41" i="12"/>
  <c r="CE44" i="12"/>
  <c r="CE43" i="12"/>
  <c r="CE42" i="12"/>
  <c r="CE41" i="12"/>
  <c r="CI29" i="12"/>
  <c r="CG24" i="12"/>
  <c r="CG25" i="12" s="1"/>
  <c r="CI15" i="12"/>
  <c r="CH30" i="12"/>
  <c r="CH31" i="12"/>
  <c r="CG14" i="12"/>
  <c r="CH13" i="12"/>
  <c r="CH14" i="12" s="1"/>
  <c r="CH17" i="12" s="1"/>
  <c r="CH23" i="12"/>
  <c r="CH24" i="12" s="1"/>
  <c r="CH25" i="12" s="1"/>
  <c r="CH19" i="12"/>
  <c r="CH20" i="12" s="1"/>
  <c r="CH21" i="12" s="1"/>
  <c r="CH34" i="12"/>
  <c r="CH35" i="12" s="1"/>
  <c r="CH36" i="12" s="1"/>
  <c r="CK6" i="12"/>
  <c r="CJ28" i="12"/>
  <c r="CJ11" i="12"/>
  <c r="CJ15" i="12" s="1"/>
  <c r="CJ8" i="12"/>
  <c r="CJ27" i="12"/>
  <c r="CG35" i="12"/>
  <c r="CG20" i="12"/>
  <c r="CE55" i="12" l="1"/>
  <c r="CB57" i="12"/>
  <c r="CI34" i="12"/>
  <c r="CI35" i="12" s="1"/>
  <c r="CI36" i="12" s="1"/>
  <c r="CI13" i="12"/>
  <c r="CI14" i="12" s="1"/>
  <c r="CI17" i="12" s="1"/>
  <c r="CI23" i="12"/>
  <c r="CI24" i="12" s="1"/>
  <c r="CI25" i="12" s="1"/>
  <c r="CI19" i="12"/>
  <c r="CI20" i="12" s="1"/>
  <c r="CI21" i="12" s="1"/>
  <c r="CE45" i="12"/>
  <c r="CF45" i="12"/>
  <c r="CH40" i="12"/>
  <c r="CH54" i="12" s="1"/>
  <c r="CH55" i="12" s="1"/>
  <c r="CI30" i="12"/>
  <c r="CJ12" i="12"/>
  <c r="CJ34" i="12" s="1"/>
  <c r="CJ35" i="12" s="1"/>
  <c r="CJ36" i="12" s="1"/>
  <c r="CJ16" i="12"/>
  <c r="CI31" i="12"/>
  <c r="CG21" i="12"/>
  <c r="CG17" i="12"/>
  <c r="CG40" i="12" s="1"/>
  <c r="CK28" i="12"/>
  <c r="CL6" i="12"/>
  <c r="CK11" i="12"/>
  <c r="CK16" i="12" s="1"/>
  <c r="CK27" i="12"/>
  <c r="CK8" i="12"/>
  <c r="CJ29" i="12"/>
  <c r="CH32" i="12"/>
  <c r="CH38" i="12" s="1"/>
  <c r="CG36" i="12"/>
  <c r="CG38" i="12" l="1"/>
  <c r="CG54" i="12"/>
  <c r="CF47" i="12"/>
  <c r="CF51" i="12" s="1"/>
  <c r="CF57" i="12" s="1"/>
  <c r="CE47" i="12"/>
  <c r="CJ23" i="12"/>
  <c r="CJ24" i="12" s="1"/>
  <c r="CJ25" i="12" s="1"/>
  <c r="CH50" i="12"/>
  <c r="CH49" i="12"/>
  <c r="CG50" i="12"/>
  <c r="CG49" i="12"/>
  <c r="CI32" i="12"/>
  <c r="CI38" i="12" s="1"/>
  <c r="CG44" i="12"/>
  <c r="CG42" i="12"/>
  <c r="CG43" i="12"/>
  <c r="CG41" i="12"/>
  <c r="CH44" i="12"/>
  <c r="CH43" i="12"/>
  <c r="CH42" i="12"/>
  <c r="CH41" i="12"/>
  <c r="CI40" i="12"/>
  <c r="CI54" i="12" s="1"/>
  <c r="CI55" i="12" s="1"/>
  <c r="CJ19" i="12"/>
  <c r="CJ20" i="12" s="1"/>
  <c r="CJ21" i="12" s="1"/>
  <c r="CJ13" i="12"/>
  <c r="CJ14" i="12" s="1"/>
  <c r="CJ17" i="12" s="1"/>
  <c r="CK15" i="12"/>
  <c r="CK29" i="12"/>
  <c r="CM6" i="12"/>
  <c r="CL28" i="12"/>
  <c r="CL11" i="12"/>
  <c r="CL15" i="12" s="1"/>
  <c r="CL27" i="12"/>
  <c r="CL8" i="12"/>
  <c r="CJ31" i="12"/>
  <c r="CJ30" i="12"/>
  <c r="CK12" i="12"/>
  <c r="CE51" i="12" l="1"/>
  <c r="CG55" i="12"/>
  <c r="CI50" i="12"/>
  <c r="CI49" i="12"/>
  <c r="CJ40" i="12"/>
  <c r="CI44" i="12"/>
  <c r="CI43" i="12"/>
  <c r="CI42" i="12"/>
  <c r="CI41" i="12"/>
  <c r="CK30" i="12"/>
  <c r="CH45" i="12"/>
  <c r="CL29" i="12"/>
  <c r="CL16" i="12"/>
  <c r="CL12" i="12"/>
  <c r="CK31" i="12"/>
  <c r="CK13" i="12"/>
  <c r="CK14" i="12" s="1"/>
  <c r="CK34" i="12"/>
  <c r="CK19" i="12"/>
  <c r="CK20" i="12" s="1"/>
  <c r="CK23" i="12"/>
  <c r="CJ32" i="12"/>
  <c r="CJ38" i="12" s="1"/>
  <c r="CG45" i="12"/>
  <c r="CN6" i="12"/>
  <c r="CM11" i="12"/>
  <c r="CM16" i="12" s="1"/>
  <c r="CM28" i="12"/>
  <c r="CM27" i="12"/>
  <c r="CM8" i="12"/>
  <c r="CE57" i="12" l="1"/>
  <c r="CH47" i="12"/>
  <c r="CH51" i="12" s="1"/>
  <c r="CH57" i="12" s="1"/>
  <c r="CG47" i="12"/>
  <c r="CL23" i="12"/>
  <c r="CL24" i="12" s="1"/>
  <c r="CL25" i="12" s="1"/>
  <c r="CJ43" i="12"/>
  <c r="CJ54" i="12"/>
  <c r="CJ41" i="12"/>
  <c r="CJ42" i="12"/>
  <c r="CJ44" i="12"/>
  <c r="CJ50" i="12"/>
  <c r="CJ49" i="12"/>
  <c r="CI45" i="12"/>
  <c r="CK32" i="12"/>
  <c r="CL31" i="12"/>
  <c r="CL13" i="12"/>
  <c r="CL14" i="12" s="1"/>
  <c r="CL17" i="12" s="1"/>
  <c r="CL30" i="12"/>
  <c r="CL19" i="12"/>
  <c r="CL20" i="12" s="1"/>
  <c r="CL21" i="12" s="1"/>
  <c r="CL34" i="12"/>
  <c r="CL35" i="12" s="1"/>
  <c r="CL36" i="12" s="1"/>
  <c r="CK24" i="12"/>
  <c r="CK21" i="12"/>
  <c r="CK17" i="12"/>
  <c r="CK40" i="12" s="1"/>
  <c r="CK54" i="12" s="1"/>
  <c r="CK55" i="12" s="1"/>
  <c r="CM12" i="12"/>
  <c r="CM15" i="12"/>
  <c r="CK35" i="12"/>
  <c r="CM29" i="12"/>
  <c r="CO6" i="12"/>
  <c r="CN11" i="12"/>
  <c r="CN16" i="12" s="1"/>
  <c r="CN28" i="12"/>
  <c r="CN27" i="12"/>
  <c r="CN8" i="12"/>
  <c r="CG51" i="12" l="1"/>
  <c r="CJ55" i="12"/>
  <c r="CI47" i="12"/>
  <c r="CI51" i="12" s="1"/>
  <c r="CI57" i="12" s="1"/>
  <c r="CK50" i="12"/>
  <c r="CK49" i="12"/>
  <c r="CK44" i="12"/>
  <c r="CK43" i="12"/>
  <c r="CK42" i="12"/>
  <c r="CK41" i="12"/>
  <c r="CL32" i="12"/>
  <c r="CL38" i="12" s="1"/>
  <c r="CL40" i="12"/>
  <c r="CL54" i="12" s="1"/>
  <c r="CL55" i="12" s="1"/>
  <c r="CN29" i="12"/>
  <c r="CN15" i="12"/>
  <c r="CN12" i="12"/>
  <c r="CK36" i="12"/>
  <c r="CJ45" i="12"/>
  <c r="CP6" i="12"/>
  <c r="CO28" i="12"/>
  <c r="CO11" i="12"/>
  <c r="CO15" i="12" s="1"/>
  <c r="CO8" i="12"/>
  <c r="CO27" i="12"/>
  <c r="CM30" i="12"/>
  <c r="CM31" i="12"/>
  <c r="CM13" i="12"/>
  <c r="CM14" i="12" s="1"/>
  <c r="CM34" i="12"/>
  <c r="CM35" i="12" s="1"/>
  <c r="CM36" i="12" s="1"/>
  <c r="CM23" i="12"/>
  <c r="CM24" i="12" s="1"/>
  <c r="CM25" i="12" s="1"/>
  <c r="CM19" i="12"/>
  <c r="CM20" i="12" s="1"/>
  <c r="CK25" i="12"/>
  <c r="CK38" i="12" l="1"/>
  <c r="CG57" i="12"/>
  <c r="CJ47" i="12"/>
  <c r="CJ51" i="12" s="1"/>
  <c r="CJ57" i="12" s="1"/>
  <c r="CN19" i="12"/>
  <c r="CN20" i="12" s="1"/>
  <c r="CN21" i="12" s="1"/>
  <c r="CL50" i="12"/>
  <c r="CL49" i="12"/>
  <c r="CL44" i="12"/>
  <c r="CL43" i="12"/>
  <c r="CL42" i="12"/>
  <c r="CL41" i="12"/>
  <c r="CN30" i="12"/>
  <c r="CN31" i="12"/>
  <c r="CN13" i="12"/>
  <c r="CN14" i="12" s="1"/>
  <c r="CN17" i="12" s="1"/>
  <c r="CN34" i="12"/>
  <c r="CN35" i="12" s="1"/>
  <c r="CN36" i="12" s="1"/>
  <c r="CN23" i="12"/>
  <c r="CN24" i="12" s="1"/>
  <c r="CN25" i="12" s="1"/>
  <c r="CO16" i="12"/>
  <c r="CO29" i="12"/>
  <c r="CM32" i="12"/>
  <c r="CM17" i="12"/>
  <c r="CM40" i="12" s="1"/>
  <c r="CM54" i="12" s="1"/>
  <c r="CO12" i="12"/>
  <c r="CM21" i="12"/>
  <c r="CQ6" i="12"/>
  <c r="CP11" i="12"/>
  <c r="CP15" i="12" s="1"/>
  <c r="CP28" i="12"/>
  <c r="CP8" i="12"/>
  <c r="CP27" i="12"/>
  <c r="CM55" i="12" l="1"/>
  <c r="CM38" i="12"/>
  <c r="CM49" i="12"/>
  <c r="CM50" i="12"/>
  <c r="CL45" i="12"/>
  <c r="CM44" i="12"/>
  <c r="CM43" i="12"/>
  <c r="CM42" i="12"/>
  <c r="CM41" i="12"/>
  <c r="CN40" i="12"/>
  <c r="CN54" i="12" s="1"/>
  <c r="CN55" i="12" s="1"/>
  <c r="CN32" i="12"/>
  <c r="CN38" i="12" s="1"/>
  <c r="CO30" i="12"/>
  <c r="CK45" i="12"/>
  <c r="CP29" i="12"/>
  <c r="CO31" i="12"/>
  <c r="CP16" i="12"/>
  <c r="CR6" i="12"/>
  <c r="CQ28" i="12"/>
  <c r="CQ11" i="12"/>
  <c r="CQ15" i="12" s="1"/>
  <c r="CQ27" i="12"/>
  <c r="CQ8" i="12"/>
  <c r="CO13" i="12"/>
  <c r="CO14" i="12" s="1"/>
  <c r="CO17" i="12" s="1"/>
  <c r="CO19" i="12"/>
  <c r="CO20" i="12" s="1"/>
  <c r="CO21" i="12" s="1"/>
  <c r="CO34" i="12"/>
  <c r="CO35" i="12" s="1"/>
  <c r="CO36" i="12" s="1"/>
  <c r="CO23" i="12"/>
  <c r="CO24" i="12" s="1"/>
  <c r="CO25" i="12" s="1"/>
  <c r="CP12" i="12"/>
  <c r="CK47" i="12" l="1"/>
  <c r="CK51" i="12" s="1"/>
  <c r="CL47" i="12"/>
  <c r="CL51" i="12" s="1"/>
  <c r="CL57" i="12" s="1"/>
  <c r="CN50" i="12"/>
  <c r="CN49" i="12"/>
  <c r="CN44" i="12"/>
  <c r="CN43" i="12"/>
  <c r="CN42" i="12"/>
  <c r="CN41" i="12"/>
  <c r="CO32" i="12"/>
  <c r="CO38" i="12" s="1"/>
  <c r="CM45" i="12"/>
  <c r="CM47" i="12" s="1"/>
  <c r="CO40" i="12"/>
  <c r="CO54" i="12" s="1"/>
  <c r="CO55" i="12" s="1"/>
  <c r="CP31" i="12"/>
  <c r="CP30" i="12"/>
  <c r="CQ29" i="12"/>
  <c r="CQ16" i="12"/>
  <c r="CQ12" i="12"/>
  <c r="CP13" i="12"/>
  <c r="CP14" i="12" s="1"/>
  <c r="CP17" i="12" s="1"/>
  <c r="CP23" i="12"/>
  <c r="CP34" i="12"/>
  <c r="CP35" i="12" s="1"/>
  <c r="CP36" i="12" s="1"/>
  <c r="CP19" i="12"/>
  <c r="CP20" i="12" s="1"/>
  <c r="CP21" i="12" s="1"/>
  <c r="CS6" i="12"/>
  <c r="CR28" i="12"/>
  <c r="CR11" i="12"/>
  <c r="CR15" i="12" s="1"/>
  <c r="CR8" i="12"/>
  <c r="CR27" i="12"/>
  <c r="CK57" i="12" l="1"/>
  <c r="CM51" i="12"/>
  <c r="CM57" i="12" s="1"/>
  <c r="CQ19" i="12"/>
  <c r="CQ20" i="12" s="1"/>
  <c r="CQ21" i="12" s="1"/>
  <c r="CO50" i="12"/>
  <c r="CO49" i="12"/>
  <c r="CO43" i="12"/>
  <c r="CO41" i="12"/>
  <c r="CO44" i="12"/>
  <c r="CO42" i="12"/>
  <c r="CP32" i="12"/>
  <c r="CN45" i="12"/>
  <c r="CP40" i="12"/>
  <c r="CP54" i="12" s="1"/>
  <c r="CP55" i="12" s="1"/>
  <c r="CQ30" i="12"/>
  <c r="CQ23" i="12"/>
  <c r="CQ24" i="12" s="1"/>
  <c r="CQ25" i="12" s="1"/>
  <c r="CQ31" i="12"/>
  <c r="CQ34" i="12"/>
  <c r="CQ35" i="12" s="1"/>
  <c r="CQ36" i="12" s="1"/>
  <c r="CQ13" i="12"/>
  <c r="CQ14" i="12" s="1"/>
  <c r="CQ17" i="12" s="1"/>
  <c r="CR16" i="12"/>
  <c r="CR29" i="12"/>
  <c r="CS28" i="12"/>
  <c r="CT6" i="12"/>
  <c r="CS11" i="12"/>
  <c r="CS16" i="12" s="1"/>
  <c r="CS27" i="12"/>
  <c r="CS8" i="12"/>
  <c r="CP24" i="12"/>
  <c r="CP25" i="12" s="1"/>
  <c r="CR12" i="12"/>
  <c r="CP38" i="12" l="1"/>
  <c r="CN47" i="12"/>
  <c r="CN51" i="12" s="1"/>
  <c r="CN57" i="12" s="1"/>
  <c r="CO45" i="12"/>
  <c r="CP50" i="12"/>
  <c r="CP49" i="12"/>
  <c r="CP44" i="12"/>
  <c r="CP43" i="12"/>
  <c r="CP42" i="12"/>
  <c r="CP41" i="12"/>
  <c r="CQ40" i="12"/>
  <c r="CQ54" i="12" s="1"/>
  <c r="CQ55" i="12" s="1"/>
  <c r="CQ32" i="12"/>
  <c r="CQ38" i="12" s="1"/>
  <c r="CS29" i="12"/>
  <c r="CS15" i="12"/>
  <c r="CS12" i="12"/>
  <c r="CR30" i="12"/>
  <c r="CR31" i="12"/>
  <c r="CU6" i="12"/>
  <c r="CT28" i="12"/>
  <c r="CT11" i="12"/>
  <c r="CT16" i="12" s="1"/>
  <c r="CT8" i="12"/>
  <c r="CT27" i="12"/>
  <c r="CR13" i="12"/>
  <c r="CR14" i="12" s="1"/>
  <c r="CR17" i="12" s="1"/>
  <c r="CR23" i="12"/>
  <c r="CR19" i="12"/>
  <c r="CR20" i="12" s="1"/>
  <c r="CR21" i="12" s="1"/>
  <c r="CR34" i="12"/>
  <c r="CR35" i="12" s="1"/>
  <c r="CR36" i="12" s="1"/>
  <c r="CO47" i="12" l="1"/>
  <c r="CO51" i="12" s="1"/>
  <c r="CO57" i="12" s="1"/>
  <c r="CS19" i="12"/>
  <c r="CS20" i="12" s="1"/>
  <c r="CS21" i="12" s="1"/>
  <c r="CQ50" i="12"/>
  <c r="CQ49" i="12"/>
  <c r="CP45" i="12"/>
  <c r="CQ44" i="12"/>
  <c r="CQ43" i="12"/>
  <c r="CQ42" i="12"/>
  <c r="CQ41" i="12"/>
  <c r="CR40" i="12"/>
  <c r="CR54" i="12" s="1"/>
  <c r="CR55" i="12" s="1"/>
  <c r="CS31" i="12"/>
  <c r="CS30" i="12"/>
  <c r="CS13" i="12"/>
  <c r="CS14" i="12" s="1"/>
  <c r="CS17" i="12" s="1"/>
  <c r="CS34" i="12"/>
  <c r="CS35" i="12" s="1"/>
  <c r="CS36" i="12" s="1"/>
  <c r="CS23" i="12"/>
  <c r="CS24" i="12" s="1"/>
  <c r="CS25" i="12" s="1"/>
  <c r="CT29" i="12"/>
  <c r="CT15" i="12"/>
  <c r="CU5" i="12"/>
  <c r="CU28" i="12"/>
  <c r="CV6" i="12"/>
  <c r="CU11" i="12"/>
  <c r="CT12" i="12"/>
  <c r="CR24" i="12"/>
  <c r="CR25" i="12" s="1"/>
  <c r="CR32" i="12"/>
  <c r="CR38" i="12" l="1"/>
  <c r="CU27" i="12"/>
  <c r="CU29" i="12" s="1"/>
  <c r="CP47" i="12"/>
  <c r="CP51" i="12" s="1"/>
  <c r="CP57" i="12" s="1"/>
  <c r="CR50" i="12"/>
  <c r="CR49" i="12"/>
  <c r="CQ45" i="12"/>
  <c r="CR44" i="12"/>
  <c r="CR43" i="12"/>
  <c r="CR42" i="12"/>
  <c r="CR41" i="12"/>
  <c r="CS32" i="12"/>
  <c r="CS38" i="12" s="1"/>
  <c r="CT30" i="12"/>
  <c r="CS40" i="12"/>
  <c r="CS54" i="12" s="1"/>
  <c r="CS55" i="12" s="1"/>
  <c r="CU15" i="12"/>
  <c r="CT31" i="12"/>
  <c r="CU8" i="12"/>
  <c r="CU12" i="12" s="1"/>
  <c r="CT13" i="12"/>
  <c r="CT14" i="12" s="1"/>
  <c r="CT17" i="12" s="1"/>
  <c r="CT19" i="12"/>
  <c r="CT20" i="12" s="1"/>
  <c r="CT21" i="12" s="1"/>
  <c r="CT23" i="12"/>
  <c r="CT34" i="12"/>
  <c r="CT35" i="12" s="1"/>
  <c r="CT36" i="12" s="1"/>
  <c r="CW6" i="12"/>
  <c r="CV28" i="12"/>
  <c r="CV11" i="12"/>
  <c r="CV5" i="12"/>
  <c r="CU16" i="12"/>
  <c r="CQ47" i="12" l="1"/>
  <c r="CQ51" i="12" s="1"/>
  <c r="CQ57" i="12" s="1"/>
  <c r="CU23" i="12"/>
  <c r="CU24" i="12" s="1"/>
  <c r="CU25" i="12" s="1"/>
  <c r="CS50" i="12"/>
  <c r="CS49" i="12"/>
  <c r="CS44" i="12"/>
  <c r="CS43" i="12"/>
  <c r="CS42" i="12"/>
  <c r="CS41" i="12"/>
  <c r="CT32" i="12"/>
  <c r="CT40" i="12"/>
  <c r="CR45" i="12"/>
  <c r="CU34" i="12"/>
  <c r="CU35" i="12" s="1"/>
  <c r="CU36" i="12" s="1"/>
  <c r="CU19" i="12"/>
  <c r="CU20" i="12" s="1"/>
  <c r="CU21" i="12" s="1"/>
  <c r="CU42" i="12"/>
  <c r="CU43" i="12"/>
  <c r="CU13" i="12"/>
  <c r="CU14" i="12" s="1"/>
  <c r="CU17" i="12" s="1"/>
  <c r="CV15" i="12"/>
  <c r="CT24" i="12"/>
  <c r="CT25" i="12" s="1"/>
  <c r="CU30" i="12"/>
  <c r="CU31" i="12"/>
  <c r="CV8" i="12"/>
  <c r="CV12" i="12" s="1"/>
  <c r="CV27" i="12"/>
  <c r="CV29" i="12" s="1"/>
  <c r="CV16" i="12"/>
  <c r="CW11" i="12"/>
  <c r="CW28" i="12"/>
  <c r="CW5" i="12"/>
  <c r="CX6" i="12"/>
  <c r="CW8" i="12" l="1"/>
  <c r="CW12" i="12" s="1"/>
  <c r="CT54" i="12"/>
  <c r="CR47" i="12"/>
  <c r="CR51" i="12" s="1"/>
  <c r="CR57" i="12" s="1"/>
  <c r="CT38" i="12"/>
  <c r="CT50" i="12"/>
  <c r="CT49" i="12"/>
  <c r="CT44" i="12"/>
  <c r="CT43" i="12"/>
  <c r="CT42" i="12"/>
  <c r="CT41" i="12"/>
  <c r="CS45" i="12"/>
  <c r="CW27" i="12"/>
  <c r="CW29" i="12" s="1"/>
  <c r="CW15" i="12"/>
  <c r="CV43" i="12"/>
  <c r="CV19" i="12"/>
  <c r="CV20" i="12" s="1"/>
  <c r="CV21" i="12" s="1"/>
  <c r="CV13" i="12"/>
  <c r="CV14" i="12" s="1"/>
  <c r="CV17" i="12" s="1"/>
  <c r="CV42" i="12"/>
  <c r="CV23" i="12"/>
  <c r="CV24" i="12" s="1"/>
  <c r="CV25" i="12" s="1"/>
  <c r="CV34" i="12"/>
  <c r="CV35" i="12" s="1"/>
  <c r="CV36" i="12" s="1"/>
  <c r="CV31" i="12"/>
  <c r="CV30" i="12"/>
  <c r="CW16" i="12"/>
  <c r="CY6" i="12"/>
  <c r="CX5" i="12"/>
  <c r="CX28" i="12"/>
  <c r="CX11" i="12"/>
  <c r="CU32" i="12"/>
  <c r="CU38" i="12" s="1"/>
  <c r="CT55" i="12" l="1"/>
  <c r="CS47" i="12"/>
  <c r="CS51" i="12" s="1"/>
  <c r="CS57" i="12" s="1"/>
  <c r="CU41" i="12"/>
  <c r="CU47" i="12"/>
  <c r="CT45" i="12"/>
  <c r="CX15" i="12"/>
  <c r="CX8" i="12"/>
  <c r="CX12" i="12" s="1"/>
  <c r="CV32" i="12"/>
  <c r="CV38" i="12" s="1"/>
  <c r="CX16" i="12"/>
  <c r="CW34" i="12"/>
  <c r="CW35" i="12" s="1"/>
  <c r="CW36" i="12" s="1"/>
  <c r="CW42" i="12"/>
  <c r="CW13" i="12"/>
  <c r="CW14" i="12" s="1"/>
  <c r="CW17" i="12" s="1"/>
  <c r="CW19" i="12"/>
  <c r="CW20" i="12" s="1"/>
  <c r="CW21" i="12" s="1"/>
  <c r="CW43" i="12"/>
  <c r="CW23" i="12"/>
  <c r="CW24" i="12" s="1"/>
  <c r="CW25" i="12" s="1"/>
  <c r="CX27" i="12"/>
  <c r="CX29" i="12" s="1"/>
  <c r="CY28" i="12"/>
  <c r="CY11" i="12"/>
  <c r="CZ6" i="12"/>
  <c r="CY5" i="12"/>
  <c r="CW31" i="12"/>
  <c r="CW30" i="12"/>
  <c r="CV41" i="12" l="1"/>
  <c r="CV47" i="12"/>
  <c r="CT47" i="12"/>
  <c r="CT51" i="12" s="1"/>
  <c r="CY27" i="12"/>
  <c r="CY29" i="12" s="1"/>
  <c r="CY16" i="12"/>
  <c r="CX31" i="12"/>
  <c r="CX30" i="12"/>
  <c r="CX34" i="12"/>
  <c r="CX35" i="12" s="1"/>
  <c r="CX36" i="12" s="1"/>
  <c r="CX42" i="12"/>
  <c r="CX19" i="12"/>
  <c r="CX20" i="12" s="1"/>
  <c r="CX21" i="12" s="1"/>
  <c r="CX13" i="12"/>
  <c r="CX14" i="12" s="1"/>
  <c r="CX17" i="12" s="1"/>
  <c r="CX43" i="12"/>
  <c r="CX23" i="12"/>
  <c r="CX24" i="12" s="1"/>
  <c r="CX25" i="12" s="1"/>
  <c r="CZ28" i="12"/>
  <c r="DA6" i="12"/>
  <c r="CZ5" i="12"/>
  <c r="CZ11" i="12"/>
  <c r="CW32" i="12"/>
  <c r="CW38" i="12" s="1"/>
  <c r="CY15" i="12"/>
  <c r="CY8" i="12"/>
  <c r="CY12" i="12" s="1"/>
  <c r="CZ8" i="12" l="1"/>
  <c r="CZ12" i="12" s="1"/>
  <c r="CT57" i="12"/>
  <c r="CZ15" i="12"/>
  <c r="CW41" i="12"/>
  <c r="CW47" i="12"/>
  <c r="CX32" i="12"/>
  <c r="CX38" i="12" s="1"/>
  <c r="DA28" i="12"/>
  <c r="DB6" i="12"/>
  <c r="DA5" i="12"/>
  <c r="DA11" i="12"/>
  <c r="CY34" i="12"/>
  <c r="CY35" i="12" s="1"/>
  <c r="CY36" i="12" s="1"/>
  <c r="CY42" i="12"/>
  <c r="CY43" i="12"/>
  <c r="CY19" i="12"/>
  <c r="CY20" i="12" s="1"/>
  <c r="CY21" i="12" s="1"/>
  <c r="CY13" i="12"/>
  <c r="CY14" i="12" s="1"/>
  <c r="CY17" i="12" s="1"/>
  <c r="CY23" i="12"/>
  <c r="CY24" i="12" s="1"/>
  <c r="CY25" i="12" s="1"/>
  <c r="CZ27" i="12"/>
  <c r="CZ29" i="12" s="1"/>
  <c r="CZ16" i="12"/>
  <c r="CY31" i="12"/>
  <c r="CY30" i="12"/>
  <c r="CX41" i="12" l="1"/>
  <c r="CX47" i="12"/>
  <c r="DA15" i="12"/>
  <c r="DA8" i="12"/>
  <c r="DA12" i="12" s="1"/>
  <c r="CY32" i="12"/>
  <c r="CY38" i="12" s="1"/>
  <c r="DB5" i="12"/>
  <c r="DB28" i="12"/>
  <c r="DB11" i="12"/>
  <c r="DC6" i="12"/>
  <c r="DA27" i="12"/>
  <c r="DA29" i="12" s="1"/>
  <c r="CZ30" i="12"/>
  <c r="CZ31" i="12"/>
  <c r="DA16" i="12"/>
  <c r="CZ13" i="12"/>
  <c r="CZ14" i="12" s="1"/>
  <c r="CZ17" i="12" s="1"/>
  <c r="CZ19" i="12"/>
  <c r="CZ20" i="12" s="1"/>
  <c r="CZ21" i="12" s="1"/>
  <c r="CZ43" i="12"/>
  <c r="CZ42" i="12"/>
  <c r="CZ23" i="12"/>
  <c r="CZ34" i="12"/>
  <c r="CZ35" i="12" s="1"/>
  <c r="CZ36" i="12" s="1"/>
  <c r="DB27" i="12" l="1"/>
  <c r="DB29" i="12" s="1"/>
  <c r="CY41" i="12"/>
  <c r="CY47" i="12"/>
  <c r="DB16" i="12"/>
  <c r="DB15" i="12"/>
  <c r="CZ32" i="12"/>
  <c r="CZ24" i="12"/>
  <c r="CZ25" i="12" s="1"/>
  <c r="DB8" i="12"/>
  <c r="DB12" i="12" s="1"/>
  <c r="DA30" i="12"/>
  <c r="DA31" i="12"/>
  <c r="DD6" i="12"/>
  <c r="DC5" i="12"/>
  <c r="DC28" i="12"/>
  <c r="DC11" i="12"/>
  <c r="DA42" i="12"/>
  <c r="DA19" i="12"/>
  <c r="DA20" i="12" s="1"/>
  <c r="DA21" i="12" s="1"/>
  <c r="DA13" i="12"/>
  <c r="DA14" i="12" s="1"/>
  <c r="DA17" i="12" s="1"/>
  <c r="DA43" i="12"/>
  <c r="DA23" i="12"/>
  <c r="DA24" i="12" s="1"/>
  <c r="DA25" i="12" s="1"/>
  <c r="DA34" i="12"/>
  <c r="DA35" i="12" s="1"/>
  <c r="DA36" i="12" s="1"/>
  <c r="DC16" i="12" l="1"/>
  <c r="CZ38" i="12"/>
  <c r="DC27" i="12"/>
  <c r="DC29" i="12" s="1"/>
  <c r="DC30" i="12" s="1"/>
  <c r="DA32" i="12"/>
  <c r="DA38" i="12" s="1"/>
  <c r="DD28" i="12"/>
  <c r="DE6" i="12"/>
  <c r="DD11" i="12"/>
  <c r="DD5" i="12"/>
  <c r="DC8" i="12"/>
  <c r="DC12" i="12" s="1"/>
  <c r="DC15" i="12"/>
  <c r="DB42" i="12"/>
  <c r="DB13" i="12"/>
  <c r="DB14" i="12" s="1"/>
  <c r="DB17" i="12" s="1"/>
  <c r="DB19" i="12"/>
  <c r="DB20" i="12" s="1"/>
  <c r="DB21" i="12" s="1"/>
  <c r="DB43" i="12"/>
  <c r="DB23" i="12"/>
  <c r="DB24" i="12" s="1"/>
  <c r="DB25" i="12" s="1"/>
  <c r="DB34" i="12"/>
  <c r="DB35" i="12" s="1"/>
  <c r="DB36" i="12" s="1"/>
  <c r="DB30" i="12"/>
  <c r="DB31" i="12"/>
  <c r="CZ41" i="12" l="1"/>
  <c r="CZ47" i="12"/>
  <c r="DA41" i="12"/>
  <c r="DA47" i="12"/>
  <c r="DD15" i="12"/>
  <c r="DC31" i="12"/>
  <c r="DC32" i="12" s="1"/>
  <c r="DD8" i="12"/>
  <c r="DD12" i="12" s="1"/>
  <c r="DB32" i="12"/>
  <c r="DB38" i="12" s="1"/>
  <c r="DD16" i="12"/>
  <c r="DF6" i="12"/>
  <c r="DE11" i="12"/>
  <c r="DE28" i="12"/>
  <c r="DE5" i="12"/>
  <c r="DC43" i="12"/>
  <c r="DC13" i="12"/>
  <c r="DC14" i="12" s="1"/>
  <c r="DC17" i="12" s="1"/>
  <c r="DC19" i="12"/>
  <c r="DC20" i="12" s="1"/>
  <c r="DC21" i="12" s="1"/>
  <c r="DC42" i="12"/>
  <c r="DC34" i="12"/>
  <c r="DC35" i="12" s="1"/>
  <c r="DC36" i="12" s="1"/>
  <c r="DC23" i="12"/>
  <c r="DC24" i="12" s="1"/>
  <c r="DC25" i="12" s="1"/>
  <c r="DD27" i="12"/>
  <c r="DD29" i="12" s="1"/>
  <c r="DE27" i="12" l="1"/>
  <c r="DE29" i="12" s="1"/>
  <c r="DE30" i="12" s="1"/>
  <c r="DB41" i="12"/>
  <c r="DB47" i="12"/>
  <c r="DD34" i="12"/>
  <c r="DD35" i="12" s="1"/>
  <c r="DD36" i="12" s="1"/>
  <c r="DD23" i="12"/>
  <c r="DD24" i="12" s="1"/>
  <c r="DD25" i="12" s="1"/>
  <c r="DD19" i="12"/>
  <c r="DD20" i="12" s="1"/>
  <c r="DD21" i="12" s="1"/>
  <c r="DD42" i="12"/>
  <c r="DD43" i="12"/>
  <c r="DD13" i="12"/>
  <c r="DD14" i="12" s="1"/>
  <c r="DD17" i="12" s="1"/>
  <c r="DE15" i="12"/>
  <c r="DC38" i="12"/>
  <c r="DE8" i="12"/>
  <c r="DE12" i="12" s="1"/>
  <c r="DE16" i="12"/>
  <c r="DD31" i="12"/>
  <c r="DD30" i="12"/>
  <c r="DF28" i="12"/>
  <c r="DG6" i="12"/>
  <c r="DF5" i="12"/>
  <c r="DF11" i="12"/>
  <c r="DF8" i="12" l="1"/>
  <c r="DF12" i="12" s="1"/>
  <c r="DF34" i="12" s="1"/>
  <c r="DF35" i="12" s="1"/>
  <c r="DF36" i="12" s="1"/>
  <c r="DC41" i="12"/>
  <c r="DC47" i="12"/>
  <c r="DE31" i="12"/>
  <c r="DE32" i="12" s="1"/>
  <c r="DF27" i="12"/>
  <c r="DF29" i="12" s="1"/>
  <c r="DF16" i="12"/>
  <c r="DD32" i="12"/>
  <c r="DD38" i="12" s="1"/>
  <c r="DG28" i="12"/>
  <c r="DG11" i="12"/>
  <c r="DG5" i="12"/>
  <c r="DH6" i="12"/>
  <c r="DE43" i="12"/>
  <c r="DE13" i="12"/>
  <c r="DE14" i="12" s="1"/>
  <c r="DE17" i="12" s="1"/>
  <c r="DE19" i="12"/>
  <c r="DE20" i="12" s="1"/>
  <c r="DE21" i="12" s="1"/>
  <c r="DE42" i="12"/>
  <c r="DE23" i="12"/>
  <c r="DE24" i="12" s="1"/>
  <c r="DE25" i="12" s="1"/>
  <c r="DE34" i="12"/>
  <c r="DE35" i="12" s="1"/>
  <c r="DE36" i="12" s="1"/>
  <c r="DF15" i="12"/>
  <c r="DD41" i="12" l="1"/>
  <c r="DD47" i="12"/>
  <c r="DF23" i="12"/>
  <c r="DF24" i="12" s="1"/>
  <c r="DF25" i="12" s="1"/>
  <c r="DF42" i="12"/>
  <c r="DF19" i="12"/>
  <c r="DF20" i="12" s="1"/>
  <c r="DF21" i="12" s="1"/>
  <c r="DF13" i="12"/>
  <c r="DF14" i="12" s="1"/>
  <c r="DF17" i="12" s="1"/>
  <c r="DF43" i="12"/>
  <c r="DG16" i="12"/>
  <c r="DF30" i="12"/>
  <c r="DF31" i="12"/>
  <c r="DE38" i="12"/>
  <c r="DG8" i="12"/>
  <c r="DG12" i="12" s="1"/>
  <c r="DG27" i="12"/>
  <c r="DG29" i="12" s="1"/>
  <c r="DG15" i="12"/>
  <c r="DH28" i="12"/>
  <c r="DI6" i="12"/>
  <c r="DH5" i="12"/>
  <c r="DH11" i="12"/>
  <c r="DE41" i="12" l="1"/>
  <c r="DE47" i="12"/>
  <c r="DF32" i="12"/>
  <c r="DF38" i="12" s="1"/>
  <c r="DH15" i="12"/>
  <c r="DH8" i="12"/>
  <c r="DH12" i="12" s="1"/>
  <c r="DG31" i="12"/>
  <c r="DG30" i="12"/>
  <c r="DH16" i="12"/>
  <c r="DG43" i="12"/>
  <c r="DG42" i="12"/>
  <c r="DG13" i="12"/>
  <c r="DG14" i="12" s="1"/>
  <c r="DG17" i="12" s="1"/>
  <c r="DG19" i="12"/>
  <c r="DG20" i="12" s="1"/>
  <c r="DG21" i="12" s="1"/>
  <c r="DG23" i="12"/>
  <c r="DG34" i="12"/>
  <c r="DG35" i="12" s="1"/>
  <c r="DG36" i="12" s="1"/>
  <c r="DI5" i="12"/>
  <c r="DI28" i="12"/>
  <c r="DJ6" i="12"/>
  <c r="DI11" i="12"/>
  <c r="DH27" i="12"/>
  <c r="DH29" i="12" s="1"/>
  <c r="DI8" i="12" l="1"/>
  <c r="DI12" i="12" s="1"/>
  <c r="DF41" i="12"/>
  <c r="DF47" i="12"/>
  <c r="DI16" i="12"/>
  <c r="DI27" i="12"/>
  <c r="DI29" i="12" s="1"/>
  <c r="DI15" i="12"/>
  <c r="DH30" i="12"/>
  <c r="DH31" i="12"/>
  <c r="DG24" i="12"/>
  <c r="DG25" i="12" s="1"/>
  <c r="DG32" i="12"/>
  <c r="DJ11" i="12"/>
  <c r="DJ28" i="12"/>
  <c r="DK6" i="12"/>
  <c r="DJ5" i="12"/>
  <c r="DJ8" i="12" s="1"/>
  <c r="DH19" i="12"/>
  <c r="DH20" i="12" s="1"/>
  <c r="DH21" i="12" s="1"/>
  <c r="DH42" i="12"/>
  <c r="DH13" i="12"/>
  <c r="DH14" i="12" s="1"/>
  <c r="DH17" i="12" s="1"/>
  <c r="DH43" i="12"/>
  <c r="DH23" i="12"/>
  <c r="DH24" i="12" s="1"/>
  <c r="DH25" i="12" s="1"/>
  <c r="DH34" i="12"/>
  <c r="DH35" i="12" s="1"/>
  <c r="DH36" i="12" s="1"/>
  <c r="DI42" i="12" l="1"/>
  <c r="DI19" i="12"/>
  <c r="DI20" i="12" s="1"/>
  <c r="DI21" i="12" s="1"/>
  <c r="DI43" i="12"/>
  <c r="DI23" i="12"/>
  <c r="DI24" i="12" s="1"/>
  <c r="DI25" i="12" s="1"/>
  <c r="DI34" i="12"/>
  <c r="DI35" i="12" s="1"/>
  <c r="DI36" i="12" s="1"/>
  <c r="DI13" i="12"/>
  <c r="DI14" i="12" s="1"/>
  <c r="DI17" i="12" s="1"/>
  <c r="DG38" i="12"/>
  <c r="DJ27" i="12"/>
  <c r="DJ29" i="12" s="1"/>
  <c r="DJ31" i="12" s="1"/>
  <c r="DJ12" i="12"/>
  <c r="DK28" i="12"/>
  <c r="DL6" i="12"/>
  <c r="DK11" i="12"/>
  <c r="DK5" i="12"/>
  <c r="DK27" i="12" s="1"/>
  <c r="DI31" i="12"/>
  <c r="DI30" i="12"/>
  <c r="DH32" i="12"/>
  <c r="DH38" i="12" s="1"/>
  <c r="DJ16" i="12"/>
  <c r="DJ15" i="12"/>
  <c r="DH41" i="12" l="1"/>
  <c r="DH47" i="12"/>
  <c r="DG41" i="12"/>
  <c r="DG47" i="12"/>
  <c r="DJ34" i="12"/>
  <c r="DJ35" i="12" s="1"/>
  <c r="DJ36" i="12" s="1"/>
  <c r="DK15" i="12"/>
  <c r="DK8" i="12"/>
  <c r="DK12" i="12" s="1"/>
  <c r="DJ13" i="12"/>
  <c r="DJ14" i="12" s="1"/>
  <c r="DJ17" i="12" s="1"/>
  <c r="DK29" i="12"/>
  <c r="DK30" i="12" s="1"/>
  <c r="DJ42" i="12"/>
  <c r="DJ19" i="12"/>
  <c r="DJ20" i="12" s="1"/>
  <c r="DJ21" i="12" s="1"/>
  <c r="DJ43" i="12"/>
  <c r="DJ23" i="12"/>
  <c r="DJ30" i="12"/>
  <c r="DJ32" i="12" s="1"/>
  <c r="DK16" i="12"/>
  <c r="DI32" i="12"/>
  <c r="DI38" i="12" s="1"/>
  <c r="DM6" i="12"/>
  <c r="DL28" i="12"/>
  <c r="DL11" i="12"/>
  <c r="DL5" i="12"/>
  <c r="DL27" i="12" s="1"/>
  <c r="DI41" i="12" l="1"/>
  <c r="DI47" i="12"/>
  <c r="DK23" i="12"/>
  <c r="DK24" i="12" s="1"/>
  <c r="DK25" i="12" s="1"/>
  <c r="DK13" i="12"/>
  <c r="DK14" i="12" s="1"/>
  <c r="DK17" i="12" s="1"/>
  <c r="DK19" i="12"/>
  <c r="DK20" i="12" s="1"/>
  <c r="DK21" i="12" s="1"/>
  <c r="DK43" i="12"/>
  <c r="DK34" i="12"/>
  <c r="DK35" i="12" s="1"/>
  <c r="DK36" i="12" s="1"/>
  <c r="DK42" i="12"/>
  <c r="DK31" i="12"/>
  <c r="DK32" i="12" s="1"/>
  <c r="DJ24" i="12"/>
  <c r="DJ25" i="12" s="1"/>
  <c r="DJ38" i="12" s="1"/>
  <c r="DL15" i="12"/>
  <c r="DL8" i="12"/>
  <c r="DL12" i="12" s="1"/>
  <c r="DL29" i="12"/>
  <c r="DL31" i="12" s="1"/>
  <c r="DL16" i="12"/>
  <c r="DM28" i="12"/>
  <c r="DM11" i="12"/>
  <c r="DM5" i="12"/>
  <c r="DM8" i="12" s="1"/>
  <c r="DN6" i="12"/>
  <c r="DJ41" i="12" l="1"/>
  <c r="DJ47" i="12"/>
  <c r="DK38" i="12"/>
  <c r="DM15" i="12"/>
  <c r="DL30" i="12"/>
  <c r="DL32" i="12" s="1"/>
  <c r="DM27" i="12"/>
  <c r="DM29" i="12" s="1"/>
  <c r="DM30" i="12" s="1"/>
  <c r="DM16" i="12"/>
  <c r="DM12" i="12"/>
  <c r="DL42" i="12"/>
  <c r="DL19" i="12"/>
  <c r="DL20" i="12" s="1"/>
  <c r="DL21" i="12" s="1"/>
  <c r="DL13" i="12"/>
  <c r="DL14" i="12" s="1"/>
  <c r="DL17" i="12" s="1"/>
  <c r="DL43" i="12"/>
  <c r="DL23" i="12"/>
  <c r="DL24" i="12" s="1"/>
  <c r="DL25" i="12" s="1"/>
  <c r="DL34" i="12"/>
  <c r="DL35" i="12" s="1"/>
  <c r="DL36" i="12" s="1"/>
  <c r="DN5" i="12"/>
  <c r="DN27" i="12" s="1"/>
  <c r="DN28" i="12"/>
  <c r="DN11" i="12"/>
  <c r="DO6" i="12"/>
  <c r="DK41" i="12" l="1"/>
  <c r="DK47" i="12"/>
  <c r="DM43" i="12"/>
  <c r="DM19" i="12"/>
  <c r="DM20" i="12" s="1"/>
  <c r="DM21" i="12" s="1"/>
  <c r="DM42" i="12"/>
  <c r="DM13" i="12"/>
  <c r="DM14" i="12" s="1"/>
  <c r="DM17" i="12" s="1"/>
  <c r="DN16" i="12"/>
  <c r="DM23" i="12"/>
  <c r="DM24" i="12" s="1"/>
  <c r="DM25" i="12" s="1"/>
  <c r="DM34" i="12"/>
  <c r="DM35" i="12" s="1"/>
  <c r="DM36" i="12" s="1"/>
  <c r="DM31" i="12"/>
  <c r="DM32" i="12" s="1"/>
  <c r="DN8" i="12"/>
  <c r="DN12" i="12" s="1"/>
  <c r="DP6" i="12"/>
  <c r="DO5" i="12"/>
  <c r="DO11" i="12"/>
  <c r="DO28" i="12"/>
  <c r="DN15" i="12"/>
  <c r="DN29" i="12"/>
  <c r="DL38" i="12"/>
  <c r="DL41" i="12" l="1"/>
  <c r="DL47" i="12"/>
  <c r="DM38" i="12"/>
  <c r="DO15" i="12"/>
  <c r="DN31" i="12"/>
  <c r="DN30" i="12"/>
  <c r="DQ6" i="12"/>
  <c r="DP11" i="12"/>
  <c r="DP5" i="12"/>
  <c r="DP28" i="12"/>
  <c r="DO8" i="12"/>
  <c r="DO12" i="12" s="1"/>
  <c r="DN13" i="12"/>
  <c r="DN14" i="12" s="1"/>
  <c r="DN17" i="12" s="1"/>
  <c r="DN43" i="12"/>
  <c r="DN42" i="12"/>
  <c r="DN19" i="12"/>
  <c r="DN20" i="12" s="1"/>
  <c r="DN21" i="12" s="1"/>
  <c r="DN34" i="12"/>
  <c r="DN35" i="12" s="1"/>
  <c r="DN36" i="12" s="1"/>
  <c r="DN23" i="12"/>
  <c r="DN24" i="12" s="1"/>
  <c r="DN25" i="12" s="1"/>
  <c r="DO27" i="12"/>
  <c r="DO29" i="12" s="1"/>
  <c r="DO16" i="12"/>
  <c r="DM41" i="12" l="1"/>
  <c r="DM47" i="12"/>
  <c r="DP15" i="12"/>
  <c r="DP8" i="12"/>
  <c r="DP12" i="12" s="1"/>
  <c r="DQ28" i="12"/>
  <c r="DQ11" i="12"/>
  <c r="DQ5" i="12"/>
  <c r="DR6" i="12"/>
  <c r="DP27" i="12"/>
  <c r="DP29" i="12" s="1"/>
  <c r="DP16" i="12"/>
  <c r="DO13" i="12"/>
  <c r="DO14" i="12" s="1"/>
  <c r="DO17" i="12" s="1"/>
  <c r="DO42" i="12"/>
  <c r="DO19" i="12"/>
  <c r="DO20" i="12" s="1"/>
  <c r="DO21" i="12" s="1"/>
  <c r="DO43" i="12"/>
  <c r="DO34" i="12"/>
  <c r="DO35" i="12" s="1"/>
  <c r="DO36" i="12" s="1"/>
  <c r="DO23" i="12"/>
  <c r="DO24" i="12" s="1"/>
  <c r="DO25" i="12" s="1"/>
  <c r="DO31" i="12"/>
  <c r="DO30" i="12"/>
  <c r="DN32" i="12"/>
  <c r="DN38" i="12" s="1"/>
  <c r="DN41" i="12" l="1"/>
  <c r="DN47" i="12"/>
  <c r="DQ15" i="12"/>
  <c r="DQ8" i="12"/>
  <c r="DQ12" i="12" s="1"/>
  <c r="DQ23" i="12" s="1"/>
  <c r="DQ24" i="12" s="1"/>
  <c r="DQ25" i="12" s="1"/>
  <c r="DR5" i="12"/>
  <c r="DR11" i="12"/>
  <c r="DR16" i="12" s="1"/>
  <c r="DR28" i="12"/>
  <c r="DR27" i="12"/>
  <c r="DQ16" i="12"/>
  <c r="DO32" i="12"/>
  <c r="DO38" i="12" s="1"/>
  <c r="DP31" i="12"/>
  <c r="DP30" i="12"/>
  <c r="DQ27" i="12"/>
  <c r="DQ29" i="12" s="1"/>
  <c r="DP19" i="12"/>
  <c r="DP20" i="12" s="1"/>
  <c r="DP21" i="12" s="1"/>
  <c r="DP43" i="12"/>
  <c r="DP42" i="12"/>
  <c r="DP13" i="12"/>
  <c r="DP14" i="12" s="1"/>
  <c r="DP17" i="12" s="1"/>
  <c r="DP34" i="12"/>
  <c r="DP35" i="12" s="1"/>
  <c r="DP36" i="12" s="1"/>
  <c r="DP23" i="12"/>
  <c r="DP24" i="12" s="1"/>
  <c r="DP25" i="12" s="1"/>
  <c r="DR8" i="12" l="1"/>
  <c r="C95" i="12"/>
  <c r="C105" i="12"/>
  <c r="C46" i="24" s="1"/>
  <c r="C110" i="12"/>
  <c r="C52" i="24" s="1"/>
  <c r="C100" i="12"/>
  <c r="C112" i="12"/>
  <c r="C54" i="24" s="1"/>
  <c r="C109" i="12"/>
  <c r="C51" i="24" s="1"/>
  <c r="C102" i="12"/>
  <c r="C106" i="12"/>
  <c r="C47" i="24" s="1"/>
  <c r="J108" i="12"/>
  <c r="X50" i="24" s="1"/>
  <c r="G108" i="12"/>
  <c r="O50" i="24" s="1"/>
  <c r="D108" i="12"/>
  <c r="F50" i="24" s="1"/>
  <c r="E108" i="12"/>
  <c r="I50" i="24" s="1"/>
  <c r="C108" i="12"/>
  <c r="C50" i="24" s="1"/>
  <c r="H108" i="12"/>
  <c r="R50" i="24" s="1"/>
  <c r="E106" i="12"/>
  <c r="I47" i="24" s="1"/>
  <c r="E95" i="12"/>
  <c r="F108" i="12"/>
  <c r="L50" i="24" s="1"/>
  <c r="E112" i="12"/>
  <c r="I54" i="24" s="1"/>
  <c r="E109" i="12"/>
  <c r="I51" i="24" s="1"/>
  <c r="H106" i="12"/>
  <c r="R47" i="24" s="1"/>
  <c r="E110" i="12"/>
  <c r="I52" i="24" s="1"/>
  <c r="J106" i="12"/>
  <c r="X47" i="24" s="1"/>
  <c r="I106" i="12"/>
  <c r="U47" i="24" s="1"/>
  <c r="D95" i="12"/>
  <c r="I102" i="12"/>
  <c r="I108" i="12"/>
  <c r="U50" i="24" s="1"/>
  <c r="J109" i="12"/>
  <c r="X51" i="24" s="1"/>
  <c r="G109" i="12"/>
  <c r="O51" i="24" s="1"/>
  <c r="D109" i="12"/>
  <c r="F51" i="24" s="1"/>
  <c r="D105" i="12"/>
  <c r="F46" i="24" s="1"/>
  <c r="E102" i="12"/>
  <c r="F95" i="12"/>
  <c r="H95" i="12"/>
  <c r="D100" i="12"/>
  <c r="C104" i="12"/>
  <c r="C45" i="24" s="1"/>
  <c r="E98" i="12"/>
  <c r="I39" i="24" s="1"/>
  <c r="D110" i="12"/>
  <c r="F52" i="24" s="1"/>
  <c r="H104" i="12"/>
  <c r="R45" i="24" s="1"/>
  <c r="I100" i="12"/>
  <c r="G97" i="12"/>
  <c r="O38" i="24" s="1"/>
  <c r="H97" i="12"/>
  <c r="R38" i="24" s="1"/>
  <c r="G104" i="12"/>
  <c r="O45" i="24" s="1"/>
  <c r="D106" i="12"/>
  <c r="F47" i="24" s="1"/>
  <c r="E105" i="12"/>
  <c r="I46" i="24" s="1"/>
  <c r="F98" i="12"/>
  <c r="L39" i="24" s="1"/>
  <c r="I97" i="12"/>
  <c r="U38" i="24" s="1"/>
  <c r="J97" i="12"/>
  <c r="X38" i="24" s="1"/>
  <c r="E97" i="12"/>
  <c r="I38" i="24" s="1"/>
  <c r="G98" i="12"/>
  <c r="O39" i="24" s="1"/>
  <c r="I98" i="12"/>
  <c r="U39" i="24" s="1"/>
  <c r="J104" i="12"/>
  <c r="X45" i="24" s="1"/>
  <c r="E99" i="12"/>
  <c r="I40" i="24" s="1"/>
  <c r="H109" i="12"/>
  <c r="R51" i="24" s="1"/>
  <c r="I109" i="12"/>
  <c r="U51" i="24" s="1"/>
  <c r="I95" i="12"/>
  <c r="F99" i="12"/>
  <c r="L40" i="24" s="1"/>
  <c r="I104" i="12"/>
  <c r="U45" i="24" s="1"/>
  <c r="D104" i="12"/>
  <c r="F45" i="24" s="1"/>
  <c r="G110" i="12"/>
  <c r="O52" i="24" s="1"/>
  <c r="E100" i="12"/>
  <c r="D99" i="12"/>
  <c r="F40" i="24" s="1"/>
  <c r="F104" i="12"/>
  <c r="L45" i="24" s="1"/>
  <c r="F97" i="12"/>
  <c r="L38" i="24" s="1"/>
  <c r="H99" i="12"/>
  <c r="R40" i="24" s="1"/>
  <c r="I99" i="12"/>
  <c r="U40" i="24" s="1"/>
  <c r="H110" i="12"/>
  <c r="R52" i="24" s="1"/>
  <c r="F100" i="12"/>
  <c r="F105" i="12"/>
  <c r="L46" i="24" s="1"/>
  <c r="J98" i="12"/>
  <c r="X39" i="24" s="1"/>
  <c r="I110" i="12"/>
  <c r="U52" i="24" s="1"/>
  <c r="I105" i="12"/>
  <c r="U46" i="24" s="1"/>
  <c r="G105" i="12"/>
  <c r="O46" i="24" s="1"/>
  <c r="F109" i="12"/>
  <c r="L51" i="24" s="1"/>
  <c r="H98" i="12"/>
  <c r="R39" i="24" s="1"/>
  <c r="C99" i="12"/>
  <c r="C40" i="24" s="1"/>
  <c r="H100" i="12"/>
  <c r="G112" i="12"/>
  <c r="O54" i="24" s="1"/>
  <c r="J105" i="12"/>
  <c r="X46" i="24" s="1"/>
  <c r="E104" i="12"/>
  <c r="I45" i="24" s="1"/>
  <c r="H105" i="12"/>
  <c r="R46" i="24" s="1"/>
  <c r="G95" i="12"/>
  <c r="J99" i="12"/>
  <c r="X40" i="24" s="1"/>
  <c r="G100" i="12"/>
  <c r="J100" i="12"/>
  <c r="J110" i="12"/>
  <c r="X52" i="24" s="1"/>
  <c r="J112" i="12"/>
  <c r="X54" i="24" s="1"/>
  <c r="G99" i="12"/>
  <c r="O40" i="24" s="1"/>
  <c r="J95" i="12"/>
  <c r="D112" i="12"/>
  <c r="F54" i="24" s="1"/>
  <c r="I112" i="12"/>
  <c r="U54" i="24" s="1"/>
  <c r="H112" i="12"/>
  <c r="R54" i="24" s="1"/>
  <c r="F106" i="12"/>
  <c r="L47" i="24" s="1"/>
  <c r="G106" i="12"/>
  <c r="O47" i="24" s="1"/>
  <c r="F110" i="12"/>
  <c r="L52" i="24" s="1"/>
  <c r="F112" i="12"/>
  <c r="L54" i="24" s="1"/>
  <c r="DO41" i="12"/>
  <c r="DO47" i="12"/>
  <c r="DQ34" i="12"/>
  <c r="DQ35" i="12" s="1"/>
  <c r="DQ36" i="12" s="1"/>
  <c r="DQ42" i="12"/>
  <c r="DQ43" i="12"/>
  <c r="DQ19" i="12"/>
  <c r="DQ20" i="12" s="1"/>
  <c r="DQ21" i="12" s="1"/>
  <c r="DQ13" i="12"/>
  <c r="DQ14" i="12" s="1"/>
  <c r="DQ17" i="12" s="1"/>
  <c r="DR15" i="12"/>
  <c r="D71" i="12"/>
  <c r="E71" i="12"/>
  <c r="F71" i="12"/>
  <c r="G71" i="12"/>
  <c r="H71" i="12"/>
  <c r="I71" i="12"/>
  <c r="J71" i="12"/>
  <c r="E83" i="12"/>
  <c r="F83" i="12"/>
  <c r="G83" i="12"/>
  <c r="H83" i="12"/>
  <c r="I83" i="12"/>
  <c r="J83" i="12"/>
  <c r="DP32" i="12"/>
  <c r="DP38" i="12" s="1"/>
  <c r="D70" i="12"/>
  <c r="E70" i="12"/>
  <c r="F70" i="12"/>
  <c r="G70" i="12"/>
  <c r="H70" i="12"/>
  <c r="I70" i="12"/>
  <c r="J70" i="12"/>
  <c r="D66" i="12"/>
  <c r="F11" i="24" s="1"/>
  <c r="E66" i="12"/>
  <c r="I11" i="24" s="1"/>
  <c r="F66" i="12"/>
  <c r="L11" i="24" s="1"/>
  <c r="G66" i="12"/>
  <c r="O11" i="24" s="1"/>
  <c r="H66" i="12"/>
  <c r="R11" i="24" s="1"/>
  <c r="I66" i="12"/>
  <c r="U11" i="24" s="1"/>
  <c r="J66" i="12"/>
  <c r="X11" i="24" s="1"/>
  <c r="DR12" i="12"/>
  <c r="D63" i="12"/>
  <c r="E63" i="12"/>
  <c r="F63" i="12"/>
  <c r="G63" i="12"/>
  <c r="H63" i="12"/>
  <c r="I63" i="12"/>
  <c r="J63" i="12"/>
  <c r="DQ31" i="12"/>
  <c r="DQ30" i="12"/>
  <c r="DR29" i="12"/>
  <c r="D82" i="12"/>
  <c r="E82" i="12"/>
  <c r="F82" i="12"/>
  <c r="G82" i="12"/>
  <c r="H82" i="12"/>
  <c r="I82" i="12"/>
  <c r="J82" i="12"/>
  <c r="C85" i="12"/>
  <c r="D69" i="12"/>
  <c r="E87" i="12"/>
  <c r="F75" i="12"/>
  <c r="L28" i="24" s="1"/>
  <c r="F90" i="12"/>
  <c r="L27" i="24" s="1"/>
  <c r="F69" i="12"/>
  <c r="G90" i="12"/>
  <c r="O27" i="24" s="1"/>
  <c r="G91" i="12"/>
  <c r="H75" i="12"/>
  <c r="R28" i="24" s="1"/>
  <c r="H90" i="12"/>
  <c r="R27" i="24" s="1"/>
  <c r="I87" i="12"/>
  <c r="I79" i="12"/>
  <c r="U29" i="24" s="1"/>
  <c r="J79" i="12"/>
  <c r="X29" i="24" s="1"/>
  <c r="J87" i="12"/>
  <c r="J69" i="12"/>
  <c r="J75" i="12"/>
  <c r="X28" i="24" s="1"/>
  <c r="C70" i="12"/>
  <c r="C80" i="12"/>
  <c r="I75" i="12"/>
  <c r="U28" i="24" s="1"/>
  <c r="C84" i="12"/>
  <c r="C86" i="12"/>
  <c r="C30" i="24" s="1"/>
  <c r="G79" i="12"/>
  <c r="O29" i="24" s="1"/>
  <c r="C71" i="12"/>
  <c r="J90" i="12"/>
  <c r="X27" i="24" s="1"/>
  <c r="C76" i="12"/>
  <c r="J80" i="12"/>
  <c r="C78" i="12"/>
  <c r="C19" i="24" s="1"/>
  <c r="C79" i="12"/>
  <c r="C29" i="24" s="1"/>
  <c r="C72" i="12"/>
  <c r="E91" i="12"/>
  <c r="C87" i="12"/>
  <c r="C82" i="12"/>
  <c r="C66" i="12"/>
  <c r="C11" i="24" s="1"/>
  <c r="C74" i="12"/>
  <c r="C18" i="24" s="1"/>
  <c r="C65" i="12"/>
  <c r="C90" i="12"/>
  <c r="C27" i="24" s="1"/>
  <c r="C67" i="12"/>
  <c r="C16" i="24" s="1"/>
  <c r="F65" i="12"/>
  <c r="C91" i="12"/>
  <c r="E76" i="12"/>
  <c r="C63" i="12"/>
  <c r="C68" i="12"/>
  <c r="C25" i="24" s="1"/>
  <c r="D65" i="12"/>
  <c r="H64" i="12"/>
  <c r="C64" i="12"/>
  <c r="G64" i="12"/>
  <c r="E65" i="12"/>
  <c r="C75" i="12"/>
  <c r="C28" i="24" s="1"/>
  <c r="C89" i="12"/>
  <c r="C17" i="24" s="1"/>
  <c r="I64" i="12"/>
  <c r="C69" i="12"/>
  <c r="G65" i="12"/>
  <c r="J64" i="12"/>
  <c r="J65" i="12"/>
  <c r="E64" i="12"/>
  <c r="I65" i="12"/>
  <c r="F64" i="12"/>
  <c r="H65" i="12"/>
  <c r="D64" i="12"/>
  <c r="C41" i="24" l="1"/>
  <c r="C101" i="12"/>
  <c r="F41" i="24"/>
  <c r="D101" i="12"/>
  <c r="U41" i="24"/>
  <c r="I101" i="12"/>
  <c r="X41" i="24"/>
  <c r="J101" i="12"/>
  <c r="R41" i="24"/>
  <c r="H101" i="12"/>
  <c r="I41" i="24"/>
  <c r="E101" i="12"/>
  <c r="O41" i="24"/>
  <c r="G101" i="12"/>
  <c r="L41" i="24"/>
  <c r="F101" i="12"/>
  <c r="C113" i="12"/>
  <c r="DP41" i="12"/>
  <c r="DP47" i="12"/>
  <c r="I26" i="24"/>
  <c r="F26" i="24"/>
  <c r="L26" i="24"/>
  <c r="C26" i="24"/>
  <c r="C33" i="24" s="1"/>
  <c r="X26" i="24"/>
  <c r="R26" i="24"/>
  <c r="O26" i="24"/>
  <c r="L13" i="24"/>
  <c r="L9" i="24"/>
  <c r="D29" i="24"/>
  <c r="C20" i="24"/>
  <c r="D30" i="24" s="1"/>
  <c r="DR30" i="12"/>
  <c r="DR31" i="12"/>
  <c r="D84" i="12"/>
  <c r="E84" i="12"/>
  <c r="F84" i="12"/>
  <c r="G84" i="12"/>
  <c r="H84" i="12"/>
  <c r="I84" i="12"/>
  <c r="J84" i="12"/>
  <c r="I13" i="24"/>
  <c r="I9" i="24"/>
  <c r="F13" i="24"/>
  <c r="F9" i="24"/>
  <c r="DQ32" i="12"/>
  <c r="DQ38" i="12" s="1"/>
  <c r="DR19" i="12"/>
  <c r="DR43" i="12"/>
  <c r="DR13" i="12"/>
  <c r="DR42" i="12"/>
  <c r="D67" i="12"/>
  <c r="F16" i="24" s="1"/>
  <c r="E67" i="12"/>
  <c r="I16" i="24" s="1"/>
  <c r="F67" i="12"/>
  <c r="L16" i="24" s="1"/>
  <c r="G67" i="12"/>
  <c r="O16" i="24" s="1"/>
  <c r="H67" i="12"/>
  <c r="R16" i="24" s="1"/>
  <c r="I67" i="12"/>
  <c r="U16" i="24" s="1"/>
  <c r="J67" i="12"/>
  <c r="X16" i="24" s="1"/>
  <c r="DR34" i="12"/>
  <c r="DR23" i="12"/>
  <c r="X9" i="24"/>
  <c r="X13" i="24"/>
  <c r="U26" i="24"/>
  <c r="D25" i="24"/>
  <c r="U13" i="24"/>
  <c r="U9" i="24"/>
  <c r="C13" i="24"/>
  <c r="C9" i="24"/>
  <c r="D28" i="24"/>
  <c r="R13" i="24"/>
  <c r="R9" i="24"/>
  <c r="D27" i="24"/>
  <c r="O9" i="24"/>
  <c r="O13" i="24"/>
  <c r="C97" i="12" l="1"/>
  <c r="C38" i="24" s="1"/>
  <c r="D97" i="12"/>
  <c r="F38" i="24" s="1"/>
  <c r="C98" i="12"/>
  <c r="C39" i="24" s="1"/>
  <c r="D98" i="12"/>
  <c r="F39" i="24" s="1"/>
  <c r="DQ41" i="12"/>
  <c r="DQ47" i="12"/>
  <c r="Y26" i="24"/>
  <c r="S26" i="24"/>
  <c r="D26" i="24"/>
  <c r="P26" i="24"/>
  <c r="C22" i="24"/>
  <c r="D46" i="24" s="1"/>
  <c r="J26" i="24"/>
  <c r="D85" i="12"/>
  <c r="F20" i="24" s="1"/>
  <c r="E85" i="12"/>
  <c r="I20" i="24" s="1"/>
  <c r="F85" i="12"/>
  <c r="L20" i="24" s="1"/>
  <c r="G85" i="12"/>
  <c r="O20" i="24" s="1"/>
  <c r="H85" i="12"/>
  <c r="R20" i="24" s="1"/>
  <c r="I85" i="12"/>
  <c r="U20" i="24" s="1"/>
  <c r="J85" i="12"/>
  <c r="X20" i="24" s="1"/>
  <c r="DR24" i="12"/>
  <c r="D78" i="12"/>
  <c r="F19" i="24" s="1"/>
  <c r="E78" i="12"/>
  <c r="I19" i="24" s="1"/>
  <c r="F78" i="12"/>
  <c r="L19" i="24" s="1"/>
  <c r="G78" i="12"/>
  <c r="O19" i="24" s="1"/>
  <c r="H78" i="12"/>
  <c r="R19" i="24" s="1"/>
  <c r="I78" i="12"/>
  <c r="U19" i="24" s="1"/>
  <c r="J78" i="12"/>
  <c r="X19" i="24" s="1"/>
  <c r="Y29" i="24" s="1"/>
  <c r="DR14" i="12"/>
  <c r="D68" i="12"/>
  <c r="F25" i="24" s="1"/>
  <c r="E68" i="12"/>
  <c r="I25" i="24" s="1"/>
  <c r="F68" i="12"/>
  <c r="L25" i="24" s="1"/>
  <c r="G68" i="12"/>
  <c r="O25" i="24" s="1"/>
  <c r="H68" i="12"/>
  <c r="R25" i="24" s="1"/>
  <c r="I68" i="12"/>
  <c r="U25" i="24" s="1"/>
  <c r="J68" i="12"/>
  <c r="X25" i="24" s="1"/>
  <c r="G26" i="24"/>
  <c r="DR20" i="12"/>
  <c r="D74" i="12"/>
  <c r="F18" i="24" s="1"/>
  <c r="E74" i="12"/>
  <c r="I18" i="24" s="1"/>
  <c r="F74" i="12"/>
  <c r="L18" i="24" s="1"/>
  <c r="G74" i="12"/>
  <c r="O18" i="24" s="1"/>
  <c r="H74" i="12"/>
  <c r="R18" i="24" s="1"/>
  <c r="I74" i="12"/>
  <c r="U18" i="24" s="1"/>
  <c r="J74" i="12"/>
  <c r="X18" i="24" s="1"/>
  <c r="DR35" i="12"/>
  <c r="D89" i="12"/>
  <c r="F17" i="24" s="1"/>
  <c r="E89" i="12"/>
  <c r="I17" i="24" s="1"/>
  <c r="F89" i="12"/>
  <c r="L17" i="24" s="1"/>
  <c r="G89" i="12"/>
  <c r="O17" i="24" s="1"/>
  <c r="H89" i="12"/>
  <c r="R17" i="24" s="1"/>
  <c r="I89" i="12"/>
  <c r="U17" i="24" s="1"/>
  <c r="J89" i="12"/>
  <c r="X17" i="24" s="1"/>
  <c r="V26" i="24"/>
  <c r="M26" i="24"/>
  <c r="DR32" i="12"/>
  <c r="D86" i="12"/>
  <c r="F30" i="24" s="1"/>
  <c r="E86" i="12"/>
  <c r="I30" i="24" s="1"/>
  <c r="F86" i="12"/>
  <c r="L30" i="24" s="1"/>
  <c r="G86" i="12"/>
  <c r="O30" i="24" s="1"/>
  <c r="H86" i="12"/>
  <c r="R30" i="24" s="1"/>
  <c r="I86" i="12"/>
  <c r="U30" i="24" s="1"/>
  <c r="J86" i="12"/>
  <c r="X30" i="24" s="1"/>
  <c r="D16" i="24" l="1"/>
  <c r="D17" i="24"/>
  <c r="C34" i="24"/>
  <c r="C43" i="24" s="1"/>
  <c r="D39" i="24"/>
  <c r="G30" i="24"/>
  <c r="D21" i="24"/>
  <c r="D33" i="24"/>
  <c r="D40" i="24"/>
  <c r="D18" i="24"/>
  <c r="D38" i="24"/>
  <c r="D50" i="24"/>
  <c r="C55" i="24"/>
  <c r="D19" i="24"/>
  <c r="D22" i="24"/>
  <c r="D41" i="24"/>
  <c r="F22" i="24"/>
  <c r="G46" i="24" s="1"/>
  <c r="D20" i="24"/>
  <c r="S30" i="24"/>
  <c r="P30" i="24"/>
  <c r="O22" i="24"/>
  <c r="P46" i="24" s="1"/>
  <c r="L22" i="24"/>
  <c r="M46" i="24" s="1"/>
  <c r="J25" i="24"/>
  <c r="P29" i="24"/>
  <c r="Y30" i="24"/>
  <c r="Y27" i="24"/>
  <c r="Y28" i="24"/>
  <c r="G25" i="24"/>
  <c r="D87" i="12"/>
  <c r="F87" i="12"/>
  <c r="G87" i="12"/>
  <c r="H87" i="12"/>
  <c r="S27" i="24"/>
  <c r="S28" i="24"/>
  <c r="X33" i="24"/>
  <c r="Y25" i="24"/>
  <c r="V25" i="24"/>
  <c r="X22" i="24"/>
  <c r="Y46" i="24" s="1"/>
  <c r="DR25" i="12"/>
  <c r="D79" i="12"/>
  <c r="F29" i="24" s="1"/>
  <c r="G29" i="24" s="1"/>
  <c r="E79" i="12"/>
  <c r="I29" i="24" s="1"/>
  <c r="J29" i="24" s="1"/>
  <c r="F79" i="12"/>
  <c r="L29" i="24" s="1"/>
  <c r="M29" i="24" s="1"/>
  <c r="H79" i="12"/>
  <c r="R29" i="24" s="1"/>
  <c r="S29" i="24" s="1"/>
  <c r="DR36" i="12"/>
  <c r="D90" i="12"/>
  <c r="F27" i="24" s="1"/>
  <c r="G27" i="24" s="1"/>
  <c r="E90" i="12"/>
  <c r="I27" i="24" s="1"/>
  <c r="J27" i="24" s="1"/>
  <c r="I90" i="12"/>
  <c r="U27" i="24" s="1"/>
  <c r="V27" i="24" s="1"/>
  <c r="V28" i="24"/>
  <c r="M27" i="24"/>
  <c r="M28" i="24"/>
  <c r="S25" i="24"/>
  <c r="U22" i="24"/>
  <c r="V46" i="24" s="1"/>
  <c r="P27" i="24"/>
  <c r="J30" i="24"/>
  <c r="R22" i="24"/>
  <c r="S46" i="24" s="1"/>
  <c r="P25" i="24"/>
  <c r="V29" i="24"/>
  <c r="I22" i="24"/>
  <c r="J46" i="24" s="1"/>
  <c r="DR21" i="12"/>
  <c r="D75" i="12"/>
  <c r="F28" i="24" s="1"/>
  <c r="G28" i="24" s="1"/>
  <c r="E75" i="12"/>
  <c r="I28" i="24" s="1"/>
  <c r="J28" i="24" s="1"/>
  <c r="G75" i="12"/>
  <c r="O28" i="24" s="1"/>
  <c r="P28" i="24" s="1"/>
  <c r="DR17" i="12"/>
  <c r="E69" i="12"/>
  <c r="G69" i="12"/>
  <c r="H69" i="12"/>
  <c r="I69" i="12"/>
  <c r="V30" i="24"/>
  <c r="M30" i="24"/>
  <c r="M25" i="24"/>
  <c r="G21" i="24" l="1"/>
  <c r="Y17" i="24"/>
  <c r="V38" i="24"/>
  <c r="J39" i="24"/>
  <c r="M16" i="24"/>
  <c r="P16" i="24"/>
  <c r="S38" i="24"/>
  <c r="D34" i="24"/>
  <c r="M18" i="24"/>
  <c r="P20" i="24"/>
  <c r="M21" i="24"/>
  <c r="M38" i="24"/>
  <c r="M17" i="24"/>
  <c r="M50" i="24"/>
  <c r="M40" i="24"/>
  <c r="M22" i="24"/>
  <c r="P22" i="24"/>
  <c r="P40" i="24"/>
  <c r="P18" i="24"/>
  <c r="O55" i="24"/>
  <c r="P17" i="24"/>
  <c r="M39" i="24"/>
  <c r="P50" i="24"/>
  <c r="G41" i="24"/>
  <c r="G39" i="24"/>
  <c r="P39" i="24"/>
  <c r="G18" i="24"/>
  <c r="P21" i="24"/>
  <c r="G40" i="24"/>
  <c r="G50" i="24"/>
  <c r="G17" i="24"/>
  <c r="G38" i="24"/>
  <c r="F55" i="24"/>
  <c r="G19" i="24"/>
  <c r="G22" i="24"/>
  <c r="G20" i="24"/>
  <c r="G16" i="24"/>
  <c r="M19" i="24"/>
  <c r="M20" i="24"/>
  <c r="L55" i="24"/>
  <c r="P38" i="24"/>
  <c r="P19" i="24"/>
  <c r="Y33" i="24"/>
  <c r="V18" i="24"/>
  <c r="V39" i="24"/>
  <c r="S19" i="24"/>
  <c r="O33" i="24"/>
  <c r="P33" i="24" s="1"/>
  <c r="S39" i="24"/>
  <c r="Y20" i="24"/>
  <c r="J38" i="24"/>
  <c r="Y18" i="24"/>
  <c r="S18" i="24"/>
  <c r="L33" i="24"/>
  <c r="V20" i="24"/>
  <c r="V19" i="24"/>
  <c r="J19" i="24"/>
  <c r="U33" i="24"/>
  <c r="V33" i="24" s="1"/>
  <c r="S20" i="24"/>
  <c r="S21" i="24"/>
  <c r="S22" i="24"/>
  <c r="R55" i="24"/>
  <c r="S40" i="24"/>
  <c r="S50" i="24"/>
  <c r="S16" i="24"/>
  <c r="V21" i="24"/>
  <c r="V22" i="24"/>
  <c r="U55" i="24"/>
  <c r="V40" i="24"/>
  <c r="V50" i="24"/>
  <c r="V16" i="24"/>
  <c r="D91" i="12"/>
  <c r="F91" i="12"/>
  <c r="H91" i="12"/>
  <c r="I91" i="12"/>
  <c r="J91" i="12"/>
  <c r="V17" i="24"/>
  <c r="F33" i="24"/>
  <c r="Y19" i="24"/>
  <c r="Y21" i="24"/>
  <c r="Y40" i="24"/>
  <c r="X55" i="24"/>
  <c r="Y22" i="24"/>
  <c r="Y50" i="24"/>
  <c r="X34" i="24"/>
  <c r="Y16" i="24"/>
  <c r="D80" i="12"/>
  <c r="E80" i="12"/>
  <c r="F80" i="12"/>
  <c r="G80" i="12"/>
  <c r="H80" i="12"/>
  <c r="I80" i="12"/>
  <c r="DR38" i="12"/>
  <c r="D93" i="12" s="1"/>
  <c r="D43" i="24"/>
  <c r="D72" i="12"/>
  <c r="E72" i="12"/>
  <c r="E113" i="12" s="1"/>
  <c r="F72" i="12"/>
  <c r="G72" i="12"/>
  <c r="H72" i="12"/>
  <c r="I72" i="12"/>
  <c r="J72" i="12"/>
  <c r="Y38" i="24"/>
  <c r="D76" i="12"/>
  <c r="F76" i="12"/>
  <c r="G76" i="12"/>
  <c r="H76" i="12"/>
  <c r="I76" i="12"/>
  <c r="J76" i="12"/>
  <c r="Y39" i="24"/>
  <c r="J20" i="24"/>
  <c r="I55" i="24"/>
  <c r="J21" i="24"/>
  <c r="J40" i="24"/>
  <c r="J22" i="24"/>
  <c r="J50" i="24"/>
  <c r="J16" i="24"/>
  <c r="J18" i="24"/>
  <c r="R33" i="24"/>
  <c r="S33" i="24" s="1"/>
  <c r="J17" i="24"/>
  <c r="S17" i="24"/>
  <c r="I33" i="24"/>
  <c r="J33" i="24" s="1"/>
  <c r="F113" i="12" l="1"/>
  <c r="J113" i="12"/>
  <c r="I113" i="12"/>
  <c r="H113" i="12"/>
  <c r="G113" i="12"/>
  <c r="DR47" i="12"/>
  <c r="D102" i="12" s="1"/>
  <c r="F93" i="12"/>
  <c r="G93" i="12"/>
  <c r="H93" i="12"/>
  <c r="I93" i="12"/>
  <c r="J93" i="12"/>
  <c r="D113" i="12"/>
  <c r="F102" i="12"/>
  <c r="G102" i="12"/>
  <c r="H102" i="12"/>
  <c r="J102" i="12"/>
  <c r="O34" i="24"/>
  <c r="P34" i="24" s="1"/>
  <c r="U34" i="24"/>
  <c r="V34" i="24" s="1"/>
  <c r="M33" i="24"/>
  <c r="L34" i="24"/>
  <c r="Y34" i="24"/>
  <c r="R34" i="24"/>
  <c r="DR41" i="12"/>
  <c r="I34" i="24"/>
  <c r="G33" i="24"/>
  <c r="F34" i="24"/>
  <c r="D51" i="24"/>
  <c r="D52" i="24"/>
  <c r="C96" i="12" l="1"/>
  <c r="C37" i="24" s="1"/>
  <c r="D37" i="24" s="1"/>
  <c r="D96" i="12"/>
  <c r="F37" i="24" s="1"/>
  <c r="G37" i="24" s="1"/>
  <c r="E96" i="12"/>
  <c r="I37" i="24" s="1"/>
  <c r="F96" i="12"/>
  <c r="L37" i="24" s="1"/>
  <c r="G96" i="12"/>
  <c r="O37" i="24" s="1"/>
  <c r="H96" i="12"/>
  <c r="R37" i="24" s="1"/>
  <c r="I96" i="12"/>
  <c r="U37" i="24" s="1"/>
  <c r="J96" i="12"/>
  <c r="X37" i="24" s="1"/>
  <c r="M34" i="24"/>
  <c r="J34" i="24"/>
  <c r="S34" i="24"/>
  <c r="G34" i="24"/>
  <c r="F43" i="24"/>
  <c r="Y37" i="24" l="1"/>
  <c r="S37" i="24"/>
  <c r="M37" i="24"/>
  <c r="J37" i="24"/>
  <c r="V37" i="24"/>
  <c r="P37" i="24"/>
  <c r="G43" i="24"/>
  <c r="J41" i="24" l="1"/>
  <c r="I43" i="24"/>
  <c r="M41" i="24"/>
  <c r="L43" i="24"/>
  <c r="S41" i="24"/>
  <c r="R43" i="24"/>
  <c r="Y41" i="24"/>
  <c r="X43" i="24"/>
  <c r="P41" i="24"/>
  <c r="O43" i="24"/>
  <c r="V41" i="24"/>
  <c r="U43" i="24"/>
  <c r="G51" i="24"/>
  <c r="G52" i="24"/>
  <c r="Y43" i="24" l="1"/>
  <c r="S43" i="24"/>
  <c r="M43" i="24"/>
  <c r="J43" i="24"/>
  <c r="P43" i="24"/>
  <c r="V43" i="24"/>
  <c r="M51" i="24" l="1"/>
  <c r="S51" i="24"/>
  <c r="J51" i="24"/>
  <c r="Y51" i="24"/>
  <c r="Y52" i="24"/>
  <c r="V51" i="24"/>
  <c r="V52" i="24"/>
  <c r="P51" i="24"/>
  <c r="P52" i="24"/>
  <c r="J52" i="24" l="1"/>
  <c r="S52" i="24"/>
  <c r="M52" i="24"/>
  <c r="Y45" i="24"/>
  <c r="Y54" i="24"/>
  <c r="Y47" i="24" l="1"/>
  <c r="X56" i="24"/>
  <c r="Y56" i="24" s="1"/>
  <c r="D45" i="24"/>
  <c r="D47" i="24"/>
  <c r="D54" i="24" l="1"/>
  <c r="C56" i="24"/>
  <c r="D56" i="24" s="1"/>
  <c r="H48" i="10" a="1"/>
  <c r="H48" i="10" s="1"/>
  <c r="H50" i="10" l="1"/>
  <c r="H53" i="10" l="1"/>
  <c r="H63" i="10" l="1"/>
  <c r="H267" i="10"/>
  <c r="H43" i="10"/>
  <c r="H188" i="10" l="1"/>
  <c r="H189" i="10" l="1"/>
  <c r="H190" i="10"/>
  <c r="H192" i="10" l="1"/>
  <c r="H208" i="10"/>
  <c r="H209" i="10"/>
  <c r="H44" i="10"/>
  <c r="H282" i="10" l="1"/>
  <c r="H266" i="10"/>
  <c r="H45" i="10"/>
  <c r="H67" i="10" s="1"/>
  <c r="H212" i="10" l="1"/>
  <c r="H250" i="10" l="1"/>
  <c r="H229" i="10"/>
  <c r="H244" i="10" s="1"/>
  <c r="H249" i="10" l="1"/>
  <c r="H247" i="10"/>
  <c r="G41" i="15" l="1"/>
  <c r="H283" i="10"/>
  <c r="H255" i="10"/>
  <c r="H251" i="10"/>
  <c r="H270" i="10" l="1"/>
  <c r="H284" i="10"/>
  <c r="H285" i="10" s="1"/>
  <c r="H253" i="10"/>
  <c r="G47" i="15"/>
  <c r="H41" i="10"/>
  <c r="G42" i="15"/>
  <c r="G41" i="23"/>
  <c r="G47" i="23" l="1"/>
  <c r="G52" i="15"/>
  <c r="G42" i="23"/>
  <c r="H271" i="10"/>
  <c r="H272" i="10" s="1"/>
  <c r="G44" i="15"/>
  <c r="G43" i="15"/>
  <c r="G43" i="23" l="1"/>
  <c r="G44" i="23"/>
  <c r="G52" i="23"/>
  <c r="G53" i="15"/>
  <c r="G53" i="23" l="1"/>
  <c r="G55" i="23" s="1"/>
  <c r="G55" i="15"/>
  <c r="G57" i="23" l="1"/>
  <c r="G56" i="23"/>
  <c r="V47" i="24"/>
  <c r="M47" i="24"/>
  <c r="P47" i="24"/>
  <c r="G47" i="24"/>
  <c r="S47" i="24"/>
  <c r="J47" i="24"/>
  <c r="S45" i="24"/>
  <c r="P45" i="24"/>
  <c r="O56" i="24"/>
  <c r="P56" i="24" s="1"/>
  <c r="V45" i="24"/>
  <c r="U56" i="24"/>
  <c r="V56" i="24" s="1"/>
  <c r="J45" i="24"/>
  <c r="J48" i="10" a="1"/>
  <c r="J48" i="10" s="1"/>
  <c r="J50" i="10" s="1"/>
  <c r="J53" i="10" s="1"/>
  <c r="M45" i="24"/>
  <c r="L56" i="24"/>
  <c r="M56" i="24" s="1"/>
  <c r="K48" i="10" a="1"/>
  <c r="K48" i="10" s="1"/>
  <c r="K50" i="10" s="1"/>
  <c r="K53" i="10" s="1"/>
  <c r="G45" i="24"/>
  <c r="I48" i="10" a="1"/>
  <c r="I48" i="10" s="1"/>
  <c r="I50" i="10" s="1"/>
  <c r="P54" i="24" l="1"/>
  <c r="K63" i="10"/>
  <c r="K267" i="10"/>
  <c r="I53" i="10"/>
  <c r="J63" i="10"/>
  <c r="J267" i="10"/>
  <c r="N48" i="10" a="1"/>
  <c r="N48" i="10" s="1"/>
  <c r="N50" i="10" s="1"/>
  <c r="N53" i="10" s="1"/>
  <c r="J54" i="24"/>
  <c r="I56" i="24"/>
  <c r="J56" i="24" s="1"/>
  <c r="F56" i="24"/>
  <c r="G56" i="24" s="1"/>
  <c r="G54" i="24"/>
  <c r="M54" i="24"/>
  <c r="S54" i="24"/>
  <c r="R56" i="24"/>
  <c r="S56" i="24" s="1"/>
  <c r="L48" i="10" a="1"/>
  <c r="L48" i="10" s="1"/>
  <c r="L50" i="10" s="1"/>
  <c r="L53" i="10" s="1"/>
  <c r="M48" i="10" a="1"/>
  <c r="M48" i="10" s="1"/>
  <c r="M50" i="10" s="1"/>
  <c r="M53" i="10" s="1"/>
  <c r="V54" i="24"/>
  <c r="T50" i="10" l="1"/>
  <c r="M267" i="10"/>
  <c r="M63" i="10"/>
  <c r="M67" i="10"/>
  <c r="W195" i="10"/>
  <c r="W197" i="10" s="1"/>
  <c r="L267" i="10"/>
  <c r="H12" i="15"/>
  <c r="L63" i="10"/>
  <c r="T48" i="10"/>
  <c r="W187" i="10"/>
  <c r="W188" i="10" s="1"/>
  <c r="I43" i="10"/>
  <c r="I267" i="10"/>
  <c r="I63" i="10"/>
  <c r="T53" i="10"/>
  <c r="N267" i="10"/>
  <c r="N63" i="10"/>
  <c r="N65" i="10" s="1"/>
  <c r="T267" i="10" l="1"/>
  <c r="W199" i="10"/>
  <c r="W200" i="10" s="1"/>
  <c r="I188" i="10"/>
  <c r="N269" i="10"/>
  <c r="N167" i="10"/>
  <c r="T65" i="10"/>
  <c r="W189" i="10"/>
  <c r="N67" i="10"/>
  <c r="I189" i="10" l="1"/>
  <c r="T269" i="10"/>
  <c r="D6" i="15"/>
  <c r="V65" i="10"/>
  <c r="T167" i="10"/>
  <c r="O86" i="14" s="1"/>
  <c r="N168" i="10"/>
  <c r="L197" i="10"/>
  <c r="T197" i="10" s="1"/>
  <c r="L195" i="10"/>
  <c r="T195" i="10" s="1"/>
  <c r="W202" i="10"/>
  <c r="V267" i="10"/>
  <c r="C78" i="14"/>
  <c r="W191" i="10"/>
  <c r="O24" i="14" l="1"/>
  <c r="V269" i="10"/>
  <c r="C80" i="14"/>
  <c r="M196" i="10"/>
  <c r="W203" i="10"/>
  <c r="N198" i="10" s="1"/>
  <c r="T198" i="10" s="1"/>
  <c r="V75" i="10"/>
  <c r="V72" i="10"/>
  <c r="C188" i="10"/>
  <c r="I190" i="10" s="1"/>
  <c r="I44" i="10" s="1"/>
  <c r="X190" i="10"/>
  <c r="V67" i="10"/>
  <c r="C43" i="10"/>
  <c r="O72" i="14"/>
  <c r="C16" i="14"/>
  <c r="N181" i="10"/>
  <c r="N278" i="10"/>
  <c r="T168" i="10"/>
  <c r="I45" i="10" l="1"/>
  <c r="I67" i="10" s="1"/>
  <c r="I266" i="10"/>
  <c r="T278" i="10"/>
  <c r="D13" i="15"/>
  <c r="N196" i="10"/>
  <c r="T196" i="10" s="1"/>
  <c r="I208" i="10"/>
  <c r="N182" i="10"/>
  <c r="T181" i="10"/>
  <c r="I192" i="10"/>
  <c r="I209" i="10"/>
  <c r="O74" i="14"/>
  <c r="O75" i="14" s="1"/>
  <c r="C17" i="14"/>
  <c r="O10" i="14"/>
  <c r="P75" i="14" l="1"/>
  <c r="P73" i="14"/>
  <c r="P72" i="14"/>
  <c r="V278" i="10"/>
  <c r="C88" i="14"/>
  <c r="N281" i="10"/>
  <c r="T182" i="10"/>
  <c r="N184" i="10"/>
  <c r="I282" i="10"/>
  <c r="I212" i="10"/>
  <c r="O11" i="14"/>
  <c r="P74" i="14"/>
  <c r="C26" i="14" l="1"/>
  <c r="O81" i="14"/>
  <c r="T281" i="10"/>
  <c r="T184" i="10"/>
  <c r="U184" i="10" s="1"/>
  <c r="I250" i="10"/>
  <c r="I229" i="10"/>
  <c r="I244" i="10" s="1"/>
  <c r="O12" i="14"/>
  <c r="V13" i="10" l="1"/>
  <c r="W13" i="10"/>
  <c r="O19" i="14"/>
  <c r="V184" i="10"/>
  <c r="V281" i="10"/>
  <c r="C91" i="14"/>
  <c r="P9" i="14"/>
  <c r="P12" i="14"/>
  <c r="P8" i="14"/>
  <c r="P7" i="14"/>
  <c r="P10" i="14"/>
  <c r="I249" i="10"/>
  <c r="I247" i="10"/>
  <c r="P11" i="14"/>
  <c r="O84" i="14" l="1"/>
  <c r="C29" i="14"/>
  <c r="H41" i="15"/>
  <c r="I255" i="10"/>
  <c r="I251" i="10"/>
  <c r="H42" i="15" l="1"/>
  <c r="H41" i="23"/>
  <c r="O22" i="14"/>
  <c r="I270" i="10"/>
  <c r="I284" i="10"/>
  <c r="I253" i="10"/>
  <c r="H47" i="15"/>
  <c r="I271" i="10" l="1"/>
  <c r="H42" i="23"/>
  <c r="H52" i="15"/>
  <c r="H47" i="23"/>
  <c r="J43" i="10"/>
  <c r="H43" i="15"/>
  <c r="H44" i="15"/>
  <c r="I285" i="10"/>
  <c r="I272" i="10" l="1"/>
  <c r="H53" i="15"/>
  <c r="H55" i="15" s="1"/>
  <c r="H44" i="23"/>
  <c r="H43" i="23"/>
  <c r="J188" i="10"/>
  <c r="H52" i="23"/>
  <c r="H53" i="23" l="1"/>
  <c r="H55" i="23" s="1"/>
  <c r="J190" i="10"/>
  <c r="J189" i="10"/>
  <c r="J192" i="10" l="1"/>
  <c r="H56" i="23"/>
  <c r="H57" i="23"/>
  <c r="J208" i="10"/>
  <c r="J209" i="10"/>
  <c r="J44" i="10"/>
  <c r="K44" i="10" l="1"/>
  <c r="T44" i="10" s="1"/>
  <c r="J266" i="10"/>
  <c r="J45" i="10"/>
  <c r="J67" i="10" s="1"/>
  <c r="J282" i="10"/>
  <c r="I92" i="14" l="1"/>
  <c r="J212" i="10"/>
  <c r="J250" i="10" l="1"/>
  <c r="J229" i="10"/>
  <c r="J244" i="10" s="1"/>
  <c r="I30" i="14"/>
  <c r="J247" i="10" l="1"/>
  <c r="J249" i="10"/>
  <c r="I41" i="15" l="1"/>
  <c r="J283" i="10"/>
  <c r="J255" i="10"/>
  <c r="J251" i="10"/>
  <c r="I42" i="15" l="1"/>
  <c r="I41" i="23"/>
  <c r="J270" i="10"/>
  <c r="J284" i="10"/>
  <c r="J253" i="10"/>
  <c r="I47" i="15"/>
  <c r="K43" i="10" l="1"/>
  <c r="J271" i="10"/>
  <c r="I52" i="15"/>
  <c r="I47" i="23"/>
  <c r="J285" i="10"/>
  <c r="I42" i="23"/>
  <c r="I44" i="15"/>
  <c r="I43" i="15"/>
  <c r="I52" i="23" l="1"/>
  <c r="I53" i="15"/>
  <c r="I55" i="15" s="1"/>
  <c r="I43" i="23"/>
  <c r="I44" i="23"/>
  <c r="K266" i="10"/>
  <c r="K45" i="10"/>
  <c r="K67" i="10" s="1"/>
  <c r="K188" i="10"/>
  <c r="J272" i="10"/>
  <c r="K190" i="10" l="1"/>
  <c r="K189" i="10"/>
  <c r="I53" i="23"/>
  <c r="I55" i="23" s="1"/>
  <c r="K191" i="10" l="1"/>
  <c r="K208" i="10" s="1"/>
  <c r="I56" i="23"/>
  <c r="I57" i="23"/>
  <c r="K209" i="10"/>
  <c r="X189" i="10"/>
  <c r="G12" i="11" s="1"/>
  <c r="K192" i="10" l="1"/>
  <c r="I60" i="23"/>
  <c r="I63" i="23" s="1"/>
  <c r="K282" i="10"/>
  <c r="K212" i="10"/>
  <c r="K250" i="10" l="1"/>
  <c r="K225" i="10"/>
  <c r="I65" i="23"/>
  <c r="I64" i="23"/>
  <c r="K246" i="10" l="1"/>
  <c r="J31" i="15"/>
  <c r="K227" i="10"/>
  <c r="K226" i="10"/>
  <c r="K229" i="10"/>
  <c r="K244" i="10" s="1"/>
  <c r="K247" i="10" l="1"/>
  <c r="K249" i="10"/>
  <c r="L224" i="10"/>
  <c r="J31" i="23"/>
  <c r="J32" i="15"/>
  <c r="J32" i="23" s="1"/>
  <c r="J33" i="23" l="1"/>
  <c r="K283" i="10"/>
  <c r="K255" i="10"/>
  <c r="K251" i="10"/>
  <c r="J33" i="15"/>
  <c r="J41" i="15"/>
  <c r="K270" i="10" l="1"/>
  <c r="K253" i="10"/>
  <c r="K284" i="10"/>
  <c r="J47" i="15"/>
  <c r="J41" i="23"/>
  <c r="J42" i="15"/>
  <c r="J35" i="15"/>
  <c r="J35" i="23"/>
  <c r="J42" i="23" l="1"/>
  <c r="J38" i="23"/>
  <c r="L43" i="10"/>
  <c r="K271" i="10"/>
  <c r="J52" i="15"/>
  <c r="J47" i="23"/>
  <c r="J38" i="15"/>
  <c r="J44" i="15"/>
  <c r="J43" i="15"/>
  <c r="K285" i="10"/>
  <c r="K272" i="10" l="1"/>
  <c r="J52" i="23"/>
  <c r="J53" i="15"/>
  <c r="J55" i="15" s="1"/>
  <c r="L266" i="10"/>
  <c r="L45" i="10"/>
  <c r="L67" i="10" s="1"/>
  <c r="T43" i="10"/>
  <c r="L188" i="10"/>
  <c r="J44" i="23"/>
  <c r="J43" i="23"/>
  <c r="L190" i="10" l="1"/>
  <c r="L191" i="10"/>
  <c r="L192" i="10" s="1"/>
  <c r="M188" i="10" s="1"/>
  <c r="L189" i="10"/>
  <c r="T45" i="10"/>
  <c r="D5" i="15"/>
  <c r="D9" i="15"/>
  <c r="D10" i="15"/>
  <c r="T266" i="10"/>
  <c r="T67" i="10"/>
  <c r="J53" i="23"/>
  <c r="J55" i="23" s="1"/>
  <c r="M190" i="10" l="1"/>
  <c r="N190" i="10" s="1"/>
  <c r="M189" i="10"/>
  <c r="T189" i="10" s="1"/>
  <c r="C77" i="14"/>
  <c r="V266" i="10"/>
  <c r="J56" i="23"/>
  <c r="J57" i="23"/>
  <c r="L209" i="10"/>
  <c r="L208" i="10"/>
  <c r="H11" i="15"/>
  <c r="O190" i="10" l="1"/>
  <c r="P190" i="10" s="1"/>
  <c r="P209" i="10" s="1"/>
  <c r="J60" i="23"/>
  <c r="J63" i="23" s="1"/>
  <c r="I77" i="14"/>
  <c r="C12" i="14"/>
  <c r="L282" i="10"/>
  <c r="L212" i="10"/>
  <c r="M209" i="10"/>
  <c r="N209" i="10"/>
  <c r="O209" i="10" l="1"/>
  <c r="Q190" i="10"/>
  <c r="R190" i="10" s="1"/>
  <c r="I81" i="14"/>
  <c r="L77" i="14" s="1"/>
  <c r="J12" i="14"/>
  <c r="C18" i="14"/>
  <c r="F12" i="14" s="1"/>
  <c r="L250" i="10"/>
  <c r="L225" i="10"/>
  <c r="J64" i="23"/>
  <c r="J65" i="23"/>
  <c r="Q209" i="10" l="1"/>
  <c r="T190" i="10"/>
  <c r="D14" i="15" s="1"/>
  <c r="D15" i="15" s="1"/>
  <c r="R209" i="10"/>
  <c r="F13" i="14"/>
  <c r="F18" i="14"/>
  <c r="F9" i="14"/>
  <c r="F14" i="14"/>
  <c r="F8" i="14"/>
  <c r="F10" i="14"/>
  <c r="F15" i="14"/>
  <c r="F11" i="14"/>
  <c r="F7" i="14"/>
  <c r="F16" i="14"/>
  <c r="F17" i="14"/>
  <c r="L246" i="10"/>
  <c r="L227" i="10"/>
  <c r="K31" i="15"/>
  <c r="L226" i="10"/>
  <c r="J18" i="14"/>
  <c r="L12" i="14" s="1"/>
  <c r="L229" i="10"/>
  <c r="L244" i="10" s="1"/>
  <c r="L80" i="14"/>
  <c r="L81" i="14"/>
  <c r="L78" i="14"/>
  <c r="L73" i="14"/>
  <c r="L75" i="14"/>
  <c r="L76" i="14"/>
  <c r="L74" i="14"/>
  <c r="I95" i="14"/>
  <c r="L79" i="14"/>
  <c r="T209" i="10" l="1"/>
  <c r="O85" i="14" s="1"/>
  <c r="O23" i="14" s="1"/>
  <c r="K31" i="23"/>
  <c r="K32" i="15"/>
  <c r="K32" i="23" s="1"/>
  <c r="L89" i="14"/>
  <c r="L84" i="14"/>
  <c r="L93" i="14"/>
  <c r="L87" i="14"/>
  <c r="L95" i="14"/>
  <c r="L86" i="14"/>
  <c r="L90" i="14"/>
  <c r="L85" i="14"/>
  <c r="L91" i="14"/>
  <c r="I94" i="14"/>
  <c r="L94" i="14" s="1"/>
  <c r="L88" i="14"/>
  <c r="L92" i="14"/>
  <c r="D16" i="15"/>
  <c r="D17" i="15"/>
  <c r="L10" i="14"/>
  <c r="L11" i="14"/>
  <c r="L7" i="14"/>
  <c r="L9" i="14"/>
  <c r="L13" i="14"/>
  <c r="L8" i="14"/>
  <c r="I33" i="14"/>
  <c r="M224" i="10"/>
  <c r="L247" i="10"/>
  <c r="L249" i="10"/>
  <c r="O87" i="14" l="1"/>
  <c r="P79" i="14" s="1"/>
  <c r="O25" i="14"/>
  <c r="P23" i="14" s="1"/>
  <c r="L31" i="14"/>
  <c r="L28" i="14"/>
  <c r="L21" i="14"/>
  <c r="L24" i="14"/>
  <c r="L25" i="14"/>
  <c r="L27" i="14"/>
  <c r="L22" i="14"/>
  <c r="I32" i="14"/>
  <c r="L32" i="14" s="1"/>
  <c r="L26" i="14"/>
  <c r="L23" i="14"/>
  <c r="L29" i="14"/>
  <c r="L33" i="14"/>
  <c r="L30" i="14"/>
  <c r="L283" i="10"/>
  <c r="L255" i="10"/>
  <c r="L251" i="10"/>
  <c r="L253" i="10" s="1"/>
  <c r="K33" i="23"/>
  <c r="K41" i="15"/>
  <c r="K33" i="15"/>
  <c r="P85" i="14" l="1"/>
  <c r="P84" i="14"/>
  <c r="P86" i="14"/>
  <c r="P82" i="14"/>
  <c r="P80" i="14"/>
  <c r="P87" i="14"/>
  <c r="P78" i="14"/>
  <c r="P77" i="14"/>
  <c r="P81" i="14"/>
  <c r="P83" i="14"/>
  <c r="O89" i="14"/>
  <c r="P89" i="14" s="1"/>
  <c r="K47" i="15"/>
  <c r="P25" i="14"/>
  <c r="P14" i="14"/>
  <c r="P15" i="14"/>
  <c r="P21" i="14"/>
  <c r="P18" i="14"/>
  <c r="P16" i="14"/>
  <c r="P20" i="14"/>
  <c r="P17" i="14"/>
  <c r="P24" i="14"/>
  <c r="O27" i="14"/>
  <c r="P27" i="14" s="1"/>
  <c r="P19" i="14"/>
  <c r="P22" i="14"/>
  <c r="K35" i="15"/>
  <c r="K35" i="23"/>
  <c r="K41" i="23"/>
  <c r="K42" i="15"/>
  <c r="L270" i="10"/>
  <c r="L284" i="10"/>
  <c r="L285" i="10" s="1"/>
  <c r="M191" i="10" l="1"/>
  <c r="K38" i="15"/>
  <c r="K44" i="15"/>
  <c r="K43" i="15"/>
  <c r="L271" i="10"/>
  <c r="L272" i="10" s="1"/>
  <c r="K42" i="23"/>
  <c r="K38" i="23"/>
  <c r="K52" i="15"/>
  <c r="K55" i="15" s="1"/>
  <c r="K47" i="23"/>
  <c r="M208" i="10" l="1"/>
  <c r="K44" i="23"/>
  <c r="K43" i="23"/>
  <c r="K52" i="23"/>
  <c r="K55" i="23" s="1"/>
  <c r="K57" i="23" l="1"/>
  <c r="K56" i="23"/>
  <c r="M282" i="10"/>
  <c r="M212" i="10"/>
  <c r="M225" i="10" l="1"/>
  <c r="M229" i="10" s="1"/>
  <c r="M244" i="10" s="1"/>
  <c r="M250" i="10"/>
  <c r="K60" i="23"/>
  <c r="K63" i="23" s="1"/>
  <c r="K64" i="23" l="1"/>
  <c r="K65" i="23"/>
  <c r="M247" i="10"/>
  <c r="M249" i="10"/>
  <c r="L31" i="15"/>
  <c r="M227" i="10"/>
  <c r="M246" i="10"/>
  <c r="M226" i="10"/>
  <c r="L31" i="23" l="1"/>
  <c r="L32" i="15"/>
  <c r="L32" i="23" s="1"/>
  <c r="M283" i="10"/>
  <c r="M255" i="10"/>
  <c r="M251" i="10"/>
  <c r="L41" i="15"/>
  <c r="N224" i="10"/>
  <c r="T224" i="10" s="1"/>
  <c r="L47" i="15" l="1"/>
  <c r="L41" i="23"/>
  <c r="L42" i="15"/>
  <c r="M270" i="10"/>
  <c r="M284" i="10"/>
  <c r="M285" i="10" s="1"/>
  <c r="M253" i="10"/>
  <c r="L33" i="15"/>
  <c r="L33" i="23"/>
  <c r="L42" i="23" l="1"/>
  <c r="L44" i="15"/>
  <c r="L43" i="15"/>
  <c r="M271" i="10"/>
  <c r="M272" i="10" s="1"/>
  <c r="L35" i="23"/>
  <c r="L35" i="15"/>
  <c r="N191" i="10"/>
  <c r="N208" i="10" s="1"/>
  <c r="L52" i="15"/>
  <c r="L47" i="23"/>
  <c r="L53" i="15" l="1"/>
  <c r="T53" i="15" s="1"/>
  <c r="V71" i="15" s="1"/>
  <c r="N282" i="10"/>
  <c r="N212" i="10"/>
  <c r="L38" i="15"/>
  <c r="L44" i="23"/>
  <c r="L43" i="23"/>
  <c r="L52" i="23"/>
  <c r="L38" i="23"/>
  <c r="N250" i="10" l="1"/>
  <c r="N225" i="10"/>
  <c r="N229" i="10" s="1"/>
  <c r="N244" i="10" s="1"/>
  <c r="L53" i="23"/>
  <c r="L55" i="23" s="1"/>
  <c r="L55" i="15"/>
  <c r="N249" i="10" l="1"/>
  <c r="N247" i="10"/>
  <c r="M41" i="15" s="1"/>
  <c r="F54" i="23"/>
  <c r="T53" i="23"/>
  <c r="M31" i="15"/>
  <c r="N227" i="10"/>
  <c r="N246" i="10"/>
  <c r="T225" i="10"/>
  <c r="N226" i="10"/>
  <c r="O226" i="10" s="1"/>
  <c r="P226" i="10" s="1"/>
  <c r="Q226" i="10" s="1"/>
  <c r="R226" i="10" s="1"/>
  <c r="L57" i="23"/>
  <c r="L60" i="23" s="1"/>
  <c r="L63" i="23" s="1"/>
  <c r="L56" i="23"/>
  <c r="T227" i="10" l="1"/>
  <c r="C227" i="10"/>
  <c r="M31" i="23"/>
  <c r="M41" i="23"/>
  <c r="M42" i="23" s="1"/>
  <c r="M42" i="15"/>
  <c r="M32" i="15"/>
  <c r="M32" i="23" s="1"/>
  <c r="D32" i="23" s="1"/>
  <c r="T246" i="10"/>
  <c r="L65" i="23"/>
  <c r="L64" i="23"/>
  <c r="N283" i="10"/>
  <c r="N255" i="10"/>
  <c r="M47" i="15" s="1"/>
  <c r="N251" i="10"/>
  <c r="M43" i="15" l="1"/>
  <c r="M44" i="15"/>
  <c r="N270" i="10"/>
  <c r="N271" i="10" s="1"/>
  <c r="N284" i="10"/>
  <c r="N285" i="10" s="1"/>
  <c r="N253" i="10"/>
  <c r="M33" i="23"/>
  <c r="D31" i="23"/>
  <c r="M43" i="23"/>
  <c r="M44" i="23"/>
  <c r="M47" i="23"/>
  <c r="M52" i="23" s="1"/>
  <c r="M55" i="23" s="1"/>
  <c r="M52" i="15"/>
  <c r="M55" i="15" s="1"/>
  <c r="M33" i="15"/>
  <c r="N272" i="10" l="1"/>
  <c r="M35" i="23"/>
  <c r="D33" i="23"/>
  <c r="O191" i="10"/>
  <c r="O208" i="10" s="1"/>
  <c r="M35" i="15"/>
  <c r="D33" i="15"/>
  <c r="M56" i="23"/>
  <c r="T56" i="23" s="1"/>
  <c r="W71" i="23" s="1"/>
  <c r="M57" i="23"/>
  <c r="M60" i="23" l="1"/>
  <c r="M63" i="23" s="1"/>
  <c r="T57" i="23"/>
  <c r="V71" i="23" s="1"/>
  <c r="O212" i="10"/>
  <c r="O282" i="10"/>
  <c r="M38" i="15"/>
  <c r="N38" i="15" s="1"/>
  <c r="O38" i="15" s="1"/>
  <c r="P38" i="15" s="1"/>
  <c r="Q38" i="15" s="1"/>
  <c r="R38" i="15" s="1"/>
  <c r="F36" i="15"/>
  <c r="D35" i="15"/>
  <c r="F37" i="15"/>
  <c r="M38" i="23"/>
  <c r="N38" i="23" s="1"/>
  <c r="O38" i="23" s="1"/>
  <c r="P38" i="23" s="1"/>
  <c r="Q38" i="23" s="1"/>
  <c r="R38" i="23" s="1"/>
  <c r="D35" i="23"/>
  <c r="F36" i="23"/>
  <c r="F37" i="23"/>
  <c r="O229" i="10" l="1"/>
  <c r="O244" i="10" s="1"/>
  <c r="O250" i="10"/>
  <c r="M64" i="23"/>
  <c r="M65" i="23"/>
  <c r="O249" i="10" l="1"/>
  <c r="O247" i="10"/>
  <c r="T244" i="10"/>
  <c r="N41" i="15" l="1"/>
  <c r="T247" i="10"/>
  <c r="O283" i="10"/>
  <c r="O255" i="10"/>
  <c r="T249" i="10"/>
  <c r="T283" i="10" s="1"/>
  <c r="O251" i="10"/>
  <c r="O270" i="10" l="1"/>
  <c r="O271" i="10" s="1"/>
  <c r="O284" i="10"/>
  <c r="O285" i="10" s="1"/>
  <c r="O253" i="10"/>
  <c r="V283" i="10"/>
  <c r="C94" i="14"/>
  <c r="N47" i="15"/>
  <c r="T255" i="10"/>
  <c r="N41" i="23"/>
  <c r="N42" i="15"/>
  <c r="D41" i="15"/>
  <c r="H5" i="15" s="1"/>
  <c r="O272" i="10" l="1"/>
  <c r="N47" i="23"/>
  <c r="D47" i="15"/>
  <c r="H10" i="15"/>
  <c r="K7" i="15" s="1"/>
  <c r="P191" i="10"/>
  <c r="P208" i="10" s="1"/>
  <c r="H7" i="15"/>
  <c r="H9" i="15" s="1"/>
  <c r="H8" i="15"/>
  <c r="N43" i="15"/>
  <c r="D43" i="15" s="1"/>
  <c r="N44" i="15"/>
  <c r="D44" i="15" s="1"/>
  <c r="D42" i="15"/>
  <c r="C32" i="14"/>
  <c r="N42" i="23"/>
  <c r="D41" i="23"/>
  <c r="N43" i="23" l="1"/>
  <c r="D43" i="23" s="1"/>
  <c r="N44" i="23"/>
  <c r="D44" i="23" s="1"/>
  <c r="D42" i="23"/>
  <c r="P282" i="10"/>
  <c r="P251" i="10"/>
  <c r="P212" i="10"/>
  <c r="P250" i="10" s="1"/>
  <c r="F49" i="23"/>
  <c r="D47" i="23"/>
  <c r="F48" i="23"/>
  <c r="P270" i="10" l="1"/>
  <c r="P271" i="10" s="1"/>
  <c r="P284" i="10"/>
  <c r="P285" i="10" s="1"/>
  <c r="P253" i="10"/>
  <c r="P272" i="10" l="1"/>
  <c r="Q191" i="10"/>
  <c r="Q208" i="10" s="1"/>
  <c r="Q251" i="10" l="1"/>
  <c r="Q282" i="10"/>
  <c r="Q212" i="10"/>
  <c r="Q250" i="10" s="1"/>
  <c r="Q270" i="10" l="1"/>
  <c r="Q271" i="10" s="1"/>
  <c r="Q284" i="10"/>
  <c r="Q285" i="10" s="1"/>
  <c r="Q253" i="10"/>
  <c r="Q272" i="10" l="1"/>
  <c r="R191" i="10"/>
  <c r="R208" i="10" l="1"/>
  <c r="T191" i="10"/>
  <c r="R251" i="10" l="1"/>
  <c r="R282" i="10"/>
  <c r="R212" i="10"/>
  <c r="T208" i="10"/>
  <c r="T282" i="10" s="1"/>
  <c r="R250" i="10" l="1"/>
  <c r="T212" i="10"/>
  <c r="V282" i="10"/>
  <c r="C92" i="14"/>
  <c r="R284" i="10"/>
  <c r="T284" i="10" s="1"/>
  <c r="V284" i="10" s="1"/>
  <c r="R270" i="10"/>
  <c r="T251" i="10"/>
  <c r="R253" i="10"/>
  <c r="R285" i="10" l="1"/>
  <c r="C30" i="14"/>
  <c r="R271" i="10"/>
  <c r="T270" i="10"/>
  <c r="T285" i="10"/>
  <c r="V270" i="10" l="1"/>
  <c r="T271" i="10"/>
  <c r="V285" i="10"/>
  <c r="C95" i="14"/>
  <c r="C33" i="14"/>
  <c r="F30" i="14" s="1"/>
  <c r="R272" i="10"/>
  <c r="V271" i="10" l="1"/>
  <c r="C81" i="14"/>
  <c r="F24" i="14"/>
  <c r="F34" i="14"/>
  <c r="F22" i="14"/>
  <c r="F23" i="14"/>
  <c r="F27" i="14"/>
  <c r="F25" i="14"/>
  <c r="F31" i="14"/>
  <c r="F21" i="14"/>
  <c r="F28" i="14"/>
  <c r="F33" i="14"/>
  <c r="F26" i="14"/>
  <c r="F29" i="14"/>
  <c r="F32" i="14"/>
  <c r="F93" i="14"/>
  <c r="F87" i="14"/>
  <c r="F86" i="14"/>
  <c r="F90" i="14"/>
  <c r="F89" i="14"/>
  <c r="F84" i="14"/>
  <c r="F95" i="14"/>
  <c r="F85" i="14"/>
  <c r="F88" i="14"/>
  <c r="F91" i="14"/>
  <c r="F94" i="14"/>
  <c r="F92" i="14"/>
  <c r="F74" i="14" l="1"/>
  <c r="F75" i="14"/>
  <c r="F81" i="14"/>
  <c r="F73" i="14"/>
  <c r="F76" i="14"/>
  <c r="F79" i="14"/>
  <c r="F78" i="14"/>
  <c r="F80" i="14"/>
  <c r="F77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tc={BE605D4E-650E-4066-98DD-423863D8B869}</author>
    <author>tc={ED28E232-DF7D-43CC-80F0-F38559733A4E}</author>
    <author>tc={1E5CF9D8-DE35-483E-AAD5-01EE061DA3A8}</author>
  </authors>
  <commentList>
    <comment ref="C36" authorId="0" shapeId="0" xr:uid="{BE605D4E-650E-4066-98DD-423863D8B86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Reduced original assumption slightly to account for condo owners covering some portion of operating costs </t>
      </text>
    </comment>
    <comment ref="E42" authorId="1" shapeId="0" xr:uid="{ED28E232-DF7D-43CC-80F0-F38559733A4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Reduce occupancy assumption to 0% for months outside the rental start and finish range </t>
      </text>
    </comment>
    <comment ref="C83" authorId="2" shapeId="0" xr:uid="{1E5CF9D8-DE35-483E-AAD5-01EE061DA3A8}">
      <text>
        <t>[Threaded comment]
Your version of Excel allows you to read this threaded comment; however, any edits to it will get removed if the file is opened in a newer version of Excel. Learn more: https://go.microsoft.com/fwlink/?linkid=870924
Comment:
    0.42% of assessed value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tc={3D2028C7-7376-4C69-93D5-4EB74EA353AD}</author>
    <author>tc={18F44849-2B23-4F0A-9367-CA4106B565CF}</author>
    <author>tc={C3354625-C3A3-4C20-B699-D2E3416A4FFA}</author>
    <author>tc={7CC1D38D-69B0-1C44-B0F4-53545704A35C}</author>
    <author>tc={5233710C-BDF5-0444-9EF1-625BAD1578DD}</author>
  </authors>
  <commentList>
    <comment ref="C34" authorId="0" shapeId="0" xr:uid="{3D2028C7-7376-4C69-93D5-4EB74EA353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Larger than sum of draws due to capitalized interest and fees. </t>
      </text>
    </comment>
    <comment ref="T34" authorId="1" shapeId="0" xr:uid="{18F44849-2B23-4F0A-9367-CA4106B565CF}">
      <text>
        <t>[Threaded comment]
Your version of Excel allows you to read this threaded comment; however, any edits to it will get removed if the file is opened in a newer version of Excel. Learn more: https://go.microsoft.com/fwlink/?linkid=870924
Comment:
    Reduce required cash equity by a portion of the land contributed</t>
      </text>
    </comment>
    <comment ref="B203" authorId="2" shapeId="0" xr:uid="{C3354625-C3A3-4C20-B699-D2E3416A4FFA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repayment greater than loan balance because it includes interest beyond the initial 3 years included in interest reserve</t>
      </text>
    </comment>
    <comment ref="G266" authorId="3" shapeId="0" xr:uid="{7CC1D38D-69B0-1C44-B0F4-53545704A35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225 SF for Loft</t>
      </text>
    </comment>
    <comment ref="G267" authorId="4" shapeId="0" xr:uid="{5233710C-BDF5-0444-9EF1-625BAD1578D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Added 250 sf for 3rd bedroom on base level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tc={F59AD0B3-013C-41A5-925F-5BF1CD763C5D}</author>
  </authors>
  <commentList>
    <comment ref="F178" authorId="0" shapeId="0" xr:uid="{F59AD0B3-013C-41A5-925F-5BF1CD763C5D}">
      <text>
        <t>[Threaded comment]
Your version of Excel allows you to read this threaded comment; however, any edits to it will get removed if the file is opened in a newer version of Excel. Learn more: https://go.microsoft.com/fwlink/?linkid=870924
Comment:
    Keep Sinking Fund going to pay off the $30M of the Hotel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Joshua Walton</author>
    <author>tc={DBB088E1-9873-4147-A041-E741AC90B0EC}</author>
  </authors>
  <commentList>
    <comment ref="W67" authorId="0" shapeId="0" xr:uid="{F83BB62D-6563-479C-9B73-A662E2FD3BEC}">
      <text>
        <r>
          <rPr>
            <b/>
            <sz val="9"/>
            <color rgb="FF000000"/>
            <rFont val="Tahoma"/>
            <family val="2"/>
          </rPr>
          <t>Joshua Walton: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Needs to be 50% or lower for banks</t>
        </r>
      </text>
    </comment>
    <comment ref="B155" authorId="1" shapeId="0" xr:uid="{DBB088E1-9873-4147-A041-E741AC90B0E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@Ladd Morgan @Gary Wilson we need breakouts on these similar to the Resi Consultants on the next round.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tc={C2F39324-6A97-4A22-805A-668C886C3A08}</author>
  </authors>
  <commentList>
    <comment ref="B16" authorId="0" shapeId="0" xr:uid="{C2F39324-6A97-4A22-805A-668C886C3A08}">
      <text>
        <t>[Threaded comment]
Your version of Excel allows you to read this threaded comment; however, any edits to it will get removed if the file is opened in a newer version of Excel. Learn more: https://go.microsoft.com/fwlink/?linkid=870924
Comment:
    Subtract Brundage % owned rooms from total occupancy % and remaining occupancy % is attributed to condos. Condo revenue split with condo owners.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tc={0690F9D1-1C3E-47D3-B221-20761CDCA852}</author>
  </authors>
  <commentList>
    <comment ref="B4" authorId="0" shapeId="0" xr:uid="{0690F9D1-1C3E-47D3-B221-20761CDCA852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to confirm how to calculate these for Amenity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<sst xmlns="http://schemas.openxmlformats.org/spreadsheetml/2006/main" count="1702" uniqueCount="809">
  <si>
    <t>CLARENDON - LAND+HOME, AMENITY+HOTEL DEVELOPMENT - ASSUMPTIONS</t>
  </si>
  <si>
    <t>OVERALL ASSUMPTIONS</t>
  </si>
  <si>
    <t>General</t>
  </si>
  <si>
    <t>Debt Financing</t>
  </si>
  <si>
    <t>LAND + HOME</t>
  </si>
  <si>
    <t>AMENITY + HOTEL</t>
  </si>
  <si>
    <t>Sub-Debt/ Equity Financing</t>
  </si>
  <si>
    <t>Land &amp; Infrastructure</t>
  </si>
  <si>
    <t>Development Start Date (Yr 0)</t>
  </si>
  <si>
    <t>Origination Year</t>
  </si>
  <si>
    <t>Pref Accrual Rate</t>
  </si>
  <si>
    <t>Acres</t>
  </si>
  <si>
    <t>Value</t>
  </si>
  <si>
    <t>Development Start Year</t>
  </si>
  <si>
    <t>Original Term (Years)</t>
  </si>
  <si>
    <t>EB-5 Interest Rate (Debt+1/5)</t>
  </si>
  <si>
    <t>Total Land</t>
  </si>
  <si>
    <t>Fiscal Year Start Month</t>
  </si>
  <si>
    <t>Underwritten LTC</t>
  </si>
  <si>
    <t>EB-5 Origination Fee</t>
  </si>
  <si>
    <t>RESI</t>
  </si>
  <si>
    <t>Repayment Waterfall</t>
  </si>
  <si>
    <t>Interest Rate</t>
  </si>
  <si>
    <t>EB-5 Exit Fee</t>
  </si>
  <si>
    <t>Loan</t>
  </si>
  <si>
    <t>Debt Placement &amp; Origination Fee</t>
  </si>
  <si>
    <t>Bridge Loan Placement Fee</t>
  </si>
  <si>
    <t>N/A</t>
  </si>
  <si>
    <t>Infrastructure Cost</t>
  </si>
  <si>
    <t>Preferred Return</t>
  </si>
  <si>
    <t>1 Year Extension Fee</t>
  </si>
  <si>
    <t>Bridge Loan Interest Rate</t>
  </si>
  <si>
    <t>Capital Return</t>
  </si>
  <si>
    <t>Financing Cost Gross-up</t>
  </si>
  <si>
    <t>JV GP Promote Split</t>
  </si>
  <si>
    <t>LAND + HOME ASSUMPTIONS</t>
  </si>
  <si>
    <t>Build / Sale Cost</t>
  </si>
  <si>
    <t>Unit Mix</t>
  </si>
  <si>
    <t>Unit Sales</t>
  </si>
  <si>
    <t>Vertical Construction Cost psft</t>
  </si>
  <si>
    <t>Avg Size</t>
  </si>
  <si>
    <t>PPSF</t>
  </si>
  <si>
    <t>Escalation</t>
  </si>
  <si>
    <t>Sales Price Scalar</t>
  </si>
  <si>
    <t>Vertical Construction Costs Scalar</t>
  </si>
  <si>
    <t>Homesites</t>
  </si>
  <si>
    <t>Net Profit %</t>
  </si>
  <si>
    <t>Cost of Sale - RE Fees</t>
  </si>
  <si>
    <t>Village</t>
  </si>
  <si>
    <t>Phantom Tax Rate</t>
  </si>
  <si>
    <t>Real Estate Taxes (Annual) / mils</t>
  </si>
  <si>
    <t>Cottages</t>
  </si>
  <si>
    <t>AMENITY + HOTEL ASSUMPTIONS</t>
  </si>
  <si>
    <t>Hotel Details</t>
  </si>
  <si>
    <t>Hotel Guest Rooms</t>
  </si>
  <si>
    <t>Build Cost</t>
  </si>
  <si>
    <t>Start Date</t>
  </si>
  <si>
    <t>Lodge Rooms</t>
  </si>
  <si>
    <t>Villa/Cabin</t>
  </si>
  <si>
    <t>Auton. Tents</t>
  </si>
  <si>
    <t>Member Dues / year / unit</t>
  </si>
  <si>
    <t>Guest Rooms</t>
  </si>
  <si>
    <t>Loan Interest Rate</t>
  </si>
  <si>
    <t>SQFT</t>
  </si>
  <si>
    <t>Loan Origination Fees</t>
  </si>
  <si>
    <t>Sales Price / SF</t>
  </si>
  <si>
    <t>Disposition Year</t>
  </si>
  <si>
    <t>Average Daily Rate</t>
  </si>
  <si>
    <t>Terminal Cap Rate</t>
  </si>
  <si>
    <t>Average Sales Price</t>
  </si>
  <si>
    <t>Selling Costs</t>
  </si>
  <si>
    <t>Sales Price Escalation</t>
  </si>
  <si>
    <t>Hold Period</t>
  </si>
  <si>
    <t>% Rooms for Sale</t>
  </si>
  <si>
    <t>Hotel Room Rent Growth Rate</t>
  </si>
  <si>
    <t>Hotel Days</t>
  </si>
  <si>
    <t>Hotel Rooms Operating Cost</t>
  </si>
  <si>
    <t>Condo Owner Revenue Split</t>
  </si>
  <si>
    <t>Bar Details</t>
  </si>
  <si>
    <t>Avg</t>
  </si>
  <si>
    <t>Seasonal Occupancy - Hotel</t>
  </si>
  <si>
    <t>Available room/nights</t>
  </si>
  <si>
    <t>Conference Center Occupancy</t>
  </si>
  <si>
    <t>Paid Room Nights</t>
  </si>
  <si>
    <t>Adj. Conf Center Occupancy</t>
  </si>
  <si>
    <t>Bar Revenue (% of Room Rev)</t>
  </si>
  <si>
    <t>Bar COS (% of Bar Rev)</t>
  </si>
  <si>
    <t>Total Rooms</t>
  </si>
  <si>
    <t>Condos</t>
  </si>
  <si>
    <t>Spa / Wellness Center Details</t>
  </si>
  <si>
    <t>Conf Center Rental Rates</t>
  </si>
  <si>
    <t>Avg Daily Hotel Rates - Lodge Rooms</t>
  </si>
  <si>
    <t>Avg Daily Hotel Rates - Villa/ Cabin</t>
  </si>
  <si>
    <t>Avg Daily Hotel Rates - Cottages</t>
  </si>
  <si>
    <t>Spa / Wellness Center Revenue (% of Room Rev)</t>
  </si>
  <si>
    <t>Avg Daily Hotel Rates - Auton. Tents</t>
  </si>
  <si>
    <t>Avg Daily Hotel Rates - Total</t>
  </si>
  <si>
    <t>Spa / Wellness Center COS (% Spa Revenue)</t>
  </si>
  <si>
    <t>Avg Daily Rates - Villa/ Cabin Condo</t>
  </si>
  <si>
    <t>Avg Daily Rates - Cottages Condo</t>
  </si>
  <si>
    <t>Restaurant / Event Center</t>
  </si>
  <si>
    <t>Availability</t>
  </si>
  <si>
    <t>F&amp;B Revenue (% Rooms Revenue)</t>
  </si>
  <si>
    <t>F&amp;B COS (% F&amp;B Revenue)</t>
  </si>
  <si>
    <t>Event Center Rental Rates</t>
  </si>
  <si>
    <t>Event Center Rent Growth Rate</t>
  </si>
  <si>
    <t>Daily/ Weekend Rental Schedule</t>
  </si>
  <si>
    <t>Event Rental Start</t>
  </si>
  <si>
    <t>Event Rental Finish</t>
  </si>
  <si>
    <t>Event Rental Days</t>
  </si>
  <si>
    <t>Months</t>
  </si>
  <si>
    <t>F&amp;B Commission</t>
  </si>
  <si>
    <t>Events COS</t>
  </si>
  <si>
    <t>Minor Operating Departments</t>
  </si>
  <si>
    <t>MOD Revenue (% Room Revenue)</t>
  </si>
  <si>
    <t>BMR to handle all recreation ops…consider adding a commission for booking</t>
  </si>
  <si>
    <t>MOD COS (% MOD Revenue)</t>
  </si>
  <si>
    <t>Undistributed OpEx (% Total Revenue)</t>
  </si>
  <si>
    <t>Stuart</t>
  </si>
  <si>
    <t>Admin &amp; General Ops</t>
  </si>
  <si>
    <t>Sales &amp; Marketing</t>
  </si>
  <si>
    <t>POMEC</t>
  </si>
  <si>
    <t>Credit Card Comissions</t>
  </si>
  <si>
    <t>Non-Operating Expense (% Total Revenue)</t>
  </si>
  <si>
    <t>Operator management fee</t>
  </si>
  <si>
    <t>Operator marketing fee</t>
  </si>
  <si>
    <t xml:space="preserve">Annual Property Tax </t>
  </si>
  <si>
    <t>Insurance</t>
  </si>
  <si>
    <t>Weekend</t>
  </si>
  <si>
    <t>Daily</t>
  </si>
  <si>
    <t>CLARENDON - OVERALL DEVELOPMENT: PROFORMA</t>
  </si>
  <si>
    <t>PROFORMA - SOURCES &amp; USES SUMMARY</t>
  </si>
  <si>
    <t>PROFORMA - SOURCES &amp; USES PRE-REVENUE</t>
  </si>
  <si>
    <t>PROFORMA - BUSINESS CASE ANALYSIS</t>
  </si>
  <si>
    <t>SOURCES</t>
  </si>
  <si>
    <t>$</t>
  </si>
  <si>
    <t>$/SF</t>
  </si>
  <si>
    <t>Per Home</t>
  </si>
  <si>
    <t>% Total</t>
  </si>
  <si>
    <t>Pre-EB5</t>
  </si>
  <si>
    <t>Post EB-5 Closing</t>
  </si>
  <si>
    <t>TOTAL REVENUE</t>
  </si>
  <si>
    <t>TOTAL SOURCES</t>
  </si>
  <si>
    <t>USES</t>
  </si>
  <si>
    <t>FINANCING COSTS</t>
  </si>
  <si>
    <t>POST SALE COSTS</t>
  </si>
  <si>
    <t>TOTAL COSTS</t>
  </si>
  <si>
    <t>NET PROFIT</t>
  </si>
  <si>
    <t>EB-5 SINKING FUND</t>
  </si>
  <si>
    <t>WORKING CAPITAL</t>
  </si>
  <si>
    <t>TOTAL USES</t>
  </si>
  <si>
    <t>CLARENDON - RESI DEVELOPMENT: PROFORMA</t>
  </si>
  <si>
    <t>PROFORMA - SOURCES &amp; USES PRE-REVENUE (Year 0-1)</t>
  </si>
  <si>
    <t>PROFORMA - SOURCES &amp; USES PRE-REVENUE (Year 0-3)</t>
  </si>
  <si>
    <t xml:space="preserve"> COMBINED MONTHLY CASH FLOWS - UNDER DEVELOPMENT</t>
  </si>
  <si>
    <t>CLARENDON - LAND, HOME, AMENITY DEVELOPMENT</t>
  </si>
  <si>
    <t>Returns Analysis</t>
  </si>
  <si>
    <t>PROJECT FINANCING ANALYSIS</t>
  </si>
  <si>
    <t xml:space="preserve"> BUSINESS CASE ANALYSIS</t>
  </si>
  <si>
    <t>TOTAL PROJECT CAPITAL NEEDS:</t>
  </si>
  <si>
    <t>TOTAL PROJECT REVENUE (less brokers fees):</t>
  </si>
  <si>
    <t>TOTAL PROJECT VALUE (PV of FINAL BUILD OUT):</t>
  </si>
  <si>
    <t>- TOTAL PROJECT COST:</t>
  </si>
  <si>
    <t>STARTING SPEC DEVELOPMENT VALUE:</t>
  </si>
  <si>
    <t>= NET PROFIT</t>
  </si>
  <si>
    <t>EQUITY to SPEC DEV VALUE (ETV):</t>
  </si>
  <si>
    <t>NET PROFIT %:</t>
  </si>
  <si>
    <t>LOAN to COST (LTC):</t>
  </si>
  <si>
    <t>RETURN on EQUITY/CAPTIAL (ROE):</t>
  </si>
  <si>
    <t>LOAN to VALUE (LTV):</t>
  </si>
  <si>
    <t>PROJECT RETURNS ANALYSIS</t>
  </si>
  <si>
    <t>PROJECT NET CASH FLOWS:</t>
  </si>
  <si>
    <t>EQUITY MULTIPLE:</t>
  </si>
  <si>
    <t>MODELED ROI:</t>
  </si>
  <si>
    <t>PROJECT IRR :</t>
  </si>
  <si>
    <t>SUMMARY OF RETURNS</t>
  </si>
  <si>
    <t>JV LP Returns</t>
  </si>
  <si>
    <t>Profit Split</t>
  </si>
  <si>
    <t>Total Distributions</t>
  </si>
  <si>
    <t>Total  Contributions</t>
  </si>
  <si>
    <t xml:space="preserve"> Net Profit / Cash Flows</t>
  </si>
  <si>
    <t xml:space="preserve"> IRR</t>
  </si>
  <si>
    <t xml:space="preserve"> Equity Multiple</t>
  </si>
  <si>
    <t>Cumulative  (Equity) Cash Position</t>
  </si>
  <si>
    <t>MO LP Returns</t>
  </si>
  <si>
    <t>Capital Return + Pref</t>
  </si>
  <si>
    <t>Total  Distributions</t>
  </si>
  <si>
    <t>Net Profit / Cash Flows</t>
  </si>
  <si>
    <t>IRR</t>
  </si>
  <si>
    <t>Equity Multiple</t>
  </si>
  <si>
    <t>MO/JV JV GP Returns</t>
  </si>
  <si>
    <t>JV Portion</t>
  </si>
  <si>
    <t>MO Portion</t>
  </si>
  <si>
    <t>Net Cash Flow For Distributions - TOTAL PROJECT RETURNS</t>
  </si>
  <si>
    <t>Net Levered Before Tax Cash Flow</t>
  </si>
  <si>
    <t>Levered IRR</t>
  </si>
  <si>
    <t>Return of PM EQUITY &amp; Hurdle 1 (Preferred Return)</t>
  </si>
  <si>
    <t>Preferred returns</t>
  </si>
  <si>
    <t>IRR Check - preferred returns</t>
  </si>
  <si>
    <t>Remaining Cash Flow for Split</t>
  </si>
  <si>
    <t>CM Common Members SHARE</t>
  </si>
  <si>
    <t>CM SPONSOR SHARE</t>
  </si>
  <si>
    <t>CM Common Members MANAGER SHARE</t>
  </si>
  <si>
    <t>CM Share Returns</t>
  </si>
  <si>
    <t>PM Share Returns</t>
  </si>
  <si>
    <t>NiCK</t>
  </si>
  <si>
    <t>MTN O</t>
  </si>
  <si>
    <t>DeREUS</t>
  </si>
  <si>
    <t>TOTAL</t>
  </si>
  <si>
    <t>Proposed Sponsor Split</t>
  </si>
  <si>
    <t>Market rate Overhead &amp; Fees Paid to Working Sponsors (e.g. Design Fees, Sales Commision, Asset Management, Common Members Fees, etc.)</t>
  </si>
  <si>
    <t>Cost of Contributed Capital (e.g. Cash Multiple for Pursuit Dollars, 10% Pref for Equity, etc.)</t>
  </si>
  <si>
    <t>Equal split of Sponsor Distribution (e.g. 3 ways, 4 ways or 5 ways depending on head count of Sponsor Principals)</t>
  </si>
  <si>
    <t>NICK</t>
  </si>
  <si>
    <t>PURSUIT/ENT.</t>
  </si>
  <si>
    <t>BRUNDAGE - RESI DEVELOPMENT: PROFORMA</t>
  </si>
  <si>
    <t>AMU Fee</t>
  </si>
  <si>
    <t>Build &amp; Sales Proforma</t>
  </si>
  <si>
    <t xml:space="preserve"> </t>
  </si>
  <si>
    <t>Cumulative PM (Equity) Cash Position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</si>
  <si>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</si>
  <si>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</si>
  <si>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</si>
  <si>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</si>
  <si>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</si>
  <si>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</si>
  <si>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</si>
  <si>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</si>
  <si>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TOTALS</t>
  </si>
  <si>
    <t>Average. Sqft of Lots</t>
  </si>
  <si>
    <t>Average Unit Size (sf)</t>
  </si>
  <si>
    <t>Basis per Lot+Unit</t>
  </si>
  <si>
    <t>Map</t>
  </si>
  <si>
    <t>Buildout schedule</t>
  </si>
  <si>
    <t>Unit Size</t>
  </si>
  <si>
    <t>Total starts</t>
  </si>
  <si>
    <t>TOTAL HOMES</t>
  </si>
  <si>
    <t>/sf</t>
  </si>
  <si>
    <t>Total Sellable SQFT</t>
  </si>
  <si>
    <t>Average</t>
  </si>
  <si>
    <t>Total Sellable ACRES</t>
  </si>
  <si>
    <t>Sales Schedule</t>
  </si>
  <si>
    <t>Total sales</t>
  </si>
  <si>
    <t>Phase 1: Large SFR</t>
  </si>
  <si>
    <t>Phase 1: Small SFR</t>
  </si>
  <si>
    <t>Phase 1: Small Duplex</t>
  </si>
  <si>
    <t>Phase 1: Multi-unit</t>
  </si>
  <si>
    <t>Average Sales $ per Unit</t>
  </si>
  <si>
    <t>Loan / Equity Financing</t>
  </si>
  <si>
    <t>Project Financing Metrics</t>
  </si>
  <si>
    <t>CM - PURSUIT CAPITAL</t>
  </si>
  <si>
    <t>Year 0-2 Dev Cost</t>
  </si>
  <si>
    <t xml:space="preserve">Actual </t>
  </si>
  <si>
    <t>VALUE OF SPEC DEV</t>
  </si>
  <si>
    <t>PM1 - EQUITY CONTRIBUTION (LAND)</t>
  </si>
  <si>
    <t>$11.7M in LAND CONTRIBUTION SHOWN ON BALANCE SHEET OF DEV LLC</t>
  </si>
  <si>
    <t>Financing Cost Gross-Up</t>
  </si>
  <si>
    <t>ETV</t>
  </si>
  <si>
    <t>PM2 - EQUITY (CASH)</t>
  </si>
  <si>
    <t>Year 0-2 Unit Sales</t>
  </si>
  <si>
    <t>LTV</t>
  </si>
  <si>
    <t>EQUITY / PROJECT ACQUISITION + ENTITLEMENT</t>
  </si>
  <si>
    <t>LTC</t>
  </si>
  <si>
    <t>LTC Total (INCL LAND VALUE)</t>
  </si>
  <si>
    <t>Loan Amount</t>
  </si>
  <si>
    <t>Development Loan</t>
  </si>
  <si>
    <t xml:space="preserve">Initial Equity </t>
  </si>
  <si>
    <t>DEBT</t>
  </si>
  <si>
    <t>Construction Start Draw</t>
  </si>
  <si>
    <t>Foundation Complete Draw</t>
  </si>
  <si>
    <t>Structure Complete Draw</t>
  </si>
  <si>
    <t>MEP 4-way Draw</t>
  </si>
  <si>
    <t>Finishes Start Draw</t>
  </si>
  <si>
    <t>PRESALE REVENUES</t>
  </si>
  <si>
    <t>TOTAL HOME SALES</t>
  </si>
  <si>
    <t>INFRASTRUCTURE REPAYMENT FROM HOTEL PROFORMA</t>
  </si>
  <si>
    <t>UNIT SALES</t>
  </si>
  <si>
    <t>TOTAL SALES</t>
  </si>
  <si>
    <t>Ave. Unit $</t>
  </si>
  <si>
    <t>Ave. $/SF</t>
  </si>
  <si>
    <t>01a</t>
  </si>
  <si>
    <t>LAND &amp; PROJECT ACQUISITION</t>
  </si>
  <si>
    <t>Asset Acquisition Fee</t>
  </si>
  <si>
    <t>Land Downpayment</t>
  </si>
  <si>
    <t>Unit Sales Net Profit</t>
  </si>
  <si>
    <t>LESS Phantom Tax</t>
  </si>
  <si>
    <t>Land Repayment</t>
  </si>
  <si>
    <t>Min pmt</t>
  </si>
  <si>
    <t>Total Land Acquisition</t>
  </si>
  <si>
    <t xml:space="preserve">Ending Land Balance </t>
  </si>
  <si>
    <t>Land value</t>
  </si>
  <si>
    <t>Interest Cost</t>
  </si>
  <si>
    <t>02a</t>
  </si>
  <si>
    <t>HARD COSTS - SITE INFRASTRUCTURE RESORT</t>
  </si>
  <si>
    <t>Infrastructure per Lot - SFR</t>
  </si>
  <si>
    <t>INCLUDES: Advanced Waste Water Treatment Plant, Water Main to Parcels, Sewer Main to Parcels, Goose Lake Rd Paving, New Well, Skiway Bridge, Skiway, Misc.</t>
  </si>
  <si>
    <t>Infrastructure per Lot - Duplex/ Multi-unit</t>
  </si>
  <si>
    <t>Developer Construction Contingency</t>
  </si>
  <si>
    <t>$/Lot</t>
  </si>
  <si>
    <t>of Sales</t>
  </si>
  <si>
    <t>HARD COSTS - SITE INFRASTRUCTURE INTERNAL ROADS</t>
  </si>
  <si>
    <t>Infrastructure per Lot - Duplex</t>
  </si>
  <si>
    <t>Infrastructure per Lot - Multi-unit</t>
  </si>
  <si>
    <t>Ski Tunnel</t>
  </si>
  <si>
    <t>$/unit</t>
  </si>
  <si>
    <t>02b</t>
  </si>
  <si>
    <t>HARD COSTS - HOMES: SFR Large</t>
  </si>
  <si>
    <t>Infrastructure (Utilities &amp; Driveway) - SFR</t>
  </si>
  <si>
    <t>/UNIT</t>
  </si>
  <si>
    <t>Build Cost $/sf Check</t>
  </si>
  <si>
    <t>Vertical Construction Costs - SFR</t>
  </si>
  <si>
    <t>AVE / UNIT</t>
  </si>
  <si>
    <t>Landscape / Hardscape - SFR</t>
  </si>
  <si>
    <t>Construction Cost Escalation</t>
  </si>
  <si>
    <t>Total Cost $/sf Check</t>
  </si>
  <si>
    <t>HARD COSTS - HOMES: SFR Small</t>
  </si>
  <si>
    <t>HARD COSTS - HOMES: Duplex Small</t>
  </si>
  <si>
    <t>Infrastructure (Utilities &amp; Driveway) - Duplex</t>
  </si>
  <si>
    <t>Vertical Construction Costs - Duplex</t>
  </si>
  <si>
    <t>Landscape / Hardscape - Duplex</t>
  </si>
  <si>
    <t>HARD COSTS - HOMES: Multi-Unit</t>
  </si>
  <si>
    <t>Infrastructure (Utilities &amp; Driveway) - Multi-unit</t>
  </si>
  <si>
    <t>Underground Parking - per unit $</t>
  </si>
  <si>
    <t>Vertical Construction Costs - Multi-unit</t>
  </si>
  <si>
    <t>Landscape / Hardscape - Multi-unit</t>
  </si>
  <si>
    <t>03a</t>
  </si>
  <si>
    <t>SOFT COSTS PROFESSIONALS - SITE, RESTORE, &amp; INFRA</t>
  </si>
  <si>
    <t>Land Planning (5% of Cost)</t>
  </si>
  <si>
    <t>Civil Engineering &amp; Surveying (5% of Infra Const)</t>
  </si>
  <si>
    <t>Traffic, Environmental &amp; Misc. Studies</t>
  </si>
  <si>
    <t>n/a</t>
  </si>
  <si>
    <t>Legal / Entitlement</t>
  </si>
  <si>
    <t>Accounting &amp; CPA costs ($ per year)</t>
  </si>
  <si>
    <t>Professionals Contingency</t>
  </si>
  <si>
    <t>03b</t>
  </si>
  <si>
    <t>SOFT COSTS PROFESSIONALS: Large SFR</t>
  </si>
  <si>
    <t>Designs Assumed</t>
  </si>
  <si>
    <t>03b.02</t>
  </si>
  <si>
    <t>Civil Engineering (Unit Infra. &amp; Geotech)</t>
  </si>
  <si>
    <t>/DESIGN</t>
  </si>
  <si>
    <t>Architectural Design &amp; CDs</t>
  </si>
  <si>
    <t>Architectural Re-use Fees</t>
  </si>
  <si>
    <t>Architectural C/A</t>
  </si>
  <si>
    <t>Landscape Architecture Design &amp; CDs</t>
  </si>
  <si>
    <t>Landscape Arch. C/A</t>
  </si>
  <si>
    <t>Structural Engineering</t>
  </si>
  <si>
    <t>Interior Design</t>
  </si>
  <si>
    <t>Preconstruction Estimating</t>
  </si>
  <si>
    <t>BIM / VDC</t>
  </si>
  <si>
    <t>SOFT COSTS PROFESSIONALS: Small SFR</t>
  </si>
  <si>
    <t>SOFT COSTS PROFESSIONALS: Duplex Small</t>
  </si>
  <si>
    <t>SOFT COSTS PROFESSIONALS: Multi-Unit</t>
  </si>
  <si>
    <t>04</t>
  </si>
  <si>
    <t>SOFT COSTS - SALES</t>
  </si>
  <si>
    <t>By sale incentive, Sales Associate</t>
  </si>
  <si>
    <t>Hard Marketing Costs</t>
  </si>
  <si>
    <t>/campaign</t>
  </si>
  <si>
    <t>Model Home Furnishings (Sell Furnished)</t>
  </si>
  <si>
    <t>SOFT COSTS - TAXES AND INSURANCE</t>
  </si>
  <si>
    <t>Real Estate Taxes (Annual)</t>
  </si>
  <si>
    <t>mils</t>
  </si>
  <si>
    <t>Construction Liability Insurance (Annual)</t>
  </si>
  <si>
    <t>06</t>
  </si>
  <si>
    <t>SOFT COSTS - MUNICIPALITY FEES</t>
  </si>
  <si>
    <t>Building Permit/City Impact Fees</t>
  </si>
  <si>
    <t>County Permit Fees - Site</t>
  </si>
  <si>
    <t>County Permit Fees - Build</t>
  </si>
  <si>
    <t>Replacement Bond Cost</t>
  </si>
  <si>
    <t>Dev costs ex dev fees</t>
  </si>
  <si>
    <t>07</t>
  </si>
  <si>
    <t>DEVELOPMENT FEES</t>
  </si>
  <si>
    <t>Developer Overhead (% of COSTS less LAND &amp; RE Fees)</t>
  </si>
  <si>
    <t>Disposition Fees</t>
  </si>
  <si>
    <t>Asset Management Fees</t>
  </si>
  <si>
    <t>AMU</t>
  </si>
  <si>
    <t xml:space="preserve">DEVELOPMENT FEES </t>
  </si>
  <si>
    <t>TOTAL DEVELOPMENT COSTS</t>
  </si>
  <si>
    <t>08</t>
  </si>
  <si>
    <t>Development Loan - Beginning Balance</t>
  </si>
  <si>
    <t>Development Loan - Interest</t>
  </si>
  <si>
    <t>Development Loan - Fees</t>
  </si>
  <si>
    <t>Development Loan - Balance Repayment</t>
  </si>
  <si>
    <t>Development Loan - Ending Balance</t>
  </si>
  <si>
    <t>FINANCING COSTS &amp; REPAYMENT</t>
  </si>
  <si>
    <t>Cash Backstop</t>
  </si>
  <si>
    <t>Pref Accrual &amp; Distributions</t>
  </si>
  <si>
    <t>Capital Available to Distribute</t>
  </si>
  <si>
    <t>Invested Capital: PM1</t>
  </si>
  <si>
    <t>Invested Capital: PM2</t>
  </si>
  <si>
    <t>Invested Capital: CM</t>
  </si>
  <si>
    <t>Pref Accrual: PM1</t>
  </si>
  <si>
    <t>Pref Due: PM1</t>
  </si>
  <si>
    <t>Pref Distribution: PM1</t>
  </si>
  <si>
    <t>Pref Accrual: PM2</t>
  </si>
  <si>
    <t>Pref Due: PM2</t>
  </si>
  <si>
    <t>Pref Distribution: PM2</t>
  </si>
  <si>
    <t>Post Pref Profit Split: PM1</t>
  </si>
  <si>
    <t>Post Pref Profit Split: PM2</t>
  </si>
  <si>
    <t>Post Pref Profit Split: CM</t>
  </si>
  <si>
    <t>DISTRIBUTIONS</t>
  </si>
  <si>
    <t>Ending Cash Position</t>
  </si>
  <si>
    <t>PROJECT Cash Flows</t>
  </si>
  <si>
    <t>Sources equal Uses</t>
  </si>
  <si>
    <t>L78 must equal zero</t>
  </si>
  <si>
    <t>PROFORMA - SOURCES &amp; USES ANNUAL SUMMARY</t>
  </si>
  <si>
    <t>Need to equal each other</t>
  </si>
  <si>
    <t>HARD COSTS - SITE INFRASTRUCTURE</t>
  </si>
  <si>
    <t>HARD COSTS - HOMES</t>
  </si>
  <si>
    <t>SOFT COSTS PROFESSIONALS</t>
  </si>
  <si>
    <t>Units</t>
  </si>
  <si>
    <t>Sales Price Escalation - SFR</t>
  </si>
  <si>
    <t>Phase 1: Downhill SFR</t>
  </si>
  <si>
    <t>Sales Price Escalation - Other</t>
  </si>
  <si>
    <t>Vertical Construction Costs - Mult-unit</t>
  </si>
  <si>
    <t>Phase 1: Uphill SFR</t>
  </si>
  <si>
    <t>Phase 1: Uphill/Downhill Duplex</t>
  </si>
  <si>
    <t>BRUNDAGE - Resi DEVELOPMENT: RETURNS</t>
  </si>
  <si>
    <t>SENSITIVITY ANALYSIS - PROJECT-LEVEL RETURNS, LEVERED</t>
  </si>
  <si>
    <t>TOTAL PROJECT CAPITAL NEEDS</t>
  </si>
  <si>
    <t>TOTAL RETURN</t>
  </si>
  <si>
    <t>TOTAL PROJECT VALUE (PV of FINAL BUILD OUT)</t>
  </si>
  <si>
    <t>INVESTED CAPITAL</t>
  </si>
  <si>
    <t>Metric:</t>
  </si>
  <si>
    <t>STARTING SPEC DEVELOPMENT VALUE</t>
  </si>
  <si>
    <t>Vertical Const. Costs Scalar</t>
  </si>
  <si>
    <t>EQUITY to SPEC DEV VALUE (ETV)</t>
  </si>
  <si>
    <t>EQUITY MULTIPLE</t>
  </si>
  <si>
    <t>LOAN to COST (LTC)</t>
  </si>
  <si>
    <t>ROI</t>
  </si>
  <si>
    <t>LOAN to VALUE (LTV)</t>
  </si>
  <si>
    <t>Current Assumptions</t>
  </si>
  <si>
    <t>- TOTAL PROJECT COST</t>
  </si>
  <si>
    <t>Preferred Members 1 (PM1) Returns</t>
  </si>
  <si>
    <t>Interest</t>
  </si>
  <si>
    <t>Total PM Distributions</t>
  </si>
  <si>
    <t>Total PM Contributions</t>
  </si>
  <si>
    <t>PM Net Profit / Cash Flows</t>
  </si>
  <si>
    <t>PM IRR</t>
  </si>
  <si>
    <t>PM Equity Multiple</t>
  </si>
  <si>
    <t>Preferred Members 2 (PM2) Returns</t>
  </si>
  <si>
    <t>Preferred Returns</t>
  </si>
  <si>
    <t>Common Members (CM) Returns</t>
  </si>
  <si>
    <t>Total CM Contributions</t>
  </si>
  <si>
    <t>CM Net Profit/ Cash Flows</t>
  </si>
  <si>
    <t>CM Total Cash Flows</t>
  </si>
  <si>
    <t>Total Return</t>
  </si>
  <si>
    <t>Invested Capital</t>
  </si>
  <si>
    <t>Check</t>
  </si>
  <si>
    <t>CLARENDON - LAND &amp; HOME DEVELOPMENT</t>
  </si>
  <si>
    <t>Checks</t>
  </si>
  <si>
    <t>Year Beginning</t>
  </si>
  <si>
    <t>Avg Unit Size</t>
  </si>
  <si>
    <t>A-</t>
  </si>
  <si>
    <t>Pondside Cabins @ Event Barn (13ea)</t>
  </si>
  <si>
    <t>B-</t>
  </si>
  <si>
    <t xml:space="preserve">Village Cabins (13ea) </t>
  </si>
  <si>
    <t>C-</t>
  </si>
  <si>
    <t>Village Cottages (13ea)</t>
  </si>
  <si>
    <t>D-</t>
  </si>
  <si>
    <t xml:space="preserve">Guest Cabins @ Fitness Spa (13ea) </t>
  </si>
  <si>
    <t>F-</t>
  </si>
  <si>
    <t>Jimmy Creek Homes (4ea)</t>
  </si>
  <si>
    <t>G-</t>
  </si>
  <si>
    <t>Bench Homesites (15ea)</t>
  </si>
  <si>
    <t>H-</t>
  </si>
  <si>
    <t>Forest Homesites (10ea)</t>
  </si>
  <si>
    <t>Improved  Value Before Escalation</t>
  </si>
  <si>
    <t>J-</t>
  </si>
  <si>
    <t>Hillside Homesites (10ea)</t>
  </si>
  <si>
    <t>E-</t>
  </si>
  <si>
    <t>Village Homesites (6ea)</t>
  </si>
  <si>
    <t>K-</t>
  </si>
  <si>
    <t>Deer Creek Homesites (5ea + 1 lot used for Clubhouse)</t>
  </si>
  <si>
    <t>sf</t>
  </si>
  <si>
    <t>Check on Sales &amp; Build out</t>
  </si>
  <si>
    <t>Sales Price Escalation / Residential Sales Sqft Price</t>
  </si>
  <si>
    <t>Average Res Unit Sales Price</t>
  </si>
  <si>
    <t>EQUITY INVESTMENT</t>
  </si>
  <si>
    <t>MTN ORIGINS - PURSUIT CAPITAL</t>
  </si>
  <si>
    <t>JV - EQUITY CAPITAL</t>
  </si>
  <si>
    <t>Force to 40mm for total</t>
  </si>
  <si>
    <t>LTC Year 0+1</t>
  </si>
  <si>
    <t>JV BRIDGE LOAN</t>
  </si>
  <si>
    <t>SELLER FINANCE</t>
  </si>
  <si>
    <t>EB5 - MEZZ DEBT</t>
  </si>
  <si>
    <t>DEV LOAN - DEV COSTS</t>
  </si>
  <si>
    <t>LTC Total</t>
  </si>
  <si>
    <t>DEV LOAN - FINANCING / RESERVE</t>
  </si>
  <si>
    <t>VALUE CREATED POST PUD of 80 ACRES</t>
  </si>
  <si>
    <t>LAND SALE TO AMENITY</t>
  </si>
  <si>
    <t>Construction Start Draw + Foundation Complete</t>
  </si>
  <si>
    <t>MEP 4-way + Finishes Start Draw</t>
  </si>
  <si>
    <t>Unit Reservations w/ Membership Purchase (50/50)</t>
  </si>
  <si>
    <t>average $/sf</t>
  </si>
  <si>
    <t>Project Acquisition</t>
  </si>
  <si>
    <t>Asset Acquisition Fee (based on total project initial value Equity + Debt)</t>
  </si>
  <si>
    <t>Closing Costs</t>
  </si>
  <si>
    <t>HARD COSTS - SITE, RESTORATION &amp; INFRASTRUCTURE</t>
  </si>
  <si>
    <t>Internal Road: Base + Gravel Finish @ Lower 80</t>
  </si>
  <si>
    <t>Internal Road: Base + Gravel Finish @ 45 Lots</t>
  </si>
  <si>
    <t>Internal Road: Paving @ 45 Lots</t>
  </si>
  <si>
    <t>County/USFS Road: BASE + GRAVEL FINISH @ end of existing</t>
  </si>
  <si>
    <t>County/USFS Road: PAVING @ end of existing to back gate</t>
  </si>
  <si>
    <t>Road: Bridges (1)  @ Spillway</t>
  </si>
  <si>
    <t>Utilities: County/USFS Power Trench+Line (4.5 miles)</t>
  </si>
  <si>
    <t>Utilities: Power &amp; Transformers @ 45 Lots (8,500 LF)</t>
  </si>
  <si>
    <t>Utilities: Comm. Distrib. @ 45 Lots (8,500 LF)</t>
  </si>
  <si>
    <t>Utilities: Water Main @ 45 Lots</t>
  </si>
  <si>
    <t>Utilities: Water Wells, Pumps &amp; Backup Power Requirements</t>
  </si>
  <si>
    <t>Utilities: Lift Station @ 45 Lots (8,500 LF)</t>
  </si>
  <si>
    <t>Utilities: Sewer Treatment Drainfield Sys (4 EA)</t>
  </si>
  <si>
    <t>Utilities: Geothermal Infrastructure @ 45 Lots</t>
  </si>
  <si>
    <t>Landscape: Early Plantings in Public Areas</t>
  </si>
  <si>
    <t>Infrastructure (Utilities &amp; Driveway)</t>
  </si>
  <si>
    <t>/LOT</t>
  </si>
  <si>
    <t>Vertical Construction Costs</t>
  </si>
  <si>
    <t>AVE / HOME</t>
  </si>
  <si>
    <t>Landscape / Hardscape</t>
  </si>
  <si>
    <t>Construction Management</t>
  </si>
  <si>
    <t>SOFT COSTS PROFESSIONALS - FINAL ENTITLEMENTS &amp; SITE INFRA.</t>
  </si>
  <si>
    <t>Land Planning &amp; PUD App Prep/Revisions (15% of Cost)</t>
  </si>
  <si>
    <t>Future Entitlement Management Overhead</t>
  </si>
  <si>
    <t>Civil, Surveying &amp; PUD App Prep/Revisions (10% of Infra Cost)</t>
  </si>
  <si>
    <t>Traffic, Enviro, Economist &amp; Misc. Studies</t>
  </si>
  <si>
    <t>SOFT COSTS PROFESSIONALS - HOMES</t>
  </si>
  <si>
    <t>4 Designs + 40 Site Adapts Assumed</t>
  </si>
  <si>
    <t>Planning &amp; Arch Concepts (4 prototype designs, amenities, etc.)</t>
  </si>
  <si>
    <t>/HOME</t>
  </si>
  <si>
    <t>Liability Insurance (Annual)</t>
  </si>
  <si>
    <t xml:space="preserve">Developer Overhead </t>
  </si>
  <si>
    <t xml:space="preserve">Seller Finance Loan - Beginning Balance </t>
  </si>
  <si>
    <t>Seller Finance Loan - Interest</t>
  </si>
  <si>
    <t>Seller Finance Loan - Cost of Loan</t>
  </si>
  <si>
    <t>Seller Finance Loan - Balance Repayment</t>
  </si>
  <si>
    <t>Origination Loan / Equity Financing</t>
  </si>
  <si>
    <t>Development Loan - Fees (Origination + Extension)</t>
  </si>
  <si>
    <t>Year 1-3 Dev Cost</t>
  </si>
  <si>
    <t>Yr 1-3 Sales Revenue</t>
  </si>
  <si>
    <t>Net Dev Cost</t>
  </si>
  <si>
    <t>JV Bridge Loan - Interest</t>
  </si>
  <si>
    <t>Max</t>
  </si>
  <si>
    <t>JV Bridge Loan - Fees</t>
  </si>
  <si>
    <t>JV Bridge Loan - Balance Repayment</t>
  </si>
  <si>
    <t>Equity + EB5</t>
  </si>
  <si>
    <t>JV Bridge Loan - Ending Balance</t>
  </si>
  <si>
    <t>EB-5 Debt - Beginning Balance (100% L+H EB-5 + % of A + H EB-5)</t>
  </si>
  <si>
    <t>EB-5 Debt - Interest</t>
  </si>
  <si>
    <t xml:space="preserve">EB-5 Debt - Origination Fees </t>
  </si>
  <si>
    <t>EB-5 Debt - Exit Fee</t>
  </si>
  <si>
    <t>EB-5 Debt - Balance Repayment</t>
  </si>
  <si>
    <t>EB-5 Debt - Ending Balance</t>
  </si>
  <si>
    <t>Equity Placement Fee</t>
  </si>
  <si>
    <t>FINANCING COSTS ONLY</t>
  </si>
  <si>
    <t>EQUITY INVESTMENT &amp; DISTRIBUTIONS</t>
  </si>
  <si>
    <t>Post Sale Event - Sinking Fund (EB-5)</t>
  </si>
  <si>
    <t>Cumulative Sinking Fund (EB-5)</t>
  </si>
  <si>
    <t>JV Investor LP</t>
  </si>
  <si>
    <t>Pref Accrual</t>
  </si>
  <si>
    <t>Ending Invested Capital</t>
  </si>
  <si>
    <t>Cash Flow</t>
  </si>
  <si>
    <t>MO Investor LP</t>
  </si>
  <si>
    <t>Cash Flow/ IRR</t>
  </si>
  <si>
    <t>Remaining Capital for Profit Split</t>
  </si>
  <si>
    <t>LP INVESTOR Net Cash Flow / IRR</t>
  </si>
  <si>
    <t>Post Pref Profit Split: JV Investor LP</t>
  </si>
  <si>
    <t>Post Pref Profit Split: MO Investor LP</t>
  </si>
  <si>
    <t>Post Pref Profit Split: MO/JV JV GP</t>
  </si>
  <si>
    <t>Profit Split - 18% - 30% IRR</t>
  </si>
  <si>
    <t>Profit &gt;30%</t>
  </si>
  <si>
    <t>Profit Split: MO/JV JV GP</t>
  </si>
  <si>
    <t>Total JV Investor LP Distributions</t>
  </si>
  <si>
    <t>Total MO Investor LP Distributions</t>
  </si>
  <si>
    <t>Total MO/JV JV GP Distributions</t>
  </si>
  <si>
    <t>Between Between 1.1 &amp; 1.4</t>
  </si>
  <si>
    <t>UNIT SALES SCENARIO ANALYSIS</t>
  </si>
  <si>
    <t>IRR Check</t>
  </si>
  <si>
    <t>Average Unit Sales $</t>
  </si>
  <si>
    <t>Project Equity Multiple</t>
  </si>
  <si>
    <t>Project IRR</t>
  </si>
  <si>
    <t>Baseline</t>
  </si>
  <si>
    <t>UPSIDE</t>
  </si>
  <si>
    <t>Presale Draws</t>
  </si>
  <si>
    <t>None</t>
  </si>
  <si>
    <t>Equity</t>
  </si>
  <si>
    <t>75 mm</t>
  </si>
  <si>
    <t>45 mm</t>
  </si>
  <si>
    <t>DEV LOAN</t>
  </si>
  <si>
    <t>Unit Price</t>
  </si>
  <si>
    <t>Debt</t>
  </si>
  <si>
    <t>51mm</t>
  </si>
  <si>
    <t>Membership Buy In</t>
  </si>
  <si>
    <t>50k</t>
  </si>
  <si>
    <t>120k</t>
  </si>
  <si>
    <t>HOME SALES SUMMARY</t>
  </si>
  <si>
    <t>Home Sales Summary  - L+H</t>
  </si>
  <si>
    <t>Gross Unit Sales Revenue</t>
  </si>
  <si>
    <t>Unit Construction Costs</t>
  </si>
  <si>
    <t>Brokerage Expenses &amp; Closing Fees</t>
  </si>
  <si>
    <t>Net Profit</t>
  </si>
  <si>
    <t>Home Sales Summary  - A+H</t>
  </si>
  <si>
    <t>Home Sales Summary  - Combined</t>
  </si>
  <si>
    <t>48mo Total</t>
  </si>
  <si>
    <t>Month Beginning</t>
  </si>
  <si>
    <t>CASH BALANCE:</t>
  </si>
  <si>
    <t>TOTAL PROJECT REVENUE:</t>
  </si>
  <si>
    <t>Profit Split Rebalance</t>
  </si>
  <si>
    <t>CLARENDON - AMENITY + HOTEL DEVELOPMENT: PROFORMA</t>
  </si>
  <si>
    <t>Operations Proforma</t>
  </si>
  <si>
    <t>Price/ Unit</t>
  </si>
  <si>
    <t>Total Leaseable/Sellable SQFT</t>
  </si>
  <si>
    <t>Sales Price Escalation / Hotel RECAP Price</t>
  </si>
  <si>
    <t xml:space="preserve">Lodge Rooms Sales Price PSF </t>
  </si>
  <si>
    <t xml:space="preserve">Cabins Sales Price PSF </t>
  </si>
  <si>
    <t>Cabins</t>
  </si>
  <si>
    <t>Cottages Sales Price PSF</t>
  </si>
  <si>
    <t>Auton. Tent Sales Price PSF</t>
  </si>
  <si>
    <t>FINANCING</t>
  </si>
  <si>
    <r>
      <rPr>
        <sz val="12"/>
        <color rgb="FF000000"/>
        <rFont val="Calibri"/>
        <family val="2"/>
        <scheme val="minor"/>
      </rPr>
      <t>LAND EQUITY IN 80 ACRES</t>
    </r>
    <r>
      <rPr>
        <sz val="12"/>
        <color rgb="FFFF0000"/>
        <rFont val="Calibri"/>
        <family val="2"/>
        <scheme val="minor"/>
      </rPr>
      <t xml:space="preserve"> - $15M in Equity derived from PUD</t>
    </r>
  </si>
  <si>
    <t>Ending Cash</t>
  </si>
  <si>
    <t>OPERATING INCOME</t>
  </si>
  <si>
    <t>GROSS OPERATING PROFIT</t>
  </si>
  <si>
    <t>VACANCY LOSS DURING STABILIZATION Hotel</t>
  </si>
  <si>
    <t>REALIZED NET OPERATING INCOME</t>
  </si>
  <si>
    <t>NO. OF MEMBERS</t>
  </si>
  <si>
    <t>OTHER INCOME - Member Dues</t>
  </si>
  <si>
    <t>/year per member</t>
  </si>
  <si>
    <t>TOTAL NET OPERATING INCOME (NOI)</t>
  </si>
  <si>
    <t>UNIT SALES - Lodge Rooms</t>
  </si>
  <si>
    <t>UNIT SALES - Cabins</t>
  </si>
  <si>
    <t>UNIT SALES - Cottages</t>
  </si>
  <si>
    <t>UNIT SALES - Auton. Tents</t>
  </si>
  <si>
    <t>TOTAL UNIT SALES</t>
  </si>
  <si>
    <t>HOTEL DISPOSITION</t>
  </si>
  <si>
    <t>SALE VALUE</t>
  </si>
  <si>
    <t>HOTEL SALE PROCEEDS / DISPOSITION</t>
  </si>
  <si>
    <t>LAND &amp; PROJECT ACQUISITION COSTS</t>
  </si>
  <si>
    <t>Incl L+H Profroma</t>
  </si>
  <si>
    <t>LAND ACQUISITION COSTS</t>
  </si>
  <si>
    <t>of TOTAL DISPOSITION</t>
  </si>
  <si>
    <t>VERTICAL CONSTRUCTION COSTS</t>
  </si>
  <si>
    <t>Bldg(s) SF</t>
  </si>
  <si>
    <t>Phase 1 - Amenity Build Out</t>
  </si>
  <si>
    <t>Clubhouse for Residents</t>
  </si>
  <si>
    <t>Clubhouse - Deck, Lawn, etc.</t>
  </si>
  <si>
    <t>Hot Springs Pools &amp; Decks</t>
  </si>
  <si>
    <t>Hot Springs Changing Hut/Bthrm/Shower</t>
  </si>
  <si>
    <t>Minor Operating Dept. (Sporting Clays, etc.)</t>
  </si>
  <si>
    <t>Gear/Toy Storage</t>
  </si>
  <si>
    <t>FF&amp;E Budget</t>
  </si>
  <si>
    <t>Phase 2 - Amenity Build Out</t>
  </si>
  <si>
    <t>Event Center</t>
  </si>
  <si>
    <t>Event Center - Deck, Lawn, Amphitheater</t>
  </si>
  <si>
    <t>Minor Operating Dept. (Adventure Prog., etc.)</t>
  </si>
  <si>
    <t>Guest Rooms, Cabins, Cottages &amp; Auton. Tents</t>
  </si>
  <si>
    <t>Rooms: Circulation &amp; Exterior Spaces</t>
  </si>
  <si>
    <t>ADU Exterior Spaces (decks, patios, etc.)</t>
  </si>
  <si>
    <t>Guest Rooms Vertical Construction Costs</t>
  </si>
  <si>
    <t>Sold Units Only</t>
  </si>
  <si>
    <t>Lodge + Restaurant</t>
  </si>
  <si>
    <t>Reception + Lobby</t>
  </si>
  <si>
    <t>Restaurant (Dining Room, Bar)</t>
  </si>
  <si>
    <t>Back of House (kitchen, offices, etc.)</t>
  </si>
  <si>
    <t>Outdoor Dining Deck + Fire Pit</t>
  </si>
  <si>
    <t>Restaurant + Conf Center Vertical Construction Costs</t>
  </si>
  <si>
    <t>Spa / Wellness Center</t>
  </si>
  <si>
    <t>Reception / FOH</t>
  </si>
  <si>
    <t>Treatment Rooms</t>
  </si>
  <si>
    <t>Locker Room</t>
  </si>
  <si>
    <t>Back of House</t>
  </si>
  <si>
    <r>
      <t xml:space="preserve">Pool Deck </t>
    </r>
    <r>
      <rPr>
        <sz val="12"/>
        <color theme="1"/>
        <rFont val="Calibri"/>
        <family val="2"/>
        <scheme val="minor"/>
      </rPr>
      <t>(Entry, Pool, Firepit)</t>
    </r>
  </si>
  <si>
    <t>Spa / Wellness Center/ Bar Vertical Construction Costs</t>
  </si>
  <si>
    <t>Developer Contingency</t>
  </si>
  <si>
    <t>TOTAL VERTICAL CONSTRUCTION COSTS</t>
  </si>
  <si>
    <t>Completed Building Count:</t>
  </si>
  <si>
    <t xml:space="preserve">HARD COSTS - SITE </t>
  </si>
  <si>
    <t>Infrastructure (Utilities &amp; Driveways)</t>
  </si>
  <si>
    <t>Internal Road: Paving @ Lower 80</t>
  </si>
  <si>
    <t>Utilities: Power &amp; Transformers @ Lower 80 (4,000 LF)</t>
  </si>
  <si>
    <t>Utilities: Comm. Distrib. @ Lower 80 (4,000 LF)</t>
  </si>
  <si>
    <t>Utilities: Water Main @ Lower 80</t>
  </si>
  <si>
    <t>Utilities: Sewer Main @ Resort &amp; Meadow Lots (4,000 LF)</t>
  </si>
  <si>
    <t>Utilities: Sewer Septic Tank &amp; Sys @ Resort</t>
  </si>
  <si>
    <t>Utilities: Sewer Drainfield Dosing Chamber &amp; Piping</t>
  </si>
  <si>
    <t>Utilities: Geothermal Infrastructure @ Lower 80</t>
  </si>
  <si>
    <t>Landscape: Dredge Silt from 3 Ponds</t>
  </si>
  <si>
    <t>Landscape: Dredge, Liner, Ballast &amp; Plant @ Cooling Pond (1)</t>
  </si>
  <si>
    <t>Landscape: Wetlands Improvement</t>
  </si>
  <si>
    <t>Landcape: Irrigation in Public Areas</t>
  </si>
  <si>
    <t>Landscape/Hardscape @ Structures</t>
  </si>
  <si>
    <t>SOFT COSTS - PROFESSIONALS</t>
  </si>
  <si>
    <t>Civil Engineering (% of Infra Const)</t>
  </si>
  <si>
    <t>Architecture (% of Vertical Const)</t>
  </si>
  <si>
    <t>Architectural CA (% of Vertical Const)</t>
  </si>
  <si>
    <t>Landscape Arch. &amp; Planning (% of Cost)</t>
  </si>
  <si>
    <t>Landscape CA (% of Cost)</t>
  </si>
  <si>
    <t>Struct/Elec/Precon/Interiors ($/SF)</t>
  </si>
  <si>
    <t>Struct/Elec/Precon/Interiors CA ($/SF)</t>
  </si>
  <si>
    <t>CPA costs</t>
  </si>
  <si>
    <t>Hotel Disposition Fees</t>
  </si>
  <si>
    <t>County Building Permit Fees (% of Vertical Const)</t>
  </si>
  <si>
    <t>HOA Dues</t>
  </si>
  <si>
    <t>Dev OH / Asset Mngmt (% of COSTS sans LAND)</t>
  </si>
  <si>
    <t>Est. EB-5 Financing Costs Yr 0-3</t>
  </si>
  <si>
    <t>Year 0-3 Construction Costs</t>
  </si>
  <si>
    <t>Year 0-3 Unit Sales + NOI</t>
  </si>
  <si>
    <t>Beginning Balance</t>
  </si>
  <si>
    <t>Year 0-3 Net Dev Cost</t>
  </si>
  <si>
    <t>Fees</t>
  </si>
  <si>
    <t>Balance Repayment</t>
  </si>
  <si>
    <t>Ending Balance</t>
  </si>
  <si>
    <t>EB-5</t>
  </si>
  <si>
    <t>Perm Loan</t>
  </si>
  <si>
    <t>Year 5 Refi Loan / Equity Financing</t>
  </si>
  <si>
    <t>Loan Disbursement</t>
  </si>
  <si>
    <t>Stabilized NOI</t>
  </si>
  <si>
    <t>Mortgage Payment</t>
  </si>
  <si>
    <t>Cap Rate (Terminal)</t>
  </si>
  <si>
    <t>Loan Fees &amp; Transaction Costs</t>
  </si>
  <si>
    <t>Property Value</t>
  </si>
  <si>
    <t>EB-5 Debt</t>
  </si>
  <si>
    <t>Beginning Balance (Remaining portion of EB-5 not covered by L+H)</t>
  </si>
  <si>
    <t>Payment</t>
  </si>
  <si>
    <t xml:space="preserve">Origination Fees </t>
  </si>
  <si>
    <t>Payoff Value</t>
  </si>
  <si>
    <t>Exit Fee</t>
  </si>
  <si>
    <t>Origination Fee</t>
  </si>
  <si>
    <t>Profit Split - 0% - 15% IRR</t>
  </si>
  <si>
    <t>JV Net Cash Flow / IRR</t>
  </si>
  <si>
    <t>Profit Split - 15% - 25% IRR</t>
  </si>
  <si>
    <t>Profit Split - 25%+ IRR</t>
  </si>
  <si>
    <t>CASH RESERVES DRAW</t>
  </si>
  <si>
    <t>HARD COSTS - SITE</t>
  </si>
  <si>
    <t>CASH RESERVES BUILD</t>
  </si>
  <si>
    <t xml:space="preserve">Home Sales Summary </t>
  </si>
  <si>
    <t>10-Year Monthly Operating Cash Flow</t>
  </si>
  <si>
    <t>Year</t>
  </si>
  <si>
    <t>Lodging Revenue</t>
  </si>
  <si>
    <t>Monthly Occupancy</t>
  </si>
  <si>
    <t>Total Room Revenue</t>
  </si>
  <si>
    <t>Rooms Cost</t>
  </si>
  <si>
    <t>Hotel Room Gross Operating Profit</t>
  </si>
  <si>
    <t>Condo Owner Revenue Share - Villa/ Cabin</t>
  </si>
  <si>
    <t>Condo Owner Revenue Share - Cottages</t>
  </si>
  <si>
    <t>Hotel Room Net Operating Profit</t>
  </si>
  <si>
    <t>Bar Revenue</t>
  </si>
  <si>
    <t>Food &amp; Beverage COS</t>
  </si>
  <si>
    <t>Bar Food &amp; Beverage Profit</t>
  </si>
  <si>
    <t>Spa / Wellness Center Revenue</t>
  </si>
  <si>
    <t>Spa / Wellness Center COS</t>
  </si>
  <si>
    <t>Spa / Wellness Center Profit</t>
  </si>
  <si>
    <t>Max Event Center Revenue</t>
  </si>
  <si>
    <t>Occ. Adj. Conf Center Revenue</t>
  </si>
  <si>
    <t>Food &amp; Beverage Commission</t>
  </si>
  <si>
    <t>Events Profit</t>
  </si>
  <si>
    <t>Food &amp; Beverage Revenue</t>
  </si>
  <si>
    <t>Food &amp; Beverage Profit</t>
  </si>
  <si>
    <t>Departmental Profit</t>
  </si>
  <si>
    <t>Total Revenue</t>
  </si>
  <si>
    <t>Credit Card Commissions</t>
  </si>
  <si>
    <t>Undistributed Operating Expenses</t>
  </si>
  <si>
    <t>Gross Operating Profit</t>
  </si>
  <si>
    <t>Operator Management Fee</t>
  </si>
  <si>
    <t>Operator Sales &amp; Marketing Fee</t>
  </si>
  <si>
    <t>Income Before Fixed Charges</t>
  </si>
  <si>
    <t>Property Tax and Other Taxes</t>
  </si>
  <si>
    <t>Total Non-Operating Income &amp; Expenses</t>
  </si>
  <si>
    <t>EBITDA</t>
  </si>
  <si>
    <t>10-Year Annual Operating Cash Flow</t>
  </si>
  <si>
    <t>Avg Annual Occupancy</t>
  </si>
  <si>
    <t>Annual Operating Cash Flow</t>
  </si>
  <si>
    <t>Operating Year</t>
  </si>
  <si>
    <t>Inflation</t>
  </si>
  <si>
    <t>Number of Rooms</t>
  </si>
  <si>
    <t>Available Rooms</t>
  </si>
  <si>
    <t>Occupied Rooms</t>
  </si>
  <si>
    <t>Occupancy</t>
  </si>
  <si>
    <t>RevPAR</t>
  </si>
  <si>
    <t xml:space="preserve">  </t>
  </si>
  <si>
    <t>Revenues</t>
  </si>
  <si>
    <t>Rooms</t>
  </si>
  <si>
    <t>Food &amp; Beverage</t>
  </si>
  <si>
    <t>Bar</t>
  </si>
  <si>
    <t>Spa/ Wellness Center</t>
  </si>
  <si>
    <t>Miscellaneous Income</t>
  </si>
  <si>
    <t>Departmental Expenses</t>
  </si>
  <si>
    <t>Condo Owner Room Revenue Share</t>
  </si>
  <si>
    <t>Other Operated Departments</t>
  </si>
  <si>
    <t>Miscellaneous Expense</t>
  </si>
  <si>
    <t>Total Departmental Expenses</t>
  </si>
  <si>
    <t>Administrative &amp; General</t>
  </si>
  <si>
    <t>`</t>
  </si>
  <si>
    <t>Property Operations &amp; Utilities</t>
  </si>
  <si>
    <t>Total Undistributed Expenses</t>
  </si>
  <si>
    <t>Non-Operating Income &amp; Expenses</t>
  </si>
  <si>
    <t>Reserve for Replacement</t>
  </si>
  <si>
    <t>EBITDA Less Replacement Reserve</t>
  </si>
  <si>
    <t>Prior EBITDA</t>
  </si>
  <si>
    <t>CLARENDON - AMENITY + HOTEL DEVELOPMENT: RETURNS</t>
  </si>
  <si>
    <t>Year 5 DSCR</t>
  </si>
  <si>
    <t>Year 5 NOI / Invested Capital</t>
  </si>
  <si>
    <t>Disposition Cap Rate</t>
  </si>
  <si>
    <t>Disposition Property Value</t>
  </si>
  <si>
    <t>Sinking Fund</t>
  </si>
  <si>
    <t>Homes Sales</t>
  </si>
  <si>
    <t>Hotel Sales</t>
  </si>
  <si>
    <t>Total Sinking Fund</t>
  </si>
  <si>
    <t>Cumulative Sinking Fund</t>
  </si>
  <si>
    <t>Profit Split - 0% - 10% IRR</t>
  </si>
  <si>
    <t>Profit Split - 10% - 18% 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</si>
</sst>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0&quot;X&quot;"/>
    <numFmt numFmtId="167" formatCode="_(* #,##0.0_);_(* \(#,##0.0\);_(* &quot;-&quot;??_);_(@_)"/>
    <numFmt numFmtId="168" formatCode="&quot;$&quot;#,##0"/>
    <numFmt numFmtId="169" formatCode="&quot;$&quot;#,##0.00"/>
    <numFmt numFmtId="170" formatCode="_(&quot;$&quot;* #,##0_);_(&quot;$&quot;* \(#,##0\);_(&quot;$&quot;* &quot;-&quot;??_);_(@_)"/>
    <numFmt numFmtId="171" formatCode="0.00&quot;x&quot;"/>
    <numFmt numFmtId="172" formatCode="_(* #,##0_);_(* \(#,##0\);_(* &quot;-&quot;?_);_(@_)"/>
    <numFmt numFmtId="173" formatCode="0.0000%"/>
    <numFmt numFmtId="174" formatCode="0_);[Red]\(0\)"/>
    <numFmt numFmtId="175" formatCode="mmmm"/>
    <numFmt numFmtId="176" formatCode="&quot;Weekends&quot;;;&quot;Daily&quot;"/>
    <numFmt numFmtId="177" formatCode="&quot;Month&quot;\ 0"/>
    <numFmt numFmtId="178" formatCode="&quot;Year&quot;\ 0"/>
    <numFmt numFmtId="179" formatCode="0&quot;x&quot;"/>
    <numFmt numFmtId="180" formatCode="[$-409]d\-mmm;@"/>
    <numFmt numFmtId="181" formatCode="&quot;Year&quot;\ 0&quot;+&quot;"/>
    <numFmt numFmtId="182" formatCode="#,##0;\(#,##0\);&quot;-&quot;"/>
    <numFmt numFmtId="183" formatCode="0.0%;\(0.0%\);&quot;-&quot;"/>
    <numFmt numFmtId="184" formatCode="#,##0,;\(#,##0,\);&quot;-&quot;"/>
  </numFmts>
  <fonts count="7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name val="Calibri"/>
      <family val="2"/>
      <scheme val="minor"/>
    </font>
    <font>
      <sz val="12"/>
      <color rgb="FF0070C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rgb="FF000000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444444"/>
      <name val="Calibri"/>
      <family val="2"/>
    </font>
    <font>
      <i/>
      <sz val="12"/>
      <color theme="0" tint="-0.34998626667073579"/>
      <name val="Calibri"/>
      <family val="2"/>
      <scheme val="minor"/>
    </font>
    <font>
      <sz val="12"/>
      <color rgb="FF0000FF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i/>
      <sz val="12"/>
      <color theme="4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sz val="12"/>
      <color theme="8"/>
      <name val="Calibri"/>
      <family val="2"/>
      <scheme val="minor"/>
    </font>
    <font>
      <i/>
      <sz val="12"/>
      <color theme="0" tint="-0.249977111117893"/>
      <name val="Calibri"/>
      <family val="2"/>
      <scheme val="minor"/>
    </font>
    <font>
      <sz val="12"/>
      <color theme="0" tint="-0.14999847407452621"/>
      <name val="Calibri"/>
      <family val="2"/>
      <scheme val="minor"/>
    </font>
    <font>
      <i/>
      <sz val="12"/>
      <color rgb="FF000000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2"/>
      <color rgb="FF444444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strike/>
      <sz val="12"/>
      <color theme="4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color theme="8" tint="-0.249977111117893"/>
      <name val="Calibri"/>
      <family val="2"/>
      <scheme val="minor"/>
    </font>
    <font>
      <u/>
      <sz val="12"/>
      <name val="Calibri"/>
      <family val="2"/>
      <scheme val="minor"/>
    </font>
    <font>
      <sz val="12"/>
      <color rgb="FF00B050"/>
      <name val="Calibri"/>
      <family val="2"/>
      <scheme val="minor"/>
    </font>
    <font>
      <i/>
      <sz val="12"/>
      <color rgb="FF00B05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9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color theme="9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i/>
      <sz val="10"/>
      <name val="Calibri"/>
      <family val="2"/>
      <scheme val="minor"/>
    </font>
    <font>
      <b/>
      <i/>
      <sz val="12"/>
      <color theme="0" tint="-0.34998626667073579"/>
      <name val="Calibri"/>
      <family val="2"/>
      <scheme val="minor"/>
    </font>
    <font>
      <i/>
      <u/>
      <sz val="12"/>
      <color theme="0" tint="-0.34998626667073579"/>
      <name val="Calibri"/>
      <family val="2"/>
      <scheme val="minor"/>
    </font>
    <font>
      <sz val="12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lightUp"/>
    </fill>
    <fill>
      <patternFill patternType="lightUp"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indexed="64"/>
      </top>
      <bottom style="thin">
        <color theme="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double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dashed">
        <color indexed="64"/>
      </top>
      <bottom/>
      <diagonal/>
    </border>
  </borders>
  <cellStyleXfs count="21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4" fillId="6" borderId="4" applyNumberFormat="0" applyAlignment="0" applyProtection="0"/>
    <xf numFmtId="44" fontId="8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0" fillId="0" borderId="0"/>
    <xf numFmtId="0" fontId="60" fillId="0" borderId="0"/>
    <xf numFmtId="9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5">
    <xf numFmtId="0" fontId="0" fillId="0" borderId="0" xfId="0"/>
    <xf numFmtId="0" fontId="4" fillId="3" borderId="1" xfId="0" applyFont="1" applyFill="1" applyBorder="1"/>
    <xf numFmtId="0" fontId="0" fillId="4" borderId="0" xfId="0" applyFill="1"/>
    <xf numFmtId="0" fontId="9" fillId="0" borderId="0" xfId="0" applyFont="1"/>
    <xf numFmtId="0" fontId="10" fillId="0" borderId="0" xfId="0" applyFont="1"/>
    <xf numFmtId="0" fontId="0" fillId="0" borderId="2" xfId="0" applyBorder="1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/>
    <xf numFmtId="164" fontId="11" fillId="0" borderId="0" xfId="1" applyNumberFormat="1" applyFont="1"/>
    <xf numFmtId="164" fontId="0" fillId="0" borderId="0" xfId="0" applyNumberFormat="1"/>
    <xf numFmtId="164" fontId="0" fillId="0" borderId="0" xfId="1" applyNumberFormat="1" applyFont="1"/>
    <xf numFmtId="164" fontId="13" fillId="0" borderId="0" xfId="1" applyNumberFormat="1" applyFont="1"/>
    <xf numFmtId="10" fontId="13" fillId="0" borderId="0" xfId="0" applyNumberFormat="1" applyFont="1"/>
    <xf numFmtId="9" fontId="12" fillId="0" borderId="0" xfId="0" applyNumberFormat="1" applyFont="1"/>
    <xf numFmtId="164" fontId="11" fillId="0" borderId="0" xfId="0" applyNumberFormat="1" applyFont="1"/>
    <xf numFmtId="9" fontId="11" fillId="0" borderId="0" xfId="0" applyNumberFormat="1" applyFont="1"/>
    <xf numFmtId="165" fontId="0" fillId="0" borderId="0" xfId="2" applyNumberFormat="1" applyFont="1"/>
    <xf numFmtId="6" fontId="11" fillId="0" borderId="0" xfId="0" applyNumberFormat="1" applyFont="1"/>
    <xf numFmtId="14" fontId="0" fillId="0" borderId="0" xfId="0" applyNumberFormat="1" applyAlignment="1">
      <alignment horizontal="center"/>
    </xf>
    <xf numFmtId="164" fontId="0" fillId="0" borderId="1" xfId="1" applyNumberFormat="1" applyFont="1" applyBorder="1"/>
    <xf numFmtId="164" fontId="0" fillId="0" borderId="1" xfId="0" applyNumberFormat="1" applyBorder="1"/>
    <xf numFmtId="164" fontId="9" fillId="0" borderId="0" xfId="1" applyNumberFormat="1" applyFont="1"/>
    <xf numFmtId="164" fontId="9" fillId="0" borderId="0" xfId="0" applyNumberFormat="1" applyFont="1"/>
    <xf numFmtId="164" fontId="11" fillId="0" borderId="0" xfId="1" applyNumberFormat="1" applyFont="1" applyFill="1"/>
    <xf numFmtId="0" fontId="16" fillId="0" borderId="0" xfId="0" applyFont="1" applyAlignment="1">
      <alignment horizontal="left"/>
    </xf>
    <xf numFmtId="164" fontId="11" fillId="0" borderId="1" xfId="1" applyNumberFormat="1" applyFont="1" applyBorder="1"/>
    <xf numFmtId="10" fontId="13" fillId="0" borderId="3" xfId="0" applyNumberFormat="1" applyFont="1" applyBorder="1"/>
    <xf numFmtId="164" fontId="0" fillId="0" borderId="3" xfId="1" applyNumberFormat="1" applyFont="1" applyBorder="1"/>
    <xf numFmtId="0" fontId="16" fillId="0" borderId="0" xfId="0" applyFont="1"/>
    <xf numFmtId="10" fontId="17" fillId="0" borderId="0" xfId="0" applyNumberFormat="1" applyFont="1"/>
    <xf numFmtId="164" fontId="12" fillId="0" borderId="0" xfId="1" applyNumberFormat="1" applyFont="1"/>
    <xf numFmtId="9" fontId="0" fillId="0" borderId="0" xfId="2" applyFont="1"/>
    <xf numFmtId="0" fontId="10" fillId="5" borderId="0" xfId="0" applyFont="1" applyFill="1"/>
    <xf numFmtId="164" fontId="0" fillId="5" borderId="0" xfId="1" applyNumberFormat="1" applyFont="1" applyFill="1"/>
    <xf numFmtId="164" fontId="4" fillId="3" borderId="0" xfId="1" applyNumberFormat="1" applyFont="1" applyFill="1"/>
    <xf numFmtId="164" fontId="4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5" fontId="0" fillId="0" borderId="1" xfId="2" applyNumberFormat="1" applyFont="1" applyBorder="1"/>
    <xf numFmtId="165" fontId="0" fillId="0" borderId="0" xfId="0" applyNumberFormat="1"/>
    <xf numFmtId="165" fontId="4" fillId="3" borderId="0" xfId="0" applyNumberFormat="1" applyFont="1" applyFill="1" applyAlignment="1">
      <alignment horizontal="center"/>
    </xf>
    <xf numFmtId="0" fontId="18" fillId="0" borderId="0" xfId="0" applyFont="1"/>
    <xf numFmtId="165" fontId="11" fillId="0" borderId="0" xfId="0" applyNumberFormat="1" applyFont="1"/>
    <xf numFmtId="0" fontId="11" fillId="0" borderId="1" xfId="0" applyFont="1" applyBorder="1"/>
    <xf numFmtId="164" fontId="12" fillId="0" borderId="1" xfId="0" applyNumberFormat="1" applyFont="1" applyBorder="1"/>
    <xf numFmtId="164" fontId="11" fillId="0" borderId="0" xfId="1" applyNumberFormat="1" applyFont="1" applyBorder="1"/>
    <xf numFmtId="164" fontId="0" fillId="0" borderId="0" xfId="1" applyNumberFormat="1" applyFont="1" applyBorder="1"/>
    <xf numFmtId="6" fontId="13" fillId="0" borderId="0" xfId="0" applyNumberFormat="1" applyFont="1"/>
    <xf numFmtId="0" fontId="9" fillId="0" borderId="6" xfId="0" applyFont="1" applyBorder="1"/>
    <xf numFmtId="10" fontId="17" fillId="0" borderId="6" xfId="0" applyNumberFormat="1" applyFont="1" applyBorder="1"/>
    <xf numFmtId="164" fontId="9" fillId="0" borderId="6" xfId="0" applyNumberFormat="1" applyFont="1" applyBorder="1"/>
    <xf numFmtId="164" fontId="9" fillId="0" borderId="6" xfId="1" applyNumberFormat="1" applyFont="1" applyBorder="1"/>
    <xf numFmtId="167" fontId="13" fillId="0" borderId="0" xfId="1" applyNumberFormat="1" applyFont="1"/>
    <xf numFmtId="165" fontId="13" fillId="0" borderId="1" xfId="0" applyNumberFormat="1" applyFont="1" applyBorder="1"/>
    <xf numFmtId="0" fontId="9" fillId="4" borderId="0" xfId="0" applyFont="1" applyFill="1"/>
    <xf numFmtId="0" fontId="12" fillId="0" borderId="6" xfId="0" applyFont="1" applyBorder="1" applyAlignment="1">
      <alignment horizontal="center"/>
    </xf>
    <xf numFmtId="164" fontId="0" fillId="0" borderId="6" xfId="1" applyNumberFormat="1" applyFont="1" applyBorder="1"/>
    <xf numFmtId="10" fontId="11" fillId="0" borderId="1" xfId="2" applyNumberFormat="1" applyFont="1" applyBorder="1"/>
    <xf numFmtId="168" fontId="11" fillId="0" borderId="0" xfId="0" applyNumberFormat="1" applyFont="1" applyAlignment="1">
      <alignment horizontal="center"/>
    </xf>
    <xf numFmtId="3" fontId="11" fillId="0" borderId="0" xfId="0" applyNumberFormat="1" applyFont="1"/>
    <xf numFmtId="164" fontId="0" fillId="0" borderId="0" xfId="1" applyNumberFormat="1" applyFont="1" applyFill="1"/>
    <xf numFmtId="165" fontId="13" fillId="0" borderId="0" xfId="2" applyNumberFormat="1" applyFont="1"/>
    <xf numFmtId="165" fontId="9" fillId="0" borderId="0" xfId="0" applyNumberFormat="1" applyFont="1"/>
    <xf numFmtId="43" fontId="11" fillId="0" borderId="0" xfId="1" applyFont="1"/>
    <xf numFmtId="165" fontId="11" fillId="0" borderId="0" xfId="2" applyNumberFormat="1" applyFont="1"/>
    <xf numFmtId="164" fontId="9" fillId="0" borderId="0" xfId="1" applyNumberFormat="1" applyFont="1" applyBorder="1"/>
    <xf numFmtId="164" fontId="12" fillId="0" borderId="0" xfId="1" applyNumberFormat="1" applyFont="1" applyFill="1"/>
    <xf numFmtId="164" fontId="11" fillId="0" borderId="0" xfId="1" applyNumberFormat="1" applyFont="1" applyFill="1" applyBorder="1"/>
    <xf numFmtId="10" fontId="11" fillId="0" borderId="0" xfId="2" applyNumberFormat="1" applyFont="1"/>
    <xf numFmtId="43" fontId="0" fillId="0" borderId="0" xfId="0" applyNumberFormat="1"/>
    <xf numFmtId="164" fontId="13" fillId="0" borderId="0" xfId="1" applyNumberFormat="1" applyFont="1" applyFill="1"/>
    <xf numFmtId="164" fontId="0" fillId="0" borderId="5" xfId="1" applyNumberFormat="1" applyFont="1" applyFill="1" applyBorder="1"/>
    <xf numFmtId="43" fontId="0" fillId="0" borderId="0" xfId="1" applyFont="1"/>
    <xf numFmtId="0" fontId="0" fillId="4" borderId="0" xfId="0" applyFill="1" applyAlignment="1">
      <alignment horizontal="right"/>
    </xf>
    <xf numFmtId="0" fontId="7" fillId="4" borderId="0" xfId="0" applyFont="1" applyFill="1" applyAlignment="1">
      <alignment horizontal="left" indent="1"/>
    </xf>
    <xf numFmtId="0" fontId="21" fillId="0" borderId="0" xfId="0" applyFont="1"/>
    <xf numFmtId="164" fontId="12" fillId="0" borderId="1" xfId="1" applyNumberFormat="1" applyFont="1" applyFill="1" applyBorder="1"/>
    <xf numFmtId="164" fontId="0" fillId="0" borderId="2" xfId="1" applyNumberFormat="1" applyFont="1" applyFill="1" applyBorder="1"/>
    <xf numFmtId="165" fontId="13" fillId="0" borderId="0" xfId="2" applyNumberFormat="1" applyFont="1" applyFill="1"/>
    <xf numFmtId="164" fontId="11" fillId="0" borderId="0" xfId="1" quotePrefix="1" applyNumberFormat="1" applyFont="1" applyFill="1" applyAlignment="1">
      <alignment horizontal="center"/>
    </xf>
    <xf numFmtId="0" fontId="22" fillId="0" borderId="0" xfId="0" applyFont="1"/>
    <xf numFmtId="164" fontId="0" fillId="0" borderId="0" xfId="0" applyNumberFormat="1" applyAlignment="1">
      <alignment horizontal="left" indent="1"/>
    </xf>
    <xf numFmtId="164" fontId="0" fillId="0" borderId="0" xfId="0" quotePrefix="1" applyNumberFormat="1"/>
    <xf numFmtId="165" fontId="13" fillId="0" borderId="0" xfId="0" applyNumberFormat="1" applyFont="1"/>
    <xf numFmtId="0" fontId="16" fillId="0" borderId="6" xfId="0" applyFont="1" applyBorder="1" applyAlignment="1">
      <alignment horizontal="left"/>
    </xf>
    <xf numFmtId="6" fontId="11" fillId="0" borderId="6" xfId="0" applyNumberFormat="1" applyFont="1" applyBorder="1"/>
    <xf numFmtId="0" fontId="23" fillId="0" borderId="0" xfId="0" applyFont="1" applyAlignment="1">
      <alignment horizontal="left"/>
    </xf>
    <xf numFmtId="164" fontId="11" fillId="0" borderId="0" xfId="1" quotePrefix="1" applyNumberFormat="1" applyFont="1"/>
    <xf numFmtId="43" fontId="0" fillId="0" borderId="6" xfId="0" applyNumberFormat="1" applyBorder="1"/>
    <xf numFmtId="165" fontId="11" fillId="0" borderId="0" xfId="2" applyNumberFormat="1" applyFont="1" applyFill="1"/>
    <xf numFmtId="164" fontId="12" fillId="0" borderId="0" xfId="1" applyNumberFormat="1" applyFont="1" applyBorder="1"/>
    <xf numFmtId="164" fontId="12" fillId="0" borderId="0" xfId="1" applyNumberFormat="1" applyFont="1" applyFill="1" applyBorder="1"/>
    <xf numFmtId="10" fontId="11" fillId="0" borderId="0" xfId="2" applyNumberFormat="1" applyFont="1" applyFill="1" applyBorder="1"/>
    <xf numFmtId="164" fontId="15" fillId="0" borderId="6" xfId="1" applyNumberFormat="1" applyFont="1" applyFill="1" applyBorder="1"/>
    <xf numFmtId="164" fontId="9" fillId="0" borderId="0" xfId="1" applyNumberFormat="1" applyFont="1" applyFill="1"/>
    <xf numFmtId="0" fontId="4" fillId="0" borderId="0" xfId="0" applyFont="1"/>
    <xf numFmtId="43" fontId="24" fillId="0" borderId="8" xfId="1" applyFont="1" applyFill="1" applyBorder="1"/>
    <xf numFmtId="167" fontId="13" fillId="0" borderId="0" xfId="1" applyNumberFormat="1" applyFont="1" applyFill="1"/>
    <xf numFmtId="0" fontId="0" fillId="0" borderId="6" xfId="0" applyBorder="1" applyAlignment="1">
      <alignment horizontal="center"/>
    </xf>
    <xf numFmtId="10" fontId="13" fillId="0" borderId="0" xfId="2" applyNumberFormat="1" applyFont="1" applyFill="1"/>
    <xf numFmtId="164" fontId="13" fillId="0" borderId="0" xfId="1" applyNumberFormat="1" applyFont="1" applyFill="1" applyAlignment="1">
      <alignment horizontal="center"/>
    </xf>
    <xf numFmtId="10" fontId="11" fillId="0" borderId="0" xfId="2" applyNumberFormat="1" applyFont="1" applyFill="1"/>
    <xf numFmtId="0" fontId="0" fillId="0" borderId="2" xfId="0" applyBorder="1" applyAlignment="1">
      <alignment horizontal="left"/>
    </xf>
    <xf numFmtId="168" fontId="12" fillId="0" borderId="0" xfId="0" applyNumberFormat="1" applyFont="1" applyAlignment="1">
      <alignment horizontal="left"/>
    </xf>
    <xf numFmtId="165" fontId="0" fillId="0" borderId="0" xfId="2" applyNumberFormat="1" applyFont="1" applyFill="1"/>
    <xf numFmtId="164" fontId="9" fillId="0" borderId="0" xfId="1" applyNumberFormat="1" applyFont="1" applyFill="1" applyBorder="1"/>
    <xf numFmtId="164" fontId="9" fillId="0" borderId="6" xfId="1" applyNumberFormat="1" applyFont="1" applyFill="1" applyBorder="1"/>
    <xf numFmtId="164" fontId="0" fillId="0" borderId="0" xfId="1" applyNumberFormat="1" applyFont="1" applyFill="1" applyBorder="1"/>
    <xf numFmtId="3" fontId="9" fillId="0" borderId="0" xfId="0" applyNumberFormat="1" applyFont="1"/>
    <xf numFmtId="3" fontId="9" fillId="0" borderId="7" xfId="0" applyNumberFormat="1" applyFont="1" applyBorder="1"/>
    <xf numFmtId="10" fontId="0" fillId="0" borderId="0" xfId="2" applyNumberFormat="1" applyFont="1" applyFill="1"/>
    <xf numFmtId="0" fontId="0" fillId="0" borderId="0" xfId="0" applyAlignment="1">
      <alignment horizontal="center" wrapText="1"/>
    </xf>
    <xf numFmtId="0" fontId="9" fillId="0" borderId="1" xfId="0" applyFont="1" applyBorder="1"/>
    <xf numFmtId="164" fontId="12" fillId="0" borderId="0" xfId="0" applyNumberFormat="1" applyFont="1"/>
    <xf numFmtId="0" fontId="9" fillId="0" borderId="6" xfId="0" applyFont="1" applyBorder="1" applyAlignment="1">
      <alignment horizontal="left"/>
    </xf>
    <xf numFmtId="165" fontId="13" fillId="0" borderId="1" xfId="2" applyNumberFormat="1" applyFont="1" applyBorder="1"/>
    <xf numFmtId="164" fontId="15" fillId="0" borderId="0" xfId="1" applyNumberFormat="1" applyFont="1" applyFill="1"/>
    <xf numFmtId="164" fontId="11" fillId="0" borderId="0" xfId="1" applyNumberFormat="1" applyFont="1" applyFill="1" applyBorder="1" applyAlignment="1"/>
    <xf numFmtId="164" fontId="0" fillId="0" borderId="0" xfId="1" applyNumberFormat="1" applyFont="1" applyFill="1" applyBorder="1" applyAlignment="1"/>
    <xf numFmtId="164" fontId="0" fillId="0" borderId="2" xfId="1" applyNumberFormat="1" applyFont="1" applyFill="1" applyBorder="1" applyAlignment="1"/>
    <xf numFmtId="164" fontId="0" fillId="0" borderId="5" xfId="1" applyNumberFormat="1" applyFont="1" applyFill="1" applyBorder="1" applyAlignment="1"/>
    <xf numFmtId="164" fontId="0" fillId="0" borderId="5" xfId="1" applyNumberFormat="1" applyFont="1" applyFill="1" applyBorder="1" applyAlignment="1">
      <alignment horizontal="center"/>
    </xf>
    <xf numFmtId="0" fontId="4" fillId="3" borderId="0" xfId="0" applyFont="1" applyFill="1"/>
    <xf numFmtId="43" fontId="24" fillId="0" borderId="0" xfId="1" applyFont="1" applyFill="1" applyBorder="1"/>
    <xf numFmtId="10" fontId="17" fillId="0" borderId="1" xfId="0" applyNumberFormat="1" applyFont="1" applyBorder="1"/>
    <xf numFmtId="164" fontId="9" fillId="0" borderId="1" xfId="0" applyNumberFormat="1" applyFont="1" applyBorder="1"/>
    <xf numFmtId="164" fontId="9" fillId="0" borderId="1" xfId="1" applyNumberFormat="1" applyFont="1" applyBorder="1"/>
    <xf numFmtId="0" fontId="12" fillId="0" borderId="0" xfId="0" applyFont="1"/>
    <xf numFmtId="9" fontId="12" fillId="0" borderId="0" xfId="2" applyFont="1"/>
    <xf numFmtId="44" fontId="0" fillId="0" borderId="0" xfId="4" applyFont="1" applyFill="1"/>
    <xf numFmtId="0" fontId="24" fillId="0" borderId="0" xfId="0" applyFont="1"/>
    <xf numFmtId="0" fontId="0" fillId="0" borderId="0" xfId="0" applyAlignment="1">
      <alignment horizontal="left" indent="1"/>
    </xf>
    <xf numFmtId="164" fontId="0" fillId="0" borderId="6" xfId="0" applyNumberFormat="1" applyBorder="1"/>
    <xf numFmtId="0" fontId="0" fillId="0" borderId="0" xfId="0" quotePrefix="1"/>
    <xf numFmtId="164" fontId="19" fillId="0" borderId="0" xfId="0" applyNumberFormat="1" applyFont="1"/>
    <xf numFmtId="0" fontId="19" fillId="0" borderId="0" xfId="0" applyFont="1"/>
    <xf numFmtId="0" fontId="0" fillId="0" borderId="0" xfId="0" applyAlignment="1">
      <alignment horizontal="right"/>
    </xf>
    <xf numFmtId="168" fontId="0" fillId="0" borderId="0" xfId="0" applyNumberFormat="1"/>
    <xf numFmtId="9" fontId="0" fillId="0" borderId="0" xfId="2" applyFont="1" applyFill="1"/>
    <xf numFmtId="43" fontId="0" fillId="0" borderId="0" xfId="1" applyFont="1" applyFill="1"/>
    <xf numFmtId="173" fontId="0" fillId="0" borderId="0" xfId="2" applyNumberFormat="1" applyFont="1" applyFill="1"/>
    <xf numFmtId="0" fontId="4" fillId="0" borderId="1" xfId="0" applyFont="1" applyBorder="1"/>
    <xf numFmtId="0" fontId="0" fillId="0" borderId="0" xfId="0" applyAlignment="1">
      <alignment wrapText="1"/>
    </xf>
    <xf numFmtId="37" fontId="0" fillId="0" borderId="0" xfId="0" applyNumberFormat="1"/>
    <xf numFmtId="0" fontId="27" fillId="0" borderId="0" xfId="0" applyFont="1" applyAlignment="1">
      <alignment horizontal="left"/>
    </xf>
    <xf numFmtId="3" fontId="12" fillId="0" borderId="0" xfId="0" applyNumberFormat="1" applyFont="1"/>
    <xf numFmtId="3" fontId="0" fillId="0" borderId="0" xfId="0" applyNumberFormat="1"/>
    <xf numFmtId="10" fontId="12" fillId="0" borderId="0" xfId="0" applyNumberFormat="1" applyFont="1"/>
    <xf numFmtId="0" fontId="7" fillId="0" borderId="0" xfId="8" applyFont="1"/>
    <xf numFmtId="0" fontId="28" fillId="0" borderId="0" xfId="8" applyFont="1" applyAlignment="1">
      <alignment horizontal="center"/>
    </xf>
    <xf numFmtId="0" fontId="29" fillId="9" borderId="0" xfId="8" applyFont="1" applyFill="1" applyAlignment="1">
      <alignment horizontal="right"/>
    </xf>
    <xf numFmtId="0" fontId="27" fillId="9" borderId="0" xfId="8" applyFont="1" applyFill="1" applyAlignment="1">
      <alignment horizontal="center"/>
    </xf>
    <xf numFmtId="0" fontId="12" fillId="0" borderId="0" xfId="8" applyFont="1"/>
    <xf numFmtId="0" fontId="29" fillId="0" borderId="0" xfId="8" applyFont="1" applyAlignment="1">
      <alignment horizontal="right"/>
    </xf>
    <xf numFmtId="0" fontId="12" fillId="0" borderId="0" xfId="8" applyFont="1" applyAlignment="1">
      <alignment horizontal="right"/>
    </xf>
    <xf numFmtId="9" fontId="30" fillId="0" borderId="0" xfId="10" applyFont="1" applyFill="1" applyBorder="1" applyAlignment="1">
      <alignment horizontal="center"/>
    </xf>
    <xf numFmtId="6" fontId="12" fillId="0" borderId="0" xfId="8" applyNumberFormat="1" applyFont="1" applyAlignment="1">
      <alignment horizontal="center"/>
    </xf>
    <xf numFmtId="8" fontId="12" fillId="0" borderId="0" xfId="8" applyNumberFormat="1" applyFont="1"/>
    <xf numFmtId="0" fontId="27" fillId="0" borderId="0" xfId="8" applyFont="1"/>
    <xf numFmtId="168" fontId="0" fillId="0" borderId="0" xfId="0" applyNumberFormat="1" applyAlignment="1">
      <alignment horizontal="center"/>
    </xf>
    <xf numFmtId="0" fontId="0" fillId="5" borderId="0" xfId="0" applyFill="1"/>
    <xf numFmtId="0" fontId="25" fillId="0" borderId="0" xfId="0" applyFont="1" applyAlignment="1">
      <alignment horizontal="left" indent="1"/>
    </xf>
    <xf numFmtId="0" fontId="25" fillId="0" borderId="0" xfId="0" applyFont="1" applyAlignment="1">
      <alignment horizontal="left" indent="2"/>
    </xf>
    <xf numFmtId="0" fontId="0" fillId="0" borderId="6" xfId="0" applyBorder="1"/>
    <xf numFmtId="0" fontId="25" fillId="0" borderId="0" xfId="0" applyFont="1" applyAlignment="1">
      <alignment horizontal="right" indent="2"/>
    </xf>
    <xf numFmtId="0" fontId="25" fillId="0" borderId="0" xfId="0" applyFont="1" applyAlignment="1">
      <alignment horizontal="left"/>
    </xf>
    <xf numFmtId="6" fontId="0" fillId="0" borderId="0" xfId="0" applyNumberFormat="1"/>
    <xf numFmtId="0" fontId="25" fillId="0" borderId="1" xfId="0" applyFont="1" applyBorder="1" applyAlignment="1">
      <alignment horizontal="left" indent="2"/>
    </xf>
    <xf numFmtId="9" fontId="11" fillId="0" borderId="0" xfId="2" applyFont="1"/>
    <xf numFmtId="0" fontId="0" fillId="0" borderId="0" xfId="0" applyAlignment="1">
      <alignment horizontal="left" indent="2"/>
    </xf>
    <xf numFmtId="9" fontId="11" fillId="0" borderId="0" xfId="2" applyFont="1" applyFill="1" applyAlignment="1">
      <alignment horizontal="right"/>
    </xf>
    <xf numFmtId="9" fontId="11" fillId="0" borderId="0" xfId="2" applyFont="1" applyAlignment="1">
      <alignment horizontal="center"/>
    </xf>
    <xf numFmtId="14" fontId="4" fillId="3" borderId="0" xfId="0" applyNumberFormat="1" applyFont="1" applyFill="1" applyAlignment="1">
      <alignment horizontal="center"/>
    </xf>
    <xf numFmtId="164" fontId="0" fillId="0" borderId="0" xfId="1" applyNumberFormat="1" applyFont="1" applyAlignment="1">
      <alignment horizontal="left"/>
    </xf>
    <xf numFmtId="164" fontId="0" fillId="0" borderId="0" xfId="1" applyNumberFormat="1" applyFont="1" applyBorder="1" applyAlignment="1">
      <alignment horizontal="left"/>
    </xf>
    <xf numFmtId="164" fontId="9" fillId="0" borderId="0" xfId="1" applyNumberFormat="1" applyFont="1" applyAlignment="1">
      <alignment horizontal="left"/>
    </xf>
    <xf numFmtId="164" fontId="9" fillId="0" borderId="0" xfId="1" applyNumberFormat="1" applyFont="1" applyBorder="1" applyAlignment="1">
      <alignment horizontal="left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4" fontId="4" fillId="3" borderId="0" xfId="1" applyNumberFormat="1" applyFont="1" applyFill="1" applyAlignment="1">
      <alignment horizontal="center"/>
    </xf>
    <xf numFmtId="14" fontId="4" fillId="3" borderId="0" xfId="1" applyNumberFormat="1" applyFont="1" applyFill="1" applyBorder="1" applyAlignment="1">
      <alignment horizontal="center"/>
    </xf>
    <xf numFmtId="0" fontId="31" fillId="0" borderId="0" xfId="0" applyFont="1"/>
    <xf numFmtId="43" fontId="31" fillId="0" borderId="0" xfId="1" applyFont="1" applyFill="1"/>
    <xf numFmtId="0" fontId="12" fillId="4" borderId="0" xfId="0" applyFont="1" applyFill="1"/>
    <xf numFmtId="0" fontId="27" fillId="4" borderId="0" xfId="0" applyFont="1" applyFill="1"/>
    <xf numFmtId="0" fontId="27" fillId="0" borderId="0" xfId="0" applyFont="1"/>
    <xf numFmtId="0" fontId="8" fillId="0" borderId="0" xfId="8" applyFont="1"/>
    <xf numFmtId="0" fontId="4" fillId="3" borderId="0" xfId="8" applyFont="1" applyFill="1"/>
    <xf numFmtId="0" fontId="26" fillId="3" borderId="0" xfId="8" applyFont="1" applyFill="1"/>
    <xf numFmtId="0" fontId="8" fillId="0" borderId="0" xfId="0" applyFont="1"/>
    <xf numFmtId="0" fontId="9" fillId="9" borderId="0" xfId="0" applyFont="1" applyFill="1"/>
    <xf numFmtId="0" fontId="8" fillId="9" borderId="0" xfId="0" applyFont="1" applyFill="1"/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2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0" fontId="2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4" borderId="0" xfId="0" applyFont="1" applyFill="1"/>
    <xf numFmtId="3" fontId="8" fillId="0" borderId="0" xfId="0" applyNumberFormat="1" applyFont="1"/>
    <xf numFmtId="9" fontId="12" fillId="0" borderId="0" xfId="0" applyNumberFormat="1" applyFont="1" applyAlignment="1">
      <alignment horizontal="center"/>
    </xf>
    <xf numFmtId="0" fontId="8" fillId="0" borderId="0" xfId="0" applyFont="1" applyAlignment="1">
      <alignment horizontal="left" indent="2"/>
    </xf>
    <xf numFmtId="10" fontId="12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center"/>
    </xf>
    <xf numFmtId="10" fontId="8" fillId="0" borderId="0" xfId="2" applyNumberFormat="1" applyFont="1" applyAlignment="1">
      <alignment horizontal="center"/>
    </xf>
    <xf numFmtId="6" fontId="27" fillId="9" borderId="0" xfId="8" applyNumberFormat="1" applyFont="1" applyFill="1" applyAlignment="1">
      <alignment horizontal="centerContinuous"/>
    </xf>
    <xf numFmtId="14" fontId="12" fillId="0" borderId="0" xfId="8" applyNumberFormat="1" applyFont="1" applyAlignment="1">
      <alignment horizontal="center"/>
    </xf>
    <xf numFmtId="3" fontId="12" fillId="0" borderId="0" xfId="8" applyNumberFormat="1" applyFont="1" applyAlignment="1">
      <alignment horizontal="center"/>
    </xf>
    <xf numFmtId="9" fontId="12" fillId="0" borderId="0" xfId="8" applyNumberFormat="1" applyFont="1" applyAlignment="1">
      <alignment horizontal="center"/>
    </xf>
    <xf numFmtId="10" fontId="12" fillId="0" borderId="0" xfId="8" applyNumberFormat="1" applyFont="1" applyAlignment="1">
      <alignment horizontal="center"/>
    </xf>
    <xf numFmtId="177" fontId="12" fillId="0" borderId="0" xfId="8" applyNumberFormat="1" applyFont="1" applyAlignment="1">
      <alignment horizontal="center"/>
    </xf>
    <xf numFmtId="176" fontId="12" fillId="0" borderId="0" xfId="8" applyNumberFormat="1" applyFont="1" applyAlignment="1">
      <alignment horizontal="center"/>
    </xf>
    <xf numFmtId="174" fontId="12" fillId="0" borderId="0" xfId="8" applyNumberFormat="1" applyFont="1" applyAlignment="1">
      <alignment horizontal="center"/>
    </xf>
    <xf numFmtId="37" fontId="12" fillId="0" borderId="0" xfId="9" applyNumberFormat="1" applyFont="1" applyFill="1" applyBorder="1" applyAlignment="1">
      <alignment horizontal="center"/>
    </xf>
    <xf numFmtId="169" fontId="0" fillId="0" borderId="0" xfId="0" applyNumberFormat="1" applyAlignment="1">
      <alignment horizontal="center"/>
    </xf>
    <xf numFmtId="170" fontId="0" fillId="0" borderId="0" xfId="4" applyNumberFormat="1" applyFont="1" applyFill="1"/>
    <xf numFmtId="168" fontId="0" fillId="0" borderId="0" xfId="1" applyNumberFormat="1" applyFont="1"/>
    <xf numFmtId="168" fontId="0" fillId="0" borderId="0" xfId="1" applyNumberFormat="1" applyFont="1" applyBorder="1"/>
    <xf numFmtId="168" fontId="32" fillId="0" borderId="0" xfId="1" applyNumberFormat="1" applyFont="1" applyAlignment="1">
      <alignment horizontal="right"/>
    </xf>
    <xf numFmtId="164" fontId="32" fillId="0" borderId="0" xfId="1" applyNumberFormat="1" applyFont="1"/>
    <xf numFmtId="9" fontId="11" fillId="0" borderId="0" xfId="2" applyFont="1" applyFill="1"/>
    <xf numFmtId="0" fontId="0" fillId="0" borderId="1" xfId="0" applyBorder="1"/>
    <xf numFmtId="169" fontId="33" fillId="0" borderId="0" xfId="0" applyNumberFormat="1" applyFont="1"/>
    <xf numFmtId="0" fontId="0" fillId="4" borderId="0" xfId="0" quotePrefix="1" applyFill="1"/>
    <xf numFmtId="172" fontId="0" fillId="0" borderId="0" xfId="0" applyNumberFormat="1"/>
    <xf numFmtId="2" fontId="0" fillId="0" borderId="0" xfId="0" applyNumberFormat="1"/>
    <xf numFmtId="0" fontId="12" fillId="0" borderId="0" xfId="0" applyFont="1" applyAlignment="1">
      <alignment horizontal="left" indent="2"/>
    </xf>
    <xf numFmtId="0" fontId="16" fillId="0" borderId="3" xfId="0" applyFont="1" applyBorder="1"/>
    <xf numFmtId="0" fontId="0" fillId="0" borderId="3" xfId="0" applyBorder="1"/>
    <xf numFmtId="164" fontId="9" fillId="0" borderId="6" xfId="1" applyNumberFormat="1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27" fillId="0" borderId="6" xfId="0" applyFont="1" applyBorder="1"/>
    <xf numFmtId="164" fontId="27" fillId="0" borderId="6" xfId="0" applyNumberFormat="1" applyFont="1" applyBorder="1"/>
    <xf numFmtId="38" fontId="9" fillId="0" borderId="0" xfId="0" applyNumberFormat="1" applyFont="1"/>
    <xf numFmtId="38" fontId="9" fillId="0" borderId="0" xfId="1" applyNumberFormat="1" applyFont="1"/>
    <xf numFmtId="3" fontId="13" fillId="0" borderId="0" xfId="0" applyNumberFormat="1" applyFont="1"/>
    <xf numFmtId="3" fontId="8" fillId="0" borderId="0" xfId="8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9" fillId="9" borderId="0" xfId="8" applyFont="1" applyFill="1"/>
    <xf numFmtId="0" fontId="8" fillId="0" borderId="0" xfId="8" applyFont="1" applyAlignment="1">
      <alignment horizontal="center"/>
    </xf>
    <xf numFmtId="0" fontId="22" fillId="0" borderId="0" xfId="8" applyFont="1" applyAlignment="1">
      <alignment horizontal="center"/>
    </xf>
    <xf numFmtId="0" fontId="8" fillId="9" borderId="0" xfId="8" applyFont="1" applyFill="1"/>
    <xf numFmtId="9" fontId="8" fillId="0" borderId="0" xfId="8" applyNumberFormat="1" applyFont="1" applyAlignment="1">
      <alignment horizontal="center"/>
    </xf>
    <xf numFmtId="165" fontId="8" fillId="0" borderId="0" xfId="8" applyNumberFormat="1" applyFont="1" applyAlignment="1">
      <alignment horizontal="center"/>
    </xf>
    <xf numFmtId="9" fontId="0" fillId="0" borderId="0" xfId="2" applyFont="1" applyBorder="1"/>
    <xf numFmtId="178" fontId="9" fillId="9" borderId="0" xfId="0" applyNumberFormat="1" applyFont="1" applyFill="1" applyAlignment="1">
      <alignment horizontal="center"/>
    </xf>
    <xf numFmtId="0" fontId="0" fillId="9" borderId="0" xfId="0" applyFill="1" applyAlignment="1">
      <alignment horizontal="center"/>
    </xf>
    <xf numFmtId="164" fontId="27" fillId="0" borderId="6" xfId="1" applyNumberFormat="1" applyFont="1" applyFill="1" applyBorder="1"/>
    <xf numFmtId="178" fontId="27" fillId="0" borderId="0" xfId="8" applyNumberFormat="1" applyFont="1" applyAlignment="1">
      <alignment horizontal="center"/>
    </xf>
    <xf numFmtId="0" fontId="30" fillId="0" borderId="0" xfId="8" applyFont="1" applyAlignment="1">
      <alignment horizontal="right"/>
    </xf>
    <xf numFmtId="9" fontId="30" fillId="0" borderId="0" xfId="8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32" fillId="0" borderId="0" xfId="0" applyFont="1" applyAlignment="1">
      <alignment horizontal="right"/>
    </xf>
    <xf numFmtId="37" fontId="32" fillId="0" borderId="0" xfId="2" applyNumberFormat="1" applyFont="1" applyFill="1" applyAlignment="1"/>
    <xf numFmtId="164" fontId="32" fillId="0" borderId="0" xfId="2" applyNumberFormat="1" applyFont="1" applyFill="1"/>
    <xf numFmtId="0" fontId="12" fillId="4" borderId="0" xfId="0" applyFont="1" applyFill="1" applyAlignment="1">
      <alignment horizontal="left" indent="1"/>
    </xf>
    <xf numFmtId="37" fontId="0" fillId="0" borderId="0" xfId="2" applyNumberFormat="1" applyFont="1" applyFill="1" applyBorder="1" applyAlignment="1">
      <alignment horizontal="center"/>
    </xf>
    <xf numFmtId="10" fontId="0" fillId="0" borderId="0" xfId="2" applyNumberFormat="1" applyFont="1" applyFill="1" applyBorder="1" applyAlignment="1">
      <alignment horizontal="center"/>
    </xf>
    <xf numFmtId="165" fontId="0" fillId="0" borderId="0" xfId="2" applyNumberFormat="1" applyFont="1" applyFill="1" applyBorder="1" applyAlignment="1">
      <alignment horizontal="center"/>
    </xf>
    <xf numFmtId="0" fontId="12" fillId="0" borderId="0" xfId="0" applyFont="1" applyAlignment="1">
      <alignment horizontal="left" indent="1"/>
    </xf>
    <xf numFmtId="8" fontId="0" fillId="0" borderId="0" xfId="0" applyNumberFormat="1"/>
    <xf numFmtId="165" fontId="14" fillId="0" borderId="4" xfId="3" applyNumberFormat="1" applyFill="1"/>
    <xf numFmtId="166" fontId="0" fillId="0" borderId="0" xfId="0" applyNumberFormat="1" applyAlignment="1">
      <alignment horizontal="right"/>
    </xf>
    <xf numFmtId="14" fontId="0" fillId="0" borderId="0" xfId="0" applyNumberFormat="1"/>
    <xf numFmtId="14" fontId="0" fillId="4" borderId="0" xfId="0" applyNumberFormat="1" applyFill="1"/>
    <xf numFmtId="3" fontId="0" fillId="0" borderId="1" xfId="0" applyNumberFormat="1" applyBorder="1"/>
    <xf numFmtId="0" fontId="0" fillId="0" borderId="1" xfId="0" applyBorder="1" applyAlignment="1">
      <alignment horizontal="left" indent="2"/>
    </xf>
    <xf numFmtId="0" fontId="34" fillId="4" borderId="0" xfId="0" applyFont="1" applyFill="1" applyAlignment="1">
      <alignment horizontal="left" indent="1"/>
    </xf>
    <xf numFmtId="0" fontId="34" fillId="0" borderId="0" xfId="0" applyFont="1"/>
    <xf numFmtId="0" fontId="0" fillId="9" borderId="0" xfId="0" applyFill="1"/>
    <xf numFmtId="3" fontId="0" fillId="0" borderId="0" xfId="0" applyNumberFormat="1" applyAlignment="1">
      <alignment horizontal="center"/>
    </xf>
    <xf numFmtId="0" fontId="12" fillId="7" borderId="13" xfId="0" applyFont="1" applyFill="1" applyBorder="1" applyAlignment="1">
      <alignment horizontal="center"/>
    </xf>
    <xf numFmtId="0" fontId="12" fillId="7" borderId="17" xfId="0" applyFont="1" applyFill="1" applyBorder="1" applyAlignment="1">
      <alignment horizontal="center"/>
    </xf>
    <xf numFmtId="179" fontId="0" fillId="9" borderId="12" xfId="0" applyNumberFormat="1" applyFill="1" applyBorder="1" applyAlignment="1">
      <alignment horizontal="center"/>
    </xf>
    <xf numFmtId="9" fontId="0" fillId="9" borderId="8" xfId="0" applyNumberFormat="1" applyFill="1" applyBorder="1" applyAlignment="1">
      <alignment horizontal="center"/>
    </xf>
    <xf numFmtId="9" fontId="35" fillId="9" borderId="8" xfId="0" applyNumberFormat="1" applyFont="1" applyFill="1" applyBorder="1" applyAlignment="1">
      <alignment horizontal="center"/>
    </xf>
    <xf numFmtId="9" fontId="0" fillId="9" borderId="16" xfId="0" applyNumberFormat="1" applyFill="1" applyBorder="1" applyAlignment="1">
      <alignment horizontal="center"/>
    </xf>
    <xf numFmtId="179" fontId="0" fillId="0" borderId="12" xfId="2" applyNumberFormat="1" applyFont="1" applyBorder="1" applyAlignment="1">
      <alignment horizontal="center"/>
    </xf>
    <xf numFmtId="179" fontId="0" fillId="0" borderId="0" xfId="2" applyNumberFormat="1" applyFont="1" applyBorder="1" applyAlignment="1">
      <alignment horizontal="center"/>
    </xf>
    <xf numFmtId="179" fontId="0" fillId="0" borderId="11" xfId="2" applyNumberFormat="1" applyFont="1" applyBorder="1" applyAlignment="1">
      <alignment horizontal="center"/>
    </xf>
    <xf numFmtId="179" fontId="0" fillId="10" borderId="0" xfId="2" applyNumberFormat="1" applyFont="1" applyFill="1" applyBorder="1" applyAlignment="1">
      <alignment horizontal="center"/>
    </xf>
    <xf numFmtId="179" fontId="0" fillId="11" borderId="0" xfId="2" applyNumberFormat="1" applyFont="1" applyFill="1" applyBorder="1" applyAlignment="1">
      <alignment horizontal="center"/>
    </xf>
    <xf numFmtId="179" fontId="0" fillId="0" borderId="10" xfId="2" applyNumberFormat="1" applyFont="1" applyBorder="1" applyAlignment="1">
      <alignment horizontal="center"/>
    </xf>
    <xf numFmtId="179" fontId="0" fillId="0" borderId="1" xfId="2" applyNumberFormat="1" applyFont="1" applyBorder="1" applyAlignment="1">
      <alignment horizontal="center"/>
    </xf>
    <xf numFmtId="179" fontId="0" fillId="0" borderId="9" xfId="2" applyNumberFormat="1" applyFont="1" applyBorder="1" applyAlignment="1">
      <alignment horizontal="center"/>
    </xf>
    <xf numFmtId="9" fontId="0" fillId="9" borderId="15" xfId="2" applyFont="1" applyFill="1" applyBorder="1" applyAlignment="1">
      <alignment horizontal="center"/>
    </xf>
    <xf numFmtId="9" fontId="35" fillId="9" borderId="15" xfId="2" applyFont="1" applyFill="1" applyBorder="1" applyAlignment="1">
      <alignment horizontal="center"/>
    </xf>
    <xf numFmtId="9" fontId="0" fillId="9" borderId="14" xfId="2" applyFont="1" applyFill="1" applyBorder="1" applyAlignment="1">
      <alignment horizontal="center"/>
    </xf>
    <xf numFmtId="0" fontId="32" fillId="0" borderId="0" xfId="8" applyFont="1"/>
    <xf numFmtId="164" fontId="32" fillId="0" borderId="0" xfId="0" applyNumberFormat="1" applyFont="1"/>
    <xf numFmtId="9" fontId="32" fillId="0" borderId="0" xfId="2" applyFont="1" applyBorder="1" applyAlignment="1">
      <alignment horizontal="left"/>
    </xf>
    <xf numFmtId="0" fontId="36" fillId="0" borderId="0" xfId="0" applyFont="1"/>
    <xf numFmtId="0" fontId="12" fillId="0" borderId="0" xfId="8" applyFont="1" applyAlignment="1">
      <alignment horizontal="left"/>
    </xf>
    <xf numFmtId="6" fontId="27" fillId="9" borderId="0" xfId="8" applyNumberFormat="1" applyFont="1" applyFill="1" applyAlignment="1">
      <alignment horizontal="left"/>
    </xf>
    <xf numFmtId="0" fontId="8" fillId="0" borderId="0" xfId="8" applyFont="1" applyAlignment="1">
      <alignment horizontal="left"/>
    </xf>
    <xf numFmtId="0" fontId="0" fillId="3" borderId="0" xfId="0" applyFill="1"/>
    <xf numFmtId="44" fontId="0" fillId="3" borderId="0" xfId="4" applyFont="1" applyFill="1"/>
    <xf numFmtId="6" fontId="12" fillId="0" borderId="1" xfId="8" applyNumberFormat="1" applyFont="1" applyBorder="1" applyAlignment="1">
      <alignment horizontal="center"/>
    </xf>
    <xf numFmtId="6" fontId="9" fillId="9" borderId="0" xfId="8" applyNumberFormat="1" applyFont="1" applyFill="1" applyAlignment="1">
      <alignment horizontal="centerContinuous"/>
    </xf>
    <xf numFmtId="10" fontId="8" fillId="0" borderId="0" xfId="0" applyNumberFormat="1" applyFont="1" applyAlignment="1">
      <alignment horizontal="center"/>
    </xf>
    <xf numFmtId="37" fontId="0" fillId="0" borderId="0" xfId="0" applyNumberFormat="1" applyAlignment="1">
      <alignment horizontal="center"/>
    </xf>
    <xf numFmtId="37" fontId="9" fillId="0" borderId="0" xfId="0" applyNumberFormat="1" applyFont="1" applyAlignment="1">
      <alignment horizontal="center"/>
    </xf>
    <xf numFmtId="171" fontId="9" fillId="0" borderId="0" xfId="0" applyNumberFormat="1" applyFont="1" applyAlignment="1">
      <alignment horizontal="center"/>
    </xf>
    <xf numFmtId="165" fontId="9" fillId="0" borderId="0" xfId="2" applyNumberFormat="1" applyFont="1" applyFill="1" applyBorder="1" applyAlignment="1">
      <alignment horizontal="center"/>
    </xf>
    <xf numFmtId="9" fontId="0" fillId="0" borderId="0" xfId="2" applyFont="1" applyFill="1" applyBorder="1"/>
    <xf numFmtId="0" fontId="0" fillId="0" borderId="0" xfId="0" quotePrefix="1" applyAlignment="1">
      <alignment horizontal="left"/>
    </xf>
    <xf numFmtId="37" fontId="0" fillId="0" borderId="1" xfId="0" applyNumberFormat="1" applyBorder="1" applyAlignment="1">
      <alignment horizontal="center"/>
    </xf>
    <xf numFmtId="171" fontId="0" fillId="0" borderId="0" xfId="0" applyNumberFormat="1" applyAlignment="1">
      <alignment horizontal="center"/>
    </xf>
    <xf numFmtId="0" fontId="34" fillId="0" borderId="0" xfId="0" applyFont="1" applyAlignment="1">
      <alignment horizontal="left" indent="1"/>
    </xf>
    <xf numFmtId="164" fontId="34" fillId="0" borderId="0" xfId="1" applyNumberFormat="1" applyFont="1" applyFill="1"/>
    <xf numFmtId="171" fontId="0" fillId="0" borderId="0" xfId="0" applyNumberFormat="1" applyAlignment="1">
      <alignment horizontal="right"/>
    </xf>
    <xf numFmtId="0" fontId="6" fillId="4" borderId="0" xfId="0" applyFont="1" applyFill="1"/>
    <xf numFmtId="0" fontId="5" fillId="4" borderId="0" xfId="0" applyFont="1" applyFill="1"/>
    <xf numFmtId="0" fontId="7" fillId="4" borderId="0" xfId="8" applyFont="1" applyFill="1"/>
    <xf numFmtId="0" fontId="12" fillId="4" borderId="0" xfId="8" applyFont="1" applyFill="1"/>
    <xf numFmtId="44" fontId="0" fillId="4" borderId="0" xfId="4" applyFont="1" applyFill="1"/>
    <xf numFmtId="0" fontId="8" fillId="4" borderId="0" xfId="8" applyFont="1" applyFill="1"/>
    <xf numFmtId="0" fontId="34" fillId="0" borderId="0" xfId="0" applyFont="1" applyAlignment="1">
      <alignment horizontal="center"/>
    </xf>
    <xf numFmtId="37" fontId="34" fillId="0" borderId="0" xfId="0" applyNumberFormat="1" applyFont="1" applyAlignment="1">
      <alignment horizontal="center"/>
    </xf>
    <xf numFmtId="164" fontId="11" fillId="0" borderId="1" xfId="1" applyNumberFormat="1" applyFont="1" applyFill="1" applyBorder="1"/>
    <xf numFmtId="164" fontId="0" fillId="0" borderId="1" xfId="0" quotePrefix="1" applyNumberFormat="1" applyBorder="1" applyAlignment="1">
      <alignment horizontal="left"/>
    </xf>
    <xf numFmtId="0" fontId="25" fillId="0" borderId="1" xfId="0" applyFont="1" applyBorder="1" applyAlignment="1">
      <alignment horizontal="left" indent="1"/>
    </xf>
    <xf numFmtId="10" fontId="0" fillId="0" borderId="0" xfId="0" applyNumberFormat="1" applyAlignment="1">
      <alignment horizontal="center"/>
    </xf>
    <xf numFmtId="0" fontId="0" fillId="0" borderId="0" xfId="8" applyFont="1"/>
    <xf numFmtId="6" fontId="9" fillId="9" borderId="0" xfId="8" applyNumberFormat="1" applyFont="1" applyFill="1" applyAlignment="1">
      <alignment horizontal="left"/>
    </xf>
    <xf numFmtId="10" fontId="13" fillId="0" borderId="1" xfId="0" applyNumberFormat="1" applyFont="1" applyBorder="1"/>
    <xf numFmtId="164" fontId="32" fillId="0" borderId="0" xfId="1" applyNumberFormat="1" applyFont="1" applyFill="1" applyBorder="1"/>
    <xf numFmtId="6" fontId="37" fillId="0" borderId="0" xfId="0" applyNumberFormat="1" applyFont="1"/>
    <xf numFmtId="6" fontId="15" fillId="0" borderId="6" xfId="0" applyNumberFormat="1" applyFont="1" applyBorder="1"/>
    <xf numFmtId="43" fontId="9" fillId="0" borderId="0" xfId="0" applyNumberFormat="1" applyFont="1"/>
    <xf numFmtId="0" fontId="4" fillId="3" borderId="0" xfId="1" applyNumberFormat="1" applyFont="1" applyFill="1" applyAlignment="1">
      <alignment horizontal="center"/>
    </xf>
    <xf numFmtId="0" fontId="32" fillId="0" borderId="0" xfId="2" applyNumberFormat="1" applyFont="1" applyBorder="1" applyAlignment="1">
      <alignment horizontal="left"/>
    </xf>
    <xf numFmtId="0" fontId="9" fillId="0" borderId="0" xfId="0" applyFont="1" applyAlignment="1">
      <alignment horizontal="left"/>
    </xf>
    <xf numFmtId="37" fontId="12" fillId="0" borderId="0" xfId="0" applyNumberFormat="1" applyFont="1" applyAlignment="1">
      <alignment horizontal="center"/>
    </xf>
    <xf numFmtId="9" fontId="27" fillId="0" borderId="6" xfId="0" applyNumberFormat="1" applyFont="1" applyBorder="1"/>
    <xf numFmtId="9" fontId="27" fillId="0" borderId="0" xfId="2" applyFont="1"/>
    <xf numFmtId="10" fontId="9" fillId="0" borderId="0" xfId="2" applyNumberFormat="1" applyFont="1" applyFill="1"/>
    <xf numFmtId="168" fontId="12" fillId="0" borderId="0" xfId="0" applyNumberFormat="1" applyFont="1" applyAlignment="1">
      <alignment horizontal="center"/>
    </xf>
    <xf numFmtId="0" fontId="12" fillId="4" borderId="0" xfId="0" applyFont="1" applyFill="1" applyAlignment="1">
      <alignment horizontal="right"/>
    </xf>
    <xf numFmtId="0" fontId="38" fillId="0" borderId="0" xfId="0" applyFont="1"/>
    <xf numFmtId="43" fontId="12" fillId="0" borderId="0" xfId="1" applyFont="1" applyAlignment="1">
      <alignment horizontal="center"/>
    </xf>
    <xf numFmtId="0" fontId="12" fillId="0" borderId="0" xfId="0" applyFont="1" applyAlignment="1">
      <alignment horizontal="center" wrapText="1"/>
    </xf>
    <xf numFmtId="0" fontId="12" fillId="0" borderId="2" xfId="0" applyFont="1" applyBorder="1" applyAlignment="1">
      <alignment horizontal="left"/>
    </xf>
    <xf numFmtId="164" fontId="12" fillId="0" borderId="5" xfId="1" applyNumberFormat="1" applyFont="1" applyFill="1" applyBorder="1"/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left" indent="1"/>
    </xf>
    <xf numFmtId="43" fontId="12" fillId="0" borderId="0" xfId="1" applyFont="1"/>
    <xf numFmtId="0" fontId="12" fillId="0" borderId="2" xfId="0" applyFont="1" applyBorder="1"/>
    <xf numFmtId="165" fontId="12" fillId="0" borderId="0" xfId="2" applyNumberFormat="1" applyFont="1" applyFill="1"/>
    <xf numFmtId="0" fontId="12" fillId="8" borderId="0" xfId="0" applyFont="1" applyFill="1"/>
    <xf numFmtId="169" fontId="12" fillId="0" borderId="0" xfId="0" applyNumberFormat="1" applyFont="1" applyAlignment="1">
      <alignment horizontal="center"/>
    </xf>
    <xf numFmtId="170" fontId="12" fillId="0" borderId="0" xfId="4" applyNumberFormat="1" applyFont="1" applyFill="1"/>
    <xf numFmtId="0" fontId="12" fillId="0" borderId="0" xfId="0" applyFont="1" applyAlignment="1">
      <alignment wrapText="1"/>
    </xf>
    <xf numFmtId="0" fontId="12" fillId="9" borderId="0" xfId="0" applyFont="1" applyFill="1" applyAlignment="1">
      <alignment horizontal="right"/>
    </xf>
    <xf numFmtId="0" fontId="12" fillId="9" borderId="2" xfId="0" applyFont="1" applyFill="1" applyBorder="1" applyAlignment="1">
      <alignment horizontal="left"/>
    </xf>
    <xf numFmtId="164" fontId="12" fillId="9" borderId="5" xfId="1" applyNumberFormat="1" applyFont="1" applyFill="1" applyBorder="1"/>
    <xf numFmtId="0" fontId="12" fillId="9" borderId="0" xfId="0" applyFont="1" applyFill="1"/>
    <xf numFmtId="164" fontId="12" fillId="9" borderId="0" xfId="1" applyNumberFormat="1" applyFont="1" applyFill="1" applyBorder="1"/>
    <xf numFmtId="168" fontId="12" fillId="9" borderId="0" xfId="0" applyNumberFormat="1" applyFont="1" applyFill="1" applyAlignment="1">
      <alignment horizontal="left"/>
    </xf>
    <xf numFmtId="0" fontId="12" fillId="9" borderId="0" xfId="0" applyFont="1" applyFill="1" applyAlignment="1">
      <alignment horizontal="center"/>
    </xf>
    <xf numFmtId="164" fontId="12" fillId="9" borderId="5" xfId="0" applyNumberFormat="1" applyFont="1" applyFill="1" applyBorder="1"/>
    <xf numFmtId="164" fontId="12" fillId="9" borderId="0" xfId="0" applyNumberFormat="1" applyFont="1" applyFill="1"/>
    <xf numFmtId="0" fontId="12" fillId="9" borderId="2" xfId="0" applyFont="1" applyFill="1" applyBorder="1"/>
    <xf numFmtId="9" fontId="12" fillId="9" borderId="0" xfId="0" applyNumberFormat="1" applyFont="1" applyFill="1"/>
    <xf numFmtId="172" fontId="0" fillId="0" borderId="0" xfId="1" applyNumberFormat="1" applyFont="1" applyFill="1"/>
    <xf numFmtId="172" fontId="12" fillId="0" borderId="0" xfId="0" applyNumberFormat="1" applyFont="1"/>
    <xf numFmtId="172" fontId="0" fillId="0" borderId="0" xfId="1" applyNumberFormat="1" applyFont="1"/>
    <xf numFmtId="172" fontId="9" fillId="0" borderId="6" xfId="1" applyNumberFormat="1" applyFont="1" applyFill="1" applyBorder="1"/>
    <xf numFmtId="172" fontId="0" fillId="0" borderId="0" xfId="0" applyNumberFormat="1" applyAlignment="1">
      <alignment horizontal="center" wrapText="1"/>
    </xf>
    <xf numFmtId="172" fontId="0" fillId="0" borderId="0" xfId="1" applyNumberFormat="1" applyFont="1" applyFill="1" applyBorder="1" applyAlignment="1"/>
    <xf numFmtId="172" fontId="11" fillId="0" borderId="0" xfId="1" applyNumberFormat="1" applyFont="1" applyFill="1" applyBorder="1" applyAlignment="1"/>
    <xf numFmtId="172" fontId="9" fillId="0" borderId="6" xfId="1" applyNumberFormat="1" applyFont="1" applyBorder="1"/>
    <xf numFmtId="172" fontId="9" fillId="0" borderId="0" xfId="1" applyNumberFormat="1" applyFont="1"/>
    <xf numFmtId="172" fontId="9" fillId="0" borderId="6" xfId="0" applyNumberFormat="1" applyFont="1" applyBorder="1"/>
    <xf numFmtId="172" fontId="12" fillId="0" borderId="0" xfId="1" applyNumberFormat="1" applyFont="1"/>
    <xf numFmtId="172" fontId="0" fillId="0" borderId="1" xfId="0" applyNumberFormat="1" applyBorder="1"/>
    <xf numFmtId="172" fontId="0" fillId="0" borderId="1" xfId="1" applyNumberFormat="1" applyFont="1" applyBorder="1"/>
    <xf numFmtId="172" fontId="9" fillId="0" borderId="0" xfId="0" applyNumberFormat="1" applyFont="1"/>
    <xf numFmtId="172" fontId="0" fillId="0" borderId="0" xfId="1" applyNumberFormat="1" applyFont="1" applyBorder="1"/>
    <xf numFmtId="172" fontId="9" fillId="0" borderId="0" xfId="1" applyNumberFormat="1" applyFont="1" applyBorder="1"/>
    <xf numFmtId="172" fontId="8" fillId="0" borderId="0" xfId="1" applyNumberFormat="1" applyFont="1"/>
    <xf numFmtId="172" fontId="12" fillId="0" borderId="0" xfId="1" applyNumberFormat="1" applyFont="1" applyFill="1" applyBorder="1"/>
    <xf numFmtId="172" fontId="27" fillId="0" borderId="6" xfId="1" applyNumberFormat="1" applyFont="1" applyFill="1" applyBorder="1"/>
    <xf numFmtId="172" fontId="16" fillId="0" borderId="3" xfId="0" applyNumberFormat="1" applyFont="1" applyBorder="1"/>
    <xf numFmtId="172" fontId="16" fillId="0" borderId="0" xfId="0" applyNumberFormat="1" applyFont="1"/>
    <xf numFmtId="0" fontId="23" fillId="0" borderId="0" xfId="0" applyFont="1" applyAlignment="1">
      <alignment horizontal="left" indent="1"/>
    </xf>
    <xf numFmtId="0" fontId="22" fillId="0" borderId="0" xfId="0" applyFont="1" applyAlignment="1">
      <alignment horizontal="center" wrapText="1"/>
    </xf>
    <xf numFmtId="0" fontId="16" fillId="0" borderId="0" xfId="0" applyFont="1" applyAlignment="1">
      <alignment horizontal="left" indent="1"/>
    </xf>
    <xf numFmtId="0" fontId="16" fillId="0" borderId="0" xfId="0" applyFont="1" applyAlignment="1">
      <alignment horizontal="left" indent="2"/>
    </xf>
    <xf numFmtId="164" fontId="9" fillId="0" borderId="6" xfId="1" applyNumberFormat="1" applyFont="1" applyFill="1" applyBorder="1" applyAlignment="1"/>
    <xf numFmtId="164" fontId="9" fillId="0" borderId="0" xfId="1" applyNumberFormat="1" applyFont="1" applyFill="1" applyBorder="1" applyAlignment="1"/>
    <xf numFmtId="164" fontId="32" fillId="0" borderId="6" xfId="1" applyNumberFormat="1" applyFont="1" applyFill="1" applyBorder="1"/>
    <xf numFmtId="37" fontId="12" fillId="0" borderId="0" xfId="2" applyNumberFormat="1" applyFont="1" applyFill="1" applyBorder="1" applyAlignment="1">
      <alignment horizontal="center"/>
    </xf>
    <xf numFmtId="0" fontId="15" fillId="9" borderId="0" xfId="0" applyFont="1" applyFill="1"/>
    <xf numFmtId="9" fontId="12" fillId="0" borderId="0" xfId="2" applyFont="1" applyFill="1" applyBorder="1" applyAlignment="1">
      <alignment horizontal="center"/>
    </xf>
    <xf numFmtId="177" fontId="27" fillId="0" borderId="0" xfId="8" applyNumberFormat="1" applyFont="1" applyAlignment="1">
      <alignment horizontal="center"/>
    </xf>
    <xf numFmtId="0" fontId="40" fillId="0" borderId="1" xfId="8" applyFont="1" applyBorder="1" applyAlignment="1">
      <alignment horizontal="center"/>
    </xf>
    <xf numFmtId="175" fontId="12" fillId="0" borderId="1" xfId="8" applyNumberFormat="1" applyFont="1" applyBorder="1" applyAlignment="1">
      <alignment horizontal="center"/>
    </xf>
    <xf numFmtId="180" fontId="12" fillId="0" borderId="0" xfId="8" applyNumberFormat="1" applyFont="1" applyAlignment="1">
      <alignment horizontal="center"/>
    </xf>
    <xf numFmtId="9" fontId="12" fillId="0" borderId="0" xfId="2" applyFont="1" applyAlignment="1">
      <alignment horizontal="center"/>
    </xf>
    <xf numFmtId="172" fontId="12" fillId="4" borderId="0" xfId="8" applyNumberFormat="1" applyFont="1" applyFill="1"/>
    <xf numFmtId="172" fontId="12" fillId="0" borderId="0" xfId="8" applyNumberFormat="1" applyFont="1" applyAlignment="1">
      <alignment horizontal="center"/>
    </xf>
    <xf numFmtId="172" fontId="12" fillId="0" borderId="0" xfId="8" applyNumberFormat="1" applyFont="1"/>
    <xf numFmtId="172" fontId="27" fillId="0" borderId="0" xfId="8" applyNumberFormat="1" applyFont="1" applyAlignment="1">
      <alignment horizontal="center"/>
    </xf>
    <xf numFmtId="172" fontId="12" fillId="0" borderId="1" xfId="8" applyNumberFormat="1" applyFont="1" applyBorder="1" applyAlignment="1">
      <alignment horizontal="center"/>
    </xf>
    <xf numFmtId="172" fontId="30" fillId="0" borderId="0" xfId="10" applyNumberFormat="1" applyFont="1" applyFill="1" applyBorder="1" applyAlignment="1">
      <alignment horizontal="center"/>
    </xf>
    <xf numFmtId="0" fontId="27" fillId="0" borderId="0" xfId="8" applyFont="1" applyAlignment="1">
      <alignment horizontal="left"/>
    </xf>
    <xf numFmtId="0" fontId="12" fillId="0" borderId="1" xfId="8" applyFont="1" applyBorder="1" applyAlignment="1">
      <alignment horizontal="left"/>
    </xf>
    <xf numFmtId="164" fontId="12" fillId="0" borderId="6" xfId="0" applyNumberFormat="1" applyFont="1" applyBorder="1"/>
    <xf numFmtId="0" fontId="12" fillId="0" borderId="0" xfId="0" quotePrefix="1" applyFont="1"/>
    <xf numFmtId="164" fontId="39" fillId="0" borderId="0" xfId="0" applyNumberFormat="1" applyFont="1"/>
    <xf numFmtId="0" fontId="12" fillId="0" borderId="0" xfId="0" applyFont="1" applyAlignment="1">
      <alignment horizontal="right"/>
    </xf>
    <xf numFmtId="168" fontId="12" fillId="0" borderId="0" xfId="0" applyNumberFormat="1" applyFont="1"/>
    <xf numFmtId="0" fontId="0" fillId="7" borderId="0" xfId="0" applyFill="1"/>
    <xf numFmtId="6" fontId="41" fillId="0" borderId="0" xfId="8" applyNumberFormat="1" applyFont="1" applyAlignment="1">
      <alignment horizontal="center"/>
    </xf>
    <xf numFmtId="164" fontId="12" fillId="7" borderId="0" xfId="1" applyNumberFormat="1" applyFont="1" applyFill="1" applyBorder="1"/>
    <xf numFmtId="43" fontId="12" fillId="0" borderId="0" xfId="1" applyFont="1" applyFill="1" applyBorder="1"/>
    <xf numFmtId="165" fontId="11" fillId="0" borderId="1" xfId="0" applyNumberFormat="1" applyFont="1" applyBorder="1"/>
    <xf numFmtId="0" fontId="15" fillId="0" borderId="6" xfId="0" applyFont="1" applyBorder="1"/>
    <xf numFmtId="164" fontId="8" fillId="0" borderId="5" xfId="1" applyNumberFormat="1" applyFont="1" applyFill="1" applyBorder="1" applyAlignment="1"/>
    <xf numFmtId="164" fontId="8" fillId="0" borderId="2" xfId="1" applyNumberFormat="1" applyFont="1" applyFill="1" applyBorder="1" applyAlignment="1"/>
    <xf numFmtId="2" fontId="9" fillId="0" borderId="0" xfId="0" applyNumberFormat="1" applyFont="1"/>
    <xf numFmtId="0" fontId="9" fillId="0" borderId="0" xfId="0" quotePrefix="1" applyFont="1"/>
    <xf numFmtId="9" fontId="0" fillId="0" borderId="0" xfId="0" applyNumberFormat="1"/>
    <xf numFmtId="164" fontId="8" fillId="0" borderId="0" xfId="1" applyNumberFormat="1" applyFont="1" applyFill="1"/>
    <xf numFmtId="164" fontId="8" fillId="0" borderId="0" xfId="1" applyNumberFormat="1" applyFont="1" applyFill="1" applyBorder="1"/>
    <xf numFmtId="10" fontId="0" fillId="0" borderId="0" xfId="0" applyNumberFormat="1"/>
    <xf numFmtId="164" fontId="8" fillId="0" borderId="0" xfId="1" applyNumberFormat="1" applyFont="1" applyBorder="1"/>
    <xf numFmtId="9" fontId="34" fillId="0" borderId="0" xfId="2" applyFont="1" applyAlignment="1">
      <alignment horizontal="center"/>
    </xf>
    <xf numFmtId="172" fontId="9" fillId="0" borderId="0" xfId="1" applyNumberFormat="1" applyFont="1" applyFill="1" applyBorder="1"/>
    <xf numFmtId="3" fontId="42" fillId="0" borderId="0" xfId="0" applyNumberFormat="1" applyFont="1" applyAlignment="1">
      <alignment horizontal="center"/>
    </xf>
    <xf numFmtId="164" fontId="8" fillId="0" borderId="1" xfId="1" applyNumberFormat="1" applyFont="1" applyBorder="1"/>
    <xf numFmtId="164" fontId="8" fillId="0" borderId="1" xfId="1" applyNumberFormat="1" applyFont="1" applyBorder="1" applyAlignment="1">
      <alignment horizontal="left"/>
    </xf>
    <xf numFmtId="164" fontId="8" fillId="0" borderId="0" xfId="1" applyNumberFormat="1" applyFont="1" applyBorder="1" applyAlignment="1">
      <alignment horizontal="left"/>
    </xf>
    <xf numFmtId="164" fontId="0" fillId="0" borderId="1" xfId="1" applyNumberFormat="1" applyFont="1" applyBorder="1" applyAlignment="1">
      <alignment horizontal="left"/>
    </xf>
    <xf numFmtId="10" fontId="13" fillId="0" borderId="0" xfId="0" applyNumberFormat="1" applyFont="1" applyAlignment="1">
      <alignment horizontal="right"/>
    </xf>
    <xf numFmtId="181" fontId="32" fillId="0" borderId="0" xfId="0" applyNumberFormat="1" applyFont="1" applyAlignment="1">
      <alignment horizontal="right"/>
    </xf>
    <xf numFmtId="165" fontId="12" fillId="0" borderId="0" xfId="2" applyNumberFormat="1" applyFont="1"/>
    <xf numFmtId="0" fontId="12" fillId="0" borderId="0" xfId="0" applyFont="1" applyAlignment="1">
      <alignment horizontal="left"/>
    </xf>
    <xf numFmtId="0" fontId="0" fillId="9" borderId="8" xfId="0" applyFill="1" applyBorder="1" applyAlignment="1">
      <alignment horizontal="center"/>
    </xf>
    <xf numFmtId="0" fontId="35" fillId="9" borderId="8" xfId="0" applyFont="1" applyFill="1" applyBorder="1" applyAlignment="1">
      <alignment horizontal="center"/>
    </xf>
    <xf numFmtId="0" fontId="0" fillId="9" borderId="16" xfId="0" applyFill="1" applyBorder="1" applyAlignment="1">
      <alignment horizontal="center"/>
    </xf>
    <xf numFmtId="179" fontId="43" fillId="12" borderId="0" xfId="2" applyNumberFormat="1" applyFont="1" applyFill="1" applyBorder="1" applyAlignment="1">
      <alignment horizontal="center"/>
    </xf>
    <xf numFmtId="179" fontId="43" fillId="12" borderId="11" xfId="2" applyNumberFormat="1" applyFont="1" applyFill="1" applyBorder="1" applyAlignment="1">
      <alignment horizontal="center"/>
    </xf>
    <xf numFmtId="179" fontId="43" fillId="13" borderId="0" xfId="2" applyNumberFormat="1" applyFont="1" applyFill="1" applyBorder="1" applyAlignment="1">
      <alignment horizontal="center"/>
    </xf>
    <xf numFmtId="179" fontId="43" fillId="12" borderId="1" xfId="2" applyNumberFormat="1" applyFont="1" applyFill="1" applyBorder="1" applyAlignment="1">
      <alignment horizontal="center"/>
    </xf>
    <xf numFmtId="179" fontId="43" fillId="12" borderId="9" xfId="2" applyNumberFormat="1" applyFont="1" applyFill="1" applyBorder="1" applyAlignment="1">
      <alignment horizontal="center"/>
    </xf>
    <xf numFmtId="0" fontId="12" fillId="7" borderId="0" xfId="0" applyFont="1" applyFill="1" applyAlignment="1">
      <alignment horizontal="left" indent="2"/>
    </xf>
    <xf numFmtId="165" fontId="0" fillId="7" borderId="0" xfId="0" applyNumberFormat="1" applyFill="1"/>
    <xf numFmtId="10" fontId="12" fillId="7" borderId="0" xfId="0" applyNumberFormat="1" applyFont="1" applyFill="1"/>
    <xf numFmtId="172" fontId="11" fillId="0" borderId="0" xfId="1" applyNumberFormat="1" applyFont="1"/>
    <xf numFmtId="9" fontId="8" fillId="0" borderId="0" xfId="0" applyNumberFormat="1" applyFont="1"/>
    <xf numFmtId="165" fontId="12" fillId="0" borderId="0" xfId="0" applyNumberFormat="1" applyFont="1"/>
    <xf numFmtId="3" fontId="12" fillId="0" borderId="0" xfId="0" applyNumberFormat="1" applyFont="1" applyAlignment="1">
      <alignment horizontal="center"/>
    </xf>
    <xf numFmtId="10" fontId="8" fillId="0" borderId="0" xfId="8" applyNumberFormat="1" applyFont="1"/>
    <xf numFmtId="0" fontId="32" fillId="0" borderId="0" xfId="0" applyFont="1"/>
    <xf numFmtId="164" fontId="37" fillId="0" borderId="0" xfId="1" quotePrefix="1" applyNumberFormat="1" applyFont="1"/>
    <xf numFmtId="0" fontId="44" fillId="0" borderId="0" xfId="0" applyFont="1" applyAlignment="1">
      <alignment horizontal="left" indent="4"/>
    </xf>
    <xf numFmtId="0" fontId="32" fillId="4" borderId="0" xfId="0" quotePrefix="1" applyFont="1" applyFill="1"/>
    <xf numFmtId="164" fontId="37" fillId="0" borderId="0" xfId="1" applyNumberFormat="1" applyFont="1" applyFill="1"/>
    <xf numFmtId="172" fontId="32" fillId="0" borderId="0" xfId="0" applyNumberFormat="1" applyFont="1"/>
    <xf numFmtId="165" fontId="32" fillId="0" borderId="0" xfId="2" applyNumberFormat="1" applyFont="1" applyFill="1"/>
    <xf numFmtId="43" fontId="32" fillId="0" borderId="0" xfId="0" applyNumberFormat="1" applyFont="1"/>
    <xf numFmtId="9" fontId="32" fillId="0" borderId="0" xfId="2" applyFont="1" applyFill="1"/>
    <xf numFmtId="165" fontId="37" fillId="0" borderId="0" xfId="2" applyNumberFormat="1" applyFont="1" applyFill="1"/>
    <xf numFmtId="0" fontId="44" fillId="0" borderId="0" xfId="0" applyFont="1" applyAlignment="1">
      <alignment horizontal="left" indent="2"/>
    </xf>
    <xf numFmtId="0" fontId="44" fillId="0" borderId="2" xfId="0" applyFont="1" applyBorder="1" applyAlignment="1">
      <alignment horizontal="left" indent="4"/>
    </xf>
    <xf numFmtId="165" fontId="37" fillId="0" borderId="2" xfId="2" applyNumberFormat="1" applyFont="1" applyFill="1" applyBorder="1"/>
    <xf numFmtId="0" fontId="32" fillId="0" borderId="2" xfId="0" applyFont="1" applyBorder="1"/>
    <xf numFmtId="172" fontId="32" fillId="0" borderId="2" xfId="0" applyNumberFormat="1" applyFont="1" applyBorder="1"/>
    <xf numFmtId="164" fontId="32" fillId="0" borderId="2" xfId="1" applyNumberFormat="1" applyFont="1" applyBorder="1"/>
    <xf numFmtId="0" fontId="12" fillId="0" borderId="1" xfId="8" applyFont="1" applyBorder="1"/>
    <xf numFmtId="3" fontId="0" fillId="0" borderId="0" xfId="8" applyNumberFormat="1" applyFont="1" applyAlignment="1">
      <alignment horizontal="center"/>
    </xf>
    <xf numFmtId="6" fontId="8" fillId="0" borderId="0" xfId="8" applyNumberFormat="1" applyFont="1" applyAlignment="1">
      <alignment horizontal="center" vertical="center"/>
    </xf>
    <xf numFmtId="0" fontId="30" fillId="0" borderId="0" xfId="0" applyFont="1"/>
    <xf numFmtId="0" fontId="30" fillId="0" borderId="0" xfId="0" applyFont="1" applyAlignment="1">
      <alignment horizontal="right"/>
    </xf>
    <xf numFmtId="9" fontId="30" fillId="0" borderId="0" xfId="0" applyNumberFormat="1" applyFont="1"/>
    <xf numFmtId="168" fontId="30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3" fontId="30" fillId="0" borderId="0" xfId="0" applyNumberFormat="1" applyFont="1" applyAlignment="1">
      <alignment horizontal="center"/>
    </xf>
    <xf numFmtId="0" fontId="30" fillId="0" borderId="0" xfId="0" applyFont="1" applyAlignment="1">
      <alignment wrapText="1"/>
    </xf>
    <xf numFmtId="164" fontId="8" fillId="0" borderId="0" xfId="1" applyNumberFormat="1" applyFont="1" applyFill="1" applyBorder="1" applyAlignment="1"/>
    <xf numFmtId="0" fontId="0" fillId="0" borderId="2" xfId="0" applyBorder="1" applyAlignment="1">
      <alignment horizontal="center" wrapText="1"/>
    </xf>
    <xf numFmtId="164" fontId="32" fillId="0" borderId="0" xfId="1" applyNumberFormat="1" applyFont="1" applyFill="1" applyBorder="1" applyAlignment="1">
      <alignment horizontal="center"/>
    </xf>
    <xf numFmtId="164" fontId="32" fillId="0" borderId="6" xfId="1" applyNumberFormat="1" applyFont="1" applyBorder="1"/>
    <xf numFmtId="8" fontId="8" fillId="0" borderId="0" xfId="8" applyNumberFormat="1" applyFont="1"/>
    <xf numFmtId="1" fontId="8" fillId="0" borderId="0" xfId="8" applyNumberFormat="1" applyFont="1" applyAlignment="1">
      <alignment horizontal="center"/>
    </xf>
    <xf numFmtId="165" fontId="0" fillId="0" borderId="0" xfId="2" applyNumberFormat="1" applyFont="1" applyFill="1" applyBorder="1"/>
    <xf numFmtId="9" fontId="13" fillId="0" borderId="0" xfId="0" applyNumberFormat="1" applyFont="1"/>
    <xf numFmtId="10" fontId="32" fillId="0" borderId="2" xfId="0" applyNumberFormat="1" applyFont="1" applyBorder="1"/>
    <xf numFmtId="2" fontId="0" fillId="0" borderId="0" xfId="2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42" fillId="0" borderId="0" xfId="8" applyFont="1" applyAlignment="1">
      <alignment horizontal="right"/>
    </xf>
    <xf numFmtId="9" fontId="42" fillId="0" borderId="0" xfId="0" applyNumberFormat="1" applyFont="1" applyAlignment="1">
      <alignment horizontal="center"/>
    </xf>
    <xf numFmtId="9" fontId="42" fillId="0" borderId="0" xfId="8" applyNumberFormat="1" applyFont="1" applyAlignment="1">
      <alignment horizontal="center"/>
    </xf>
    <xf numFmtId="164" fontId="9" fillId="0" borderId="6" xfId="1" applyNumberFormat="1" applyFont="1" applyFill="1" applyBorder="1" applyAlignment="1">
      <alignment horizontal="left"/>
    </xf>
    <xf numFmtId="3" fontId="0" fillId="4" borderId="0" xfId="0" applyNumberFormat="1" applyFill="1"/>
    <xf numFmtId="164" fontId="12" fillId="0" borderId="5" xfId="0" applyNumberFormat="1" applyFont="1" applyBorder="1"/>
    <xf numFmtId="164" fontId="12" fillId="0" borderId="18" xfId="0" applyNumberFormat="1" applyFont="1" applyBorder="1"/>
    <xf numFmtId="164" fontId="8" fillId="0" borderId="5" xfId="1" applyNumberFormat="1" applyFont="1" applyFill="1" applyBorder="1"/>
    <xf numFmtId="164" fontId="8" fillId="0" borderId="2" xfId="1" applyNumberFormat="1" applyFont="1" applyFill="1" applyBorder="1"/>
    <xf numFmtId="164" fontId="11" fillId="0" borderId="0" xfId="1" quotePrefix="1" applyNumberFormat="1" applyFont="1" applyFill="1" applyAlignment="1">
      <alignment horizontal="right"/>
    </xf>
    <xf numFmtId="164" fontId="0" fillId="0" borderId="0" xfId="1" applyNumberFormat="1" applyFont="1" applyAlignment="1">
      <alignment vertical="top" wrapText="1"/>
    </xf>
    <xf numFmtId="164" fontId="0" fillId="0" borderId="1" xfId="1" applyNumberFormat="1" applyFont="1" applyBorder="1" applyAlignment="1">
      <alignment vertical="top" wrapText="1"/>
    </xf>
    <xf numFmtId="1" fontId="9" fillId="0" borderId="0" xfId="0" applyNumberFormat="1" applyFont="1"/>
    <xf numFmtId="170" fontId="9" fillId="0" borderId="0" xfId="4" applyNumberFormat="1" applyFont="1"/>
    <xf numFmtId="170" fontId="9" fillId="0" borderId="0" xfId="4" applyNumberFormat="1" applyFont="1" applyFill="1" applyAlignment="1">
      <alignment horizontal="left"/>
    </xf>
    <xf numFmtId="165" fontId="0" fillId="0" borderId="1" xfId="0" applyNumberFormat="1" applyBorder="1"/>
    <xf numFmtId="172" fontId="9" fillId="0" borderId="6" xfId="1" applyNumberFormat="1" applyFont="1" applyFill="1" applyBorder="1" applyAlignment="1">
      <alignment horizontal="left"/>
    </xf>
    <xf numFmtId="0" fontId="6" fillId="0" borderId="0" xfId="0" applyFont="1"/>
    <xf numFmtId="10" fontId="9" fillId="0" borderId="0" xfId="2" applyNumberFormat="1" applyFont="1"/>
    <xf numFmtId="171" fontId="9" fillId="0" borderId="0" xfId="0" applyNumberFormat="1" applyFont="1"/>
    <xf numFmtId="170" fontId="9" fillId="0" borderId="0" xfId="0" applyNumberFormat="1" applyFont="1"/>
    <xf numFmtId="0" fontId="0" fillId="2" borderId="0" xfId="0" applyFill="1"/>
    <xf numFmtId="0" fontId="22" fillId="0" borderId="0" xfId="0" applyFont="1" applyAlignment="1">
      <alignment horizontal="right"/>
    </xf>
    <xf numFmtId="0" fontId="22" fillId="0" borderId="0" xfId="0" applyFont="1" applyAlignment="1">
      <alignment horizontal="left"/>
    </xf>
    <xf numFmtId="164" fontId="24" fillId="0" borderId="8" xfId="1" applyNumberFormat="1" applyFont="1" applyFill="1" applyBorder="1"/>
    <xf numFmtId="164" fontId="0" fillId="2" borderId="0" xfId="0" applyNumberFormat="1" applyFill="1"/>
    <xf numFmtId="164" fontId="27" fillId="0" borderId="22" xfId="0" applyNumberFormat="1" applyFont="1" applyBorder="1"/>
    <xf numFmtId="0" fontId="27" fillId="0" borderId="22" xfId="0" applyFont="1" applyBorder="1"/>
    <xf numFmtId="0" fontId="9" fillId="0" borderId="22" xfId="0" applyFont="1" applyBorder="1"/>
    <xf numFmtId="0" fontId="16" fillId="0" borderId="22" xfId="0" applyFont="1" applyBorder="1"/>
    <xf numFmtId="164" fontId="30" fillId="0" borderId="0" xfId="1" applyNumberFormat="1" applyFont="1" applyBorder="1"/>
    <xf numFmtId="164" fontId="30" fillId="0" borderId="0" xfId="0" applyNumberFormat="1" applyFont="1"/>
    <xf numFmtId="10" fontId="30" fillId="0" borderId="0" xfId="0" applyNumberFormat="1" applyFont="1"/>
    <xf numFmtId="10" fontId="45" fillId="0" borderId="0" xfId="0" applyNumberFormat="1" applyFont="1"/>
    <xf numFmtId="0" fontId="46" fillId="0" borderId="0" xfId="0" applyFont="1"/>
    <xf numFmtId="0" fontId="32" fillId="4" borderId="0" xfId="0" applyFont="1" applyFill="1"/>
    <xf numFmtId="164" fontId="12" fillId="0" borderId="6" xfId="1" applyNumberFormat="1" applyFont="1" applyFill="1" applyBorder="1"/>
    <xf numFmtId="0" fontId="12" fillId="0" borderId="6" xfId="0" applyFont="1" applyBorder="1"/>
    <xf numFmtId="164" fontId="12" fillId="0" borderId="0" xfId="1" applyNumberFormat="1" applyFont="1" applyFill="1" applyBorder="1" applyAlignment="1">
      <alignment wrapText="1"/>
    </xf>
    <xf numFmtId="164" fontId="13" fillId="0" borderId="0" xfId="1" applyNumberFormat="1" applyFont="1" applyFill="1" applyBorder="1" applyAlignment="1">
      <alignment wrapText="1"/>
    </xf>
    <xf numFmtId="0" fontId="13" fillId="0" borderId="0" xfId="0" applyFont="1"/>
    <xf numFmtId="0" fontId="27" fillId="0" borderId="24" xfId="0" applyFont="1" applyBorder="1" applyAlignment="1">
      <alignment horizontal="left"/>
    </xf>
    <xf numFmtId="3" fontId="0" fillId="0" borderId="25" xfId="0" applyNumberFormat="1" applyBorder="1"/>
    <xf numFmtId="0" fontId="27" fillId="0" borderId="26" xfId="0" applyFont="1" applyBorder="1" applyAlignment="1">
      <alignment horizontal="left"/>
    </xf>
    <xf numFmtId="0" fontId="9" fillId="0" borderId="26" xfId="0" applyFont="1" applyBorder="1"/>
    <xf numFmtId="9" fontId="27" fillId="0" borderId="25" xfId="2" applyFont="1" applyFill="1" applyBorder="1"/>
    <xf numFmtId="164" fontId="11" fillId="0" borderId="0" xfId="1" applyNumberFormat="1" applyFont="1" applyFill="1" applyBorder="1" applyAlignment="1">
      <alignment wrapText="1"/>
    </xf>
    <xf numFmtId="3" fontId="12" fillId="0" borderId="25" xfId="0" applyNumberFormat="1" applyFont="1" applyBorder="1"/>
    <xf numFmtId="164" fontId="12" fillId="4" borderId="0" xfId="1" applyNumberFormat="1" applyFont="1" applyFill="1" applyBorder="1"/>
    <xf numFmtId="164" fontId="32" fillId="0" borderId="0" xfId="1" applyNumberFormat="1" applyFont="1" applyBorder="1"/>
    <xf numFmtId="10" fontId="13" fillId="0" borderId="0" xfId="2" applyNumberFormat="1" applyFont="1"/>
    <xf numFmtId="164" fontId="0" fillId="0" borderId="0" xfId="2" applyNumberFormat="1" applyFont="1" applyFill="1"/>
    <xf numFmtId="170" fontId="32" fillId="0" borderId="0" xfId="4" applyNumberFormat="1" applyFont="1" applyBorder="1"/>
    <xf numFmtId="9" fontId="13" fillId="0" borderId="1" xfId="0" applyNumberFormat="1" applyFont="1" applyBorder="1"/>
    <xf numFmtId="164" fontId="13" fillId="0" borderId="0" xfId="1" applyNumberFormat="1" applyFont="1" applyAlignment="1">
      <alignment horizontal="center"/>
    </xf>
    <xf numFmtId="164" fontId="13" fillId="0" borderId="0" xfId="1" applyNumberFormat="1" applyFont="1" applyFill="1" applyAlignment="1">
      <alignment horizontal="right"/>
    </xf>
    <xf numFmtId="1" fontId="0" fillId="0" borderId="0" xfId="0" applyNumberFormat="1"/>
    <xf numFmtId="169" fontId="47" fillId="0" borderId="0" xfId="0" applyNumberFormat="1" applyFont="1"/>
    <xf numFmtId="164" fontId="0" fillId="0" borderId="0" xfId="1" applyNumberFormat="1" applyFont="1" applyFill="1" applyAlignment="1">
      <alignment horizontal="left"/>
    </xf>
    <xf numFmtId="9" fontId="12" fillId="0" borderId="6" xfId="0" applyNumberFormat="1" applyFont="1" applyBorder="1"/>
    <xf numFmtId="10" fontId="12" fillId="0" borderId="0" xfId="2" applyNumberFormat="1" applyFont="1" applyFill="1"/>
    <xf numFmtId="168" fontId="12" fillId="0" borderId="0" xfId="1" quotePrefix="1" applyNumberFormat="1" applyFont="1"/>
    <xf numFmtId="164" fontId="11" fillId="0" borderId="6" xfId="1" applyNumberFormat="1" applyFont="1" applyBorder="1"/>
    <xf numFmtId="164" fontId="32" fillId="0" borderId="0" xfId="1" applyNumberFormat="1" applyFont="1" applyAlignment="1"/>
    <xf numFmtId="0" fontId="0" fillId="8" borderId="0" xfId="0" applyFill="1"/>
    <xf numFmtId="168" fontId="0" fillId="8" borderId="0" xfId="0" applyNumberFormat="1" applyFill="1" applyAlignment="1">
      <alignment horizontal="center"/>
    </xf>
    <xf numFmtId="168" fontId="11" fillId="8" borderId="0" xfId="0" applyNumberFormat="1" applyFont="1" applyFill="1" applyAlignment="1">
      <alignment horizontal="center"/>
    </xf>
    <xf numFmtId="9" fontId="11" fillId="8" borderId="0" xfId="0" applyNumberFormat="1" applyFont="1" applyFill="1"/>
    <xf numFmtId="165" fontId="11" fillId="8" borderId="0" xfId="0" applyNumberFormat="1" applyFont="1" applyFill="1"/>
    <xf numFmtId="168" fontId="11" fillId="14" borderId="0" xfId="0" applyNumberFormat="1" applyFont="1" applyFill="1" applyAlignment="1">
      <alignment horizontal="center"/>
    </xf>
    <xf numFmtId="9" fontId="11" fillId="14" borderId="0" xfId="0" applyNumberFormat="1" applyFont="1" applyFill="1"/>
    <xf numFmtId="165" fontId="11" fillId="14" borderId="0" xfId="0" applyNumberFormat="1" applyFont="1" applyFill="1"/>
    <xf numFmtId="0" fontId="0" fillId="14" borderId="0" xfId="0" applyFill="1"/>
    <xf numFmtId="168" fontId="11" fillId="15" borderId="0" xfId="0" applyNumberFormat="1" applyFont="1" applyFill="1" applyAlignment="1">
      <alignment horizontal="center"/>
    </xf>
    <xf numFmtId="9" fontId="11" fillId="15" borderId="0" xfId="0" applyNumberFormat="1" applyFont="1" applyFill="1"/>
    <xf numFmtId="165" fontId="11" fillId="15" borderId="0" xfId="0" applyNumberFormat="1" applyFont="1" applyFill="1"/>
    <xf numFmtId="0" fontId="0" fillId="15" borderId="0" xfId="0" applyFill="1"/>
    <xf numFmtId="0" fontId="24" fillId="0" borderId="8" xfId="0" applyFont="1" applyBorder="1"/>
    <xf numFmtId="0" fontId="0" fillId="0" borderId="2" xfId="0" applyBorder="1" applyAlignment="1">
      <alignment horizontal="left" indent="1"/>
    </xf>
    <xf numFmtId="0" fontId="48" fillId="0" borderId="0" xfId="0" applyFont="1"/>
    <xf numFmtId="164" fontId="0" fillId="8" borderId="5" xfId="1" applyNumberFormat="1" applyFont="1" applyFill="1" applyBorder="1"/>
    <xf numFmtId="164" fontId="0" fillId="0" borderId="29" xfId="1" applyNumberFormat="1" applyFont="1" applyFill="1" applyBorder="1"/>
    <xf numFmtId="0" fontId="0" fillId="0" borderId="29" xfId="0" applyBorder="1"/>
    <xf numFmtId="164" fontId="0" fillId="14" borderId="5" xfId="1" applyNumberFormat="1" applyFont="1" applyFill="1" applyBorder="1"/>
    <xf numFmtId="164" fontId="0" fillId="15" borderId="5" xfId="1" applyNumberFormat="1" applyFont="1" applyFill="1" applyBorder="1"/>
    <xf numFmtId="0" fontId="0" fillId="0" borderId="5" xfId="0" applyBorder="1"/>
    <xf numFmtId="0" fontId="15" fillId="0" borderId="0" xfId="0" applyFont="1" applyAlignment="1">
      <alignment horizontal="center"/>
    </xf>
    <xf numFmtId="43" fontId="24" fillId="0" borderId="0" xfId="1" applyFont="1" applyFill="1"/>
    <xf numFmtId="0" fontId="50" fillId="3" borderId="1" xfId="0" applyFont="1" applyFill="1" applyBorder="1"/>
    <xf numFmtId="0" fontId="0" fillId="16" borderId="0" xfId="0" applyFill="1"/>
    <xf numFmtId="0" fontId="5" fillId="0" borderId="0" xfId="0" applyFont="1"/>
    <xf numFmtId="0" fontId="51" fillId="0" borderId="0" xfId="0" applyFont="1" applyAlignment="1">
      <alignment horizontal="left" indent="2"/>
    </xf>
    <xf numFmtId="164" fontId="0" fillId="0" borderId="0" xfId="0" applyNumberFormat="1" applyAlignment="1">
      <alignment horizontal="left"/>
    </xf>
    <xf numFmtId="164" fontId="15" fillId="0" borderId="0" xfId="1" applyNumberFormat="1" applyFont="1" applyFill="1" applyBorder="1"/>
    <xf numFmtId="0" fontId="0" fillId="2" borderId="0" xfId="0" applyFill="1" applyAlignment="1">
      <alignment horizontal="center"/>
    </xf>
    <xf numFmtId="9" fontId="9" fillId="2" borderId="0" xfId="2" applyFont="1" applyFill="1"/>
    <xf numFmtId="9" fontId="0" fillId="2" borderId="0" xfId="2" applyFont="1" applyFill="1"/>
    <xf numFmtId="165" fontId="0" fillId="2" borderId="0" xfId="2" applyNumberFormat="1" applyFont="1" applyFill="1"/>
    <xf numFmtId="0" fontId="0" fillId="2" borderId="0" xfId="0" applyFill="1" applyAlignment="1">
      <alignment horizontal="right"/>
    </xf>
    <xf numFmtId="0" fontId="53" fillId="0" borderId="0" xfId="0" applyFont="1"/>
    <xf numFmtId="0" fontId="0" fillId="2" borderId="0" xfId="0" applyFill="1" applyAlignment="1">
      <alignment horizontal="left"/>
    </xf>
    <xf numFmtId="9" fontId="0" fillId="0" borderId="6" xfId="0" applyNumberFormat="1" applyBorder="1"/>
    <xf numFmtId="0" fontId="12" fillId="4" borderId="6" xfId="0" applyFont="1" applyFill="1" applyBorder="1" applyAlignment="1">
      <alignment horizontal="left" indent="1"/>
    </xf>
    <xf numFmtId="9" fontId="0" fillId="2" borderId="0" xfId="0" applyNumberFormat="1" applyFill="1"/>
    <xf numFmtId="165" fontId="14" fillId="6" borderId="4" xfId="3" applyNumberFormat="1"/>
    <xf numFmtId="0" fontId="0" fillId="4" borderId="0" xfId="0" applyFill="1" applyAlignment="1">
      <alignment horizontal="left" indent="1"/>
    </xf>
    <xf numFmtId="164" fontId="0" fillId="8" borderId="0" xfId="1" applyNumberFormat="1" applyFont="1" applyFill="1"/>
    <xf numFmtId="164" fontId="54" fillId="0" borderId="0" xfId="1" applyNumberFormat="1" applyFont="1"/>
    <xf numFmtId="10" fontId="0" fillId="0" borderId="0" xfId="2" applyNumberFormat="1" applyFont="1"/>
    <xf numFmtId="166" fontId="0" fillId="4" borderId="0" xfId="0" applyNumberFormat="1" applyFill="1" applyAlignment="1">
      <alignment horizontal="right"/>
    </xf>
    <xf numFmtId="171" fontId="0" fillId="4" borderId="0" xfId="0" applyNumberFormat="1" applyFill="1" applyAlignment="1">
      <alignment horizontal="right"/>
    </xf>
    <xf numFmtId="14" fontId="0" fillId="4" borderId="0" xfId="0" applyNumberFormat="1" applyFill="1" applyAlignment="1">
      <alignment horizontal="center"/>
    </xf>
    <xf numFmtId="3" fontId="9" fillId="4" borderId="0" xfId="0" applyNumberFormat="1" applyFont="1" applyFill="1"/>
    <xf numFmtId="165" fontId="0" fillId="4" borderId="0" xfId="2" applyNumberFormat="1" applyFont="1" applyFill="1" applyBorder="1"/>
    <xf numFmtId="8" fontId="0" fillId="2" borderId="0" xfId="0" applyNumberFormat="1" applyFill="1"/>
    <xf numFmtId="3" fontId="9" fillId="4" borderId="7" xfId="0" applyNumberFormat="1" applyFont="1" applyFill="1" applyBorder="1"/>
    <xf numFmtId="165" fontId="9" fillId="0" borderId="0" xfId="2" applyNumberFormat="1" applyFont="1" applyBorder="1"/>
    <xf numFmtId="0" fontId="10" fillId="0" borderId="0" xfId="0" applyFont="1" applyAlignment="1">
      <alignment horizontal="right"/>
    </xf>
    <xf numFmtId="165" fontId="0" fillId="0" borderId="0" xfId="2" applyNumberFormat="1" applyFont="1" applyBorder="1"/>
    <xf numFmtId="0" fontId="0" fillId="4" borderId="0" xfId="0" applyFill="1" applyAlignment="1">
      <alignment horizontal="left"/>
    </xf>
    <xf numFmtId="0" fontId="9" fillId="9" borderId="0" xfId="0" applyFont="1" applyFill="1" applyAlignment="1">
      <alignment horizontal="left"/>
    </xf>
    <xf numFmtId="10" fontId="0" fillId="0" borderId="0" xfId="2" applyNumberFormat="1" applyFont="1" applyBorder="1"/>
    <xf numFmtId="0" fontId="0" fillId="4" borderId="0" xfId="0" quotePrefix="1" applyFill="1" applyAlignment="1">
      <alignment horizontal="left"/>
    </xf>
    <xf numFmtId="164" fontId="0" fillId="0" borderId="0" xfId="2" applyNumberFormat="1" applyFont="1" applyBorder="1"/>
    <xf numFmtId="0" fontId="49" fillId="0" borderId="0" xfId="0" applyFont="1" applyAlignment="1">
      <alignment horizont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/>
    <xf numFmtId="0" fontId="12" fillId="0" borderId="1" xfId="0" applyFont="1" applyBorder="1"/>
    <xf numFmtId="43" fontId="9" fillId="0" borderId="6" xfId="0" applyNumberFormat="1" applyFont="1" applyBorder="1"/>
    <xf numFmtId="165" fontId="8" fillId="0" borderId="0" xfId="2" applyNumberFormat="1" applyFont="1"/>
    <xf numFmtId="0" fontId="9" fillId="2" borderId="0" xfId="0" applyFont="1" applyFill="1"/>
    <xf numFmtId="0" fontId="12" fillId="0" borderId="0" xfId="8" applyFont="1" applyAlignment="1">
      <alignment horizontal="center"/>
    </xf>
    <xf numFmtId="0" fontId="55" fillId="0" borderId="0" xfId="8" applyFont="1" applyAlignment="1">
      <alignment horizontal="center"/>
    </xf>
    <xf numFmtId="165" fontId="12" fillId="0" borderId="0" xfId="8" applyNumberFormat="1" applyFont="1" applyAlignment="1">
      <alignment horizontal="center"/>
    </xf>
    <xf numFmtId="9" fontId="12" fillId="0" borderId="0" xfId="8" applyNumberFormat="1" applyFont="1"/>
    <xf numFmtId="165" fontId="12" fillId="0" borderId="0" xfId="8" applyNumberFormat="1" applyFont="1"/>
    <xf numFmtId="3" fontId="12" fillId="0" borderId="0" xfId="8" applyNumberFormat="1" applyFont="1"/>
    <xf numFmtId="3" fontId="11" fillId="0" borderId="0" xfId="8" applyNumberFormat="1" applyFont="1" applyAlignment="1">
      <alignment horizontal="center"/>
    </xf>
    <xf numFmtId="6" fontId="11" fillId="0" borderId="0" xfId="8" applyNumberFormat="1" applyFont="1" applyAlignment="1">
      <alignment horizontal="center"/>
    </xf>
    <xf numFmtId="9" fontId="11" fillId="0" borderId="0" xfId="8" applyNumberFormat="1" applyFont="1" applyAlignment="1">
      <alignment horizontal="center"/>
    </xf>
    <xf numFmtId="0" fontId="25" fillId="0" borderId="0" xfId="0" applyFont="1" applyAlignment="1">
      <alignment horizontal="left" indent="3"/>
    </xf>
    <xf numFmtId="164" fontId="52" fillId="0" borderId="5" xfId="1" applyNumberFormat="1" applyFont="1" applyFill="1" applyBorder="1"/>
    <xf numFmtId="172" fontId="52" fillId="0" borderId="0" xfId="1" applyNumberFormat="1" applyFont="1"/>
    <xf numFmtId="0" fontId="0" fillId="0" borderId="0" xfId="0" applyAlignment="1">
      <alignment horizontal="right" wrapText="1"/>
    </xf>
    <xf numFmtId="170" fontId="45" fillId="0" borderId="0" xfId="4" applyNumberFormat="1" applyFont="1" applyBorder="1"/>
    <xf numFmtId="0" fontId="25" fillId="0" borderId="0" xfId="0" applyFont="1" applyAlignment="1">
      <alignment horizontal="right" indent="1"/>
    </xf>
    <xf numFmtId="172" fontId="8" fillId="0" borderId="0" xfId="1" applyNumberFormat="1" applyFont="1" applyBorder="1" applyAlignment="1">
      <alignment horizontal="center"/>
    </xf>
    <xf numFmtId="3" fontId="12" fillId="9" borderId="0" xfId="0" applyNumberFormat="1" applyFont="1" applyFill="1" applyAlignment="1">
      <alignment horizontal="center"/>
    </xf>
    <xf numFmtId="165" fontId="8" fillId="0" borderId="0" xfId="2" applyNumberFormat="1" applyFont="1" applyFill="1" applyAlignment="1">
      <alignment horizontal="center"/>
    </xf>
    <xf numFmtId="9" fontId="27" fillId="0" borderId="23" xfId="2" applyFont="1" applyFill="1" applyBorder="1"/>
    <xf numFmtId="164" fontId="27" fillId="0" borderId="25" xfId="2" applyNumberFormat="1" applyFont="1" applyFill="1" applyBorder="1"/>
    <xf numFmtId="172" fontId="8" fillId="0" borderId="0" xfId="1" applyNumberFormat="1" applyFont="1" applyFill="1" applyBorder="1"/>
    <xf numFmtId="38" fontId="0" fillId="0" borderId="0" xfId="0" applyNumberFormat="1"/>
    <xf numFmtId="0" fontId="56" fillId="4" borderId="0" xfId="0" applyFont="1" applyFill="1"/>
    <xf numFmtId="3" fontId="56" fillId="0" borderId="0" xfId="0" applyNumberFormat="1" applyFont="1"/>
    <xf numFmtId="181" fontId="57" fillId="0" borderId="0" xfId="0" applyNumberFormat="1" applyFont="1" applyAlignment="1">
      <alignment horizontal="right"/>
    </xf>
    <xf numFmtId="164" fontId="58" fillId="0" borderId="0" xfId="0" applyNumberFormat="1" applyFont="1"/>
    <xf numFmtId="172" fontId="56" fillId="0" borderId="0" xfId="0" applyNumberFormat="1" applyFont="1"/>
    <xf numFmtId="172" fontId="58" fillId="0" borderId="0" xfId="0" applyNumberFormat="1" applyFont="1"/>
    <xf numFmtId="172" fontId="58" fillId="0" borderId="0" xfId="1" applyNumberFormat="1" applyFont="1"/>
    <xf numFmtId="0" fontId="56" fillId="0" borderId="0" xfId="0" applyFont="1"/>
    <xf numFmtId="0" fontId="27" fillId="5" borderId="0" xfId="0" applyFont="1" applyFill="1" applyAlignment="1">
      <alignment horizontal="center"/>
    </xf>
    <xf numFmtId="0" fontId="34" fillId="0" borderId="0" xfId="0" applyFont="1" applyAlignment="1">
      <alignment horizontal="left"/>
    </xf>
    <xf numFmtId="0" fontId="4" fillId="2" borderId="0" xfId="0" applyFont="1" applyFill="1"/>
    <xf numFmtId="0" fontId="12" fillId="0" borderId="1" xfId="0" applyFont="1" applyBorder="1" applyAlignment="1">
      <alignment horizontal="left" indent="2"/>
    </xf>
    <xf numFmtId="165" fontId="59" fillId="0" borderId="0" xfId="0" applyNumberFormat="1" applyFont="1"/>
    <xf numFmtId="172" fontId="12" fillId="0" borderId="0" xfId="1" applyNumberFormat="1" applyFont="1" applyFill="1"/>
    <xf numFmtId="172" fontId="12" fillId="9" borderId="0" xfId="1" applyNumberFormat="1" applyFont="1" applyFill="1" applyBorder="1"/>
    <xf numFmtId="0" fontId="12" fillId="0" borderId="1" xfId="8" applyFont="1" applyBorder="1" applyAlignment="1">
      <alignment horizontal="right"/>
    </xf>
    <xf numFmtId="3" fontId="8" fillId="0" borderId="1" xfId="8" applyNumberFormat="1" applyFont="1" applyBorder="1" applyAlignment="1">
      <alignment horizontal="center"/>
    </xf>
    <xf numFmtId="6" fontId="8" fillId="0" borderId="0" xfId="8" applyNumberFormat="1" applyFont="1"/>
    <xf numFmtId="165" fontId="0" fillId="2" borderId="0" xfId="2" applyNumberFormat="1" applyFont="1" applyFill="1" applyBorder="1"/>
    <xf numFmtId="9" fontId="0" fillId="2" borderId="0" xfId="2" applyFont="1" applyFill="1" applyBorder="1"/>
    <xf numFmtId="9" fontId="9" fillId="2" borderId="0" xfId="2" applyFont="1" applyFill="1" applyBorder="1"/>
    <xf numFmtId="165" fontId="9" fillId="2" borderId="0" xfId="2" applyNumberFormat="1" applyFont="1" applyFill="1" applyBorder="1"/>
    <xf numFmtId="0" fontId="7" fillId="2" borderId="0" xfId="0" applyFont="1" applyFill="1"/>
    <xf numFmtId="9" fontId="9" fillId="2" borderId="0" xfId="0" applyNumberFormat="1" applyFont="1" applyFill="1"/>
    <xf numFmtId="9" fontId="11" fillId="4" borderId="0" xfId="0" applyNumberFormat="1" applyFont="1" applyFill="1" applyAlignment="1">
      <alignment horizontal="center"/>
    </xf>
    <xf numFmtId="0" fontId="0" fillId="4" borderId="1" xfId="0" applyFill="1" applyBorder="1" applyAlignment="1">
      <alignment horizontal="left" indent="1"/>
    </xf>
    <xf numFmtId="0" fontId="0" fillId="4" borderId="1" xfId="0" applyFill="1" applyBorder="1"/>
    <xf numFmtId="3" fontId="9" fillId="4" borderId="8" xfId="0" applyNumberFormat="1" applyFont="1" applyFill="1" applyBorder="1"/>
    <xf numFmtId="164" fontId="12" fillId="4" borderId="1" xfId="1" applyNumberFormat="1" applyFont="1" applyFill="1" applyBorder="1"/>
    <xf numFmtId="0" fontId="0" fillId="0" borderId="1" xfId="0" applyBorder="1" applyAlignment="1">
      <alignment horizontal="left" indent="1"/>
    </xf>
    <xf numFmtId="3" fontId="9" fillId="0" borderId="8" xfId="0" applyNumberFormat="1" applyFont="1" applyBorder="1"/>
    <xf numFmtId="164" fontId="0" fillId="0" borderId="1" xfId="1" applyNumberFormat="1" applyFont="1" applyFill="1" applyBorder="1"/>
    <xf numFmtId="172" fontId="44" fillId="0" borderId="3" xfId="0" applyNumberFormat="1" applyFont="1" applyBorder="1"/>
    <xf numFmtId="164" fontId="30" fillId="0" borderId="0" xfId="0" quotePrefix="1" applyNumberFormat="1" applyFont="1"/>
    <xf numFmtId="9" fontId="30" fillId="0" borderId="0" xfId="2" applyFont="1" applyAlignment="1">
      <alignment horizontal="center"/>
    </xf>
    <xf numFmtId="0" fontId="9" fillId="0" borderId="0" xfId="8" applyFont="1"/>
    <xf numFmtId="9" fontId="8" fillId="0" borderId="0" xfId="2" applyFont="1" applyAlignment="1">
      <alignment horizontal="center"/>
    </xf>
    <xf numFmtId="9" fontId="24" fillId="0" borderId="0" xfId="2" applyFont="1" applyAlignment="1">
      <alignment horizontal="center"/>
    </xf>
    <xf numFmtId="0" fontId="27" fillId="4" borderId="0" xfId="8" applyFont="1" applyFill="1"/>
    <xf numFmtId="14" fontId="27" fillId="0" borderId="0" xfId="8" applyNumberFormat="1" applyFont="1" applyAlignment="1">
      <alignment horizontal="center"/>
    </xf>
    <xf numFmtId="0" fontId="30" fillId="0" borderId="0" xfId="8" applyFont="1"/>
    <xf numFmtId="14" fontId="30" fillId="0" borderId="0" xfId="8" applyNumberFormat="1" applyFont="1" applyAlignment="1">
      <alignment horizontal="center"/>
    </xf>
    <xf numFmtId="14" fontId="37" fillId="0" borderId="0" xfId="8" applyNumberFormat="1" applyFont="1" applyAlignment="1">
      <alignment horizontal="center"/>
    </xf>
    <xf numFmtId="14" fontId="42" fillId="0" borderId="0" xfId="8" applyNumberFormat="1" applyFont="1" applyAlignment="1">
      <alignment horizontal="right"/>
    </xf>
    <xf numFmtId="10" fontId="45" fillId="0" borderId="3" xfId="0" applyNumberFormat="1" applyFont="1" applyBorder="1"/>
    <xf numFmtId="10" fontId="30" fillId="0" borderId="3" xfId="0" applyNumberFormat="1" applyFont="1" applyBorder="1"/>
    <xf numFmtId="164" fontId="30" fillId="0" borderId="3" xfId="0" applyNumberFormat="1" applyFont="1" applyBorder="1"/>
    <xf numFmtId="3" fontId="32" fillId="0" borderId="0" xfId="0" applyNumberFormat="1" applyFont="1"/>
    <xf numFmtId="0" fontId="39" fillId="0" borderId="0" xfId="11" applyFont="1"/>
    <xf numFmtId="182" fontId="39" fillId="0" borderId="0" xfId="11" applyNumberFormat="1" applyFont="1" applyProtection="1">
      <protection locked="0"/>
    </xf>
    <xf numFmtId="182" fontId="39" fillId="0" borderId="0" xfId="11" applyNumberFormat="1" applyFont="1"/>
    <xf numFmtId="0" fontId="61" fillId="0" borderId="0" xfId="11" applyFont="1"/>
    <xf numFmtId="183" fontId="62" fillId="0" borderId="0" xfId="11" applyNumberFormat="1" applyFont="1" applyProtection="1">
      <protection locked="0"/>
    </xf>
    <xf numFmtId="182" fontId="62" fillId="0" borderId="0" xfId="11" applyNumberFormat="1" applyFont="1" applyProtection="1">
      <protection locked="0"/>
    </xf>
    <xf numFmtId="165" fontId="39" fillId="0" borderId="0" xfId="11" applyNumberFormat="1" applyFont="1" applyProtection="1">
      <protection locked="0"/>
    </xf>
    <xf numFmtId="0" fontId="62" fillId="0" borderId="0" xfId="12" applyFont="1"/>
    <xf numFmtId="183" fontId="39" fillId="0" borderId="0" xfId="11" applyNumberFormat="1" applyFont="1"/>
    <xf numFmtId="0" fontId="62" fillId="0" borderId="0" xfId="11" applyFont="1"/>
    <xf numFmtId="183" fontId="39" fillId="0" borderId="0" xfId="11" applyNumberFormat="1" applyFont="1" applyProtection="1">
      <protection locked="0"/>
    </xf>
    <xf numFmtId="0" fontId="62" fillId="0" borderId="0" xfId="11" applyFont="1" applyAlignment="1" applyProtection="1">
      <alignment horizontal="left" indent="1"/>
      <protection locked="0"/>
    </xf>
    <xf numFmtId="183" fontId="62" fillId="0" borderId="8" xfId="11" applyNumberFormat="1" applyFont="1" applyBorder="1" applyProtection="1">
      <protection locked="0"/>
    </xf>
    <xf numFmtId="182" fontId="62" fillId="0" borderId="8" xfId="11" applyNumberFormat="1" applyFont="1" applyBorder="1" applyProtection="1">
      <protection locked="0"/>
    </xf>
    <xf numFmtId="0" fontId="39" fillId="0" borderId="0" xfId="11" applyFont="1" applyAlignment="1" applyProtection="1">
      <alignment horizontal="left" indent="1"/>
      <protection locked="0"/>
    </xf>
    <xf numFmtId="0" fontId="62" fillId="0" borderId="0" xfId="11" applyFont="1" applyProtection="1">
      <protection locked="0"/>
    </xf>
    <xf numFmtId="0" fontId="39" fillId="0" borderId="0" xfId="11" applyFont="1" applyAlignment="1">
      <alignment horizontal="center"/>
    </xf>
    <xf numFmtId="184" fontId="39" fillId="0" borderId="0" xfId="11" applyNumberFormat="1" applyFont="1" applyAlignment="1" applyProtection="1">
      <alignment horizontal="center"/>
      <protection locked="0"/>
    </xf>
    <xf numFmtId="183" fontId="19" fillId="0" borderId="0" xfId="11" applyNumberFormat="1" applyFont="1" applyProtection="1">
      <protection locked="0"/>
    </xf>
    <xf numFmtId="182" fontId="19" fillId="0" borderId="0" xfId="11" applyNumberFormat="1" applyFont="1" applyProtection="1">
      <protection locked="0"/>
    </xf>
    <xf numFmtId="0" fontId="19" fillId="0" borderId="0" xfId="11" applyFont="1"/>
    <xf numFmtId="165" fontId="19" fillId="0" borderId="0" xfId="11" applyNumberFormat="1" applyFont="1" applyProtection="1">
      <protection locked="0"/>
    </xf>
    <xf numFmtId="0" fontId="19" fillId="0" borderId="0" xfId="11" applyFont="1" applyAlignment="1" applyProtection="1">
      <alignment horizontal="left" indent="1"/>
      <protection locked="0"/>
    </xf>
    <xf numFmtId="0" fontId="62" fillId="0" borderId="0" xfId="11" applyFont="1" applyAlignment="1">
      <alignment horizontal="right"/>
    </xf>
    <xf numFmtId="168" fontId="39" fillId="0" borderId="0" xfId="11" applyNumberFormat="1" applyFont="1"/>
    <xf numFmtId="168" fontId="39" fillId="0" borderId="0" xfId="11" applyNumberFormat="1" applyFont="1" applyProtection="1">
      <protection locked="0"/>
    </xf>
    <xf numFmtId="165" fontId="39" fillId="0" borderId="0" xfId="13" applyNumberFormat="1" applyFont="1" applyBorder="1" applyProtection="1">
      <protection locked="0"/>
    </xf>
    <xf numFmtId="169" fontId="39" fillId="0" borderId="0" xfId="11" applyNumberFormat="1" applyFont="1" applyProtection="1">
      <protection locked="0"/>
    </xf>
    <xf numFmtId="169" fontId="39" fillId="0" borderId="0" xfId="11" applyNumberFormat="1" applyFont="1"/>
    <xf numFmtId="165" fontId="39" fillId="0" borderId="0" xfId="11" applyNumberFormat="1" applyFont="1"/>
    <xf numFmtId="0" fontId="39" fillId="0" borderId="0" xfId="11" applyFont="1" applyProtection="1">
      <protection locked="0"/>
    </xf>
    <xf numFmtId="0" fontId="39" fillId="0" borderId="1" xfId="11" applyFont="1" applyBorder="1"/>
    <xf numFmtId="165" fontId="62" fillId="0" borderId="1" xfId="11" applyNumberFormat="1" applyFont="1" applyBorder="1"/>
    <xf numFmtId="0" fontId="62" fillId="0" borderId="1" xfId="11" applyFont="1" applyBorder="1"/>
    <xf numFmtId="0" fontId="39" fillId="0" borderId="6" xfId="11" applyFont="1" applyBorder="1"/>
    <xf numFmtId="0" fontId="39" fillId="0" borderId="0" xfId="14" applyNumberFormat="1" applyFont="1"/>
    <xf numFmtId="0" fontId="39" fillId="0" borderId="0" xfId="11" applyFont="1" applyAlignment="1">
      <alignment horizontal="right"/>
    </xf>
    <xf numFmtId="0" fontId="63" fillId="0" borderId="0" xfId="11" applyFont="1" applyProtection="1">
      <protection locked="0"/>
    </xf>
    <xf numFmtId="0" fontId="12" fillId="3" borderId="0" xfId="8" applyFont="1" applyFill="1"/>
    <xf numFmtId="8" fontId="12" fillId="3" borderId="0" xfId="8" applyNumberFormat="1" applyFont="1" applyFill="1"/>
    <xf numFmtId="172" fontId="12" fillId="0" borderId="0" xfId="10" applyNumberFormat="1" applyFont="1" applyFill="1" applyBorder="1" applyAlignment="1">
      <alignment horizontal="center"/>
    </xf>
    <xf numFmtId="164" fontId="11" fillId="0" borderId="0" xfId="2" applyNumberFormat="1" applyFont="1"/>
    <xf numFmtId="0" fontId="32" fillId="4" borderId="0" xfId="0" applyFont="1" applyFill="1" applyAlignment="1">
      <alignment horizontal="left" indent="1"/>
    </xf>
    <xf numFmtId="14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0" fillId="4" borderId="0" xfId="0" applyFont="1" applyFill="1" applyAlignment="1">
      <alignment horizontal="left" indent="1"/>
    </xf>
    <xf numFmtId="0" fontId="64" fillId="4" borderId="0" xfId="0" applyFont="1" applyFill="1"/>
    <xf numFmtId="14" fontId="32" fillId="4" borderId="0" xfId="0" applyNumberFormat="1" applyFont="1" applyFill="1" applyAlignment="1">
      <alignment horizontal="center"/>
    </xf>
    <xf numFmtId="8" fontId="32" fillId="2" borderId="0" xfId="0" applyNumberFormat="1" applyFont="1" applyFill="1"/>
    <xf numFmtId="0" fontId="32" fillId="2" borderId="0" xfId="0" applyFont="1" applyFill="1"/>
    <xf numFmtId="0" fontId="32" fillId="4" borderId="0" xfId="0" applyFont="1" applyFill="1" applyAlignment="1">
      <alignment horizontal="right"/>
    </xf>
    <xf numFmtId="178" fontId="62" fillId="0" borderId="0" xfId="11" applyNumberFormat="1" applyFont="1"/>
    <xf numFmtId="0" fontId="30" fillId="9" borderId="0" xfId="8" applyFont="1" applyFill="1" applyAlignment="1">
      <alignment horizontal="right"/>
    </xf>
    <xf numFmtId="177" fontId="12" fillId="9" borderId="0" xfId="8" applyNumberFormat="1" applyFont="1" applyFill="1" applyAlignment="1">
      <alignment horizontal="center"/>
    </xf>
    <xf numFmtId="14" fontId="8" fillId="0" borderId="1" xfId="8" applyNumberFormat="1" applyFont="1" applyBorder="1" applyAlignment="1">
      <alignment horizontal="center"/>
    </xf>
    <xf numFmtId="178" fontId="27" fillId="9" borderId="0" xfId="8" applyNumberFormat="1" applyFont="1" applyFill="1" applyAlignment="1">
      <alignment horizontal="center"/>
    </xf>
    <xf numFmtId="178" fontId="39" fillId="0" borderId="0" xfId="11" applyNumberFormat="1" applyFont="1"/>
    <xf numFmtId="14" fontId="61" fillId="0" borderId="0" xfId="11" applyNumberFormat="1" applyFont="1"/>
    <xf numFmtId="14" fontId="12" fillId="0" borderId="0" xfId="8" applyNumberFormat="1" applyFont="1" applyAlignment="1">
      <alignment horizontal="right"/>
    </xf>
    <xf numFmtId="43" fontId="32" fillId="0" borderId="0" xfId="1" applyFont="1" applyAlignment="1">
      <alignment horizontal="center"/>
    </xf>
    <xf numFmtId="178" fontId="9" fillId="0" borderId="0" xfId="0" applyNumberFormat="1" applyFont="1" applyAlignment="1">
      <alignment horizontal="center"/>
    </xf>
    <xf numFmtId="164" fontId="0" fillId="0" borderId="0" xfId="1" applyNumberFormat="1" applyFont="1" applyFill="1" applyAlignment="1">
      <alignment horizontal="right"/>
    </xf>
    <xf numFmtId="165" fontId="0" fillId="0" borderId="6" xfId="2" applyNumberFormat="1" applyFont="1" applyBorder="1"/>
    <xf numFmtId="3" fontId="32" fillId="0" borderId="0" xfId="0" applyNumberFormat="1" applyFont="1" applyAlignment="1">
      <alignment horizontal="center"/>
    </xf>
    <xf numFmtId="164" fontId="12" fillId="0" borderId="6" xfId="1" applyNumberFormat="1" applyFont="1" applyBorder="1"/>
    <xf numFmtId="164" fontId="22" fillId="0" borderId="0" xfId="1" applyNumberFormat="1" applyFont="1" applyFill="1" applyAlignment="1">
      <alignment horizontal="left"/>
    </xf>
    <xf numFmtId="3" fontId="12" fillId="0" borderId="0" xfId="2" applyNumberFormat="1" applyFont="1"/>
    <xf numFmtId="10" fontId="0" fillId="0" borderId="0" xfId="0" applyNumberFormat="1" applyAlignment="1">
      <alignment horizontal="right"/>
    </xf>
    <xf numFmtId="172" fontId="0" fillId="0" borderId="0" xfId="1" applyNumberFormat="1" applyFont="1" applyFill="1" applyBorder="1"/>
    <xf numFmtId="164" fontId="24" fillId="0" borderId="0" xfId="1" applyNumberFormat="1" applyFont="1"/>
    <xf numFmtId="10" fontId="11" fillId="0" borderId="0" xfId="8" applyNumberFormat="1" applyFont="1" applyAlignment="1">
      <alignment horizontal="center"/>
    </xf>
    <xf numFmtId="0" fontId="4" fillId="3" borderId="0" xfId="0" applyFont="1" applyFill="1" applyAlignment="1">
      <alignment horizontal="left"/>
    </xf>
    <xf numFmtId="172" fontId="42" fillId="0" borderId="0" xfId="0" applyNumberFormat="1" applyFont="1"/>
    <xf numFmtId="164" fontId="65" fillId="0" borderId="0" xfId="1" applyNumberFormat="1" applyFont="1" applyFill="1" applyBorder="1"/>
    <xf numFmtId="164" fontId="34" fillId="0" borderId="0" xfId="1" applyNumberFormat="1" applyFont="1" applyFill="1" applyBorder="1"/>
    <xf numFmtId="43" fontId="11" fillId="0" borderId="0" xfId="2" applyNumberFormat="1" applyFont="1"/>
    <xf numFmtId="9" fontId="66" fillId="0" borderId="0" xfId="2" applyFont="1" applyAlignment="1">
      <alignment horizontal="center"/>
    </xf>
    <xf numFmtId="168" fontId="0" fillId="15" borderId="0" xfId="0" applyNumberFormat="1" applyFill="1" applyAlignment="1">
      <alignment horizontal="center"/>
    </xf>
    <xf numFmtId="168" fontId="0" fillId="14" borderId="0" xfId="0" applyNumberFormat="1" applyFill="1" applyAlignment="1">
      <alignment horizontal="center"/>
    </xf>
    <xf numFmtId="0" fontId="69" fillId="7" borderId="0" xfId="11" applyFont="1" applyFill="1"/>
    <xf numFmtId="182" fontId="69" fillId="7" borderId="0" xfId="11" applyNumberFormat="1" applyFont="1" applyFill="1" applyProtection="1">
      <protection locked="0"/>
    </xf>
    <xf numFmtId="183" fontId="61" fillId="7" borderId="0" xfId="11" applyNumberFormat="1" applyFont="1" applyFill="1"/>
    <xf numFmtId="0" fontId="61" fillId="7" borderId="0" xfId="11" applyFont="1" applyFill="1"/>
    <xf numFmtId="182" fontId="61" fillId="7" borderId="0" xfId="11" applyNumberFormat="1" applyFont="1" applyFill="1"/>
    <xf numFmtId="172" fontId="30" fillId="4" borderId="0" xfId="8" applyNumberFormat="1" applyFont="1" applyFill="1"/>
    <xf numFmtId="0" fontId="30" fillId="0" borderId="0" xfId="8" applyFont="1" applyAlignment="1">
      <alignment horizontal="left"/>
    </xf>
    <xf numFmtId="172" fontId="30" fillId="0" borderId="0" xfId="8" applyNumberFormat="1" applyFont="1" applyAlignment="1">
      <alignment horizontal="center"/>
    </xf>
    <xf numFmtId="172" fontId="30" fillId="0" borderId="0" xfId="8" applyNumberFormat="1" applyFont="1"/>
    <xf numFmtId="172" fontId="27" fillId="4" borderId="0" xfId="8" applyNumberFormat="1" applyFont="1" applyFill="1"/>
    <xf numFmtId="172" fontId="27" fillId="0" borderId="0" xfId="8" applyNumberFormat="1" applyFont="1"/>
    <xf numFmtId="172" fontId="12" fillId="0" borderId="1" xfId="8" applyNumberFormat="1" applyFont="1" applyBorder="1"/>
    <xf numFmtId="10" fontId="12" fillId="0" borderId="0" xfId="2" applyNumberFormat="1" applyFont="1" applyAlignment="1">
      <alignment horizontal="center"/>
    </xf>
    <xf numFmtId="10" fontId="12" fillId="0" borderId="0" xfId="2" applyNumberFormat="1" applyFont="1"/>
    <xf numFmtId="0" fontId="42" fillId="4" borderId="0" xfId="8" applyFont="1" applyFill="1"/>
    <xf numFmtId="0" fontId="42" fillId="0" borderId="0" xfId="8" applyFont="1"/>
    <xf numFmtId="172" fontId="42" fillId="0" borderId="0" xfId="8" applyNumberFormat="1" applyFont="1"/>
    <xf numFmtId="6" fontId="70" fillId="0" borderId="0" xfId="8" applyNumberFormat="1" applyFont="1" applyAlignment="1">
      <alignment horizontal="centerContinuous"/>
    </xf>
    <xf numFmtId="0" fontId="71" fillId="0" borderId="0" xfId="8" applyFont="1" applyAlignment="1">
      <alignment horizontal="center"/>
    </xf>
    <xf numFmtId="3" fontId="34" fillId="0" borderId="0" xfId="8" applyNumberFormat="1" applyFont="1" applyAlignment="1">
      <alignment horizontal="center"/>
    </xf>
    <xf numFmtId="165" fontId="34" fillId="0" borderId="0" xfId="8" applyNumberFormat="1" applyFont="1" applyAlignment="1">
      <alignment horizontal="center"/>
    </xf>
    <xf numFmtId="9" fontId="39" fillId="0" borderId="0" xfId="2" applyFont="1"/>
    <xf numFmtId="0" fontId="34" fillId="4" borderId="0" xfId="0" applyFont="1" applyFill="1"/>
    <xf numFmtId="0" fontId="34" fillId="0" borderId="0" xfId="0" applyFont="1" applyAlignment="1">
      <alignment horizontal="left" indent="2"/>
    </xf>
    <xf numFmtId="164" fontId="34" fillId="0" borderId="0" xfId="1" applyNumberFormat="1" applyFont="1" applyFill="1" applyBorder="1" applyAlignment="1"/>
    <xf numFmtId="172" fontId="34" fillId="0" borderId="0" xfId="1" applyNumberFormat="1" applyFont="1" applyBorder="1"/>
    <xf numFmtId="9" fontId="34" fillId="0" borderId="0" xfId="2" applyFont="1"/>
    <xf numFmtId="43" fontId="39" fillId="0" borderId="0" xfId="0" applyNumberFormat="1" applyFont="1"/>
    <xf numFmtId="9" fontId="39" fillId="0" borderId="0" xfId="11" applyNumberFormat="1" applyFont="1"/>
    <xf numFmtId="164" fontId="39" fillId="0" borderId="0" xfId="1" applyNumberFormat="1" applyFont="1"/>
    <xf numFmtId="43" fontId="9" fillId="0" borderId="0" xfId="0" quotePrefix="1" applyNumberFormat="1" applyFont="1"/>
    <xf numFmtId="170" fontId="0" fillId="0" borderId="0" xfId="4" applyNumberFormat="1" applyFont="1"/>
    <xf numFmtId="0" fontId="25" fillId="0" borderId="1" xfId="0" applyFont="1" applyBorder="1" applyAlignment="1">
      <alignment horizontal="left"/>
    </xf>
    <xf numFmtId="182" fontId="62" fillId="7" borderId="0" xfId="11" applyNumberFormat="1" applyFont="1" applyFill="1" applyProtection="1">
      <protection locked="0"/>
    </xf>
    <xf numFmtId="165" fontId="30" fillId="0" borderId="0" xfId="8" applyNumberFormat="1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indent="2"/>
    </xf>
    <xf numFmtId="164" fontId="32" fillId="0" borderId="0" xfId="1" applyNumberFormat="1" applyFont="1" applyAlignment="1">
      <alignment horizontal="left" vertical="top" wrapText="1"/>
    </xf>
    <xf numFmtId="0" fontId="9" fillId="5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4" fillId="3" borderId="15" xfId="0" applyFont="1" applyFill="1" applyBorder="1" applyAlignment="1">
      <alignment horizontal="center" vertical="center" textRotation="90" wrapText="1"/>
    </xf>
    <xf numFmtId="0" fontId="4" fillId="3" borderId="14" xfId="0" applyFont="1" applyFill="1" applyBorder="1" applyAlignment="1">
      <alignment horizontal="center" vertical="center" textRotation="90" wrapText="1"/>
    </xf>
    <xf numFmtId="0" fontId="4" fillId="3" borderId="8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5" borderId="28" xfId="0" applyFont="1" applyFill="1" applyBorder="1" applyAlignment="1">
      <alignment horizontal="center"/>
    </xf>
    <xf numFmtId="0" fontId="9" fillId="5" borderId="27" xfId="0" applyFont="1" applyFill="1" applyBorder="1" applyAlignment="1">
      <alignment horizontal="center"/>
    </xf>
    <xf numFmtId="164" fontId="0" fillId="7" borderId="0" xfId="1" applyNumberFormat="1" applyFont="1" applyFill="1"/>
  </cellXfs>
  <cellStyles count="21">
    <cellStyle name="Calculation" xfId="3" builtinId="22"/>
    <cellStyle name="Comma" xfId="1" builtinId="3"/>
    <cellStyle name="Comma 2" xfId="6" xr:uid="{72EF9851-FE48-A245-9A52-5299BF1468DF}"/>
    <cellStyle name="Comma 2 2" xfId="9" xr:uid="{DDFD849C-0139-48E3-9E5B-78B64BA2B45D}"/>
    <cellStyle name="Comma 2 2 2" xfId="19" xr:uid="{FC48A9E3-C5CC-4AB2-B7CB-FD363748C669}"/>
    <cellStyle name="Comma 2 3" xfId="16" xr:uid="{BC801CBC-F3E5-41F3-8BCC-A97683208B89}"/>
    <cellStyle name="Comma 3" xfId="14" xr:uid="{FCD82E58-D3E7-4231-AC35-A9542C6DE474}"/>
    <cellStyle name="Currency" xfId="4" builtinId="4"/>
    <cellStyle name="Normal" xfId="0" builtinId="0"/>
    <cellStyle name="Normal 2" xfId="5" xr:uid="{3BC7FE25-7BC2-A14C-9525-36F620412D6D}"/>
    <cellStyle name="Normal 2 2" xfId="8" xr:uid="{05049F6E-1445-4159-B299-C63CAAC7C392}"/>
    <cellStyle name="Normal 2 2 2" xfId="18" xr:uid="{7F19C6E8-5F16-4E76-9FF1-C02811484733}"/>
    <cellStyle name="Normal 2 3" xfId="15" xr:uid="{967D39D3-8E1D-492E-9C81-1A9602868CE0}"/>
    <cellStyle name="Normal 3" xfId="11" xr:uid="{978F1273-8EA9-4AB3-BAA6-8EFBAB1C6098}"/>
    <cellStyle name="Normal 4" xfId="12" xr:uid="{14B412F8-2D63-4943-9D89-CBCD813B28C1}"/>
    <cellStyle name="Percent" xfId="2" builtinId="5"/>
    <cellStyle name="Percent 2" xfId="7" xr:uid="{86563EC1-B54F-CA49-8A5D-7D985A6D10EC}"/>
    <cellStyle name="Percent 2 2" xfId="10" xr:uid="{0C353F67-A75B-4B68-821C-ED978F13B377}"/>
    <cellStyle name="Percent 2 2 2" xfId="20" xr:uid="{870930B0-2645-4451-BC32-85746EA01F43}"/>
    <cellStyle name="Percent 2 3" xfId="17" xr:uid="{D33F1569-74E9-4C37-9D18-8F7382DB7ABC}"/>
    <cellStyle name="Percent 3" xfId="13" xr:uid="{7284E57E-2EE7-4772-92AA-B7EB799D2FB8}"/>
  </cellStyles>
  <dxfs count="16">
    <dxf>
      <font>
        <color rgb="FF9C0006"/>
      </font>
      <fill>
        <patternFill>
          <bgColor rgb="FFFFC7CE"/>
        </patternFill>
      </fill>
    </dxf>
    <dxf>
      <numFmt numFmtId="33" formatCode="_(* #,##0_);_(* \(#,##0\);_(* &quot;-&quot;_);_(@_)"/>
    </dxf>
    <dxf>
      <numFmt numFmtId="14" formatCode="0.00%"/>
    </dxf>
    <dxf>
      <numFmt numFmtId="171" formatCode="0.00&quot;x&quot;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3" formatCode="_(* #,##0_);_(* \(#,##0\);_(* &quot;-&quot;_);_(@_)"/>
    </dxf>
    <dxf>
      <numFmt numFmtId="14" formatCode="0.00%"/>
    </dxf>
    <dxf>
      <numFmt numFmtId="171" formatCode="0.00&quot;x&quot;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26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7.xml"/><Relationship Id="rId34" Type="http://schemas.openxmlformats.org/officeDocument/2006/relationships/externalLink" Target="externalLinks/externalLink20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18.xml"/><Relationship Id="rId37" Type="http://schemas.openxmlformats.org/officeDocument/2006/relationships/externalLink" Target="externalLinks/externalLink23.xml"/><Relationship Id="rId40" Type="http://schemas.openxmlformats.org/officeDocument/2006/relationships/theme" Target="theme/theme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externalLink" Target="externalLinks/externalLink9.xml"/><Relationship Id="rId28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22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31" Type="http://schemas.openxmlformats.org/officeDocument/2006/relationships/externalLink" Target="externalLinks/externalLink17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8.xml"/><Relationship Id="rId27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16.xml"/><Relationship Id="rId35" Type="http://schemas.openxmlformats.org/officeDocument/2006/relationships/externalLink" Target="externalLinks/externalLink21.xml"/><Relationship Id="rId43" Type="http://schemas.openxmlformats.org/officeDocument/2006/relationships/sheetMetadata" Target="metadata.xml"/><Relationship Id="rId48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5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19.xml"/><Relationship Id="rId38" Type="http://schemas.openxmlformats.org/officeDocument/2006/relationships/externalLink" Target="externalLinks/externalLink24.xml"/><Relationship Id="rId46" Type="http://schemas.openxmlformats.org/officeDocument/2006/relationships/customXml" Target="../customXml/item1.xml"/><Relationship Id="rId20" Type="http://schemas.openxmlformats.org/officeDocument/2006/relationships/externalLink" Target="externalLinks/externalLink6.xml"/><Relationship Id="rId41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Cumulative Wondership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'Combined Returns'!$F$19:$M$19</c:f>
              <c:numCache>
                <c:formatCode>m/d/yy</c:formatCode>
                <c:ptCount val="8"/>
                <c:pt idx="0">
                  <c:v>45658</c:v>
                </c:pt>
                <c:pt idx="1">
                  <c:v>46023</c:v>
                </c:pt>
                <c:pt idx="2">
                  <c:v>46388</c:v>
                </c:pt>
                <c:pt idx="3">
                  <c:v>46753</c:v>
                </c:pt>
                <c:pt idx="4">
                  <c:v>47119</c:v>
                </c:pt>
                <c:pt idx="5">
                  <c:v>47484</c:v>
                </c:pt>
                <c:pt idx="6">
                  <c:v>47849</c:v>
                </c:pt>
                <c:pt idx="7">
                  <c:v>48214</c:v>
                </c:pt>
              </c:numCache>
            </c:numRef>
          </c:cat>
          <c:val>
            <c:numRef>
              <c:f>'Combined Returns'!$F$28:$M$28</c:f>
              <c:numCache>
                <c:formatCode>_(* #,##0_);_(* \(#,##0\);_(* "-"??_);_(@_)</c:formatCode>
                <c:ptCount val="8"/>
                <c:pt idx="0">
                  <c:v>-10000000</c:v>
                </c:pt>
                <c:pt idx="1">
                  <c:v>-10000000</c:v>
                </c:pt>
                <c:pt idx="2">
                  <c:v>-10000000</c:v>
                </c:pt>
                <c:pt idx="3">
                  <c:v>-10000000</c:v>
                </c:pt>
                <c:pt idx="4">
                  <c:v>19594794.547868948</c:v>
                </c:pt>
                <c:pt idx="5">
                  <c:v>19594794.547868948</c:v>
                </c:pt>
                <c:pt idx="6">
                  <c:v>19594794.547868952</c:v>
                </c:pt>
                <c:pt idx="7">
                  <c:v>19594794.547868952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9E-4818-A79A-8D35C6AFAB1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'Combined Returns'!$F$19:$M$19</c:f>
              <c:numCache>
                <c:formatCode>m/d/yy</c:formatCode>
                <c:ptCount val="8"/>
                <c:pt idx="0">
                  <c:v>45658</c:v>
                </c:pt>
                <c:pt idx="1">
                  <c:v>46023</c:v>
                </c:pt>
                <c:pt idx="2">
                  <c:v>46388</c:v>
                </c:pt>
                <c:pt idx="3">
                  <c:v>46753</c:v>
                </c:pt>
                <c:pt idx="4">
                  <c:v>47119</c:v>
                </c:pt>
                <c:pt idx="5">
                  <c:v>47484</c:v>
                </c:pt>
                <c:pt idx="6">
                  <c:v>47849</c:v>
                </c:pt>
                <c:pt idx="7">
                  <c:v>48214</c:v>
                </c:pt>
              </c:numCache>
            </c:numRef>
          </c:cat>
          <c:val>
            <c:numRef>
              <c:f>'Combined Returns'!#REF!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9E-4818-A79A-8D35C6AFA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months"/>
        <c:majorUnit val="3"/>
        <c:majorTimeUnit val="months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Cumulative PM 1 (Brundage)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'Returns Resi'!$F$20:$R$20</c:f>
              <c:numCache>
                <c:formatCode>m/d/yy</c:formatCode>
                <c:ptCount val="13"/>
                <c:pt idx="0">
                  <c:v>46022</c:v>
                </c:pt>
                <c:pt idx="1">
                  <c:v>46387</c:v>
                </c:pt>
                <c:pt idx="2">
                  <c:v>46752</c:v>
                </c:pt>
                <c:pt idx="3">
                  <c:v>47118</c:v>
                </c:pt>
                <c:pt idx="4">
                  <c:v>47483</c:v>
                </c:pt>
                <c:pt idx="5">
                  <c:v>47848</c:v>
                </c:pt>
                <c:pt idx="6">
                  <c:v>48213</c:v>
                </c:pt>
                <c:pt idx="7">
                  <c:v>48579</c:v>
                </c:pt>
                <c:pt idx="8">
                  <c:v>48944</c:v>
                </c:pt>
                <c:pt idx="9">
                  <c:v>49309</c:v>
                </c:pt>
                <c:pt idx="10">
                  <c:v>49674</c:v>
                </c:pt>
                <c:pt idx="11">
                  <c:v>50040</c:v>
                </c:pt>
                <c:pt idx="12">
                  <c:v>50405</c:v>
                </c:pt>
              </c:numCache>
            </c:numRef>
          </c:cat>
          <c:val>
            <c:numRef>
              <c:f>'Returns Resi'!$F$30:$R$30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27-9442-B2B0-B23918AEA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years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0"/>
              <a:t>Cumulative PM</a:t>
            </a:r>
            <a:r>
              <a:rPr lang="en-US" sz="1600" b="0" baseline="0"/>
              <a:t> 2</a:t>
            </a:r>
            <a:r>
              <a:rPr lang="en-US" sz="1600" b="0"/>
              <a:t>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'Returns Resi'!$F$20:$R$20</c:f>
              <c:numCache>
                <c:formatCode>m/d/yy</c:formatCode>
                <c:ptCount val="13"/>
                <c:pt idx="0">
                  <c:v>46022</c:v>
                </c:pt>
                <c:pt idx="1">
                  <c:v>46387</c:v>
                </c:pt>
                <c:pt idx="2">
                  <c:v>46752</c:v>
                </c:pt>
                <c:pt idx="3">
                  <c:v>47118</c:v>
                </c:pt>
                <c:pt idx="4">
                  <c:v>47483</c:v>
                </c:pt>
                <c:pt idx="5">
                  <c:v>47848</c:v>
                </c:pt>
                <c:pt idx="6">
                  <c:v>48213</c:v>
                </c:pt>
                <c:pt idx="7">
                  <c:v>48579</c:v>
                </c:pt>
                <c:pt idx="8">
                  <c:v>48944</c:v>
                </c:pt>
                <c:pt idx="9">
                  <c:v>49309</c:v>
                </c:pt>
                <c:pt idx="10">
                  <c:v>49674</c:v>
                </c:pt>
                <c:pt idx="11">
                  <c:v>50040</c:v>
                </c:pt>
                <c:pt idx="12">
                  <c:v>50405</c:v>
                </c:pt>
              </c:numCache>
            </c:numRef>
          </c:cat>
          <c:val>
            <c:numRef>
              <c:f>'Returns Resi'!$F$40:$R$40</c:f>
              <c:numCache>
                <c:formatCode>_(* #,##0_);_(* \(#,##0\);_(*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38-4DC3-89BC-F87F53274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years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Cumulative Wondership (Equity) Cash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'Returns L+H'!$F$19:$M$19</c:f>
              <c:numCache>
                <c:formatCode>m/d/yy</c:formatCode>
                <c:ptCount val="8"/>
                <c:pt idx="0">
                  <c:v>45658</c:v>
                </c:pt>
                <c:pt idx="1">
                  <c:v>46023</c:v>
                </c:pt>
                <c:pt idx="2">
                  <c:v>46388</c:v>
                </c:pt>
                <c:pt idx="3">
                  <c:v>46753</c:v>
                </c:pt>
                <c:pt idx="4">
                  <c:v>47119</c:v>
                </c:pt>
                <c:pt idx="5">
                  <c:v>47484</c:v>
                </c:pt>
                <c:pt idx="6">
                  <c:v>47849</c:v>
                </c:pt>
                <c:pt idx="7">
                  <c:v>48214</c:v>
                </c:pt>
              </c:numCache>
            </c:numRef>
          </c:cat>
          <c:val>
            <c:numRef>
              <c:f>'Returns L+H'!$F$28:$M$28</c:f>
              <c:numCache>
                <c:formatCode>_(* #,##0_);_(* \(#,##0\);_(* "-"??_);_(@_)</c:formatCode>
                <c:ptCount val="8"/>
                <c:pt idx="0">
                  <c:v>-10000000</c:v>
                </c:pt>
                <c:pt idx="1">
                  <c:v>-10000000</c:v>
                </c:pt>
                <c:pt idx="2">
                  <c:v>-10000000</c:v>
                </c:pt>
                <c:pt idx="3">
                  <c:v>-10000000</c:v>
                </c:pt>
                <c:pt idx="4">
                  <c:v>19594794.547868948</c:v>
                </c:pt>
                <c:pt idx="5">
                  <c:v>19594794.547868948</c:v>
                </c:pt>
                <c:pt idx="6">
                  <c:v>19594794.547868952</c:v>
                </c:pt>
                <c:pt idx="7">
                  <c:v>19594794.547868952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E0-4E81-99CF-2E705DD02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3887152"/>
        <c:axId val="1163205120"/>
      </c:lineChart>
      <c:dateAx>
        <c:axId val="1163887152"/>
        <c:scaling>
          <c:orientation val="minMax"/>
        </c:scaling>
        <c:delete val="0"/>
        <c:axPos val="b"/>
        <c:numFmt formatCode="[$-409]mmm\-yy;@" sourceLinked="0"/>
        <c:majorTickMark val="cross"/>
        <c:minorTickMark val="none"/>
        <c:tickLblPos val="low"/>
        <c:spPr>
          <a:noFill/>
          <a:ln w="254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205120"/>
        <c:crosses val="autoZero"/>
        <c:auto val="1"/>
        <c:lblOffset val="100"/>
        <c:baseTimeUnit val="years"/>
        <c:majorUnit val="3"/>
      </c:dateAx>
      <c:valAx>
        <c:axId val="1163205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8715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'A+H Monthly CF'!$C$102:$J$102</c:f>
              <c:numCache>
                <c:formatCode>_(* #,##0_);_(* \(#,##0\);_(* "-"?_);_(@_)</c:formatCode>
                <c:ptCount val="8"/>
                <c:pt idx="0">
                  <c:v>0</c:v>
                </c:pt>
                <c:pt idx="1">
                  <c:v>1197635.1780000003</c:v>
                </c:pt>
                <c:pt idx="2">
                  <c:v>2329145.5782308001</c:v>
                </c:pt>
                <c:pt idx="3">
                  <c:v>6185482.2428550506</c:v>
                </c:pt>
                <c:pt idx="4">
                  <c:v>6901193.7703173123</c:v>
                </c:pt>
                <c:pt idx="5">
                  <c:v>7109429.5834268332</c:v>
                </c:pt>
                <c:pt idx="6">
                  <c:v>7338752.9510948593</c:v>
                </c:pt>
                <c:pt idx="7">
                  <c:v>7544829.8450575266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F7-4694-823C-C196CC400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2629311"/>
        <c:axId val="392624511"/>
      </c:lineChart>
      <c:catAx>
        <c:axId val="392629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624511"/>
        <c:crosses val="autoZero"/>
        <c:auto val="1"/>
        <c:lblAlgn val="ctr"/>
        <c:lblOffset val="100"/>
        <c:noMultiLvlLbl val="0"/>
      </c:catAx>
      <c:valAx>
        <c:axId val="39262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629311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/>
    </cs:fontRef>
    <cs:defRPr sz="1000" kern="1200"/>
  </cs:axisTitle>
  <cs:categoryAxis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9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/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/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/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/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/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documenttasks/documenttask1.xml><?xml version="1.0" encoding="utf-8"?>
<Tasks xmlns="http://schemas.microsoft.com/office/tasks/2019/documenttasks">
  <Task id="{502F4607-9C8C-254B-A68F-27C21476DA7A}">
    <Anchor>
      <Comment id="{DBB088E1-9873-4147-A041-E741AC90B0EC}"/>
    </Anchor>
    <History>
      <Event time="2024-02-19T20:05:18.25" id="{F5E9CEC3-88C6-8046-A303-474D2DF9A5CA}">
        <Attribution userId="S::layne@mtnorigins.com::947c7b02-7487-4553-a9cc-76e9f5fee9eb" userName="Layne Thompson" userProvider="AD"/>
        <Anchor>
          <Comment id="{DBB088E1-9873-4147-A041-E741AC90B0EC}"/>
        </Anchor>
        <Create/>
      </Event>
      <Event time="2024-02-19T20:05:18.25" id="{DE71C74F-72DF-0745-A2F2-9D2A8D6BCB6A}">
        <Attribution userId="S::layne@mtnorigins.com::947c7b02-7487-4553-a9cc-76e9f5fee9eb" userName="Layne Thompson" userProvider="AD"/>
        <Anchor>
          <Comment id="{DBB088E1-9873-4147-A041-E741AC90B0EC}"/>
        </Anchor>
        <Assign userId="S::ladd@mtnorigins.com::1b0109ea-832b-4071-8c77-42c5ac8213b5" userName="Ladd Morgan" userProvider="AD"/>
      </Event>
      <Event time="2024-02-19T20:05:18.25" id="{6ABF8AAC-9BD2-9A48-9E9C-3FB367710481}">
        <Attribution userId="S::layne@mtnorigins.com::947c7b02-7487-4553-a9cc-76e9f5fee9eb" userName="Layne Thompson" userProvider="AD"/>
        <Anchor>
          <Comment id="{DBB088E1-9873-4147-A041-E741AC90B0EC}"/>
        </Anchor>
        <SetTitle title="@Ladd Morgan @Gary Wilson we need breakouts on these similar to the Resi Consultants on the next round.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149225</xdr:colOff>
      <xdr:row>34</xdr:row>
      <xdr:rowOff>156214</xdr:rowOff>
    </xdr:from>
    <xdr:ext cx="863426" cy="793115"/>
    <xdr:pic>
      <xdr:nvPicPr>
        <xdr:cNvPr id="3" name="Picture 6">
          <a:extLst>
            <a:ext uri="{FF2B5EF4-FFF2-40B4-BE49-F238E27FC236}">
              <a16:creationId xmlns:a16="http://schemas.microsoft.com/office/drawing/2014/main" id="{00000000-0008-0000-0100-000003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5345" y="30948634"/>
          <a:ext cx="863426" cy="793115"/>
        </a:xfrm>
        <a:prstGeom prst="rect">
          <a:avLst/>
        </a:prstGeom>
      </xdr:spPr>
    </xdr:pic>
    <xdr:clientData/>
  </xdr:oneCellAnchor>
  <xdr:oneCellAnchor>
    <xdr:from>
      <xdr:col>5</xdr:col>
      <xdr:colOff>149225</xdr:colOff>
      <xdr:row>66</xdr:row>
      <xdr:rowOff>156214</xdr:rowOff>
    </xdr:from>
    <xdr:ext cx="863426" cy="793115"/>
    <xdr:pic>
      <xdr:nvPicPr>
        <xdr:cNvPr id="4" name="Picture 6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1425" y="156214"/>
          <a:ext cx="863426" cy="793115"/>
        </a:xfrm>
        <a:prstGeom prst="rect">
          <a:avLst/>
        </a:prstGeom>
      </xdr:spPr>
    </xdr:pic>
    <xdr:clientData/>
  </xdr:oneCellAnchor>
  <xdr:oneCellAnchor>
    <xdr:from>
      <xdr:col>11</xdr:col>
      <xdr:colOff>149225</xdr:colOff>
      <xdr:row>34</xdr:row>
      <xdr:rowOff>156214</xdr:rowOff>
    </xdr:from>
    <xdr:ext cx="863426" cy="79311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100-000006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2958" y="156214"/>
          <a:ext cx="863426" cy="793115"/>
        </a:xfrm>
        <a:prstGeom prst="rect">
          <a:avLst/>
        </a:prstGeom>
      </xdr:spPr>
    </xdr:pic>
    <xdr:clientData/>
  </xdr:oneCellAnchor>
  <xdr:oneCellAnchor>
    <xdr:from>
      <xdr:col>11</xdr:col>
      <xdr:colOff>149225</xdr:colOff>
      <xdr:row>66</xdr:row>
      <xdr:rowOff>156214</xdr:rowOff>
    </xdr:from>
    <xdr:ext cx="863426" cy="79311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2958" y="5642614"/>
          <a:ext cx="863426" cy="793115"/>
        </a:xfrm>
        <a:prstGeom prst="rect">
          <a:avLst/>
        </a:prstGeom>
      </xdr:spPr>
    </xdr:pic>
    <xdr:clientData/>
  </xdr:oneCellAnchor>
  <xdr:oneCellAnchor>
    <xdr:from>
      <xdr:col>5</xdr:col>
      <xdr:colOff>149225</xdr:colOff>
      <xdr:row>0</xdr:row>
      <xdr:rowOff>156214</xdr:rowOff>
    </xdr:from>
    <xdr:ext cx="863426" cy="793115"/>
    <xdr:pic>
      <xdr:nvPicPr>
        <xdr:cNvPr id="2" name="Picture 6">
          <a:extLst>
            <a:ext uri="{FF2B5EF4-FFF2-40B4-BE49-F238E27FC236}">
              <a16:creationId xmlns:a16="http://schemas.microsoft.com/office/drawing/2014/main" id="{00000000-0008-0000-0100-000002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3000" y="5956939"/>
          <a:ext cx="863426" cy="793115"/>
        </a:xfrm>
        <a:prstGeom prst="rect">
          <a:avLst/>
        </a:prstGeom>
      </xdr:spPr>
    </xdr:pic>
    <xdr:clientData/>
  </xdr:oneCellAnchor>
  <xdr:oneCellAnchor>
    <xdr:from>
      <xdr:col>11</xdr:col>
      <xdr:colOff>149225</xdr:colOff>
      <xdr:row>0</xdr:row>
      <xdr:rowOff>156214</xdr:rowOff>
    </xdr:from>
    <xdr:ext cx="863426" cy="793115"/>
    <xdr:pic>
      <xdr:nvPicPr>
        <xdr:cNvPr id="5" name="Picture 6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70300" y="5956939"/>
          <a:ext cx="863426" cy="793115"/>
        </a:xfrm>
        <a:prstGeom prst="rect">
          <a:avLst/>
        </a:prstGeom>
      </xdr:spPr>
    </xdr:pic>
    <xdr:clientData/>
  </xdr:oneCellAnchor>
  <xdr:oneCellAnchor>
    <xdr:from>
      <xdr:col>16</xdr:col>
      <xdr:colOff>311150</xdr:colOff>
      <xdr:row>32</xdr:row>
      <xdr:rowOff>118114</xdr:rowOff>
    </xdr:from>
    <xdr:ext cx="863426" cy="793115"/>
    <xdr:pic>
      <xdr:nvPicPr>
        <xdr:cNvPr id="11" name="Picture 6">
          <a:extLst>
            <a:ext uri="{FF2B5EF4-FFF2-40B4-BE49-F238E27FC236}">
              <a16:creationId xmlns:a16="http://schemas.microsoft.com/office/drawing/2014/main" id="{00000000-0008-0000-0100-00000B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80800" y="6557014"/>
          <a:ext cx="863426" cy="793115"/>
        </a:xfrm>
        <a:prstGeom prst="rect">
          <a:avLst/>
        </a:prstGeom>
      </xdr:spPr>
    </xdr:pic>
    <xdr:clientData/>
  </xdr:oneCellAnchor>
  <xdr:oneCellAnchor>
    <xdr:from>
      <xdr:col>15</xdr:col>
      <xdr:colOff>149225</xdr:colOff>
      <xdr:row>64</xdr:row>
      <xdr:rowOff>156214</xdr:rowOff>
    </xdr:from>
    <xdr:ext cx="863426" cy="793115"/>
    <xdr:pic>
      <xdr:nvPicPr>
        <xdr:cNvPr id="12" name="Picture 6">
          <a:extLst>
            <a:ext uri="{FF2B5EF4-FFF2-40B4-BE49-F238E27FC236}">
              <a16:creationId xmlns:a16="http://schemas.microsoft.com/office/drawing/2014/main" id="{00000000-0008-0000-0100-00000C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7288" y="12522839"/>
          <a:ext cx="863426" cy="793115"/>
        </a:xfrm>
        <a:prstGeom prst="rect">
          <a:avLst/>
        </a:prstGeom>
      </xdr:spPr>
    </xdr:pic>
    <xdr:clientData/>
  </xdr:oneCellAnchor>
  <xdr:oneCellAnchor>
    <xdr:from>
      <xdr:col>15</xdr:col>
      <xdr:colOff>149225</xdr:colOff>
      <xdr:row>0</xdr:row>
      <xdr:rowOff>156214</xdr:rowOff>
    </xdr:from>
    <xdr:ext cx="863426" cy="793115"/>
    <xdr:pic>
      <xdr:nvPicPr>
        <xdr:cNvPr id="13" name="Picture 6">
          <a:extLst>
            <a:ext uri="{FF2B5EF4-FFF2-40B4-BE49-F238E27FC236}">
              <a16:creationId xmlns:a16="http://schemas.microsoft.com/office/drawing/2014/main" id="{00000000-0008-0000-0100-00000D000000}"/>
            </a:ext>
            <a:ext uri="{147F2762-F138-4A5C-976F-8EAC2B608ADB}">
              <a16:predDERef xmlns:a16="http://schemas.microsoft.com/office/drawing/2014/main" pre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07288" y="156214"/>
          <a:ext cx="863426" cy="79311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267027</xdr:colOff>
      <xdr:row>71</xdr:row>
      <xdr:rowOff>174264</xdr:rowOff>
    </xdr:from>
    <xdr:to>
      <xdr:col>8</xdr:col>
      <xdr:colOff>711200</xdr:colOff>
      <xdr:row>85</xdr:row>
      <xdr:rowOff>102297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571500</xdr:colOff>
          <xdr:row>46</xdr:row>
          <xdr:rowOff>114300</xdr:rowOff>
        </xdr:from>
        <xdr:to>
          <xdr:col>21</xdr:col>
          <xdr:colOff>685800</xdr:colOff>
          <xdr:row>49</xdr:row>
          <xdr:rowOff>152400</xdr:rowOff>
        </xdr:to>
        <xdr:sp macro="" textlink="">
          <xdr:nvSpPr>
            <xdr:cNvPr id="39937" name="Button 1" hidden="1">
              <a:extLst>
                <a:ext uri="{63B3BB69-23CF-44E3-9099-C40C66FF867C}">
                  <a14:compatExt spid="_x0000_s39937"/>
                </a:ext>
                <a:ext uri="{FF2B5EF4-FFF2-40B4-BE49-F238E27FC236}">
                  <a16:creationId xmlns:a16="http://schemas.microsoft.com/office/drawing/2014/main" id="{00000000-0008-0000-0300-000001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190500</xdr:colOff>
          <xdr:row>46</xdr:row>
          <xdr:rowOff>114300</xdr:rowOff>
        </xdr:from>
        <xdr:to>
          <xdr:col>23</xdr:col>
          <xdr:colOff>304800</xdr:colOff>
          <xdr:row>49</xdr:row>
          <xdr:rowOff>152400</xdr:rowOff>
        </xdr:to>
        <xdr:sp macro="" textlink="">
          <xdr:nvSpPr>
            <xdr:cNvPr id="39938" name="Button 2" hidden="1">
              <a:extLst>
                <a:ext uri="{63B3BB69-23CF-44E3-9099-C40C66FF867C}">
                  <a14:compatExt spid="_x0000_s39938"/>
                </a:ext>
                <a:ext uri="{FF2B5EF4-FFF2-40B4-BE49-F238E27FC236}">
                  <a16:creationId xmlns:a16="http://schemas.microsoft.com/office/drawing/2014/main" id="{00000000-0008-0000-0300-000002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152400</xdr:colOff>
          <xdr:row>46</xdr:row>
          <xdr:rowOff>114300</xdr:rowOff>
        </xdr:from>
        <xdr:to>
          <xdr:col>20</xdr:col>
          <xdr:colOff>228600</xdr:colOff>
          <xdr:row>49</xdr:row>
          <xdr:rowOff>152400</xdr:rowOff>
        </xdr:to>
        <xdr:sp macro="" textlink="">
          <xdr:nvSpPr>
            <xdr:cNvPr id="39939" name="Button 3" hidden="1">
              <a:extLst>
                <a:ext uri="{63B3BB69-23CF-44E3-9099-C40C66FF867C}">
                  <a14:compatExt spid="_x0000_s39939"/>
                </a:ext>
                <a:ext uri="{FF2B5EF4-FFF2-40B4-BE49-F238E27FC236}">
                  <a16:creationId xmlns:a16="http://schemas.microsoft.com/office/drawing/2014/main" id="{00000000-0008-0000-0300-000003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838200</xdr:colOff>
          <xdr:row>46</xdr:row>
          <xdr:rowOff>114300</xdr:rowOff>
        </xdr:from>
        <xdr:to>
          <xdr:col>24</xdr:col>
          <xdr:colOff>952500</xdr:colOff>
          <xdr:row>49</xdr:row>
          <xdr:rowOff>152400</xdr:rowOff>
        </xdr:to>
        <xdr:sp macro="" textlink="">
          <xdr:nvSpPr>
            <xdr:cNvPr id="39940" name="Button 4" hidden="1">
              <a:extLst>
                <a:ext uri="{63B3BB69-23CF-44E3-9099-C40C66FF867C}">
                  <a14:compatExt spid="_x0000_s39940"/>
                </a:ext>
                <a:ext uri="{FF2B5EF4-FFF2-40B4-BE49-F238E27FC236}">
                  <a16:creationId xmlns:a16="http://schemas.microsoft.com/office/drawing/2014/main" id="{00000000-0008-0000-0300-0000049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Y6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267026</xdr:colOff>
      <xdr:row>60</xdr:row>
      <xdr:rowOff>642</xdr:rowOff>
    </xdr:from>
    <xdr:to>
      <xdr:col>6</xdr:col>
      <xdr:colOff>60611</xdr:colOff>
      <xdr:row>73</xdr:row>
      <xdr:rowOff>110602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462989</xdr:colOff>
      <xdr:row>59</xdr:row>
      <xdr:rowOff>192910</xdr:rowOff>
    </xdr:from>
    <xdr:to>
      <xdr:col>12</xdr:col>
      <xdr:colOff>594168</xdr:colOff>
      <xdr:row>73</xdr:row>
      <xdr:rowOff>100313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15000</xdr:colOff>
      <xdr:row>5</xdr:row>
      <xdr:rowOff>12000</xdr:rowOff>
    </xdr:from>
    <xdr:to>
      <xdr:col>11</xdr:col>
      <xdr:colOff>173300</xdr:colOff>
      <xdr:row>5</xdr:row>
      <xdr:rowOff>174110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7267" t="4354" r="15290" b="14168"/>
        <a:stretch/>
      </xdr:blipFill>
      <xdr:spPr>
        <a:xfrm>
          <a:off x="11850000" y="1071000"/>
          <a:ext cx="171000" cy="1710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342900</xdr:colOff>
          <xdr:row>137</xdr:row>
          <xdr:rowOff>38100</xdr:rowOff>
        </xdr:from>
        <xdr:to>
          <xdr:col>23</xdr:col>
          <xdr:colOff>876300</xdr:colOff>
          <xdr:row>140</xdr:row>
          <xdr:rowOff>114300</xdr:rowOff>
        </xdr:to>
        <xdr:sp macro="" textlink="">
          <xdr:nvSpPr>
            <xdr:cNvPr id="27651" name="Button 3" hidden="1">
              <a:extLst>
                <a:ext uri="{63B3BB69-23CF-44E3-9099-C40C66FF867C}">
                  <a14:compatExt spid="_x0000_s27651"/>
                </a:ext>
                <a:ext uri="{FF2B5EF4-FFF2-40B4-BE49-F238E27FC236}">
                  <a16:creationId xmlns:a16="http://schemas.microsoft.com/office/drawing/2014/main" id="{00000000-0008-0000-0600-0000036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AMU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267027</xdr:colOff>
      <xdr:row>71</xdr:row>
      <xdr:rowOff>174264</xdr:rowOff>
    </xdr:from>
    <xdr:to>
      <xdr:col>8</xdr:col>
      <xdr:colOff>711200</xdr:colOff>
      <xdr:row>85</xdr:row>
      <xdr:rowOff>102297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571500</xdr:colOff>
          <xdr:row>46</xdr:row>
          <xdr:rowOff>114300</xdr:rowOff>
        </xdr:from>
        <xdr:to>
          <xdr:col>21</xdr:col>
          <xdr:colOff>685800</xdr:colOff>
          <xdr:row>49</xdr:row>
          <xdr:rowOff>152400</xdr:rowOff>
        </xdr:to>
        <xdr:sp macro="" textlink="">
          <xdr:nvSpPr>
            <xdr:cNvPr id="29697" name="Button 1" hidden="1">
              <a:extLst>
                <a:ext uri="{63B3BB69-23CF-44E3-9099-C40C66FF867C}">
                  <a14:compatExt spid="_x0000_s29697"/>
                </a:ext>
                <a:ext uri="{FF2B5EF4-FFF2-40B4-BE49-F238E27FC236}">
                  <a16:creationId xmlns:a16="http://schemas.microsoft.com/office/drawing/2014/main" id="{00000000-0008-0000-0800-000001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190500</xdr:colOff>
          <xdr:row>46</xdr:row>
          <xdr:rowOff>114300</xdr:rowOff>
        </xdr:from>
        <xdr:to>
          <xdr:col>23</xdr:col>
          <xdr:colOff>304800</xdr:colOff>
          <xdr:row>49</xdr:row>
          <xdr:rowOff>152400</xdr:rowOff>
        </xdr:to>
        <xdr:sp macro="" textlink="">
          <xdr:nvSpPr>
            <xdr:cNvPr id="29698" name="Button 2" hidden="1">
              <a:extLst>
                <a:ext uri="{63B3BB69-23CF-44E3-9099-C40C66FF867C}">
                  <a14:compatExt spid="_x0000_s29698"/>
                </a:ext>
                <a:ext uri="{FF2B5EF4-FFF2-40B4-BE49-F238E27FC236}">
                  <a16:creationId xmlns:a16="http://schemas.microsoft.com/office/drawing/2014/main" id="{00000000-0008-0000-0800-000002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152400</xdr:colOff>
          <xdr:row>46</xdr:row>
          <xdr:rowOff>114300</xdr:rowOff>
        </xdr:from>
        <xdr:to>
          <xdr:col>20</xdr:col>
          <xdr:colOff>228600</xdr:colOff>
          <xdr:row>49</xdr:row>
          <xdr:rowOff>152400</xdr:rowOff>
        </xdr:to>
        <xdr:sp macro="" textlink="">
          <xdr:nvSpPr>
            <xdr:cNvPr id="29699" name="Button 3" hidden="1">
              <a:extLst>
                <a:ext uri="{63B3BB69-23CF-44E3-9099-C40C66FF867C}">
                  <a14:compatExt spid="_x0000_s29699"/>
                </a:ext>
                <a:ext uri="{FF2B5EF4-FFF2-40B4-BE49-F238E27FC236}">
                  <a16:creationId xmlns:a16="http://schemas.microsoft.com/office/drawing/2014/main" id="{00000000-0008-0000-0800-000003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838200</xdr:colOff>
          <xdr:row>46</xdr:row>
          <xdr:rowOff>114300</xdr:rowOff>
        </xdr:from>
        <xdr:to>
          <xdr:col>24</xdr:col>
          <xdr:colOff>952500</xdr:colOff>
          <xdr:row>49</xdr:row>
          <xdr:rowOff>152400</xdr:rowOff>
        </xdr:to>
        <xdr:sp macro="" textlink="">
          <xdr:nvSpPr>
            <xdr:cNvPr id="29700" name="Button 4" hidden="1">
              <a:extLst>
                <a:ext uri="{63B3BB69-23CF-44E3-9099-C40C66FF867C}">
                  <a14:compatExt spid="_x0000_s29700"/>
                </a:ext>
                <a:ext uri="{FF2B5EF4-FFF2-40B4-BE49-F238E27FC236}">
                  <a16:creationId xmlns:a16="http://schemas.microsoft.com/office/drawing/2014/main" id="{00000000-0008-0000-0800-0000047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Y6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80963</xdr:colOff>
      <xdr:row>83</xdr:row>
      <xdr:rowOff>161925</xdr:rowOff>
    </xdr:from>
    <xdr:to>
      <xdr:col>16</xdr:col>
      <xdr:colOff>519113</xdr:colOff>
      <xdr:row>99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504E84-0F57-F071-ECDB-03CF59F59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571500</xdr:colOff>
          <xdr:row>46</xdr:row>
          <xdr:rowOff>114300</xdr:rowOff>
        </xdr:from>
        <xdr:to>
          <xdr:col>21</xdr:col>
          <xdr:colOff>685800</xdr:colOff>
          <xdr:row>49</xdr:row>
          <xdr:rowOff>152400</xdr:rowOff>
        </xdr:to>
        <xdr:sp macro="" textlink="">
          <xdr:nvSpPr>
            <xdr:cNvPr id="14339" name="Button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C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Y4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190500</xdr:colOff>
          <xdr:row>46</xdr:row>
          <xdr:rowOff>114300</xdr:rowOff>
        </xdr:from>
        <xdr:to>
          <xdr:col>23</xdr:col>
          <xdr:colOff>304800</xdr:colOff>
          <xdr:row>49</xdr:row>
          <xdr:rowOff>152400</xdr:rowOff>
        </xdr:to>
        <xdr:sp macro="" textlink="">
          <xdr:nvSpPr>
            <xdr:cNvPr id="14340" name="Button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C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Y5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152400</xdr:colOff>
          <xdr:row>46</xdr:row>
          <xdr:rowOff>114300</xdr:rowOff>
        </xdr:from>
        <xdr:to>
          <xdr:col>20</xdr:col>
          <xdr:colOff>228600</xdr:colOff>
          <xdr:row>49</xdr:row>
          <xdr:rowOff>152400</xdr:rowOff>
        </xdr:to>
        <xdr:sp macro="" textlink="">
          <xdr:nvSpPr>
            <xdr:cNvPr id="14341" name="Button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C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Y3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838200</xdr:colOff>
          <xdr:row>46</xdr:row>
          <xdr:rowOff>114300</xdr:rowOff>
        </xdr:from>
        <xdr:to>
          <xdr:col>24</xdr:col>
          <xdr:colOff>952500</xdr:colOff>
          <xdr:row>49</xdr:row>
          <xdr:rowOff>152400</xdr:rowOff>
        </xdr:to>
        <xdr:sp macro="" textlink="">
          <xdr:nvSpPr>
            <xdr:cNvPr id="14342" name="Button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C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200" b="0" i="0" u="none" strike="noStrike" baseline="0">
                  <a:solidFill>
                    <a:srgbClr val="000000"/>
                  </a:solidFill>
                  <a:latin typeface="Calibri" pitchFamily="2" charset="0"/>
                  <a:cs typeface="Calibri" pitchFamily="2" charset="0"/>
                </a:rPr>
                <a:t>IRR Y6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umbledore/Dropbox/226%20W.%20Jackson%20Blvd/Pro%20Forma%20Models/MATRIX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:/WRI/lathro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Projects/1901/RE%20Pacific%20Heights%2012-5-20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NPVUSA/SYS/DATA/1997/100-149/9713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E:/DATA/1997/200-249/97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windows/TEMP/RE%20Alemany%20Base%20Case%209-17-0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regence.com/data/UW/Groups/B%20Groups/Boeing%20Employees%20Credit%20Union/2002/R%2007%2002%20BECU%20rev.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Data/EXCEL/9th%20Floor%20Current%209-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dwn_AloftOntarioRanchoCucamonga_BNG_12Mo_Dl_Jan_2010_(1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DEL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Oak%20Preferred%20v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Users/AK/Downloads/Crosspoint%20Baseline%20v2.0%20(2013-09-26)%20(1)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HM%20and%20Workbook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umbledore/Dropbox/226%20W.%20Jackson%20Blvd/Pro%20Forma%20Models/071911%20LV%20Wheel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%20Diego%20Pro%20Forma%20-%20Incremental%20Comm%202.16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raton%20JFK%20Base%20Mode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BO%20model%20-%20six%20continents%20v2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microsoft.com/office/2019/04/relationships/externalLinkLongPath" Target="Hyatt%20Deerfield%20Model%203.23.18c%20-%20Waterfall%20-%20$46.7M%20-%20Debt%20Model.xlsm?B298015E" TargetMode="External"/><Relationship Id="rId1" Type="http://schemas.openxmlformats.org/officeDocument/2006/relationships/externalLinkPath" Target="file:///B298015E/Hyatt%20Deerfield%20Model%203.23.18c%20-%20Waterfall%20-%20$46.7M%20-%20Debt%20Model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Volumes/GLYPH-1TB/Project%20Backup/Orlando%20SED/OneDrive_1_5-9-2017/09042016%20ORLANDO_working%20model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MLPNL1215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umbledore/Dropbox/226%20W.%20Jackson%20Blvd/Pro%20Forma%20Models/ACCPAC%20Insight%20Model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:/Alex-ntfp-01/sdata/Archive/Apartments/1stQtr2001/DELTA/OLDSERV/EXCEL/98206-1/YrEnd98/End98/NAR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RKT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rwalk%20Pen%20Gen%203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:/DATA/98-433~1/506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s_graphs"/>
      <sheetName val="Summary"/>
      <sheetName val="IRR_Calculation"/>
      <sheetName val="dropdown fields"/>
      <sheetName val="Rooms"/>
      <sheetName val="MSTR"/>
      <sheetName val="Bank List"/>
      <sheetName val="Trans Type"/>
      <sheetName val="list"/>
      <sheetName val="2015 YE Act"/>
      <sheetName val="Lookups"/>
      <sheetName val="Supporting Schedules"/>
      <sheetName val="Input Page"/>
      <sheetName val="Data Validations"/>
      <sheetName val="LOOKUP TABLES"/>
      <sheetName val="HISTORICAL EXHIBIT"/>
      <sheetName val="AE Reference Sheet"/>
      <sheetName val="Underwriting Assumptions"/>
      <sheetName val="Occ Cost Analysis"/>
      <sheetName val="AE RR"/>
      <sheetName val="Sheet5"/>
      <sheetName val="Leasing Activity"/>
      <sheetName val="Summary Stats"/>
      <sheetName val="Summary Stats - Dec"/>
      <sheetName val="Deduction"/>
      <sheetName val="Occupied Area"/>
      <sheetName val="CF"/>
      <sheetName val="PGR"/>
      <sheetName val="Deduction - Dec"/>
      <sheetName val="Occupied Area - Dec"/>
      <sheetName val="CF - Dec"/>
      <sheetName val="PGR - Dec"/>
      <sheetName val="Rent Roll 1.17"/>
      <sheetName val="Total Tenant Revenue "/>
      <sheetName val="Property Sales and Occupancy Co"/>
      <sheetName val="Sch Base Rental Rev"/>
      <sheetName val="Retail Sales % Rev"/>
      <sheetName val="Exp Reimb"/>
      <sheetName val="Retail Sales"/>
      <sheetName val="Leases"/>
      <sheetName val="Sheet1"/>
      <sheetName val="Sales"/>
      <sheetName val="Sales Data"/>
      <sheetName val="Sales Data v2"/>
      <sheetName val="BARL"/>
      <sheetName val="Data Validation"/>
      <sheetName val="Drop Downs"/>
      <sheetName val="Debt"/>
      <sheetName val="II-Consolidated RentRoll"/>
      <sheetName val="MATRIX"/>
      <sheetName val="CF Input"/>
      <sheetName val="VMC Payment Calculations"/>
      <sheetName val="Signage Company Loans (NYO)"/>
      <sheetName val="Universal Buildings, Inc."/>
      <sheetName val="Franconia Line of Credit Loan -"/>
      <sheetName val="Skyline"/>
      <sheetName val="Military Circle"/>
      <sheetName val="Courthouse Place Amortization"/>
      <sheetName val="535-545 5th Avenue Amortization"/>
      <sheetName val="Int Inc 585300-0001 9-30-14 GL"/>
      <sheetName val="Dividend 585500-0000 9-30-14 GL"/>
      <sheetName val="Other 585400-0000 9-30-14 GL"/>
      <sheetName val="Int Inc Bnk 585200-0001 9-30-14"/>
      <sheetName val="Master Tape"/>
      <sheetName val="Choices"/>
      <sheetName val="Fund Dropdown"/>
      <sheetName val="Rent Roll"/>
      <sheetName val="Hotel Info"/>
      <sheetName val="Model Lookup Values"/>
      <sheetName val="Model - Input Page"/>
      <sheetName val="Currency"/>
      <sheetName val="dropdown_fields"/>
      <sheetName val="2015_YE_Act"/>
      <sheetName val="Bank_List"/>
      <sheetName val="Trans_Type"/>
      <sheetName val="Data_Validation"/>
      <sheetName val="VMC_Payment_Calculations"/>
      <sheetName val="Signage_Company_Loans_(NYO)"/>
      <sheetName val="Universal_Buildings,_Inc_"/>
      <sheetName val="Franconia_Line_of_Credit_Loan_-"/>
      <sheetName val="Military_Circle"/>
      <sheetName val="Courthouse_Place_Amortization"/>
      <sheetName val="535-545_5th_Avenue_Amortization"/>
      <sheetName val="Int_Inc_585300-0001_9-30-14_GL"/>
      <sheetName val="Dividend_585500-0000_9-30-14_GL"/>
      <sheetName val="Other_585400-0000_9-30-14_GL"/>
      <sheetName val="Int_Inc_Bnk_585200-0001_9-30-14"/>
      <sheetName val="TX"/>
      <sheetName val="2QFINSUM"/>
      <sheetName val="Reports--&gt;"/>
      <sheetName val="INPUT ONLY ON YELLOW TABS --&gt;"/>
      <sheetName val="LOOKUP_TABLES"/>
      <sheetName val="Fund_Dropdown"/>
      <sheetName val="Supporting_Schedules"/>
      <sheetName val="Input_Page"/>
      <sheetName val="Data_Validations"/>
      <sheetName val="Drop_Downs"/>
      <sheetName val="II-Consolidated_RentRoll"/>
      <sheetName val="Master_Tape"/>
      <sheetName val="AE_Reference_Sheet"/>
      <sheetName val="Underwriting_Assumptions"/>
      <sheetName val="Occ_Cost_Analysis"/>
      <sheetName val="AE_RR"/>
      <sheetName val="Leasing_Activity"/>
      <sheetName val="Summary_Stats"/>
      <sheetName val="Summary_Stats_-_Dec"/>
      <sheetName val="Occupied_Area"/>
      <sheetName val="Deduction_-_Dec"/>
      <sheetName val="Occupied_Area_-_Dec"/>
      <sheetName val="CF_-_Dec"/>
      <sheetName val="PGR_-_Dec"/>
      <sheetName val="Rent_Roll_1_17"/>
      <sheetName val="Total_Tenant_Revenue_"/>
      <sheetName val="Property_Sales_and_Occupancy_Co"/>
      <sheetName val="Sch_Base_Rental_Rev"/>
      <sheetName val="Retail_Sales_%_Rev"/>
      <sheetName val="Exp_Reimb"/>
      <sheetName val="Retail_Sales"/>
      <sheetName val="Sales_Data"/>
      <sheetName val="Sales_Data_v2"/>
      <sheetName val="HISTORICAL_EXHIBIT"/>
      <sheetName val="Model_Lookup_Values"/>
      <sheetName val="CF_Input"/>
      <sheetName val="DPW 18 &amp; 19"/>
      <sheetName val="Inc &amp; Exp Assump (1)"/>
      <sheetName val="Credit Tenant Discount"/>
      <sheetName val="Input &amp; Lease"/>
      <sheetName val="HOTEL 1"/>
      <sheetName val="HOTEL 2"/>
      <sheetName val="LEASE"/>
      <sheetName val="Sheraton performance EUR"/>
      <sheetName val="Payroll_hotel"/>
      <sheetName val="Labor EUR"/>
      <sheetName val="Rate scrape"/>
      <sheetName val="Notes from call with Erik"/>
      <sheetName val="Labor SEK"/>
      <sheetName val="Sheraton performance SEK"/>
      <sheetName val="TOTAL"/>
      <sheetName val="INVESTMENT"/>
      <sheetName val="Quarterly CF"/>
      <sheetName val="OUTPUT 1"/>
      <sheetName val="OUTPUT 2"/>
      <sheetName val="OUTPUT PF (EUR)"/>
      <sheetName val="OUTPUT PF (SEK)"/>
      <sheetName val="OUTPUT INV"/>
      <sheetName val="Inv. Output Base Case"/>
      <sheetName val="European Annual Inflation"/>
      <sheetName val="F&amp;B Build Up"/>
      <sheetName val="Other Expense"/>
      <sheetName val="Spa &amp; Other Build Up"/>
      <sheetName val="Royalty fees"/>
      <sheetName val="Room costs"/>
      <sheetName val="Serviced Apartments Output"/>
      <sheetName val="Serviced Apartments Input"/>
      <sheetName val="IRR"/>
      <sheetName val="Table 1"/>
      <sheetName val="Inputs"/>
      <sheetName val="data tape"/>
      <sheetName val="Deal Summary"/>
      <sheetName val="M61 Lookups"/>
      <sheetName val="Historicals Input-Commercial"/>
      <sheetName val="Historicals Input-MF"/>
      <sheetName val="MF Unit Mix"/>
      <sheetName val="Data Validation Lists"/>
      <sheetName val="vacant sf"/>
      <sheetName val="Maturities Graphs"/>
      <sheetName val="Validation"/>
      <sheetName val="QCOM"/>
      <sheetName val="Input - Costs"/>
      <sheetName val="Input - Apt Unit Mix"/>
      <sheetName val="Months 1-36 Budget"/>
      <sheetName val="STVAR"/>
      <sheetName val="Lists"/>
      <sheetName val="12 month Summary to Swaps"/>
      <sheetName val="3mon Summary vs. Swap AA"/>
      <sheetName val="3mon Summary vs. Swap Single-A"/>
      <sheetName val="3mon Summary vs. Swap BBB"/>
      <sheetName val="3month Summary to Swaps"/>
      <sheetName val="Home Equity Chart"/>
      <sheetName val="Home Eq Fixed Data"/>
      <sheetName val="All Data"/>
      <sheetName val="original Data (2)"/>
      <sheetName val="Data Collection"/>
      <sheetName val="Sheet2"/>
      <sheetName val="HE Floater Chart"/>
      <sheetName val="HE Fl Data"/>
      <sheetName val="FAME Persistence"/>
      <sheetName val="Data"/>
      <sheetName val="RMMR"/>
      <sheetName val="Valuation - Support"/>
      <sheetName val="Summ"/>
      <sheetName val="Occ"/>
      <sheetName val="ADMIN"/>
      <sheetName val="TB Worksheet"/>
      <sheetName val="dropdown_fields1"/>
      <sheetName val="2015_YE_Act1"/>
      <sheetName val="Bank_List1"/>
      <sheetName val="Trans_Type1"/>
      <sheetName val="Data_Validation1"/>
      <sheetName val="VMC_Payment_Calculations1"/>
      <sheetName val="Signage_Company_Loans_(NYO)1"/>
      <sheetName val="Universal_Buildings,_Inc_1"/>
      <sheetName val="Franconia_Line_of_Credit_Loan_1"/>
      <sheetName val="Military_Circle1"/>
      <sheetName val="Courthouse_Place_Amortization1"/>
      <sheetName val="535-545_5th_Avenue_Amortizatio1"/>
      <sheetName val="Int_Inc_585300-0001_9-30-14_GL1"/>
      <sheetName val="Dividend_585500-0000_9-30-14_G1"/>
      <sheetName val="Other_585400-0000_9-30-14_GL1"/>
      <sheetName val="Int_Inc_Bnk_585200-0001_9-30-11"/>
      <sheetName val="Rent_Roll"/>
      <sheetName val="Model_-_Input_Page"/>
      <sheetName val="Credit_Tenant_Discount"/>
      <sheetName val="Input_&amp;_Lease"/>
      <sheetName val="HOTEL_1"/>
      <sheetName val="HOTEL_2"/>
      <sheetName val="Sheraton_performance_EUR"/>
      <sheetName val="Labor_EUR"/>
      <sheetName val="Rate_scrape"/>
      <sheetName val="Notes_from_call_with_Erik"/>
      <sheetName val="Labor_SEK"/>
      <sheetName val="Sheraton_performance_SEK"/>
      <sheetName val="Quarterly_CF"/>
      <sheetName val="OUTPUT_1"/>
      <sheetName val="OUTPUT_2"/>
      <sheetName val="OUTPUT_PF_(EUR)"/>
      <sheetName val="OUTPUT_PF_(SEK)"/>
      <sheetName val="OUTPUT_INV"/>
      <sheetName val="Inv__Output_Base_Case"/>
      <sheetName val="European_Annual_Inflation"/>
      <sheetName val="F&amp;B_Build_Up"/>
      <sheetName val="Other_Expense"/>
      <sheetName val="Spa_&amp;_Other_Build_Up"/>
      <sheetName val="Royalty_fees"/>
      <sheetName val="Room_costs"/>
      <sheetName val="Serviced_Apartments_Output"/>
      <sheetName val="Serviced_Apartments_Input"/>
      <sheetName val="Hotel_Info"/>
      <sheetName val="INPUT_ONLY_ON_YELLOW_TABS_--&gt;"/>
      <sheetName val="Charts"/>
      <sheetName val="Index"/>
      <sheetName val="Comparison"/>
      <sheetName val="MRI Reconcilation"/>
      <sheetName val="MRI VS EXCEL"/>
      <sheetName val="Equinox C02 1"/>
      <sheetName val="Starbucks L001"/>
      <sheetName val="Cosi"/>
      <sheetName val="TD Bank L002 1"/>
      <sheetName val="Tobmar L009"/>
      <sheetName val="API L005"/>
      <sheetName val=" UT THE12"/>
      <sheetName val="Thespian THE2"/>
      <sheetName val="AXA"/>
      <sheetName val="Turner 0200"/>
      <sheetName val="Turner 0300 1"/>
      <sheetName val="WMG 0400 1"/>
      <sheetName val="Extreme 0506"/>
      <sheetName val="WMG700"/>
      <sheetName val="WMG800"/>
      <sheetName val="WMG901"/>
      <sheetName val="WMG1000"/>
      <sheetName val="WMG1100"/>
      <sheetName val="BNY"/>
      <sheetName val="BNY 1300 2"/>
      <sheetName val="BNY 1300 2 Termination Fee"/>
      <sheetName val="Showtime P.13"/>
      <sheetName val="Showtime P.13 Must Take"/>
      <sheetName val="Showtime"/>
      <sheetName val="Showtime-12"/>
      <sheetName val="Paramount1800-2"/>
      <sheetName val="Paramount 1800B"/>
      <sheetName val="Paramount1800-1"/>
      <sheetName val="Paramount 1801A"/>
      <sheetName val="ICBC1802"/>
      <sheetName val="RCHN"/>
      <sheetName val="CNBB"/>
      <sheetName val="Paramount1804"/>
      <sheetName val="Paramount 1804C"/>
      <sheetName val="KBT&amp;F1900"/>
      <sheetName val="KBT&amp;F2000"/>
      <sheetName val="KBT&amp;F2122"/>
      <sheetName val="KBT&amp;F23002"/>
      <sheetName val="KBT&amp;F2401-1"/>
      <sheetName val="Assured 2300 1"/>
      <sheetName val="Assured 2300 1 ADJ"/>
      <sheetName val="Assured 2402"/>
      <sheetName val="Assured 2402 ADJ"/>
      <sheetName val="Assured 2401"/>
      <sheetName val="Gannett 2500A"/>
      <sheetName val="MS2526"/>
      <sheetName val="MS 2600 Ext."/>
      <sheetName val="Morgan 2600A"/>
      <sheetName val="BoA 2700-2"/>
      <sheetName val="tANKFEE"/>
      <sheetName val="Morgan 2700"/>
      <sheetName val="MorganNew2700 ADJ"/>
      <sheetName val="ICBC-2800"/>
      <sheetName val="BoA 2829"/>
      <sheetName val="Morgan 2900"/>
      <sheetName val="Morgan 2900 ADJ"/>
      <sheetName val="BNY3000"/>
      <sheetName val="Morgan 3000 1"/>
      <sheetName val="Morgan 3000 1 ADJ"/>
      <sheetName val="Vedder 3102"/>
      <sheetName val="Dickstein-3100"/>
      <sheetName val="Dickstein-3200"/>
      <sheetName val="Sullivan 3202 1"/>
      <sheetName val="MS3301"/>
      <sheetName val="MS3301 Ext."/>
      <sheetName val="Morgan 3301 4"/>
      <sheetName val="Deloitte3537"/>
      <sheetName val="Travel 3500A"/>
      <sheetName val="Travel 3600A"/>
      <sheetName val="MongoDB 3700A"/>
      <sheetName val="MongoDB 3801"/>
      <sheetName val="Deloitte3800"/>
      <sheetName val="TimeWarner3900"/>
      <sheetName val="TimeWarner3901"/>
      <sheetName val="TimeWarner3902"/>
      <sheetName val="Charter Communications 3904"/>
      <sheetName val="Charter Communications 3901 2"/>
      <sheetName val="Charter Communications 3902 2"/>
      <sheetName val="TimeWarner4000"/>
      <sheetName val="Charter 4000 2"/>
      <sheetName val="Charter 4000 2 TIA"/>
      <sheetName val="Allianz4100"/>
      <sheetName val="Allianz4245"/>
      <sheetName val="Allianz4600"/>
      <sheetName val="VedderPrice 4700"/>
      <sheetName val="NEW MOUTAIN 4700"/>
      <sheetName val="NEW MOUTAIN 4800 "/>
      <sheetName val="BNY4800"/>
      <sheetName val="BNY4800 Ext"/>
      <sheetName val="ShowtimeC101"/>
      <sheetName val="ShowtimeC206"/>
      <sheetName val="WMGC202"/>
      <sheetName val="AXAC205"/>
      <sheetName val="Turner C205 "/>
      <sheetName val="DicksteinShapiroC207"/>
      <sheetName val="QuikPark"/>
      <sheetName val="ABM Parking"/>
      <sheetName val="Assured 2300 1(2)"/>
      <sheetName val="Assured 2402 (2)"/>
      <sheetName val="Morgan 2700 (2)"/>
      <sheetName val="Morgan 2900 (2)"/>
      <sheetName val="Morgan 3000 1(2)"/>
      <sheetName val="WATER RATES"/>
      <sheetName val="Operation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 refreshError="1"/>
      <sheetData sheetId="34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t Roll-Lathrop"/>
      <sheetName val="Proforma-Lathrop"/>
      <sheetName val="loan proposal-Lathrop"/>
      <sheetName val="vacant sf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1 Income Statement"/>
      <sheetName val="Monthly Cash Flow"/>
      <sheetName val="Partner Distributions"/>
      <sheetName val="Income Statement"/>
      <sheetName val="Cost to Complete"/>
      <sheetName val="Monthly Cost to Complete"/>
      <sheetName val="Memorandum"/>
      <sheetName val="Analysis of Delay Costs"/>
      <sheetName val="Project Assumptions"/>
      <sheetName val="Emerald Commissions"/>
      <sheetName val="Project Budget"/>
      <sheetName val="Annual Cash Flow"/>
      <sheetName val="Sources &amp; Uses of Cash"/>
      <sheetName val="Finance Plan"/>
      <sheetName val="Monthly Debt Service"/>
      <sheetName val="Moderate Income Requirement"/>
      <sheetName val="Distribution Summary"/>
      <sheetName val="Rental Operations"/>
      <sheetName val="GP  Property Management Fees"/>
      <sheetName val="1998 Hotel &amp; Partnership Admin"/>
      <sheetName val="Unit Mix"/>
      <sheetName val="apt rents"/>
      <sheetName val="operating exp-rental"/>
      <sheetName val="Revised Loan Draw Projection"/>
      <sheetName val="Pricing Grid for Unsold Units"/>
      <sheetName val="PA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C"/>
      <sheetName val="B-A(L)"/>
      <sheetName val="C-A"/>
      <sheetName val="C-B"/>
      <sheetName val="E-A"/>
      <sheetName val="E-B (R)"/>
      <sheetName val="E-A2"/>
      <sheetName val="E-C (R)(L)"/>
      <sheetName val="E-F"/>
      <sheetName val="E-G"/>
      <sheetName val="E-H"/>
      <sheetName val="E-I"/>
      <sheetName val="E-J"/>
      <sheetName val="F-A(L)"/>
      <sheetName val="SCC(L)"/>
      <sheetName val="IS1-IIOc9603(L)"/>
      <sheetName val="isphotos1-2"/>
      <sheetName val="isphotos3-4"/>
      <sheetName val="isphotos5-6"/>
      <sheetName val="isphotos7-8"/>
      <sheetName val="isphotos9-10(L)"/>
      <sheetName val="IS2-IIoc9604(L)"/>
      <sheetName val="IS3-IIOc9701(L)"/>
      <sheetName val="IS4-IIOc9702(L)"/>
      <sheetName val="IS5-IIOc9703(L)"/>
      <sheetName val="IS6-IIOc9704(L)"/>
      <sheetName val="IS7-IIOc9705(L)"/>
      <sheetName val="IS8-IIOc9706(L)"/>
      <sheetName val="IS9-IIOc9707(L)"/>
      <sheetName val="IS10-IIOc9708(L)"/>
      <sheetName val="exp recov"/>
      <sheetName val="ebw"/>
      <sheetName val="ecw"/>
      <sheetName val="e-C steps"/>
      <sheetName val="IS-jan97; MASTER-allof oc"/>
      <sheetName val="isq3-4 1996; all of OC"/>
      <sheetName val="isq1-3 1996; all of oc"/>
      <sheetName val="IS-Jan97; Area 7"/>
      <sheetName val="IS1(L)"/>
      <sheetName val="IS2(L)"/>
      <sheetName val="IS3(L)"/>
      <sheetName val="IS4(L)"/>
      <sheetName val="IS5(L)"/>
      <sheetName val="IS6(L)"/>
      <sheetName val="IS7(L)"/>
      <sheetName val="IS8(L)"/>
      <sheetName val="IS9(L)"/>
      <sheetName val="IS10(L)"/>
      <sheetName val="I_x0013_2(L)"/>
      <sheetName val="C_C"/>
      <sheetName val="Proforma-Lathrop"/>
      <sheetName val="IS4(L©"/>
      <sheetName val="IS1°(L)"/>
      <sheetName val="ASSUMPTIONS"/>
      <sheetName val="Property Taxes"/>
      <sheetName val="Rent Comp Summary"/>
      <sheetName val="RC summary"/>
      <sheetName val="RENTCOMP"/>
      <sheetName val="RC Unit %"/>
      <sheetName val="Unit Mix with Rents"/>
      <sheetName val="rent comp detail sheets"/>
      <sheetName val="rent comp comparison sheet"/>
      <sheetName val="LandSaleData"/>
      <sheetName val="LandSales"/>
      <sheetName val="LandAdjustments"/>
      <sheetName val="CostApproach "/>
      <sheetName val="Insurable Value"/>
      <sheetName val="ImpSaleData"/>
      <sheetName val="ImprovedSales"/>
      <sheetName val="ImprovedAdjustments"/>
      <sheetName val="EGIM_OAR"/>
      <sheetName val="Historicals"/>
      <sheetName val="Expense Comps Long"/>
      <sheetName val="Expense Comps Short"/>
      <sheetName val="Expense Discussion"/>
      <sheetName val="Proforma and Cap"/>
      <sheetName val="Garden Apts Investor Survey"/>
      <sheetName val="DCF"/>
      <sheetName val="Mkt Health"/>
      <sheetName val="Addendum"/>
      <sheetName val="Employment"/>
      <sheetName val="Present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-A"/>
      <sheetName val="C-B"/>
      <sheetName val="C-C"/>
      <sheetName val="C-D"/>
      <sheetName val="C-E"/>
      <sheetName val="D-A"/>
      <sheetName val="E-A"/>
      <sheetName val="E-B &amp; E-C"/>
      <sheetName val="E-D"/>
      <sheetName val="E-G"/>
      <sheetName val="E-F"/>
      <sheetName val="E-H"/>
      <sheetName val="DCF (2)"/>
      <sheetName val="DCF"/>
      <sheetName val="E-J"/>
      <sheetName val="F-A"/>
      <sheetName val="IS1"/>
      <sheetName val="IS2"/>
      <sheetName val="IS3"/>
      <sheetName val="IS4"/>
      <sheetName val="IS5"/>
      <sheetName val="RC1"/>
      <sheetName val="RC2"/>
      <sheetName val="RC3"/>
      <sheetName val="RC4"/>
      <sheetName val="RC5"/>
      <sheetName val="RC6"/>
      <sheetName val="RC7"/>
      <sheetName val="RC8"/>
      <sheetName val="land"/>
      <sheetName val="unusedC-F"/>
      <sheetName val="97202compsinc.land.multifam"/>
      <sheetName val="comps.inc.IS.data"/>
      <sheetName val="97202MRR"/>
      <sheetName val="unusedE-E"/>
      <sheetName val="unused stab.Y"/>
      <sheetName val="Unused-RC"/>
      <sheetName val="unusedE-C1"/>
      <sheetName val="Unused-RC (2)"/>
      <sheetName val="D-C"/>
      <sheetName val="E-C1"/>
      <sheetName val="E-E"/>
      <sheetName val="97062FB"/>
      <sheetName val="F-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randum"/>
      <sheetName val="Project Assumptions"/>
      <sheetName val="Finance Plan Through Takeout"/>
      <sheetName val="Monthly Draw Schedule"/>
      <sheetName val="Loan Categories Without NOI"/>
      <sheetName val="Line-Item Funding Source"/>
      <sheetName val="Project Budget"/>
      <sheetName val="Monthly Cash Flow"/>
      <sheetName val="Annual Cash Flow"/>
      <sheetName val="Monthly Debt Service"/>
      <sheetName val="Monthly Rental Operations"/>
      <sheetName val="Annual Rental Operations"/>
      <sheetName val="Partner Distributions"/>
      <sheetName val="Allocated Annual Operations"/>
      <sheetName val="2001 Operating Expenses"/>
      <sheetName val="Cash Flow Thru Takeout"/>
      <sheetName val="Residential Income Comparison"/>
      <sheetName val="Annual Rental Operations (2)"/>
      <sheetName val="EGB Alemany Cash Flow"/>
      <sheetName val="Potrero Center Comparison"/>
      <sheetName val="2001 Net Cash Flow"/>
      <sheetName val="Indicated Value"/>
      <sheetName val="Hotels"/>
      <sheetName val="DT BS"/>
      <sheetName val="Equity Review (Ownco)"/>
      <sheetName val="PMA AL Suppl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 Exp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t 9-02"/>
      <sheetName val="9th Floor Current 9-02"/>
      <sheetName val="Assumptions"/>
      <sheetName val="Amort Schedule"/>
      <sheetName val="Input"/>
      <sheetName val="Model"/>
      <sheetName val="Database - Tenant"/>
      <sheetName val="Input (Real Estate)"/>
      <sheetName val="Cash Flow Proforma"/>
      <sheetName val="#REF"/>
      <sheetName val="Pivots"/>
      <sheetName val="Help"/>
      <sheetName val="RR Import"/>
      <sheetName val="Controls"/>
      <sheetName val="Sheet2"/>
      <sheetName val="Summary"/>
      <sheetName val="Compare"/>
      <sheetName val="FORMULAS - Hide Tab!"/>
      <sheetName val="Current 9_02"/>
      <sheetName val="Comp"/>
      <sheetName val="Budget"/>
      <sheetName val="1"/>
      <sheetName val="Reference"/>
      <sheetName val="Home Sales"/>
      <sheetName val="Scrap"/>
      <sheetName val="Husq."/>
      <sheetName val="Project Inputs"/>
      <sheetName val="Funds Applicable"/>
      <sheetName val="Returns"/>
      <sheetName val="Support (Don't Delete)"/>
      <sheetName val="GSChartLabels"/>
      <sheetName val="Forward Prices"/>
      <sheetName val="HIOS 93 thru 96"/>
      <sheetName val="REINS PAYABLE (ACC 42)"/>
      <sheetName val="Owned Hotels"/>
      <sheetName val="Estimate"/>
      <sheetName val="Code"/>
      <sheetName val="Current_9-02"/>
      <sheetName val="9th_Floor_Current_9-02"/>
      <sheetName val="Amort_Schedule"/>
      <sheetName val="Database_-_Tenant"/>
      <sheetName val="Input_(Real_Estate)"/>
      <sheetName val="Cash_Flow_Proforma"/>
      <sheetName val="RR_Import"/>
      <sheetName val="FORMULAS_-_Hide_Tab!"/>
      <sheetName val="Current_9_02"/>
      <sheetName val="Owned_Hotels"/>
      <sheetName val="Home_Sales"/>
      <sheetName val="Husq_"/>
      <sheetName val="Project_Inputs"/>
      <sheetName val="Funds_Applicable"/>
      <sheetName val="PopCache"/>
      <sheetName val="File Mgmt"/>
      <sheetName val="Grand Ridge Splits"/>
      <sheetName val="2020 Budget Details"/>
      <sheetName val="2016 Budget"/>
      <sheetName val="2016 Actual"/>
      <sheetName val="Pivot"/>
      <sheetName val="Grand Ridge I- OpEx"/>
      <sheetName val="Grand Ridge EXP - OpEx"/>
      <sheetName val="Grand Ridge IV - OpEx"/>
      <sheetName val="0. Budget Summary &amp; Inputs"/>
      <sheetName val="1. Budget Summary"/>
      <sheetName val="Tracking Accounts_2018"/>
      <sheetName val="3.2 Bud v ProF (Rev, Opex, PTC)"/>
      <sheetName val="3.3 Bud v ProF (OpEx)"/>
      <sheetName val="2. Bud v Bud"/>
      <sheetName val="B vs PF Distributions"/>
      <sheetName val="CAPEX"/>
      <sheetName val="4. Bud v ProF Distbs."/>
      <sheetName val="5. Bud vs CDPQ"/>
      <sheetName val="Project 4- OpEx"/>
      <sheetName val="Project 5- OpEx"/>
      <sheetName val="Budget Upload Template - GL"/>
      <sheetName val="Budget Upload Template - PRJTS"/>
      <sheetName val="GL COST CENTER ALLOCATION"/>
      <sheetName val="Old GL &gt; New GL"/>
      <sheetName val="Transaction Controls"/>
      <sheetName val="Chart of Accounts (COA)"/>
      <sheetName val="GL_Task_PurCat_ExpType"/>
      <sheetName val="Annual Input"/>
      <sheetName val="IS, BS, CF"/>
      <sheetName val="Monthly Input"/>
      <sheetName val="Depr,Goodwill"/>
      <sheetName val="BD"/>
      <sheetName val="Web"/>
      <sheetName val="G&amp;A"/>
      <sheetName val="Headcount &amp; Options"/>
      <sheetName val="Mktg"/>
      <sheetName val="IT"/>
      <sheetName val="Other"/>
      <sheetName val="ID"/>
      <sheetName val="SD"/>
      <sheetName val="Sales"/>
      <sheetName val="IS, BS, CF Monthly"/>
      <sheetName val="PNLfu-base"/>
      <sheetName val="Summary of Alternatives"/>
      <sheetName val="Profit by Chain Scale - 2000-11"/>
      <sheetName val="1st Year Opera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ooms"/>
      <sheetName val="RoomStats "/>
      <sheetName val="FBSummary"/>
      <sheetName val="Food"/>
      <sheetName val="FoodStats"/>
      <sheetName val="BevStats"/>
      <sheetName val="Beverage"/>
      <sheetName val="Telephone"/>
      <sheetName val="MiscSummary"/>
      <sheetName val="MiscDept"/>
      <sheetName val="Laundry"/>
      <sheetName val="Admin"/>
      <sheetName val="Sales"/>
      <sheetName val="Fees"/>
      <sheetName val="Energy"/>
      <sheetName val="RM"/>
      <sheetName val="PTEB"/>
      <sheetName val="Fixed and Other"/>
      <sheetName val="Hotel Info"/>
      <sheetName val="Laundry:Admin"/>
      <sheetName val="Lender Reporting"/>
      <sheetName val="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ina"/>
      <sheetName val="consolsum"/>
      <sheetName val="Chart2"/>
      <sheetName val="summary"/>
      <sheetName val="CAM allocation"/>
      <sheetName val="cost_benefits"/>
      <sheetName val="sum_performance"/>
      <sheetName val="for profit"/>
      <sheetName val="Island oper chart"/>
      <sheetName val="jobs"/>
      <sheetName val="construction"/>
      <sheetName val="retail-sales tax"/>
      <sheetName val="hoteltax"/>
      <sheetName val="print instructions"/>
      <sheetName val="Inn"/>
      <sheetName val="Budget Apt."/>
      <sheetName val="ResortConf"/>
      <sheetName val="Spa"/>
      <sheetName val="Banquets"/>
      <sheetName val="Youth Hostel"/>
      <sheetName val="Artisans"/>
      <sheetName val="colonel'srow"/>
      <sheetName val="visitor"/>
      <sheetName val="ferry"/>
      <sheetName val="non-profs"/>
      <sheetName val="prefin-"/>
      <sheetName val="attendance"/>
      <sheetName val="Resortconf_inputs"/>
      <sheetName val="Spa-att"/>
      <sheetName val="Inne"/>
      <sheetName val="budget"/>
      <sheetName val="youthfest"/>
      <sheetName val="weddings"/>
      <sheetName val="histroy"/>
      <sheetName val="insti"/>
      <sheetName val="amphmarina"/>
      <sheetName val="sportspark"/>
      <sheetName val="parkvisitors (2)"/>
      <sheetName val="mrkts"/>
      <sheetName val="retailcapt"/>
      <sheetName val="retailcapt (2)"/>
      <sheetName val="season-calc"/>
      <sheetName val="weekend"/>
      <sheetName val="do not ptint"/>
      <sheetName val="empl"/>
      <sheetName val="toronto"/>
      <sheetName val="parkvisitors"/>
      <sheetName val="park visitation"/>
      <sheetName val="summary tax"/>
      <sheetName val="chart data"/>
      <sheetName val="chartdata2"/>
      <sheetName val="artschool"/>
      <sheetName val="cultural"/>
      <sheetName val="Nola Park Inst."/>
      <sheetName val="Youth Edu."/>
      <sheetName val="unused"/>
      <sheetName val="Model"/>
      <sheetName val="CashFlow"/>
      <sheetName val="Anticipated Closings"/>
      <sheetName val="Sales"/>
      <sheetName val="RCN_Building"/>
      <sheetName val="1ST HALF EST 02-03"/>
      <sheetName val="IS"/>
      <sheetName val="Lookups"/>
      <sheetName val="IAR"/>
      <sheetName val="Master"/>
      <sheetName val="Qualitative"/>
      <sheetName val="UEA"/>
      <sheetName val="Assumptions"/>
      <sheetName val="Project Summary"/>
      <sheetName val="Amortization Table"/>
      <sheetName val="Insurance - Graphs"/>
      <sheetName val="1998 Operating Budget"/>
      <sheetName val="Profile"/>
      <sheetName val="C-A"/>
      <sheetName val="EB"/>
      <sheetName val="E9a"/>
      <sheetName val="SaveDetails"/>
      <sheetName val="Returns"/>
      <sheetName val="Sensitivity"/>
      <sheetName val="Charts"/>
      <sheetName val="Sum"/>
      <sheetName val="ASSETS"/>
      <sheetName val="Rent Comps"/>
      <sheetName val="Inputs"/>
      <sheetName val="OrangeCounty IRR"/>
      <sheetName val="Input Sheet"/>
      <sheetName val="OfficeSt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Main Input"/>
      <sheetName val="Oak Preferred v1"/>
      <sheetName val="Inputs"/>
      <sheetName val="PF IS"/>
      <sheetName val="T BS"/>
      <sheetName val="T P&amp;L"/>
      <sheetName val="CREDIT STATS"/>
      <sheetName val="Inp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gusRaw.Primary"/>
      <sheetName val="ArgusRaw.Secondary"/>
      <sheetName val="Assumptions"/>
      <sheetName val="Dev Costs"/>
      <sheetName val="Monthly CF"/>
      <sheetName val="Annual CF"/>
      <sheetName val="Quarterly CF"/>
      <sheetName val="Quarterly Waterfall"/>
      <sheetName val="Graphs"/>
      <sheetName val="Replacement Cost"/>
      <sheetName val="Recordation Tax 1"/>
      <sheetName val="Recordation Tax 2"/>
      <sheetName val="Rollover"/>
      <sheetName val="Argus.Primary"/>
      <sheetName val="Unused Tables"/>
      <sheetName val="JBG Dev Fee"/>
      <sheetName val="Dev Budget"/>
      <sheetName val="Amortization Schedule"/>
      <sheetName val="Argus.Secondary"/>
      <sheetName val="Loan Prepay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ed CF"/>
      <sheetName val="Project"/>
      <sheetName val="Historic Market"/>
      <sheetName val="Market Report"/>
      <sheetName val="PKF Trends Data"/>
      <sheetName val="Financial Spreads"/>
      <sheetName val="Courtyard Sizing Large"/>
      <sheetName val="Courtyard Sizing Small"/>
      <sheetName val="Scenarios"/>
      <sheetName val="S&amp;D Growth Notes"/>
      <sheetName val="Penetration Notes"/>
      <sheetName val="Projected Occupancy"/>
      <sheetName val="Rate Notes"/>
      <sheetName val="Projected Rate"/>
      <sheetName val="Historical Financials"/>
      <sheetName val="Comparable Financials"/>
      <sheetName val="HOST"/>
      <sheetName val="Look, Mom, NO HANDS!"/>
      <sheetName val="Testimony"/>
      <sheetName val="ReportTables"/>
      <sheetName val="Valuation"/>
      <sheetName val="System Tools"/>
      <sheetName val="IHMModXLA"/>
      <sheetName val="IHMModMain"/>
      <sheetName val="IHMModSys"/>
      <sheetName val="IHMModPrint"/>
      <sheetName val="DlgIncrement"/>
      <sheetName val="DlgAbout"/>
      <sheetName val="DlgProject"/>
      <sheetName val="Line Item Hide"/>
      <sheetName val="Module1"/>
      <sheetName val="IHM and Workbook2"/>
      <sheetName val="Historic_Market"/>
      <sheetName val="Market_Report"/>
      <sheetName val="PKF_Trends_Data"/>
      <sheetName val="Financial_Spreads"/>
      <sheetName val="Courtyard_Sizing_Large"/>
      <sheetName val="Courtyard_Sizing_Small"/>
      <sheetName val="S&amp;D_Growth_Notes"/>
      <sheetName val="Penetration_Notes"/>
      <sheetName val="Projected_Occupancy"/>
      <sheetName val="Rate_Notes"/>
      <sheetName val="Projected_Rate"/>
      <sheetName val="Historical_Financials"/>
      <sheetName val="Comparable_Financials"/>
      <sheetName val="Projected_CF"/>
      <sheetName val="Look,_Mom,_NO_HANDS!"/>
      <sheetName val="System_Tools"/>
      <sheetName val="Line_Item_Hide"/>
      <sheetName val="COUNTRY"/>
      <sheetName val="FX RATES"/>
      <sheetName val="Lists"/>
      <sheetName val="Assumptions"/>
      <sheetName val="CostBreakdownSummary"/>
      <sheetName val="OfficeStock"/>
      <sheetName val="Unit Data"/>
      <sheetName val=" "/>
      <sheetName val="BWS"/>
      <sheetName val="1999 BUDGET"/>
      <sheetName val="L-Rents"/>
      <sheetName val="A"/>
      <sheetName val="A Inc &amp; Exp"/>
      <sheetName val="B Inc &amp; Exp"/>
      <sheetName val="V Inc &amp; Ex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 FORMA"/>
      <sheetName val="Sales Worksheet"/>
      <sheetName val="Cost Workshee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F Base 5 yr"/>
      <sheetName val="PF Base 10 yr"/>
      <sheetName val="(WIP) Sales Build"/>
      <sheetName val="SV Labor"/>
      <sheetName val="Commission"/>
      <sheetName val="Exhibit A"/>
      <sheetName val="Exhibit B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toric Market"/>
      <sheetName val="Project"/>
      <sheetName val="Projected Occupancy"/>
      <sheetName val="Projected Rate"/>
      <sheetName val="Historical Financials"/>
      <sheetName val="Market Report"/>
      <sheetName val="YTD Market Report"/>
      <sheetName val="Property Summary"/>
      <sheetName val="Comparable Financials"/>
      <sheetName val="HOST"/>
      <sheetName val="Projected CF"/>
      <sheetName val="Look, Mom, NO HANDS!"/>
      <sheetName val="Valuation"/>
      <sheetName val="System Tools"/>
      <sheetName val="DlgIncrement"/>
      <sheetName val="DlgAbout"/>
      <sheetName val="DlgProject"/>
      <sheetName val="ihmModMain"/>
      <sheetName val="IHMModPrint"/>
      <sheetName val="IHMModSys"/>
      <sheetName val="IHMModXLA"/>
      <sheetName val="Line_Item_Unhide"/>
      <sheetName val="POR_PAR_POS"/>
      <sheetName val="Line_Item_Hide"/>
      <sheetName val="Historic_Market"/>
      <sheetName val="Market_Report"/>
      <sheetName val="YTD_Market_Report"/>
      <sheetName val="Property_Summary"/>
      <sheetName val="Projected_Occupancy"/>
      <sheetName val="Projected_Rate"/>
      <sheetName val="Historical_Financials"/>
      <sheetName val="Comparable_Financials"/>
      <sheetName val="Projected_CF"/>
      <sheetName val="Look,_Mom,_NO_HANDS!"/>
      <sheetName val="System_Tools"/>
      <sheetName val="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Zone"/>
      <sheetName val="MAIN"/>
      <sheetName val="DIV INC"/>
      <sheetName val="Assumptions Output"/>
      <sheetName val="KKR Inputs"/>
      <sheetName val="Tax"/>
      <sheetName val="IRRs"/>
      <sheetName val="EQ. IRR"/>
      <sheetName val="Mezz IRRs"/>
      <sheetName val="DCF 3"/>
      <sheetName val="Output"/>
      <sheetName val="Pitch Output"/>
      <sheetName val="Fin Sum Output"/>
      <sheetName val="S&amp;P"/>
      <sheetName val="Toggles"/>
      <sheetName val="Data"/>
      <sheetName val="Mezz IRRs 6 monthly interests"/>
      <sheetName val="dPrint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LBO%20model%20-%20six%20contine"/>
      <sheetName val="LBO model - six continents v2"/>
      <sheetName val="Sheet2"/>
      <sheetName val="GreenSt"/>
      <sheetName val="RealtyStock"/>
      <sheetName val="Income"/>
      <sheetName val="Parameter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alysis"/>
      <sheetName val="Proforma"/>
      <sheetName val="Waterfall"/>
      <sheetName val="Proforma Assumptions"/>
      <sheetName val="Debt"/>
      <sheetName val="Recent Data"/>
      <sheetName val="Horizons - PL Detail FC"/>
      <sheetName val="Occ ADR"/>
      <sheetName val="Rooms Mix"/>
      <sheetName val="Rooms Mix (Adj)"/>
      <sheetName val="Rooms Mix (Indices)"/>
      <sheetName val="2018 MTM Budget"/>
      <sheetName val="Historical - Projections"/>
      <sheetName val="New Supply"/>
      <sheetName val="MKT Reports"/>
      <sheetName val="Cost Savings"/>
      <sheetName val="Aimbridge Comp Data"/>
      <sheetName val="Staffing"/>
      <sheetName val="Area Map"/>
      <sheetName val="Comp Set"/>
      <sheetName val="Monthly Proforma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usic Venue Pro Forma"/>
      <sheetName val="Summary Tabs=&gt;&gt;&gt;"/>
      <sheetName val="Executive Summary 1"/>
      <sheetName val="Executive Summary 2"/>
      <sheetName val="Investment"/>
      <sheetName val="IRR"/>
      <sheetName val="Development"/>
      <sheetName val="Summary Pro Forma"/>
      <sheetName val="Pro Formas=&gt;&gt;&gt;"/>
      <sheetName val="Plaza Pro Forma"/>
      <sheetName val="Parking Pro Forma"/>
      <sheetName val="Office Pro Forma"/>
      <sheetName val="Hotel-Expo Hall Pro Forma"/>
      <sheetName val="Residential Pro Forma"/>
      <sheetName val="Retail Pro Forma"/>
      <sheetName val="Back-up Tabs =&gt;&gt;&gt;"/>
      <sheetName val="Signage Costs"/>
      <sheetName val="Expo Hall Assumptions"/>
      <sheetName val="Sports Bar Labor"/>
      <sheetName val="Food Hall Revenue Plan (1 Fl)"/>
      <sheetName val="Food Hall Labor (1 Fl)"/>
      <sheetName val="Sponsorship Staff"/>
      <sheetName val="Charts=&gt;&gt;&gt;"/>
      <sheetName val="Chart Pro Forma"/>
      <sheetName val="Chart Progam-Land Value"/>
      <sheetName val="Chart Returns"/>
      <sheetName val="Chart Spons"/>
      <sheetName val="Chart Parking"/>
      <sheetName val="Chart Office "/>
      <sheetName val="Chart Plaza"/>
      <sheetName val="Chart Retail"/>
      <sheetName val="Chart Expo"/>
      <sheetName val="Chart Music"/>
      <sheetName val="Chart Hotel"/>
      <sheetName val="Chart Residential"/>
      <sheetName val="Events Rev"/>
      <sheetName val="Event Labor"/>
      <sheetName val="Membership Rev"/>
      <sheetName val="Membership Sales Labor"/>
      <sheetName val="Membership Labor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Other"/>
      <sheetName val="Parameters"/>
      <sheetName val="Introduction"/>
      <sheetName val="PRINTING SELECTIONS"/>
      <sheetName val="Flow"/>
      <sheetName val="INSTrialBalance"/>
      <sheetName val="INSBalance Sheet"/>
      <sheetName val="INSSummary"/>
      <sheetName val="INSSummary2"/>
      <sheetName val="INSRooms"/>
      <sheetName val="INSFood"/>
      <sheetName val="PLDETDD"/>
      <sheetName val="GLTransactions"/>
      <sheetName val="GLYTDTransactions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ducts"/>
      <sheetName val="Main Menu"/>
      <sheetName val="Financials Menu"/>
      <sheetName val="Income Statement"/>
      <sheetName val="BalanceSheet"/>
      <sheetName val="TrialBalance"/>
      <sheetName val="CashFlow"/>
      <sheetName val="Sales Menu"/>
      <sheetName val="Sales Trends"/>
      <sheetName val="SalesSummary"/>
      <sheetName val="Customers"/>
      <sheetName val="Purchases"/>
      <sheetName val="Purchasing Menu"/>
      <sheetName val="PurchaseSummary"/>
      <sheetName val="Inventory Menu"/>
      <sheetName val="Inventory"/>
      <sheetName val="InventorySummary"/>
      <sheetName val="Returns"/>
      <sheetName val="WBG_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TANAL"/>
      <sheetName val="summary-mix-size-rents"/>
      <sheetName val="vacancy"/>
      <sheetName val="unitmix"/>
      <sheetName val="rentanaly"/>
      <sheetName val="unitsize"/>
      <sheetName val="rentfoot"/>
      <sheetName val="in-unit"/>
      <sheetName val="project"/>
      <sheetName val="premiums"/>
      <sheetName val="security"/>
      <sheetName val="park"/>
      <sheetName val="Marketing effect."/>
      <sheetName val="RATING"/>
      <sheetName val="Rent Trends"/>
      <sheetName val="Vac Trends"/>
      <sheetName val="t-o$vacancy"/>
      <sheetName val="rent&amp;vac-trnds"/>
      <sheetName val="summary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ctor 3 Summary"/>
      <sheetName val="Sector 1 Summary"/>
      <sheetName val="Sector 2 Summary"/>
      <sheetName val="ONSITE Input"/>
      <sheetName val="RESIDENT Input"/>
      <sheetName val="Sector 2 Input"/>
      <sheetName val="overnightInput"/>
      <sheetName val="new gamers"/>
      <sheetName val="Title Input"/>
      <sheetName val="Avail Markets Summ"/>
      <sheetName val="visitation Sum"/>
      <sheetName val="Visitation Summ"/>
      <sheetName val="Expenditures Summ"/>
      <sheetName val="Sector 4 Summary"/>
      <sheetName val="Module2"/>
      <sheetName val="Module3"/>
      <sheetName val="Module6"/>
      <sheetName val="Module1"/>
      <sheetName val="Module7"/>
      <sheetName val="Module9"/>
      <sheetName val="Module4"/>
      <sheetName val="Module5"/>
      <sheetName val="Module8"/>
      <sheetName val="Module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"/>
      <sheetName val="Historic Market"/>
      <sheetName val="YTD Market Report"/>
      <sheetName val="STR"/>
      <sheetName val="Meeting Space"/>
      <sheetName val="Report Ready"/>
      <sheetName val="Property Summary"/>
      <sheetName val="Office Stats &amp; Development"/>
      <sheetName val="Demand Growth"/>
      <sheetName val="Historical Penetrations"/>
      <sheetName val="Tables"/>
      <sheetName val="Projected Occupancy"/>
      <sheetName val="Induced Demand "/>
      <sheetName val="Rate analysis"/>
      <sheetName val="Projected Rate"/>
      <sheetName val="Taxes"/>
      <sheetName val="Historical Financials"/>
      <sheetName val="Market Report"/>
      <sheetName val="Comparable Financials"/>
      <sheetName val="HOST"/>
      <sheetName val="Projected CF"/>
      <sheetName val="Look, Mom, NO HANDS!"/>
      <sheetName val="Valuation"/>
      <sheetName val="System Tools"/>
      <sheetName val="DlgIncrement"/>
      <sheetName val="DlgAbout"/>
      <sheetName val="DlgProject"/>
      <sheetName val="ihmModMain"/>
      <sheetName val="IHMModPrint"/>
      <sheetName val="IHMModSys"/>
      <sheetName val="IHMModXLA"/>
      <sheetName val="Line_Item_Unhide"/>
      <sheetName val="POR_PAR_POS"/>
      <sheetName val="Line_Item_Hide"/>
      <sheetName val="Setup"/>
      <sheetName val="Summary"/>
      <sheetName val="ROI"/>
      <sheetName val="Income Statement"/>
      <sheetName val="Property Revenues"/>
      <sheetName val="Header"/>
      <sheetName val="lbo"/>
      <sheetName val="AMORTIZATION SCH"/>
      <sheetName val="Layout"/>
      <sheetName val="Cost Approach"/>
      <sheetName val="Norwalk%20Pen%20Gen%2031.xls"/>
      <sheetName val="SDpool"/>
      <sheetName val="INPUT"/>
      <sheetName val="Norwalk Pen Gen 31"/>
      <sheetName val="FxVar1"/>
      <sheetName val="Information"/>
      <sheetName val="Ratio Grid"/>
      <sheetName val="InputsProj"/>
      <sheetName val="Historic_Market"/>
      <sheetName val="YTD_Market_Report"/>
      <sheetName val="Meeting_Space"/>
      <sheetName val="Report_Ready"/>
      <sheetName val="Property_Summary"/>
      <sheetName val="Office_Stats_&amp;_Development"/>
      <sheetName val="Demand_Growth"/>
      <sheetName val="Historical_Penetrations"/>
      <sheetName val="Projected_Occupancy"/>
      <sheetName val="Induced_Demand_"/>
      <sheetName val="Rate_analysis"/>
      <sheetName val="Projected_Rate"/>
      <sheetName val="Historical_Financials"/>
      <sheetName val="Market_Report"/>
      <sheetName val="Comparable_Financials"/>
      <sheetName val="Projected_CF"/>
      <sheetName val="Look,_Mom,_NO_HANDS!"/>
      <sheetName val="System_Tools"/>
      <sheetName val="Exhibit III_3"/>
      <sheetName val="Exhibit III_4"/>
      <sheetName val="Exhibit III_5"/>
      <sheetName val="Exhibit III_16"/>
      <sheetName val="Sheet1"/>
      <sheetName val="Pipeline"/>
      <sheetName val="Upsi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Q-Register"/>
      <sheetName val="OfficeStock"/>
      <sheetName val="2001"/>
      <sheetName val="A"/>
      <sheetName val="tbl_ExcelDownload"/>
      <sheetName val="Owens &amp; Minor P&amp;L Analysis"/>
      <sheetName val="Oper Inc &amp; Exp Analysis"/>
      <sheetName val="Proforma-Lathrop"/>
      <sheetName val="Return Summary"/>
      <sheetName val="Cash Flow"/>
      <sheetName val="Assumptions"/>
      <sheetName val="RENTAN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Gary Wilson" id="{3ED9CF97-2F87-9741-92ED-321A03BB0D32}" userId="gary@mtnorigins.com" providerId="PeoplePicker"/>
  <person displayName="Ladd Morgan" id="{864509A8-E05E-F14F-91ED-E79E218E74DF}" userId="ladd@mtnorigins.com" providerId="PeoplePicker"/>
  <person displayName="Ladd Morgan" id="{30AD3FBD-1FC0-4303-824D-0E23BEBF2501}" userId="S::ladd@mtnorigins.com::1b0109ea-832b-4071-8c77-42c5ac8213b5" providerId="AD"/>
  <person displayName="Layne Thompson" id="{CA88EB4B-134D-7E4F-985F-B63DC4541AD2}" userId="S::layne@mtnorigins.com::947c7b02-7487-4553-a9cc-76e9f5fee9eb" providerId="AD"/>
  <person displayName="Morgan, Ladd" id="{55B59677-386B-40BD-B80C-C9D69D0A9B13}" userId="S::Ladd.Morgan@ny.frb.org::0fb9c543-ebe7-4a4d-868e-3d847c04a9f1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2-12T05:55:33.23" personId="{30AD3FBD-1FC0-4303-824D-0E23BEBF2501}" id="{BE605D4E-650E-4066-98DD-423863D8B869}">
    <text xml:space="preserve">Reduced original assumption slightly to account for condo owners covering some portion of operating costs </text>
  </threadedComment>
  <threadedComment ref="E42" dT="2024-02-17T03:53:26.58" personId="{55B59677-386B-40BD-B80C-C9D69D0A9B13}" id="{ED28E232-DF7D-43CC-80F0-F38559733A4E}">
    <text xml:space="preserve">Reduce occupancy assumption to 0% for months outside the rental start and finish range </text>
  </threadedComment>
  <threadedComment ref="C83" dT="2024-08-16T14:55:56.39" personId="{55B59677-386B-40BD-B80C-C9D69D0A9B13}" id="{1E5CF9D8-DE35-483E-AAD5-01EE061DA3A8}">
    <text>0.42% of assessed value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4" dT="2023-11-14T19:02:39.56" personId="{30AD3FBD-1FC0-4303-824D-0E23BEBF2501}" id="{3D2028C7-7376-4C69-93D5-4EB74EA353AD}">
    <text xml:space="preserve">Larger than sum of draws due to capitalized interest and fees. </text>
  </threadedComment>
  <threadedComment ref="T34" dT="2023-10-25T07:51:54.66" personId="{55B59677-386B-40BD-B80C-C9D69D0A9B13}" id="{18F44849-2B23-4F0A-9367-CA4106B565CF}">
    <text>Reduce required cash equity by a portion of the land contributed</text>
  </threadedComment>
  <threadedComment ref="B203" dT="2023-11-14T19:04:37.49" personId="{30AD3FBD-1FC0-4303-824D-0E23BEBF2501}" id="{C3354625-C3A3-4C20-B699-D2E3416A4FFA}">
    <text>Total repayment greater than loan balance because it includes interest beyond the initial 3 years included in interest reserve</text>
  </threadedComment>
  <threadedComment ref="G266" dT="2024-02-19T05:42:49.71" personId="{CA88EB4B-134D-7E4F-985F-B63DC4541AD2}" id="{7CC1D38D-69B0-1C44-B0F4-53545704A35C}">
    <text>Added 225 SF for Loft</text>
  </threadedComment>
  <threadedComment ref="G267" dT="2024-02-19T05:43:17.61" personId="{CA88EB4B-134D-7E4F-985F-B63DC4541AD2}" id="{5233710C-BDF5-0444-9EF1-625BAD1578DD}">
    <text>Added 250 sf for 3rd bedroom on base level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78" dT="2024-06-14T21:20:02.23" personId="{CA88EB4B-134D-7E4F-985F-B63DC4541AD2}" id="{F59AD0B3-013C-41A5-925F-5BF1CD763C5D}">
    <text>Keep Sinking Fund going to pay off the $30M of the Hotel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55" dT="2024-02-19T20:05:18.32" personId="{CA88EB4B-134D-7E4F-985F-B63DC4541AD2}" id="{DBB088E1-9873-4147-A041-E741AC90B0EC}">
    <text>@Ladd Morgan @Gary Wilson we need breakouts on these similar to the Resi Consultants on the next round.</text>
    <mentions>
      <mention mentionpersonId="{864509A8-E05E-F14F-91ED-E79E218E74DF}" mentionId="{47D6DB99-0C4E-A943-9EE2-32C6941E0597}" startIndex="0" length="12"/>
      <mention mentionpersonId="{3ED9CF97-2F87-9741-92ED-321A03BB0D32}" mentionId="{E0578BD1-A784-BC48-A35B-98C5E4B1D9F3}" startIndex="13" length="12"/>
    </mentions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6" dT="2024-02-17T03:17:35.76" personId="{55B59677-386B-40BD-B80C-C9D69D0A9B13}" id="{C2F39324-6A97-4A22-805A-668C886C3A08}">
    <text>Subtract Brundage % owned rooms from total occupancy % and remaining occupancy % is attributed to condos. Condo revenue split with condo owners.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4" dT="2023-10-16T13:55:28.56" personId="{55B59677-386B-40BD-B80C-C9D69D0A9B13}" id="{0690F9D1-1C3E-47D3-B221-20761CDCA852}">
    <text>Need to confirm how to calculate these for Amenity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3.xml"/><Relationship Id="rId5" Type="http://schemas.openxmlformats.org/officeDocument/2006/relationships/comments" Target="../comments3.xml"/><Relationship Id="rId4" Type="http://schemas.openxmlformats.org/officeDocument/2006/relationships/ctrlProp" Target="../ctrlProps/ctrlProp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mments" Target="../comments6.xml"/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1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12.xml"/><Relationship Id="rId5" Type="http://schemas.openxmlformats.org/officeDocument/2006/relationships/ctrlProp" Target="../ctrlProps/ctrlProp11.xml"/><Relationship Id="rId4" Type="http://schemas.openxmlformats.org/officeDocument/2006/relationships/ctrlProp" Target="../ctrlProps/ctrlProp10.xml"/><Relationship Id="rId9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44EE-F4F5-46E7-B6DA-319AB54C4775}">
  <sheetPr codeName="Sheet5">
    <tabColor rgb="FFFFFF00"/>
  </sheetPr>
  <dimension ref="A1:NJ106"/>
  <sheetViews>
    <sheetView zoomScale="79" zoomScaleNormal="100" workbookViewId="0">
      <selection activeCell="L6" sqref="L6"/>
    </sheetView>
  </sheetViews>
  <sheetFormatPr baseColWidth="10" defaultColWidth="8.83203125" defaultRowHeight="16" x14ac:dyDescent="0.2"/>
  <cols>
    <col min="1" max="1" width="2.1640625" style="318" customWidth="1"/>
    <col min="2" max="2" width="33.1640625" style="187" bestFit="1" customWidth="1"/>
    <col min="3" max="3" width="13.6640625" style="187" bestFit="1" customWidth="1"/>
    <col min="4" max="4" width="3.6640625" style="187" customWidth="1"/>
    <col min="5" max="5" width="28.6640625" style="187" bestFit="1" customWidth="1"/>
    <col min="6" max="6" width="13.1640625" style="187" bestFit="1" customWidth="1"/>
    <col min="7" max="7" width="16.6640625" style="187" bestFit="1" customWidth="1"/>
    <col min="8" max="8" width="11.5" style="187" bestFit="1" customWidth="1"/>
    <col min="9" max="9" width="15.6640625" style="187" customWidth="1"/>
    <col min="10" max="10" width="12.6640625" style="187" customWidth="1"/>
    <col min="11" max="11" width="13.1640625" style="187" bestFit="1" customWidth="1"/>
    <col min="12" max="14" width="11.1640625" style="187" bestFit="1" customWidth="1"/>
    <col min="15" max="15" width="11.5" style="187" bestFit="1" customWidth="1"/>
    <col min="16" max="16" width="11.6640625" style="187" customWidth="1"/>
    <col min="17" max="17" width="12.1640625" style="187" customWidth="1"/>
    <col min="18" max="373" width="10.5" style="187" bestFit="1" customWidth="1"/>
    <col min="374" max="374" width="10.6640625" style="187" bestFit="1" customWidth="1"/>
    <col min="375" max="16384" width="8.83203125" style="187"/>
  </cols>
  <sheetData>
    <row r="1" spans="1:45" s="318" customFormat="1" ht="21" x14ac:dyDescent="0.25">
      <c r="B1" s="313" t="s">
        <v>0</v>
      </c>
    </row>
    <row r="2" spans="1:45" x14ac:dyDescent="0.2">
      <c r="B2" s="188" t="s">
        <v>1</v>
      </c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</row>
    <row r="4" spans="1:45" s="190" customFormat="1" x14ac:dyDescent="0.2">
      <c r="A4" s="199"/>
      <c r="B4" s="191" t="s">
        <v>2</v>
      </c>
      <c r="C4" s="191"/>
      <c r="E4" s="191" t="s">
        <v>3</v>
      </c>
      <c r="F4" s="6" t="s">
        <v>4</v>
      </c>
      <c r="G4" s="334" t="s">
        <v>5</v>
      </c>
      <c r="H4" s="3"/>
      <c r="I4" s="191" t="s">
        <v>6</v>
      </c>
      <c r="J4" s="191"/>
      <c r="K4" s="6" t="s">
        <v>4</v>
      </c>
      <c r="L4" s="334" t="s">
        <v>5</v>
      </c>
      <c r="N4" s="191" t="s">
        <v>7</v>
      </c>
      <c r="O4" s="191"/>
      <c r="P4" s="192"/>
      <c r="Q4" s="192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7"/>
      <c r="AN4" s="187"/>
      <c r="AO4" s="187"/>
      <c r="AP4" s="187"/>
      <c r="AQ4" s="187"/>
      <c r="AR4" s="187"/>
      <c r="AS4" s="187"/>
    </row>
    <row r="5" spans="1:45" s="190" customFormat="1" x14ac:dyDescent="0.2">
      <c r="A5" s="199"/>
      <c r="B5" s="190" t="s">
        <v>8</v>
      </c>
      <c r="C5" s="193">
        <v>45658</v>
      </c>
      <c r="E5" s="194" t="s">
        <v>9</v>
      </c>
      <c r="F5" s="198">
        <v>2024</v>
      </c>
      <c r="G5" s="195">
        <v>2026</v>
      </c>
      <c r="I5" s="190" t="s">
        <v>10</v>
      </c>
      <c r="K5" s="204">
        <v>0.1</v>
      </c>
      <c r="L5" s="204">
        <v>0.1</v>
      </c>
      <c r="P5" s="197" t="s">
        <v>11</v>
      </c>
      <c r="Q5" s="197" t="s">
        <v>12</v>
      </c>
      <c r="U5" s="187"/>
      <c r="V5" s="187"/>
      <c r="W5" s="187"/>
      <c r="X5" s="187"/>
      <c r="Y5" s="187"/>
      <c r="Z5" s="187"/>
      <c r="AA5" s="187"/>
      <c r="AB5" s="187"/>
      <c r="AC5" s="187"/>
      <c r="AD5" s="187"/>
      <c r="AE5" s="187"/>
      <c r="AF5" s="187"/>
      <c r="AG5" s="187"/>
      <c r="AH5" s="187"/>
      <c r="AI5" s="187"/>
      <c r="AJ5" s="187"/>
      <c r="AK5" s="187"/>
      <c r="AL5" s="187"/>
      <c r="AM5" s="187"/>
      <c r="AN5" s="187"/>
      <c r="AO5" s="187"/>
      <c r="AP5" s="187"/>
      <c r="AQ5" s="187"/>
      <c r="AR5" s="187"/>
      <c r="AS5" s="187"/>
    </row>
    <row r="6" spans="1:45" s="190" customFormat="1" x14ac:dyDescent="0.2">
      <c r="A6" s="199"/>
      <c r="B6" s="190" t="s">
        <v>13</v>
      </c>
      <c r="C6" s="198">
        <f>YEAR(C5)</f>
        <v>2025</v>
      </c>
      <c r="E6" s="190" t="s">
        <v>14</v>
      </c>
      <c r="F6" s="198">
        <v>3</v>
      </c>
      <c r="G6" s="198">
        <v>3</v>
      </c>
      <c r="I6" s="190" t="s">
        <v>15</v>
      </c>
      <c r="K6" s="642">
        <f>F8+0.015</f>
        <v>0.13500000000000001</v>
      </c>
      <c r="L6" s="642">
        <f>G8+0.015</f>
        <v>0.13500000000000001</v>
      </c>
      <c r="N6" s="190" t="s">
        <v>16</v>
      </c>
      <c r="P6" s="198">
        <f>P7+P8</f>
        <v>319</v>
      </c>
      <c r="Q6" s="200">
        <f>Q7+Q8</f>
        <v>22000000</v>
      </c>
      <c r="U6" s="187"/>
      <c r="V6" s="187"/>
      <c r="W6" s="187"/>
      <c r="X6" s="187"/>
      <c r="Y6" s="187"/>
      <c r="Z6" s="187"/>
      <c r="AA6" s="187"/>
      <c r="AB6" s="187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7"/>
      <c r="AN6" s="187"/>
      <c r="AO6" s="187"/>
      <c r="AP6" s="187"/>
      <c r="AQ6" s="187"/>
      <c r="AR6" s="187"/>
      <c r="AS6" s="187"/>
    </row>
    <row r="7" spans="1:45" s="190" customFormat="1" x14ac:dyDescent="0.2">
      <c r="A7" s="199"/>
      <c r="B7" t="s">
        <v>17</v>
      </c>
      <c r="C7" s="196">
        <f>MONTH(C5)</f>
        <v>1</v>
      </c>
      <c r="E7" s="190" t="s">
        <v>18</v>
      </c>
      <c r="F7" s="201">
        <v>0.6</v>
      </c>
      <c r="G7" s="201">
        <v>0.77</v>
      </c>
      <c r="I7" s="190" t="s">
        <v>19</v>
      </c>
      <c r="K7" s="642">
        <v>0.01</v>
      </c>
      <c r="L7" s="642">
        <f t="shared" ref="L7" si="0">K7</f>
        <v>0.01</v>
      </c>
      <c r="N7" s="202" t="s">
        <v>20</v>
      </c>
      <c r="P7" s="198">
        <v>240</v>
      </c>
      <c r="Q7" s="200">
        <v>15000000</v>
      </c>
      <c r="U7" s="187"/>
      <c r="V7" s="187"/>
      <c r="W7" s="187"/>
      <c r="X7" s="187"/>
      <c r="Y7" s="187"/>
      <c r="Z7" s="187"/>
      <c r="AA7" s="187"/>
      <c r="AB7" s="187"/>
      <c r="AC7" s="187"/>
      <c r="AD7" s="187"/>
      <c r="AE7" s="187"/>
      <c r="AF7" s="187"/>
      <c r="AG7" s="187"/>
      <c r="AH7" s="187"/>
      <c r="AI7" s="187"/>
      <c r="AJ7" s="187"/>
      <c r="AK7" s="187"/>
      <c r="AL7" s="187"/>
      <c r="AM7" s="187"/>
      <c r="AN7" s="187"/>
      <c r="AO7" s="187"/>
      <c r="AP7" s="187"/>
      <c r="AQ7" s="187"/>
      <c r="AR7" s="187"/>
      <c r="AS7" s="187"/>
    </row>
    <row r="8" spans="1:45" s="190" customFormat="1" x14ac:dyDescent="0.2">
      <c r="A8" s="199"/>
      <c r="B8" s="809" t="s">
        <v>21</v>
      </c>
      <c r="C8" s="196"/>
      <c r="E8" s="190" t="s">
        <v>22</v>
      </c>
      <c r="F8" s="203">
        <v>0.12</v>
      </c>
      <c r="G8" s="203">
        <f>F8</f>
        <v>0.12</v>
      </c>
      <c r="I8" s="190" t="s">
        <v>23</v>
      </c>
      <c r="K8" s="642">
        <v>0.01</v>
      </c>
      <c r="L8" s="642">
        <f t="shared" ref="L8" si="1">K8</f>
        <v>0.01</v>
      </c>
      <c r="N8" s="202" t="s">
        <v>5</v>
      </c>
      <c r="P8" s="198">
        <v>79</v>
      </c>
      <c r="Q8" s="200">
        <v>7000000</v>
      </c>
      <c r="U8" s="187"/>
      <c r="V8" s="187"/>
      <c r="W8" s="187"/>
      <c r="X8" s="187"/>
      <c r="Y8" s="187"/>
      <c r="Z8" s="187"/>
      <c r="AA8" s="187"/>
      <c r="AB8" s="187"/>
      <c r="AC8" s="187"/>
      <c r="AD8" s="187"/>
      <c r="AE8" s="187"/>
      <c r="AF8" s="187"/>
      <c r="AG8" s="187"/>
      <c r="AH8" s="187"/>
      <c r="AI8" s="187"/>
      <c r="AJ8" s="187"/>
      <c r="AK8" s="187"/>
      <c r="AL8" s="187"/>
      <c r="AM8" s="187"/>
      <c r="AN8" s="187"/>
      <c r="AO8" s="187"/>
      <c r="AP8" s="187"/>
      <c r="AQ8" s="187"/>
      <c r="AR8" s="187"/>
      <c r="AS8" s="187"/>
    </row>
    <row r="9" spans="1:45" s="190" customFormat="1" x14ac:dyDescent="0.2">
      <c r="A9" s="199"/>
      <c r="B9" s="810" t="s">
        <v>24</v>
      </c>
      <c r="C9" s="196"/>
      <c r="E9" s="190" t="s">
        <v>25</v>
      </c>
      <c r="F9" s="205">
        <v>3.5000000000000003E-2</v>
      </c>
      <c r="G9" s="205">
        <f>F9</f>
        <v>3.5000000000000003E-2</v>
      </c>
      <c r="I9" t="s">
        <v>26</v>
      </c>
      <c r="K9" s="301">
        <v>0.02</v>
      </c>
      <c r="L9" s="642" t="s">
        <v>27</v>
      </c>
      <c r="N9" s="190" t="s">
        <v>28</v>
      </c>
      <c r="Q9" s="200">
        <v>15000000</v>
      </c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</row>
    <row r="10" spans="1:45" s="190" customFormat="1" x14ac:dyDescent="0.2">
      <c r="A10" s="199"/>
      <c r="B10" s="810" t="s">
        <v>29</v>
      </c>
      <c r="C10" s="196"/>
      <c r="E10" t="s">
        <v>30</v>
      </c>
      <c r="F10" s="205">
        <f>0.005*4</f>
        <v>0.02</v>
      </c>
      <c r="I10" t="s">
        <v>31</v>
      </c>
      <c r="K10" s="642">
        <v>0.15</v>
      </c>
      <c r="L10" s="642" t="s">
        <v>27</v>
      </c>
      <c r="M10"/>
      <c r="P10" s="453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</row>
    <row r="11" spans="1:45" s="190" customFormat="1" x14ac:dyDescent="0.2">
      <c r="A11" s="199"/>
      <c r="B11" s="810" t="s">
        <v>32</v>
      </c>
      <c r="C11" s="196"/>
      <c r="E11" s="190" t="s">
        <v>33</v>
      </c>
      <c r="F11" s="245">
        <v>0.24199999999999999</v>
      </c>
      <c r="G11" s="245">
        <v>0.2631794223270254</v>
      </c>
      <c r="I11" s="187" t="s">
        <v>34</v>
      </c>
      <c r="J11" s="187"/>
      <c r="K11" s="244">
        <v>0.4</v>
      </c>
      <c r="L11" s="244">
        <v>0.4</v>
      </c>
      <c r="U11" s="187"/>
      <c r="V11" s="187"/>
      <c r="W11" s="187"/>
      <c r="X11" s="187"/>
      <c r="Y11" s="187"/>
      <c r="Z11" s="187"/>
      <c r="AA11" s="187"/>
      <c r="AB11" s="187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7"/>
      <c r="AN11" s="187"/>
      <c r="AO11" s="187"/>
      <c r="AP11" s="187"/>
      <c r="AQ11" s="187"/>
      <c r="AR11" s="187"/>
      <c r="AS11" s="187"/>
    </row>
    <row r="12" spans="1:45" x14ac:dyDescent="0.2">
      <c r="B12" s="810"/>
      <c r="F12" s="432">
        <f>'Proforma L+H'!V156-'Proforma L+H'!U156</f>
        <v>-3436770.5336836502</v>
      </c>
      <c r="G12" s="432">
        <f ca="1">'Proforma A+H'!W189-'Proforma A+H'!X189</f>
        <v>-600699.11172875762</v>
      </c>
    </row>
    <row r="14" spans="1:45" x14ac:dyDescent="0.2">
      <c r="B14" s="188" t="s">
        <v>35</v>
      </c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  <c r="Q14" s="189"/>
    </row>
    <row r="16" spans="1:45" x14ac:dyDescent="0.2">
      <c r="B16" s="240" t="s">
        <v>36</v>
      </c>
      <c r="C16" s="240"/>
      <c r="E16" s="240" t="s">
        <v>37</v>
      </c>
      <c r="F16" s="243"/>
      <c r="G16" s="243"/>
      <c r="H16" s="243"/>
      <c r="J16" s="240" t="s">
        <v>38</v>
      </c>
      <c r="K16" s="240"/>
      <c r="L16" s="243"/>
      <c r="M16" s="240"/>
    </row>
    <row r="17" spans="1:17" s="153" customFormat="1" x14ac:dyDescent="0.2">
      <c r="A17" s="316"/>
      <c r="B17" s="153" t="s">
        <v>39</v>
      </c>
      <c r="C17" s="153">
        <f>850*C18</f>
        <v>850</v>
      </c>
      <c r="F17" s="626" t="s">
        <v>40</v>
      </c>
      <c r="G17" s="626" t="s">
        <v>41</v>
      </c>
      <c r="H17" s="626" t="s">
        <v>42</v>
      </c>
      <c r="J17" s="153" t="s">
        <v>43</v>
      </c>
      <c r="M17" s="628">
        <v>1</v>
      </c>
    </row>
    <row r="18" spans="1:17" s="153" customFormat="1" x14ac:dyDescent="0.2">
      <c r="A18" s="316"/>
      <c r="B18" s="153" t="s">
        <v>44</v>
      </c>
      <c r="C18" s="628">
        <v>1</v>
      </c>
      <c r="E18" s="153" t="s">
        <v>45</v>
      </c>
      <c r="F18" s="208">
        <v>3500</v>
      </c>
      <c r="G18" s="208">
        <v>1750</v>
      </c>
      <c r="H18" s="627">
        <v>0.1</v>
      </c>
      <c r="J18" s="153" t="s">
        <v>46</v>
      </c>
      <c r="M18" s="628">
        <v>0.2</v>
      </c>
    </row>
    <row r="19" spans="1:17" s="153" customFormat="1" x14ac:dyDescent="0.2">
      <c r="A19" s="316"/>
      <c r="B19" s="153" t="s">
        <v>47</v>
      </c>
      <c r="C19" s="629">
        <v>4.4999999999999998E-2</v>
      </c>
      <c r="E19" s="153" t="s">
        <v>48</v>
      </c>
      <c r="F19" s="208">
        <v>4500</v>
      </c>
      <c r="G19" s="208">
        <v>1650</v>
      </c>
      <c r="H19" s="627">
        <v>7.4999999999999997E-2</v>
      </c>
      <c r="J19" s="153" t="s">
        <v>49</v>
      </c>
      <c r="M19" s="628">
        <v>0.3</v>
      </c>
    </row>
    <row r="20" spans="1:17" s="153" customFormat="1" x14ac:dyDescent="0.2">
      <c r="A20" s="316"/>
      <c r="B20" s="153" t="s">
        <v>50</v>
      </c>
      <c r="C20" s="630">
        <f>10000/39</f>
        <v>256.41025641025641</v>
      </c>
      <c r="E20" s="153" t="s">
        <v>51</v>
      </c>
      <c r="F20" s="208">
        <v>2500</v>
      </c>
      <c r="G20" s="208">
        <v>1850</v>
      </c>
      <c r="H20" s="627">
        <v>7.4999999999999997E-2</v>
      </c>
    </row>
    <row r="21" spans="1:17" s="153" customFormat="1" x14ac:dyDescent="0.2">
      <c r="A21" s="316"/>
    </row>
    <row r="22" spans="1:17" x14ac:dyDescent="0.2">
      <c r="C22" s="241"/>
      <c r="M22" s="456"/>
    </row>
    <row r="23" spans="1:17" x14ac:dyDescent="0.2">
      <c r="B23" s="188" t="s">
        <v>52</v>
      </c>
      <c r="C23" s="189"/>
      <c r="D23" s="189"/>
      <c r="E23" s="189"/>
      <c r="F23" s="189"/>
      <c r="G23" s="189"/>
      <c r="H23" s="189"/>
      <c r="I23" s="189"/>
      <c r="J23" s="189"/>
      <c r="K23" s="189"/>
      <c r="L23" s="189"/>
      <c r="M23" s="189"/>
      <c r="N23" s="189"/>
      <c r="O23" s="189"/>
      <c r="P23" s="189"/>
      <c r="Q23" s="189"/>
    </row>
    <row r="25" spans="1:17" x14ac:dyDescent="0.2">
      <c r="B25" s="326" t="s">
        <v>53</v>
      </c>
      <c r="C25" s="300"/>
      <c r="E25" s="326" t="s">
        <v>54</v>
      </c>
      <c r="F25" s="300"/>
      <c r="G25" s="300"/>
      <c r="H25" s="300"/>
      <c r="I25" s="300"/>
      <c r="K25" s="240" t="s">
        <v>55</v>
      </c>
      <c r="L25" s="240"/>
      <c r="M25" s="240"/>
      <c r="N25" s="240"/>
    </row>
    <row r="26" spans="1:17" x14ac:dyDescent="0.2">
      <c r="B26" s="294" t="s">
        <v>56</v>
      </c>
      <c r="C26" s="207">
        <v>46053</v>
      </c>
      <c r="F26" s="242" t="s">
        <v>57</v>
      </c>
      <c r="G26" s="242" t="s">
        <v>58</v>
      </c>
      <c r="H26" s="242" t="s">
        <v>51</v>
      </c>
      <c r="I26" s="242" t="s">
        <v>59</v>
      </c>
      <c r="K26" s="187" t="s">
        <v>44</v>
      </c>
      <c r="N26" s="244">
        <f>'Returns A+H'!L14</f>
        <v>1</v>
      </c>
    </row>
    <row r="27" spans="1:17" x14ac:dyDescent="0.2">
      <c r="B27" s="166" t="s">
        <v>60</v>
      </c>
      <c r="C27" s="196">
        <v>15000</v>
      </c>
      <c r="E27" s="294" t="s">
        <v>61</v>
      </c>
      <c r="F27" s="631">
        <v>20</v>
      </c>
      <c r="G27" s="631">
        <v>24</v>
      </c>
      <c r="H27" s="631">
        <v>24</v>
      </c>
      <c r="I27" s="631">
        <v>12</v>
      </c>
      <c r="K27" s="166" t="s">
        <v>50</v>
      </c>
      <c r="N27" s="241">
        <f>'Proforma Resi'!C269</f>
        <v>256</v>
      </c>
    </row>
    <row r="28" spans="1:17" x14ac:dyDescent="0.2">
      <c r="B28" s="190" t="s">
        <v>62</v>
      </c>
      <c r="C28" s="301">
        <v>0.03</v>
      </c>
      <c r="E28" s="294" t="s">
        <v>63</v>
      </c>
      <c r="F28" s="631">
        <v>500</v>
      </c>
      <c r="G28" s="631">
        <v>750</v>
      </c>
      <c r="H28" s="631">
        <v>1250</v>
      </c>
      <c r="I28" s="631">
        <v>625</v>
      </c>
    </row>
    <row r="29" spans="1:17" x14ac:dyDescent="0.2">
      <c r="B29" s="190" t="s">
        <v>64</v>
      </c>
      <c r="C29" s="204">
        <v>0</v>
      </c>
      <c r="E29" s="187" t="s">
        <v>65</v>
      </c>
      <c r="F29" s="632">
        <v>0</v>
      </c>
      <c r="G29" s="632">
        <v>2500</v>
      </c>
      <c r="H29" s="632">
        <v>2250</v>
      </c>
      <c r="I29" s="632">
        <v>0</v>
      </c>
    </row>
    <row r="30" spans="1:17" x14ac:dyDescent="0.2">
      <c r="B30" s="190" t="s">
        <v>66</v>
      </c>
      <c r="C30" s="198">
        <v>7</v>
      </c>
      <c r="E30" s="294" t="s">
        <v>67</v>
      </c>
      <c r="F30" s="416">
        <v>1175</v>
      </c>
      <c r="G30" s="416">
        <v>1800</v>
      </c>
      <c r="H30" s="416">
        <v>3125</v>
      </c>
      <c r="I30" s="416">
        <v>850</v>
      </c>
    </row>
    <row r="31" spans="1:17" x14ac:dyDescent="0.2">
      <c r="B31" s="190" t="s">
        <v>68</v>
      </c>
      <c r="C31" s="301">
        <v>6.5000000000000002E-2</v>
      </c>
      <c r="E31" s="187" t="s">
        <v>69</v>
      </c>
      <c r="F31" s="157">
        <f>F28*F29</f>
        <v>0</v>
      </c>
      <c r="G31" s="157">
        <f>G28*G29</f>
        <v>1875000</v>
      </c>
      <c r="H31" s="157">
        <f>H28*H29</f>
        <v>2812500</v>
      </c>
      <c r="I31" s="157">
        <f>I28*I29</f>
        <v>0</v>
      </c>
    </row>
    <row r="32" spans="1:17" x14ac:dyDescent="0.2">
      <c r="B32" t="s">
        <v>70</v>
      </c>
      <c r="C32" s="324">
        <v>0.05</v>
      </c>
      <c r="D32" s="325"/>
      <c r="E32" s="187" t="s">
        <v>71</v>
      </c>
      <c r="F32" s="633">
        <v>0.05</v>
      </c>
      <c r="G32" s="633">
        <v>0.1</v>
      </c>
      <c r="H32" s="633">
        <v>0.1</v>
      </c>
      <c r="I32" s="633">
        <v>0.05</v>
      </c>
    </row>
    <row r="33" spans="2:79" x14ac:dyDescent="0.2">
      <c r="B33" s="294" t="s">
        <v>72</v>
      </c>
      <c r="C33" s="214">
        <v>132</v>
      </c>
      <c r="D33" s="325"/>
      <c r="E33" s="187" t="s">
        <v>73</v>
      </c>
      <c r="F33" s="633">
        <v>0</v>
      </c>
      <c r="G33" s="765">
        <f>5/6</f>
        <v>0.83333333333333337</v>
      </c>
      <c r="H33" s="633">
        <v>1</v>
      </c>
      <c r="I33" s="633">
        <v>0</v>
      </c>
    </row>
    <row r="34" spans="2:79" x14ac:dyDescent="0.2">
      <c r="B34" s="294" t="s">
        <v>74</v>
      </c>
      <c r="C34" s="396">
        <v>0.03</v>
      </c>
      <c r="D34" s="325"/>
      <c r="F34" s="488"/>
      <c r="G34" s="244"/>
      <c r="BJ34" s="153"/>
      <c r="BK34" s="153"/>
      <c r="BL34" s="153"/>
      <c r="BM34" s="153"/>
      <c r="BN34" s="153"/>
      <c r="BO34" s="153"/>
      <c r="BP34" s="153"/>
      <c r="BQ34" s="153"/>
      <c r="BR34" s="153"/>
      <c r="BS34" s="153"/>
      <c r="BT34" s="153"/>
      <c r="BU34" s="153"/>
      <c r="BV34" s="153"/>
      <c r="BW34" s="153"/>
      <c r="BX34" s="153"/>
      <c r="BY34" s="153"/>
      <c r="BZ34" s="153"/>
      <c r="CA34" s="153"/>
    </row>
    <row r="35" spans="2:79" x14ac:dyDescent="0.2">
      <c r="B35" s="294" t="s">
        <v>75</v>
      </c>
      <c r="C35" s="208">
        <v>365</v>
      </c>
      <c r="D35" s="325"/>
      <c r="F35" s="244"/>
      <c r="G35" s="244"/>
      <c r="H35" s="664"/>
      <c r="BJ35" s="211"/>
      <c r="BK35" s="211"/>
      <c r="BL35" s="211"/>
      <c r="BM35" s="211"/>
      <c r="BN35" s="211"/>
      <c r="BO35" s="211"/>
      <c r="BP35" s="211"/>
      <c r="BQ35" s="211"/>
      <c r="BR35" s="211"/>
      <c r="BS35" s="211"/>
      <c r="BT35" s="211"/>
      <c r="BU35" s="211"/>
      <c r="BV35" s="211"/>
      <c r="BW35" s="211"/>
      <c r="BX35" s="211"/>
      <c r="BY35" s="211"/>
      <c r="BZ35" s="211"/>
      <c r="CA35" s="211"/>
    </row>
    <row r="36" spans="2:79" x14ac:dyDescent="0.2">
      <c r="B36" s="294" t="s">
        <v>76</v>
      </c>
      <c r="C36" s="209">
        <f>35%-F33*15%</f>
        <v>0.35</v>
      </c>
      <c r="D36" s="325"/>
      <c r="F36" s="244"/>
      <c r="G36" s="244"/>
      <c r="BJ36" s="211"/>
      <c r="BK36" s="211"/>
      <c r="BL36" s="210"/>
      <c r="BM36" s="210"/>
      <c r="BN36" s="210"/>
      <c r="BO36" s="210"/>
      <c r="BP36" s="210"/>
      <c r="BQ36" s="210"/>
      <c r="BR36" s="210"/>
      <c r="BS36" s="210"/>
      <c r="BT36" s="210"/>
      <c r="BU36" s="210"/>
      <c r="BV36" s="210"/>
      <c r="BW36" s="210"/>
      <c r="BX36" s="210"/>
      <c r="BY36" s="210"/>
      <c r="BZ36" s="210"/>
      <c r="CA36" s="210"/>
    </row>
    <row r="37" spans="2:79" x14ac:dyDescent="0.2">
      <c r="B37" s="294" t="s">
        <v>77</v>
      </c>
      <c r="C37" s="396">
        <v>0.5</v>
      </c>
      <c r="D37" s="325"/>
      <c r="F37" s="244"/>
      <c r="G37" s="244"/>
      <c r="BJ37" s="210"/>
      <c r="BK37" s="210"/>
      <c r="BL37" s="157"/>
      <c r="BM37" s="157"/>
      <c r="BN37" s="157"/>
      <c r="BO37" s="157"/>
      <c r="BP37" s="157"/>
      <c r="BQ37" s="157"/>
      <c r="BR37" s="157"/>
      <c r="BS37" s="157"/>
      <c r="BT37" s="157"/>
      <c r="BU37" s="157"/>
      <c r="BV37" s="157"/>
      <c r="BW37" s="157"/>
      <c r="BX37" s="157"/>
      <c r="BY37" s="157"/>
      <c r="BZ37" s="157"/>
      <c r="CA37" s="157"/>
    </row>
    <row r="38" spans="2:79" x14ac:dyDescent="0.2">
      <c r="B38" s="294"/>
      <c r="C38" s="214"/>
      <c r="D38" s="325"/>
      <c r="E38" s="154"/>
      <c r="F38" s="397">
        <v>1</v>
      </c>
      <c r="G38" s="397">
        <v>2</v>
      </c>
      <c r="H38" s="397">
        <v>3</v>
      </c>
      <c r="I38" s="397">
        <v>4</v>
      </c>
      <c r="J38" s="397">
        <v>5</v>
      </c>
      <c r="K38" s="397">
        <v>6</v>
      </c>
      <c r="L38" s="397">
        <v>7</v>
      </c>
      <c r="M38" s="397">
        <v>8</v>
      </c>
      <c r="N38" s="397">
        <v>9</v>
      </c>
      <c r="O38" s="397">
        <v>10</v>
      </c>
      <c r="P38" s="397">
        <v>11</v>
      </c>
      <c r="Q38" s="397">
        <v>12</v>
      </c>
      <c r="BJ38" s="157"/>
      <c r="BK38" s="157"/>
      <c r="BL38" s="157"/>
      <c r="BM38" s="157"/>
      <c r="BN38" s="157"/>
      <c r="BO38" s="157"/>
      <c r="BP38" s="157"/>
      <c r="BQ38" s="157"/>
      <c r="BR38" s="157"/>
      <c r="BS38" s="157"/>
      <c r="BT38" s="157"/>
      <c r="BU38" s="157"/>
      <c r="BV38" s="157"/>
      <c r="BW38" s="157"/>
      <c r="BX38" s="157"/>
      <c r="BY38" s="157"/>
      <c r="BZ38" s="157"/>
      <c r="CA38" s="157"/>
    </row>
    <row r="39" spans="2:79" x14ac:dyDescent="0.2">
      <c r="B39" s="295" t="s">
        <v>78</v>
      </c>
      <c r="C39" s="206"/>
      <c r="D39" s="325"/>
      <c r="F39" s="399">
        <v>44562</v>
      </c>
      <c r="G39" s="399">
        <f t="shared" ref="G39:O39" si="2">F39+31</f>
        <v>44593</v>
      </c>
      <c r="H39" s="399">
        <f t="shared" si="2"/>
        <v>44624</v>
      </c>
      <c r="I39" s="399">
        <f t="shared" si="2"/>
        <v>44655</v>
      </c>
      <c r="J39" s="399">
        <f t="shared" si="2"/>
        <v>44686</v>
      </c>
      <c r="K39" s="399">
        <f t="shared" si="2"/>
        <v>44717</v>
      </c>
      <c r="L39" s="399">
        <f t="shared" si="2"/>
        <v>44748</v>
      </c>
      <c r="M39" s="399">
        <f t="shared" si="2"/>
        <v>44779</v>
      </c>
      <c r="N39" s="399">
        <f t="shared" si="2"/>
        <v>44810</v>
      </c>
      <c r="O39" s="399">
        <f t="shared" si="2"/>
        <v>44841</v>
      </c>
      <c r="P39" s="399">
        <f>O39+31</f>
        <v>44872</v>
      </c>
      <c r="Q39" s="399">
        <f>P39+31</f>
        <v>44903</v>
      </c>
      <c r="R39" s="398" t="s">
        <v>79</v>
      </c>
      <c r="BJ39" s="157"/>
      <c r="BK39" s="157"/>
      <c r="BL39" s="157"/>
      <c r="BM39" s="157"/>
      <c r="BN39" s="157"/>
      <c r="BO39" s="157"/>
      <c r="BP39" s="157"/>
      <c r="BQ39" s="157"/>
      <c r="BR39" s="157"/>
      <c r="BS39" s="157"/>
      <c r="BT39" s="157"/>
      <c r="BU39" s="157"/>
      <c r="BV39" s="157"/>
      <c r="BW39" s="157"/>
      <c r="BX39" s="157"/>
      <c r="BY39" s="157"/>
      <c r="BZ39" s="157"/>
      <c r="CA39" s="157"/>
    </row>
    <row r="40" spans="2:79" x14ac:dyDescent="0.2">
      <c r="B40" s="294" t="s">
        <v>56</v>
      </c>
      <c r="C40" s="207">
        <v>46753</v>
      </c>
      <c r="D40" s="325"/>
      <c r="E40" s="155" t="s">
        <v>80</v>
      </c>
      <c r="F40" s="201">
        <v>0.75</v>
      </c>
      <c r="G40" s="201">
        <v>0.75</v>
      </c>
      <c r="H40" s="201">
        <v>0.65</v>
      </c>
      <c r="I40" s="201">
        <v>0.3</v>
      </c>
      <c r="J40" s="201">
        <v>0.3</v>
      </c>
      <c r="K40" s="201">
        <v>0.55000000000000004</v>
      </c>
      <c r="L40" s="201">
        <v>0.65</v>
      </c>
      <c r="M40" s="201">
        <v>0.55000000000000004</v>
      </c>
      <c r="N40" s="201">
        <v>0.5</v>
      </c>
      <c r="O40" s="201">
        <v>0.3</v>
      </c>
      <c r="P40" s="201">
        <v>0.2</v>
      </c>
      <c r="Q40" s="201">
        <v>0.55000000000000004</v>
      </c>
      <c r="R40" s="808">
        <f>AVERAGE(F40:Q40)</f>
        <v>0.50416666666666665</v>
      </c>
      <c r="BJ40" s="157"/>
      <c r="BK40" s="157"/>
      <c r="BL40" s="153"/>
      <c r="BM40" s="153"/>
      <c r="BN40" s="153"/>
      <c r="BO40" s="153"/>
      <c r="BP40" s="153"/>
      <c r="BQ40" s="153"/>
      <c r="BR40" s="153"/>
      <c r="BS40" s="153"/>
      <c r="BT40" s="153"/>
      <c r="BU40" s="153"/>
      <c r="BV40" s="153"/>
      <c r="BW40" s="153"/>
      <c r="BX40" s="153"/>
      <c r="BY40" s="153"/>
      <c r="BZ40" s="153"/>
      <c r="CA40" s="153"/>
    </row>
    <row r="41" spans="2:79" x14ac:dyDescent="0.2">
      <c r="B41" s="294" t="s">
        <v>81</v>
      </c>
      <c r="C41" s="208">
        <f>(F27+G27)*C35</f>
        <v>16060</v>
      </c>
      <c r="D41" s="325"/>
      <c r="E41" s="155" t="s">
        <v>82</v>
      </c>
      <c r="F41" s="201">
        <v>0.25</v>
      </c>
      <c r="G41" s="201">
        <v>0.25</v>
      </c>
      <c r="H41" s="201">
        <v>0.25</v>
      </c>
      <c r="I41" s="201">
        <v>0.5</v>
      </c>
      <c r="J41" s="201">
        <v>0.75</v>
      </c>
      <c r="K41" s="201">
        <v>1</v>
      </c>
      <c r="L41" s="201">
        <v>1</v>
      </c>
      <c r="M41" s="201">
        <v>1</v>
      </c>
      <c r="N41" s="201">
        <v>0.75</v>
      </c>
      <c r="O41" s="201">
        <v>0.5</v>
      </c>
      <c r="P41" s="201">
        <v>0.25</v>
      </c>
      <c r="Q41" s="201">
        <v>0.25</v>
      </c>
      <c r="R41" s="252">
        <f>AVERAGE(F41:Q41)</f>
        <v>0.5625</v>
      </c>
      <c r="BJ41" s="153"/>
      <c r="BK41" s="153"/>
    </row>
    <row r="42" spans="2:79" x14ac:dyDescent="0.2">
      <c r="B42" s="294" t="s">
        <v>83</v>
      </c>
      <c r="C42" s="208">
        <f>C41*R40</f>
        <v>8096.9166666666661</v>
      </c>
      <c r="D42" s="325"/>
      <c r="E42" s="494" t="s">
        <v>84</v>
      </c>
      <c r="F42" s="495">
        <f>IF(OR(F38&lt;MONTH($C$63),F38&gt;$C$64),0,F41)</f>
        <v>0.25</v>
      </c>
      <c r="G42" s="495">
        <f t="shared" ref="G42:O42" si="3">IF(OR(G38&lt;MONTH($C$63),G38&gt;$C$64),0,G41)</f>
        <v>0.25</v>
      </c>
      <c r="H42" s="495">
        <f t="shared" si="3"/>
        <v>0.25</v>
      </c>
      <c r="I42" s="495">
        <f t="shared" si="3"/>
        <v>0.5</v>
      </c>
      <c r="J42" s="495">
        <f t="shared" si="3"/>
        <v>0.75</v>
      </c>
      <c r="K42" s="495">
        <f t="shared" si="3"/>
        <v>1</v>
      </c>
      <c r="L42" s="495">
        <f t="shared" si="3"/>
        <v>1</v>
      </c>
      <c r="M42" s="495">
        <f t="shared" si="3"/>
        <v>1</v>
      </c>
      <c r="N42" s="495">
        <f t="shared" si="3"/>
        <v>0.75</v>
      </c>
      <c r="O42" s="495">
        <f t="shared" si="3"/>
        <v>0.5</v>
      </c>
      <c r="P42" s="495">
        <f>IF(OR(P38&lt;MONTH($C$63),P38&gt;$C$64),0,P41)</f>
        <v>0.25</v>
      </c>
      <c r="Q42" s="495">
        <f>IF(OR(Q38&lt;MONTH($C$63),Q38&gt;$C$64),0,Q41)</f>
        <v>0.25</v>
      </c>
      <c r="R42" s="496">
        <f>AVERAGE(F42:Q42)</f>
        <v>0.5625</v>
      </c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153"/>
      <c r="BD42" s="153"/>
      <c r="BE42" s="153"/>
      <c r="BF42" s="153"/>
      <c r="BG42" s="153"/>
      <c r="BH42" s="153"/>
    </row>
    <row r="43" spans="2:79" x14ac:dyDescent="0.2">
      <c r="B43" s="294" t="s">
        <v>85</v>
      </c>
      <c r="C43" s="209">
        <v>0.2</v>
      </c>
      <c r="D43" s="325"/>
      <c r="E43" s="251"/>
      <c r="G43" s="153"/>
      <c r="H43" s="153"/>
      <c r="I43" s="153"/>
      <c r="J43" s="153"/>
      <c r="K43" s="153"/>
      <c r="L43" s="153"/>
      <c r="M43" s="153"/>
      <c r="N43" s="153"/>
      <c r="O43" s="153"/>
      <c r="P43" s="153"/>
      <c r="Q43" s="153"/>
      <c r="AO43" s="211"/>
      <c r="AP43" s="153"/>
      <c r="AQ43" s="153"/>
      <c r="AR43" s="153"/>
      <c r="AS43" s="211"/>
      <c r="AT43" s="211"/>
      <c r="AU43" s="211"/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</row>
    <row r="44" spans="2:79" x14ac:dyDescent="0.2">
      <c r="B44" s="294" t="s">
        <v>86</v>
      </c>
      <c r="C44" s="209">
        <v>0.75</v>
      </c>
      <c r="D44" s="325"/>
      <c r="E44" s="325"/>
      <c r="F44" s="250">
        <v>1</v>
      </c>
      <c r="G44" s="250">
        <f>F44+1</f>
        <v>2</v>
      </c>
      <c r="H44" s="250">
        <f t="shared" ref="H44:O44" si="4">G44+1</f>
        <v>3</v>
      </c>
      <c r="I44" s="250">
        <f t="shared" si="4"/>
        <v>4</v>
      </c>
      <c r="J44" s="250">
        <f t="shared" si="4"/>
        <v>5</v>
      </c>
      <c r="K44" s="250">
        <f t="shared" si="4"/>
        <v>6</v>
      </c>
      <c r="L44" s="250">
        <f t="shared" si="4"/>
        <v>7</v>
      </c>
      <c r="M44" s="250">
        <f t="shared" si="4"/>
        <v>8</v>
      </c>
      <c r="N44" s="250">
        <f t="shared" si="4"/>
        <v>9</v>
      </c>
      <c r="O44" s="250">
        <f t="shared" si="4"/>
        <v>10</v>
      </c>
      <c r="P44" s="325"/>
      <c r="AO44" s="157"/>
      <c r="AP44" s="157"/>
      <c r="AQ44" s="157"/>
      <c r="AR44" s="157"/>
      <c r="AS44" s="157"/>
      <c r="AT44" s="157"/>
      <c r="AU44" s="157"/>
      <c r="AV44" s="157"/>
      <c r="AW44" s="157"/>
      <c r="AX44" s="157"/>
      <c r="AY44" s="157"/>
      <c r="AZ44" s="157"/>
      <c r="BA44" s="157"/>
      <c r="BB44" s="157"/>
      <c r="BC44" s="157"/>
      <c r="BD44" s="157"/>
      <c r="BE44" s="157"/>
      <c r="BF44" s="157"/>
      <c r="BG44" s="157"/>
      <c r="BH44" s="157"/>
    </row>
    <row r="45" spans="2:79" x14ac:dyDescent="0.2">
      <c r="D45" s="325"/>
      <c r="E45" s="250"/>
      <c r="F45" s="749">
        <f>EDATE(C5,12)</f>
        <v>46023</v>
      </c>
      <c r="G45" s="749">
        <f>EDATE(F45,12)</f>
        <v>46388</v>
      </c>
      <c r="H45" s="749">
        <f t="shared" ref="H45:O45" si="5">EDATE(G45,12)</f>
        <v>46753</v>
      </c>
      <c r="I45" s="749">
        <f t="shared" si="5"/>
        <v>47119</v>
      </c>
      <c r="J45" s="749">
        <f t="shared" si="5"/>
        <v>47484</v>
      </c>
      <c r="K45" s="749">
        <f t="shared" si="5"/>
        <v>47849</v>
      </c>
      <c r="L45" s="749">
        <f t="shared" si="5"/>
        <v>48214</v>
      </c>
      <c r="M45" s="749">
        <f t="shared" si="5"/>
        <v>48580</v>
      </c>
      <c r="N45" s="749">
        <f t="shared" si="5"/>
        <v>48945</v>
      </c>
      <c r="O45" s="749">
        <f t="shared" si="5"/>
        <v>49310</v>
      </c>
      <c r="P45" s="473" t="s">
        <v>87</v>
      </c>
      <c r="Q45" s="473" t="s">
        <v>88</v>
      </c>
      <c r="R45" s="153"/>
      <c r="S45" s="153"/>
      <c r="T45" s="153"/>
      <c r="U45" s="153"/>
      <c r="V45" s="153"/>
      <c r="W45" s="153"/>
      <c r="X45" s="153"/>
      <c r="Y45" s="153"/>
      <c r="Z45" s="153"/>
      <c r="AA45" s="153"/>
      <c r="AB45" s="153"/>
      <c r="AC45" s="153"/>
      <c r="AD45" s="153"/>
      <c r="AE45" s="153"/>
      <c r="AF45" s="153"/>
      <c r="AG45" s="153"/>
      <c r="AH45" s="153"/>
      <c r="AI45" s="153"/>
      <c r="AJ45" s="153"/>
      <c r="AK45" s="153"/>
      <c r="AL45" s="211"/>
      <c r="AM45" s="211"/>
      <c r="AN45" s="211"/>
      <c r="AO45" s="157"/>
      <c r="AP45" s="157"/>
      <c r="AQ45" s="157"/>
      <c r="AR45" s="157"/>
      <c r="AS45" s="157"/>
      <c r="AT45" s="157"/>
      <c r="AU45" s="157"/>
      <c r="AV45" s="157"/>
      <c r="AW45" s="157"/>
      <c r="AX45" s="157"/>
      <c r="AY45" s="157"/>
      <c r="AZ45" s="157"/>
      <c r="BA45" s="157"/>
      <c r="BB45" s="157"/>
      <c r="BC45" s="157"/>
      <c r="BD45" s="157"/>
      <c r="BE45" s="157"/>
      <c r="BF45" s="157"/>
      <c r="BG45" s="157"/>
      <c r="BH45" s="157"/>
    </row>
    <row r="46" spans="2:79" x14ac:dyDescent="0.2">
      <c r="B46" s="295" t="s">
        <v>89</v>
      </c>
      <c r="C46" s="206"/>
      <c r="D46" s="325"/>
      <c r="E46" s="155" t="s">
        <v>90</v>
      </c>
      <c r="F46" s="157">
        <f>Assumptions!$C$60</f>
        <v>50000</v>
      </c>
      <c r="G46" s="157">
        <f>F46*(1+$C$61)</f>
        <v>51500</v>
      </c>
      <c r="H46" s="157">
        <f t="shared" ref="H46:O46" si="6">G46*(1+$C$61)</f>
        <v>53045</v>
      </c>
      <c r="I46" s="157">
        <f t="shared" si="6"/>
        <v>54636.35</v>
      </c>
      <c r="J46" s="157">
        <f t="shared" si="6"/>
        <v>56275.440499999997</v>
      </c>
      <c r="K46" s="157">
        <f t="shared" si="6"/>
        <v>57963.703714999996</v>
      </c>
      <c r="L46" s="157">
        <f t="shared" si="6"/>
        <v>59702.614826450001</v>
      </c>
      <c r="M46" s="157">
        <f t="shared" si="6"/>
        <v>61493.693271243501</v>
      </c>
      <c r="N46" s="157">
        <f t="shared" si="6"/>
        <v>63338.504069380804</v>
      </c>
      <c r="O46" s="157">
        <f t="shared" si="6"/>
        <v>65238.659191462233</v>
      </c>
      <c r="P46" s="208"/>
      <c r="Q46" s="208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7"/>
      <c r="AF46" s="157"/>
      <c r="AG46" s="157"/>
      <c r="AH46" s="157"/>
      <c r="AI46" s="157"/>
      <c r="AJ46" s="157"/>
      <c r="AK46" s="157"/>
      <c r="AL46" s="157"/>
      <c r="AM46" s="157"/>
      <c r="AN46" s="157"/>
      <c r="AP46" s="157"/>
      <c r="AQ46" s="157"/>
      <c r="AR46" s="157"/>
      <c r="AS46" s="153"/>
      <c r="AT46" s="153"/>
      <c r="AU46" s="153"/>
      <c r="AV46" s="153"/>
      <c r="AW46" s="153"/>
      <c r="AX46" s="153"/>
      <c r="AY46" s="153"/>
      <c r="AZ46" s="153"/>
      <c r="BA46" s="153"/>
      <c r="BB46" s="153"/>
      <c r="BC46" s="153"/>
      <c r="BD46" s="153"/>
      <c r="BE46" s="153"/>
      <c r="BF46" s="153"/>
      <c r="BG46" s="153"/>
      <c r="BH46" s="153"/>
    </row>
    <row r="47" spans="2:79" x14ac:dyDescent="0.2">
      <c r="B47" s="294" t="s">
        <v>56</v>
      </c>
      <c r="C47" s="207">
        <v>46753</v>
      </c>
      <c r="D47" s="325"/>
      <c r="E47" s="155" t="s">
        <v>91</v>
      </c>
      <c r="F47" s="157">
        <f>Assumptions!$F$30</f>
        <v>1175</v>
      </c>
      <c r="G47" s="157">
        <f>F47*(1+$C$34)</f>
        <v>1210.25</v>
      </c>
      <c r="H47" s="157">
        <f t="shared" ref="H47:O49" si="7">G47*(1+$C$34)</f>
        <v>1246.5575000000001</v>
      </c>
      <c r="I47" s="157">
        <f t="shared" si="7"/>
        <v>1283.9542250000002</v>
      </c>
      <c r="J47" s="157">
        <f t="shared" si="7"/>
        <v>1322.4728517500002</v>
      </c>
      <c r="K47" s="157">
        <f t="shared" si="7"/>
        <v>1362.1470373025004</v>
      </c>
      <c r="L47" s="157">
        <f t="shared" si="7"/>
        <v>1403.0114484215756</v>
      </c>
      <c r="M47" s="157">
        <f t="shared" si="7"/>
        <v>1445.101791874223</v>
      </c>
      <c r="N47" s="157">
        <f t="shared" si="7"/>
        <v>1488.4548456304497</v>
      </c>
      <c r="O47" s="157">
        <f t="shared" si="7"/>
        <v>1533.1084909993631</v>
      </c>
      <c r="P47" s="208">
        <f>F27</f>
        <v>20</v>
      </c>
      <c r="Q47" s="208">
        <f>P47*F33</f>
        <v>0</v>
      </c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</row>
    <row r="48" spans="2:79" x14ac:dyDescent="0.2">
      <c r="B48" s="294" t="s">
        <v>81</v>
      </c>
      <c r="C48" s="208">
        <f>(F27+G27)*C35</f>
        <v>16060</v>
      </c>
      <c r="D48" s="325"/>
      <c r="E48" s="155" t="s">
        <v>92</v>
      </c>
      <c r="F48" s="157">
        <f>Assumptions!$G$30</f>
        <v>1800</v>
      </c>
      <c r="G48" s="157">
        <f>F48*(1+$C$34)</f>
        <v>1854</v>
      </c>
      <c r="H48" s="157">
        <f t="shared" si="7"/>
        <v>1909.6200000000001</v>
      </c>
      <c r="I48" s="157">
        <f t="shared" si="7"/>
        <v>1966.9086000000002</v>
      </c>
      <c r="J48" s="157">
        <f t="shared" si="7"/>
        <v>2025.9158580000003</v>
      </c>
      <c r="K48" s="157">
        <f t="shared" si="7"/>
        <v>2086.6933337400005</v>
      </c>
      <c r="L48" s="157">
        <f t="shared" si="7"/>
        <v>2149.2941337522007</v>
      </c>
      <c r="M48" s="157">
        <f t="shared" si="7"/>
        <v>2213.7729577647669</v>
      </c>
      <c r="N48" s="157">
        <f t="shared" si="7"/>
        <v>2280.1861464977101</v>
      </c>
      <c r="O48" s="157">
        <f t="shared" si="7"/>
        <v>2348.5917308926414</v>
      </c>
      <c r="P48" s="474">
        <f>G27</f>
        <v>24</v>
      </c>
      <c r="Q48" s="237">
        <f>P48*G33</f>
        <v>20</v>
      </c>
      <c r="AO48" s="153"/>
      <c r="AP48" s="153"/>
      <c r="AQ48" s="153"/>
      <c r="AR48" s="153"/>
    </row>
    <row r="49" spans="2:40" x14ac:dyDescent="0.2">
      <c r="B49" s="294" t="s">
        <v>83</v>
      </c>
      <c r="C49" s="208">
        <f>C48*R40</f>
        <v>8096.9166666666661</v>
      </c>
      <c r="D49" s="325"/>
      <c r="E49" s="155" t="s">
        <v>93</v>
      </c>
      <c r="F49" s="157">
        <f>Assumptions!$H$30</f>
        <v>3125</v>
      </c>
      <c r="G49" s="157">
        <f>F49*(1+$C$34)</f>
        <v>3218.75</v>
      </c>
      <c r="H49" s="157">
        <f t="shared" si="7"/>
        <v>3315.3125</v>
      </c>
      <c r="I49" s="157">
        <f t="shared" si="7"/>
        <v>3414.7718749999999</v>
      </c>
      <c r="J49" s="157">
        <f t="shared" si="7"/>
        <v>3517.2150312499998</v>
      </c>
      <c r="K49" s="157">
        <f t="shared" si="7"/>
        <v>3622.7314821874998</v>
      </c>
      <c r="L49" s="157">
        <f t="shared" si="7"/>
        <v>3731.413426653125</v>
      </c>
      <c r="M49" s="157">
        <f t="shared" si="7"/>
        <v>3843.3558294527188</v>
      </c>
      <c r="N49" s="157">
        <f t="shared" si="7"/>
        <v>3958.6565043363003</v>
      </c>
      <c r="O49" s="157">
        <f t="shared" si="7"/>
        <v>4077.4161994663896</v>
      </c>
      <c r="P49" s="237">
        <f>H27</f>
        <v>24</v>
      </c>
      <c r="Q49" s="237">
        <f>P49*H33</f>
        <v>24</v>
      </c>
    </row>
    <row r="50" spans="2:40" x14ac:dyDescent="0.2">
      <c r="B50" s="187" t="s">
        <v>94</v>
      </c>
      <c r="C50" s="244">
        <v>0.05</v>
      </c>
      <c r="E50" s="662" t="s">
        <v>95</v>
      </c>
      <c r="F50" s="299">
        <f>I30</f>
        <v>850</v>
      </c>
      <c r="G50" s="299">
        <f>F50*(1+$C$34)</f>
        <v>875.5</v>
      </c>
      <c r="H50" s="299">
        <f t="shared" ref="H50:O50" si="8">G50*(1+$C$34)</f>
        <v>901.76499999999999</v>
      </c>
      <c r="I50" s="299">
        <f t="shared" si="8"/>
        <v>928.81795</v>
      </c>
      <c r="J50" s="299">
        <f t="shared" si="8"/>
        <v>956.68248849999998</v>
      </c>
      <c r="K50" s="299">
        <f t="shared" si="8"/>
        <v>985.38296315499997</v>
      </c>
      <c r="L50" s="299">
        <f t="shared" si="8"/>
        <v>1014.94445204965</v>
      </c>
      <c r="M50" s="299">
        <f t="shared" si="8"/>
        <v>1045.3927856111395</v>
      </c>
      <c r="N50" s="299">
        <f t="shared" si="8"/>
        <v>1076.7545691794737</v>
      </c>
      <c r="O50" s="299">
        <f t="shared" si="8"/>
        <v>1109.0572062548579</v>
      </c>
      <c r="P50" s="663">
        <f>I27</f>
        <v>12</v>
      </c>
      <c r="Q50" s="663">
        <f>P50*I33</f>
        <v>0</v>
      </c>
    </row>
    <row r="51" spans="2:40" x14ac:dyDescent="0.2">
      <c r="C51" s="244"/>
      <c r="E51" s="155" t="s">
        <v>96</v>
      </c>
      <c r="F51" s="157">
        <f t="shared" ref="F51:O51" si="9">SUMPRODUCT(F47:F50,$P$47:$P$50,F56:F59)</f>
        <v>0</v>
      </c>
      <c r="G51" s="157">
        <f t="shared" si="9"/>
        <v>25338</v>
      </c>
      <c r="H51" s="157">
        <f t="shared" si="9"/>
        <v>26098.14</v>
      </c>
      <c r="I51" s="157">
        <f t="shared" si="9"/>
        <v>109272.70000000001</v>
      </c>
      <c r="J51" s="157">
        <f t="shared" si="9"/>
        <v>170964.78823900002</v>
      </c>
      <c r="K51" s="157">
        <f t="shared" si="9"/>
        <v>176093.73188617002</v>
      </c>
      <c r="L51" s="157">
        <f t="shared" si="9"/>
        <v>181376.54384275511</v>
      </c>
      <c r="M51" s="157">
        <f t="shared" si="9"/>
        <v>186817.84015803778</v>
      </c>
      <c r="N51" s="157">
        <f t="shared" si="9"/>
        <v>192422.37536277893</v>
      </c>
      <c r="O51" s="157">
        <f t="shared" si="9"/>
        <v>198195.04662366229</v>
      </c>
      <c r="P51" s="208">
        <f>SUM(P47:P50)</f>
        <v>80</v>
      </c>
      <c r="Q51" s="208">
        <f>SUM(Q47:Q50)</f>
        <v>44</v>
      </c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C51" s="153"/>
      <c r="AD51" s="153"/>
      <c r="AE51" s="153"/>
      <c r="AF51" s="153"/>
      <c r="AG51" s="153"/>
      <c r="AH51" s="153"/>
      <c r="AI51" s="153"/>
      <c r="AJ51" s="153"/>
      <c r="AK51" s="153"/>
      <c r="AL51" s="153"/>
      <c r="AM51" s="153"/>
      <c r="AN51" s="153"/>
    </row>
    <row r="52" spans="2:40" x14ac:dyDescent="0.2">
      <c r="B52" s="187" t="s">
        <v>97</v>
      </c>
      <c r="C52" s="244">
        <v>0.25</v>
      </c>
      <c r="E52" s="155" t="s">
        <v>98</v>
      </c>
      <c r="F52" s="157">
        <f>F48*$P48*F57</f>
        <v>0</v>
      </c>
      <c r="G52" s="157">
        <f t="shared" ref="G52:O52" si="10">G48*$P48*G57</f>
        <v>14832</v>
      </c>
      <c r="H52" s="157">
        <f t="shared" si="10"/>
        <v>15276.960000000001</v>
      </c>
      <c r="I52" s="157">
        <f t="shared" si="10"/>
        <v>31470.5376</v>
      </c>
      <c r="J52" s="157">
        <f t="shared" si="10"/>
        <v>48621.980592000007</v>
      </c>
      <c r="K52" s="157">
        <f t="shared" si="10"/>
        <v>50080.640009760013</v>
      </c>
      <c r="L52" s="157">
        <f t="shared" si="10"/>
        <v>51583.059210052816</v>
      </c>
      <c r="M52" s="157">
        <f t="shared" si="10"/>
        <v>53130.550986354407</v>
      </c>
      <c r="N52" s="157">
        <f t="shared" si="10"/>
        <v>54724.467515945042</v>
      </c>
      <c r="O52" s="157">
        <f t="shared" si="10"/>
        <v>56366.20154142339</v>
      </c>
      <c r="P52" s="325"/>
    </row>
    <row r="53" spans="2:40" x14ac:dyDescent="0.2">
      <c r="B53" s="294"/>
      <c r="C53" s="153"/>
      <c r="E53" s="155" t="s">
        <v>99</v>
      </c>
      <c r="F53" s="157">
        <f>F49*$P49*F58</f>
        <v>0</v>
      </c>
      <c r="G53" s="157">
        <f t="shared" ref="G53:O53" si="11">G49*$P49*G58</f>
        <v>0</v>
      </c>
      <c r="H53" s="157">
        <f t="shared" si="11"/>
        <v>0</v>
      </c>
      <c r="I53" s="157">
        <f t="shared" si="11"/>
        <v>40977.262499999997</v>
      </c>
      <c r="J53" s="157">
        <f t="shared" si="11"/>
        <v>84413.160749999995</v>
      </c>
      <c r="K53" s="157">
        <f t="shared" si="11"/>
        <v>86945.555572499987</v>
      </c>
      <c r="L53" s="157">
        <f t="shared" si="11"/>
        <v>89553.922239674997</v>
      </c>
      <c r="M53" s="157">
        <f t="shared" si="11"/>
        <v>92240.539906865248</v>
      </c>
      <c r="N53" s="157">
        <f t="shared" si="11"/>
        <v>95007.756104071203</v>
      </c>
      <c r="O53" s="157">
        <f t="shared" si="11"/>
        <v>97857.988787193346</v>
      </c>
      <c r="P53" s="325"/>
    </row>
    <row r="54" spans="2:40" x14ac:dyDescent="0.2">
      <c r="B54" s="295" t="s">
        <v>100</v>
      </c>
      <c r="C54" s="206"/>
      <c r="E54" s="15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325"/>
      <c r="Q54" s="325"/>
    </row>
    <row r="55" spans="2:40" x14ac:dyDescent="0.2">
      <c r="B55" s="294" t="s">
        <v>56</v>
      </c>
      <c r="C55" s="207">
        <v>46753</v>
      </c>
      <c r="E55" s="682" t="s">
        <v>101</v>
      </c>
      <c r="F55" s="487"/>
      <c r="H55" s="325"/>
      <c r="I55" s="325"/>
      <c r="J55" s="325"/>
      <c r="K55" s="325"/>
      <c r="L55" s="325"/>
      <c r="M55" s="325"/>
      <c r="N55" s="325"/>
      <c r="O55" s="325"/>
      <c r="P55" s="325"/>
      <c r="Q55" s="325"/>
    </row>
    <row r="56" spans="2:40" x14ac:dyDescent="0.2">
      <c r="B56" s="294" t="s">
        <v>81</v>
      </c>
      <c r="C56" s="208">
        <f>(F27+G27)*C35</f>
        <v>16060</v>
      </c>
      <c r="E56" s="440" t="s">
        <v>57</v>
      </c>
      <c r="F56" s="683">
        <v>0</v>
      </c>
      <c r="G56" s="683">
        <f>SUM('Proforma A+H'!$G6:H6)/'Proforma A+H'!$T6</f>
        <v>0</v>
      </c>
      <c r="H56" s="684">
        <v>0</v>
      </c>
      <c r="I56" s="683">
        <f>SUM('Proforma A+H'!$G6:J6)/'Proforma A+H'!$T6</f>
        <v>1</v>
      </c>
      <c r="J56" s="683">
        <f>SUM('Proforma A+H'!$G6:K6)/'Proforma A+H'!$T6</f>
        <v>1</v>
      </c>
      <c r="K56" s="683" cm="1">
        <f t="array" ref="K56">SUM('Proforma A+H'!$G6:K6/'Proforma A+H'!$T6)</f>
        <v>1</v>
      </c>
      <c r="L56" s="683" cm="1">
        <f t="array" ref="L56">SUM('Proforma A+H'!$G6:L6/'Proforma A+H'!$T6)</f>
        <v>1</v>
      </c>
      <c r="M56" s="683" cm="1">
        <f t="array" ref="M56">SUM('Proforma A+H'!$G6:M6/'Proforma A+H'!$T6)</f>
        <v>1</v>
      </c>
      <c r="N56" s="683" cm="1">
        <f t="array" ref="N56">SUM('Proforma A+H'!$G6:N6/'Proforma A+H'!$T6)</f>
        <v>1</v>
      </c>
      <c r="O56" s="683" cm="1">
        <f t="array" ref="O56">SUM('Proforma A+H'!$G6:O6/'Proforma A+H'!$T6)</f>
        <v>1</v>
      </c>
      <c r="P56" s="325"/>
      <c r="Q56" s="325"/>
    </row>
    <row r="57" spans="2:40" x14ac:dyDescent="0.2">
      <c r="B57" s="294" t="s">
        <v>83</v>
      </c>
      <c r="C57" s="208">
        <f>C56*R40</f>
        <v>8096.9166666666661</v>
      </c>
      <c r="E57" s="440" t="s">
        <v>58</v>
      </c>
      <c r="F57" s="683">
        <v>0</v>
      </c>
      <c r="G57" s="683">
        <f>SUM('Proforma A+H'!$G7:I7)/'Proforma A+H'!$T7</f>
        <v>0.33333333333333331</v>
      </c>
      <c r="H57" s="683">
        <f>SUM('Proforma A+H'!$G7:I7)/'Proforma A+H'!$T7</f>
        <v>0.33333333333333331</v>
      </c>
      <c r="I57" s="683">
        <f>SUM('Proforma A+H'!$G7:J7)/'Proforma A+H'!$T7</f>
        <v>0.66666666666666663</v>
      </c>
      <c r="J57" s="683">
        <f>SUM('Proforma A+H'!$G7:K7)/'Proforma A+H'!$T7</f>
        <v>1</v>
      </c>
      <c r="K57" s="683">
        <f>SUM('Proforma A+H'!$G7:L7)/'Proforma A+H'!$T7</f>
        <v>1</v>
      </c>
      <c r="L57" s="683">
        <f>SUM('Proforma A+H'!$G7:M7)/'Proforma A+H'!$T7</f>
        <v>1</v>
      </c>
      <c r="M57" s="683">
        <f>SUM('Proforma A+H'!$G7:N7)/'Proforma A+H'!$T7</f>
        <v>1</v>
      </c>
      <c r="N57" s="683">
        <f>SUM('Proforma A+H'!$G7:O7)/'Proforma A+H'!$T7</f>
        <v>1</v>
      </c>
      <c r="O57" s="683">
        <f>SUM('Proforma A+H'!$G7:P7)/'Proforma A+H'!$T7</f>
        <v>1</v>
      </c>
      <c r="P57" s="325"/>
      <c r="Q57" s="325"/>
    </row>
    <row r="58" spans="2:40" x14ac:dyDescent="0.2">
      <c r="B58" s="294" t="s">
        <v>102</v>
      </c>
      <c r="C58" s="209">
        <v>0.27</v>
      </c>
      <c r="E58" s="440" t="s">
        <v>51</v>
      </c>
      <c r="F58" s="683">
        <v>0</v>
      </c>
      <c r="G58" s="683">
        <f>SUM('Proforma A+H'!$G8:H8)/'Proforma A+H'!$T8</f>
        <v>0</v>
      </c>
      <c r="H58" s="683">
        <f>SUM('Proforma A+H'!$G8:I8)/'Proforma A+H'!$T8</f>
        <v>0</v>
      </c>
      <c r="I58" s="683">
        <f>SUM('Proforma A+H'!$G8:J8)/'Proforma A+H'!$T8</f>
        <v>0.5</v>
      </c>
      <c r="J58" s="683">
        <f>SUM('Proforma A+H'!$G8:K8)/'Proforma A+H'!$T8</f>
        <v>1</v>
      </c>
      <c r="K58" s="683">
        <f>SUM('Proforma A+H'!$G8:L8)/'Proforma A+H'!$T8</f>
        <v>1</v>
      </c>
      <c r="L58" s="683">
        <f>SUM('Proforma A+H'!$G8:M8)/'Proforma A+H'!$T8</f>
        <v>1</v>
      </c>
      <c r="M58" s="683">
        <f>SUM('Proforma A+H'!$G8:N8)/'Proforma A+H'!$T8</f>
        <v>1</v>
      </c>
      <c r="N58" s="683">
        <f>SUM('Proforma A+H'!$G8:O8)/'Proforma A+H'!$T8</f>
        <v>1</v>
      </c>
      <c r="O58" s="683">
        <f>SUM('Proforma A+H'!$G8:P8)/'Proforma A+H'!$T8</f>
        <v>1</v>
      </c>
      <c r="P58" s="325"/>
      <c r="Q58" s="325"/>
    </row>
    <row r="59" spans="2:40" x14ac:dyDescent="0.2">
      <c r="B59" s="294" t="s">
        <v>103</v>
      </c>
      <c r="C59" s="209">
        <v>0.9</v>
      </c>
      <c r="E59" s="440" t="s">
        <v>59</v>
      </c>
      <c r="F59" s="683">
        <v>0</v>
      </c>
      <c r="G59" s="683">
        <f>SUM('Proforma A+H'!$G9:H9)/'Proforma A+H'!$T9</f>
        <v>1</v>
      </c>
      <c r="H59" s="683">
        <f>SUM('Proforma A+H'!$G9:I9)/'Proforma A+H'!$T9</f>
        <v>1</v>
      </c>
      <c r="I59" s="683">
        <f>SUM('Proforma A+H'!$G9:J9)/'Proforma A+H'!$T9</f>
        <v>1</v>
      </c>
      <c r="J59" s="683">
        <f>SUM('Proforma A+H'!$G9:K9)/'Proforma A+H'!$T9</f>
        <v>1</v>
      </c>
      <c r="K59" s="683" cm="1">
        <f t="array" ref="K59">SUM('Proforma A+H'!$G9:K9/'Proforma A+H'!$T9)</f>
        <v>1</v>
      </c>
      <c r="L59" s="683" cm="1">
        <f t="array" ref="L59">SUM('Proforma A+H'!$G9:L9/'Proforma A+H'!$T9)</f>
        <v>1</v>
      </c>
      <c r="M59" s="683" cm="1">
        <f t="array" ref="M59">SUM('Proforma A+H'!$G9:M9/'Proforma A+H'!$T9)</f>
        <v>1</v>
      </c>
      <c r="N59" s="683" cm="1">
        <f t="array" ref="N59">SUM('Proforma A+H'!$G9:N9/'Proforma A+H'!$T9)</f>
        <v>1</v>
      </c>
      <c r="O59" s="683" cm="1">
        <f t="array" ref="O59">SUM('Proforma A+H'!$G9:O9/'Proforma A+H'!$T9)</f>
        <v>1</v>
      </c>
      <c r="P59" s="325"/>
      <c r="Q59" s="325"/>
    </row>
    <row r="60" spans="2:40" x14ac:dyDescent="0.2">
      <c r="B60" s="294" t="s">
        <v>104</v>
      </c>
      <c r="C60" s="157">
        <v>50000</v>
      </c>
      <c r="E60" s="187" t="s">
        <v>87</v>
      </c>
      <c r="F60" s="241">
        <f>SUMPRODUCT(F56:F59,$P47:$P50)</f>
        <v>0</v>
      </c>
      <c r="G60" s="241">
        <f t="shared" ref="G60:O60" si="12">SUMPRODUCT(G56:G59,$P47:$P50)</f>
        <v>20</v>
      </c>
      <c r="H60" s="241">
        <f t="shared" si="12"/>
        <v>20</v>
      </c>
      <c r="I60" s="241">
        <f t="shared" si="12"/>
        <v>60</v>
      </c>
      <c r="J60" s="241">
        <f t="shared" si="12"/>
        <v>80</v>
      </c>
      <c r="K60" s="241">
        <f t="shared" si="12"/>
        <v>80</v>
      </c>
      <c r="L60" s="241">
        <f t="shared" si="12"/>
        <v>80</v>
      </c>
      <c r="M60" s="241">
        <f t="shared" si="12"/>
        <v>80</v>
      </c>
      <c r="N60" s="241">
        <f t="shared" si="12"/>
        <v>80</v>
      </c>
      <c r="O60" s="241">
        <f t="shared" si="12"/>
        <v>80</v>
      </c>
      <c r="P60" s="325"/>
      <c r="Q60" s="325"/>
    </row>
    <row r="61" spans="2:40" x14ac:dyDescent="0.2">
      <c r="B61" s="294" t="s">
        <v>105</v>
      </c>
      <c r="C61" s="209">
        <v>0.03</v>
      </c>
      <c r="E61" s="664"/>
      <c r="H61" s="325"/>
      <c r="I61" s="325"/>
      <c r="J61" s="325"/>
      <c r="K61" s="325"/>
      <c r="L61" s="325"/>
      <c r="M61" s="325"/>
      <c r="N61" s="325"/>
      <c r="O61" s="325"/>
    </row>
    <row r="62" spans="2:40" x14ac:dyDescent="0.2">
      <c r="B62" s="294" t="s">
        <v>106</v>
      </c>
      <c r="C62" s="212">
        <v>1</v>
      </c>
      <c r="G62" s="664"/>
      <c r="H62" s="487"/>
      <c r="I62" s="487"/>
    </row>
    <row r="63" spans="2:40" x14ac:dyDescent="0.2">
      <c r="B63" s="294" t="s">
        <v>107</v>
      </c>
      <c r="C63" s="400">
        <v>47119</v>
      </c>
      <c r="I63" s="487"/>
    </row>
    <row r="64" spans="2:40" x14ac:dyDescent="0.2">
      <c r="B64" s="294" t="s">
        <v>108</v>
      </c>
      <c r="C64" s="400">
        <v>47483</v>
      </c>
      <c r="F64" s="664"/>
    </row>
    <row r="65" spans="2:6" x14ac:dyDescent="0.2">
      <c r="B65" s="294" t="s">
        <v>109</v>
      </c>
      <c r="C65" s="208" cm="1">
        <f t="array" aca="1" ref="C65" ca="1">IF(C62=1,SUMPRODUCT(--(WEEKDAY(ROW(INDIRECT(C63&amp;":"&amp;C64)),2)&gt;5)),C64-C63)</f>
        <v>104</v>
      </c>
    </row>
    <row r="66" spans="2:6" x14ac:dyDescent="0.2">
      <c r="B66" s="294" t="s">
        <v>110</v>
      </c>
      <c r="C66" s="213">
        <f>(YEAR(C64)-YEAR(C63))*12+(MONTH(C64)-MONTH(C63)+1)</f>
        <v>12</v>
      </c>
    </row>
    <row r="67" spans="2:6" x14ac:dyDescent="0.2">
      <c r="B67" s="294" t="s">
        <v>111</v>
      </c>
      <c r="C67" s="209">
        <v>0.1</v>
      </c>
    </row>
    <row r="68" spans="2:6" x14ac:dyDescent="0.2">
      <c r="B68" s="294" t="s">
        <v>112</v>
      </c>
      <c r="C68" s="157">
        <v>40000</v>
      </c>
    </row>
    <row r="70" spans="2:6" hidden="1" x14ac:dyDescent="0.2">
      <c r="B70" s="295" t="s">
        <v>113</v>
      </c>
      <c r="C70" s="206"/>
      <c r="E70" s="294"/>
      <c r="F70" s="153"/>
    </row>
    <row r="71" spans="2:6" hidden="1" x14ac:dyDescent="0.2">
      <c r="B71" s="294" t="s">
        <v>114</v>
      </c>
      <c r="C71" s="209">
        <v>0</v>
      </c>
      <c r="E71" s="296" t="s">
        <v>115</v>
      </c>
    </row>
    <row r="72" spans="2:6" hidden="1" x14ac:dyDescent="0.2">
      <c r="B72" s="294" t="s">
        <v>116</v>
      </c>
      <c r="C72" s="209">
        <v>0</v>
      </c>
      <c r="E72" s="296"/>
    </row>
    <row r="73" spans="2:6" hidden="1" x14ac:dyDescent="0.2">
      <c r="B73" s="294"/>
      <c r="C73" s="153"/>
    </row>
    <row r="74" spans="2:6" x14ac:dyDescent="0.2">
      <c r="B74" s="295" t="s">
        <v>117</v>
      </c>
      <c r="C74" s="206"/>
      <c r="E74" s="792" t="s">
        <v>118</v>
      </c>
    </row>
    <row r="75" spans="2:6" x14ac:dyDescent="0.2">
      <c r="B75" s="294" t="s">
        <v>119</v>
      </c>
      <c r="C75" s="627">
        <v>0.09</v>
      </c>
      <c r="E75" s="794">
        <v>0.16</v>
      </c>
    </row>
    <row r="76" spans="2:6" x14ac:dyDescent="0.2">
      <c r="B76" s="294" t="s">
        <v>120</v>
      </c>
      <c r="C76" s="627">
        <v>0.05</v>
      </c>
      <c r="E76" s="794">
        <v>0.06</v>
      </c>
    </row>
    <row r="77" spans="2:6" x14ac:dyDescent="0.2">
      <c r="B77" s="294" t="s">
        <v>121</v>
      </c>
      <c r="C77" s="627">
        <v>0.08</v>
      </c>
      <c r="E77" s="794">
        <v>0.09</v>
      </c>
    </row>
    <row r="78" spans="2:6" x14ac:dyDescent="0.2">
      <c r="B78" s="187" t="s">
        <v>122</v>
      </c>
      <c r="C78" s="245">
        <v>2.5000000000000001E-2</v>
      </c>
      <c r="E78" s="794">
        <v>2.5000000000000001E-2</v>
      </c>
    </row>
    <row r="79" spans="2:6" x14ac:dyDescent="0.2">
      <c r="C79" s="245"/>
      <c r="E79" s="794"/>
    </row>
    <row r="80" spans="2:6" x14ac:dyDescent="0.2">
      <c r="B80" s="295" t="s">
        <v>123</v>
      </c>
      <c r="C80" s="206"/>
      <c r="E80" s="791"/>
    </row>
    <row r="81" spans="2:374" x14ac:dyDescent="0.2">
      <c r="B81" s="187" t="s">
        <v>124</v>
      </c>
      <c r="C81" s="245">
        <v>2.5000000000000001E-2</v>
      </c>
      <c r="E81" s="794">
        <v>2.5000000000000001E-2</v>
      </c>
    </row>
    <row r="82" spans="2:374" x14ac:dyDescent="0.2">
      <c r="B82" s="294" t="s">
        <v>125</v>
      </c>
      <c r="C82" s="627">
        <v>0.01</v>
      </c>
      <c r="E82" s="794">
        <v>1.4999999999999999E-2</v>
      </c>
    </row>
    <row r="83" spans="2:374" x14ac:dyDescent="0.2">
      <c r="B83" s="187" t="s">
        <v>126</v>
      </c>
      <c r="C83" s="237">
        <v>25000</v>
      </c>
      <c r="E83" s="793">
        <v>25000</v>
      </c>
    </row>
    <row r="84" spans="2:374" x14ac:dyDescent="0.2">
      <c r="B84" s="187" t="s">
        <v>127</v>
      </c>
      <c r="C84" s="245">
        <v>0.01</v>
      </c>
      <c r="E84" s="794">
        <v>1.6E-2</v>
      </c>
    </row>
    <row r="91" spans="2:374" x14ac:dyDescent="0.2">
      <c r="NJ91" s="187">
        <v>0</v>
      </c>
    </row>
    <row r="105" spans="2:3" x14ac:dyDescent="0.2">
      <c r="B105" s="187">
        <v>1</v>
      </c>
      <c r="C105" s="187" t="s">
        <v>128</v>
      </c>
    </row>
    <row r="106" spans="2:3" x14ac:dyDescent="0.2">
      <c r="B106" s="187">
        <v>0</v>
      </c>
      <c r="C106" s="187" t="s">
        <v>129</v>
      </c>
    </row>
  </sheetData>
  <dataValidations disablePrompts="1" count="1">
    <dataValidation type="list" allowBlank="1" showInputMessage="1" showErrorMessage="1" sqref="C62" xr:uid="{C1B26E00-4A36-4F2E-8F80-4674B931889C}">
      <formula1>$B$105:$B$106</formula1>
    </dataValidation>
  </dataValidations>
  <pageMargins left="0.7" right="0.7" top="0.75" bottom="0.75" header="0.3" footer="0.3"/>
  <pageSetup orientation="portrait" verticalDpi="597" r:id="rId1"/>
  <headerFooter>
    <oddHeader>&amp;L&amp;"Calibri"&amp;11&amp;K000000 PERSONAL/NONWORK // EXTERNAL&amp;1#_x000D_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2E8AD-4A6A-4962-892B-8D7D4CD0A19A}">
  <sheetPr codeName="Sheet6">
    <tabColor theme="4"/>
  </sheetPr>
  <dimension ref="B4:P95"/>
  <sheetViews>
    <sheetView showGridLines="0" topLeftCell="F68" zoomScaleNormal="100" workbookViewId="0">
      <selection activeCell="H101" sqref="H101"/>
    </sheetView>
  </sheetViews>
  <sheetFormatPr baseColWidth="10" defaultColWidth="8.83203125" defaultRowHeight="16" x14ac:dyDescent="0.2"/>
  <cols>
    <col min="1" max="1" width="7.6640625" customWidth="1"/>
    <col min="2" max="2" width="46.1640625" customWidth="1"/>
    <col min="3" max="3" width="18.1640625" bestFit="1" customWidth="1"/>
    <col min="4" max="4" width="11.6640625" customWidth="1"/>
    <col min="5" max="5" width="12.6640625" bestFit="1" customWidth="1"/>
    <col min="6" max="7" width="13.6640625" bestFit="1" customWidth="1"/>
    <col min="8" max="8" width="46.1640625" customWidth="1"/>
    <col min="9" max="9" width="18.1640625" bestFit="1" customWidth="1"/>
    <col min="10" max="10" width="12.6640625" customWidth="1"/>
    <col min="11" max="11" width="12.6640625" bestFit="1" customWidth="1"/>
    <col min="12" max="12" width="13.6640625" bestFit="1" customWidth="1"/>
    <col min="14" max="14" width="46.1640625" customWidth="1"/>
    <col min="15" max="15" width="18.1640625" bestFit="1" customWidth="1"/>
    <col min="16" max="16" width="13.6640625" bestFit="1" customWidth="1"/>
  </cols>
  <sheetData>
    <row r="4" spans="2:16" ht="19" x14ac:dyDescent="0.25">
      <c r="B4" s="42" t="s">
        <v>130</v>
      </c>
      <c r="H4" s="42" t="str">
        <f>B4</f>
        <v>CLARENDON - OVERALL DEVELOPMENT: PROFORMA</v>
      </c>
      <c r="N4" s="42" t="s">
        <v>130</v>
      </c>
    </row>
    <row r="5" spans="2:16" x14ac:dyDescent="0.2">
      <c r="B5" s="3" t="s">
        <v>131</v>
      </c>
      <c r="H5" s="3" t="s">
        <v>132</v>
      </c>
      <c r="N5" s="3" t="s">
        <v>133</v>
      </c>
    </row>
    <row r="6" spans="2:16" x14ac:dyDescent="0.2">
      <c r="B6" s="36" t="s">
        <v>134</v>
      </c>
      <c r="C6" s="37" t="s">
        <v>135</v>
      </c>
      <c r="D6" s="38" t="s">
        <v>136</v>
      </c>
      <c r="E6" s="38" t="s">
        <v>137</v>
      </c>
      <c r="F6" s="38" t="s">
        <v>138</v>
      </c>
      <c r="H6" s="36" t="str">
        <f>B6</f>
        <v>SOURCES</v>
      </c>
      <c r="I6" s="37" t="s">
        <v>139</v>
      </c>
      <c r="J6" s="766" t="s">
        <v>140</v>
      </c>
      <c r="K6" s="38"/>
      <c r="L6" s="38" t="s">
        <v>138</v>
      </c>
      <c r="N6" s="36"/>
      <c r="O6" s="37" t="s">
        <v>135</v>
      </c>
      <c r="P6" s="38" t="s">
        <v>138</v>
      </c>
    </row>
    <row r="7" spans="2:16" x14ac:dyDescent="0.2">
      <c r="B7" s="12" t="str">
        <f t="shared" ref="B7:B8" si="0">B41</f>
        <v>MTN ORIGINS - PURSUIT CAPITAL</v>
      </c>
      <c r="C7" s="11">
        <f>C41+C74</f>
        <v>1500000</v>
      </c>
      <c r="D7" s="70"/>
      <c r="E7" s="11"/>
      <c r="F7" s="18">
        <f t="shared" ref="F7:F12" ca="1" si="1">C7/$C$18</f>
        <v>1.6951519156126777E-3</v>
      </c>
      <c r="H7" s="12" t="str">
        <f>B7</f>
        <v>MTN ORIGINS - PURSUIT CAPITAL</v>
      </c>
      <c r="I7" s="11">
        <f>C7</f>
        <v>1500000</v>
      </c>
      <c r="J7" s="11">
        <f>C7</f>
        <v>1500000</v>
      </c>
      <c r="K7" s="11"/>
      <c r="L7" s="18">
        <f ca="1">SUM(J7:K7)/$J$18</f>
        <v>6.5615801879918972E-3</v>
      </c>
      <c r="N7" s="12" t="str">
        <f>B13</f>
        <v>LAND SALE TO AMENITY</v>
      </c>
      <c r="O7" s="11">
        <f>O40</f>
        <v>15000000</v>
      </c>
      <c r="P7" s="18">
        <f t="shared" ref="P7:P12" ca="1" si="2">O7/$O$12</f>
        <v>2.2856342686178407E-2</v>
      </c>
    </row>
    <row r="8" spans="2:16" x14ac:dyDescent="0.2">
      <c r="B8" s="12" t="str">
        <f t="shared" si="0"/>
        <v>JV - EQUITY CAPITAL</v>
      </c>
      <c r="C8" s="11">
        <f>C42+C75</f>
        <v>10000000</v>
      </c>
      <c r="D8" s="70"/>
      <c r="E8" s="11"/>
      <c r="F8" s="18">
        <f t="shared" ca="1" si="1"/>
        <v>1.1301012770751186E-2</v>
      </c>
      <c r="H8" s="12" t="str">
        <f>B8</f>
        <v>JV - EQUITY CAPITAL</v>
      </c>
      <c r="I8" s="11">
        <f>C8</f>
        <v>10000000</v>
      </c>
      <c r="J8" s="11">
        <f>C8</f>
        <v>10000000</v>
      </c>
      <c r="K8" s="11"/>
      <c r="L8" s="18">
        <f t="shared" ref="L8:L13" ca="1" si="3">SUM(J8:K8)/$J$18</f>
        <v>4.3743867919945986E-2</v>
      </c>
      <c r="N8" s="12" t="str">
        <f>B14</f>
        <v>PRESALE REVENUES</v>
      </c>
      <c r="O8" s="11">
        <f>O41</f>
        <v>81794306.25</v>
      </c>
      <c r="P8" s="18">
        <f t="shared" ca="1" si="2"/>
        <v>0.12463457956188162</v>
      </c>
    </row>
    <row r="9" spans="2:16" x14ac:dyDescent="0.2">
      <c r="B9" s="12" t="str">
        <f t="shared" ref="B9" si="4">B43</f>
        <v>JV BRIDGE LOAN</v>
      </c>
      <c r="C9" s="11">
        <f>C43</f>
        <v>15000000</v>
      </c>
      <c r="D9" s="70"/>
      <c r="E9" s="11"/>
      <c r="F9" s="18">
        <f t="shared" ca="1" si="1"/>
        <v>1.6951519156126776E-2</v>
      </c>
      <c r="H9" s="12" t="str">
        <f t="shared" ref="H9:H10" si="5">B9</f>
        <v>JV BRIDGE LOAN</v>
      </c>
      <c r="I9" s="11">
        <f t="shared" ref="I9:I10" si="6">C9</f>
        <v>15000000</v>
      </c>
      <c r="J9" s="70"/>
      <c r="K9" s="11"/>
      <c r="L9" s="18">
        <f t="shared" ca="1" si="3"/>
        <v>0</v>
      </c>
      <c r="N9" s="12" t="str">
        <f>B15</f>
        <v>UNIT SALES</v>
      </c>
      <c r="O9" s="11">
        <f>O42+O73</f>
        <v>409674437.50000006</v>
      </c>
      <c r="P9" s="18">
        <f t="shared" ca="1" si="2"/>
        <v>0.62424395555115864</v>
      </c>
    </row>
    <row r="10" spans="2:16" x14ac:dyDescent="0.2">
      <c r="B10" s="12" t="str">
        <f t="shared" ref="B10:B15" si="7">B44</f>
        <v>SELLER FINANCE</v>
      </c>
      <c r="C10" s="11">
        <f>C44</f>
        <v>0</v>
      </c>
      <c r="D10" s="70"/>
      <c r="E10" s="11"/>
      <c r="F10" s="18">
        <f t="shared" ca="1" si="1"/>
        <v>0</v>
      </c>
      <c r="H10" s="12" t="str">
        <f t="shared" si="5"/>
        <v>SELLER FINANCE</v>
      </c>
      <c r="I10" s="11">
        <f t="shared" si="6"/>
        <v>0</v>
      </c>
      <c r="J10" s="70"/>
      <c r="K10" s="11"/>
      <c r="L10" s="18">
        <f t="shared" ca="1" si="3"/>
        <v>0</v>
      </c>
      <c r="N10" s="12" t="str">
        <f>B16</f>
        <v>TOTAL NET OPERATING INCOME (NOI)</v>
      </c>
      <c r="O10" s="11">
        <f ca="1">O72</f>
        <v>30073583.476249766</v>
      </c>
      <c r="P10" s="18">
        <f t="shared" ca="1" si="2"/>
        <v>4.5824808648970476E-2</v>
      </c>
    </row>
    <row r="11" spans="2:16" x14ac:dyDescent="0.2">
      <c r="B11" s="12" t="str">
        <f t="shared" si="7"/>
        <v>EB5 - MEZZ DEBT</v>
      </c>
      <c r="C11" s="11">
        <f>C45+C76</f>
        <v>49600000</v>
      </c>
      <c r="D11" s="70"/>
      <c r="E11" s="11"/>
      <c r="F11" s="18">
        <f t="shared" ca="1" si="1"/>
        <v>5.6053023342925876E-2</v>
      </c>
      <c r="H11" s="12" t="str">
        <f t="shared" ref="H11:H13" si="8">B11</f>
        <v>EB5 - MEZZ DEBT</v>
      </c>
      <c r="I11" s="11"/>
      <c r="J11" s="11">
        <f>C11</f>
        <v>49600000</v>
      </c>
      <c r="K11" s="70"/>
      <c r="L11" s="18">
        <f t="shared" ca="1" si="3"/>
        <v>0.21696958488293208</v>
      </c>
      <c r="N11" s="21" t="str">
        <f>B17</f>
        <v>HOTEL SALE PROCEEDS / DISPOSITION</v>
      </c>
      <c r="O11" s="22">
        <f ca="1">O74</f>
        <v>119730647.23657788</v>
      </c>
      <c r="P11" s="39">
        <f t="shared" ca="1" si="2"/>
        <v>0.18244031355181092</v>
      </c>
    </row>
    <row r="12" spans="2:16" x14ac:dyDescent="0.2">
      <c r="B12" s="12" t="str">
        <f t="shared" si="7"/>
        <v>DEV LOAN</v>
      </c>
      <c r="C12" s="11">
        <f ca="1">C46+C77</f>
        <v>152503470.05209109</v>
      </c>
      <c r="D12" s="70"/>
      <c r="E12" s="11"/>
      <c r="F12" s="18">
        <f t="shared" ca="1" si="1"/>
        <v>0.17234436626425523</v>
      </c>
      <c r="H12" s="12" t="str">
        <f t="shared" si="8"/>
        <v>DEV LOAN</v>
      </c>
      <c r="I12" s="11"/>
      <c r="J12" s="11">
        <f ca="1">C12</f>
        <v>152503470.05209109</v>
      </c>
      <c r="K12" s="11"/>
      <c r="L12" s="18">
        <f t="shared" ca="1" si="3"/>
        <v>0.66710916512921103</v>
      </c>
      <c r="N12" s="23" t="s">
        <v>141</v>
      </c>
      <c r="O12" s="24">
        <f ca="1">SUM(O7:O11)</f>
        <v>656272974.46282768</v>
      </c>
      <c r="P12" s="18">
        <f t="shared" ca="1" si="2"/>
        <v>1</v>
      </c>
    </row>
    <row r="13" spans="2:16" x14ac:dyDescent="0.2">
      <c r="B13" s="12" t="str">
        <f t="shared" si="7"/>
        <v>LAND SALE TO AMENITY</v>
      </c>
      <c r="C13" s="11">
        <f>C47</f>
        <v>15000000</v>
      </c>
      <c r="D13" s="70"/>
      <c r="E13" s="11"/>
      <c r="F13" s="18">
        <f t="shared" ref="F13:F18" ca="1" si="9">C13/$C$18</f>
        <v>1.6951519156126776E-2</v>
      </c>
      <c r="H13" s="12" t="str">
        <f t="shared" si="8"/>
        <v>LAND SALE TO AMENITY</v>
      </c>
      <c r="I13" s="11"/>
      <c r="J13" s="11">
        <f>C13</f>
        <v>15000000</v>
      </c>
      <c r="K13" s="11"/>
      <c r="L13" s="18">
        <f t="shared" ca="1" si="3"/>
        <v>6.5615801879918972E-2</v>
      </c>
    </row>
    <row r="14" spans="2:16" x14ac:dyDescent="0.2">
      <c r="B14" s="12" t="str">
        <f t="shared" si="7"/>
        <v>PRESALE REVENUES</v>
      </c>
      <c r="C14" s="11">
        <f>C48</f>
        <v>81794306.25</v>
      </c>
      <c r="D14" s="70"/>
      <c r="E14" s="11"/>
      <c r="F14" s="18">
        <f t="shared" ca="1" si="9"/>
        <v>9.2435849950598351E-2</v>
      </c>
      <c r="H14" s="12"/>
      <c r="I14" s="11"/>
      <c r="J14" s="70"/>
      <c r="K14" s="11"/>
      <c r="L14" s="18"/>
      <c r="N14" s="12" t="str">
        <f t="shared" ref="N14:O18" si="10">B21</f>
        <v>LAND &amp; PROJECT ACQUISITION</v>
      </c>
      <c r="O14" s="11">
        <f t="shared" si="10"/>
        <v>33977750</v>
      </c>
      <c r="P14" s="18">
        <f ca="1">O14/$O$25</f>
        <v>7.0704278593097664E-2</v>
      </c>
    </row>
    <row r="15" spans="2:16" x14ac:dyDescent="0.2">
      <c r="B15" s="12" t="str">
        <f t="shared" si="7"/>
        <v>UNIT SALES</v>
      </c>
      <c r="C15" s="11">
        <f>C49+C79</f>
        <v>409674437.50000006</v>
      </c>
      <c r="D15" s="70"/>
      <c r="E15" s="11"/>
      <c r="F15" s="18">
        <f t="shared" ca="1" si="9"/>
        <v>0.46297360500378087</v>
      </c>
      <c r="H15" s="12"/>
      <c r="I15" s="11"/>
      <c r="J15" s="70"/>
      <c r="K15" s="11"/>
      <c r="L15" s="18"/>
      <c r="N15" s="12" t="str">
        <f t="shared" si="10"/>
        <v>HARD COSTS - SITE, RESTORATION &amp; INFRASTRUCTURE</v>
      </c>
      <c r="O15" s="11">
        <f t="shared" si="10"/>
        <v>20734436.819661461</v>
      </c>
      <c r="P15" s="18">
        <f t="shared" ref="P15:P25" ca="1" si="11">O15/$O$25</f>
        <v>4.3146276530032911E-2</v>
      </c>
    </row>
    <row r="16" spans="2:16" x14ac:dyDescent="0.2">
      <c r="B16" s="12" t="str">
        <f>B78</f>
        <v>TOTAL NET OPERATING INCOME (NOI)</v>
      </c>
      <c r="C16" s="11">
        <f ca="1">C78</f>
        <v>30073583.476249766</v>
      </c>
      <c r="D16" s="70"/>
      <c r="E16" s="11"/>
      <c r="F16" s="18">
        <f t="shared" ca="1" si="9"/>
        <v>3.3986195092735046E-2</v>
      </c>
      <c r="H16" s="12"/>
      <c r="I16" s="11"/>
      <c r="J16" s="70"/>
      <c r="K16" s="11"/>
      <c r="L16" s="18"/>
      <c r="N16" s="12" t="str">
        <f t="shared" si="10"/>
        <v>TOTAL VERTICAL CONSTRUCTION COSTS</v>
      </c>
      <c r="O16" s="11">
        <f t="shared" si="10"/>
        <v>272320049.57617188</v>
      </c>
      <c r="P16" s="18">
        <f t="shared" ca="1" si="11"/>
        <v>0.56667061979441913</v>
      </c>
    </row>
    <row r="17" spans="2:16" x14ac:dyDescent="0.2">
      <c r="B17" s="21" t="str">
        <f>B80</f>
        <v>HOTEL SALE PROCEEDS / DISPOSITION</v>
      </c>
      <c r="C17" s="22">
        <f ca="1">C80</f>
        <v>119730647.23657788</v>
      </c>
      <c r="D17" s="70"/>
      <c r="E17" s="22"/>
      <c r="F17" s="39">
        <f t="shared" ca="1" si="9"/>
        <v>0.13530775734708717</v>
      </c>
      <c r="H17" s="21"/>
      <c r="I17" s="22"/>
      <c r="J17" s="22"/>
      <c r="K17" s="22"/>
      <c r="L17" s="39"/>
      <c r="N17" s="12" t="str">
        <f t="shared" si="10"/>
        <v>SOFT COSTS PROFESSIONALS - FINAL ENTITLEMENTS &amp; SITE INFRA.</v>
      </c>
      <c r="O17" s="11">
        <f t="shared" si="10"/>
        <v>13754560.279999999</v>
      </c>
      <c r="P17" s="18">
        <f t="shared" ca="1" si="11"/>
        <v>2.8621855831026933E-2</v>
      </c>
    </row>
    <row r="18" spans="2:16" x14ac:dyDescent="0.2">
      <c r="B18" s="23" t="s">
        <v>142</v>
      </c>
      <c r="C18" s="24">
        <f ca="1">SUM(C7:C17)</f>
        <v>884876444.5149188</v>
      </c>
      <c r="D18" s="89"/>
      <c r="E18" s="11"/>
      <c r="F18" s="18">
        <f t="shared" ca="1" si="9"/>
        <v>1</v>
      </c>
      <c r="H18" s="23" t="str">
        <f>B18</f>
        <v>TOTAL SOURCES</v>
      </c>
      <c r="I18" s="24">
        <f>SUM(I7:I17)</f>
        <v>26500000</v>
      </c>
      <c r="J18" s="24">
        <f ca="1">SUM(J7:J17)</f>
        <v>228603470.05209109</v>
      </c>
      <c r="K18" s="11"/>
      <c r="L18" s="18">
        <f t="shared" ref="L18" si="12">I18/$I$18</f>
        <v>1</v>
      </c>
      <c r="N18" s="12" t="str">
        <f t="shared" si="10"/>
        <v>SOFT COSTS PROFESSIONALS - HOMES</v>
      </c>
      <c r="O18" s="11">
        <f t="shared" si="10"/>
        <v>6141551.5625</v>
      </c>
      <c r="P18" s="18">
        <f t="shared" ca="1" si="11"/>
        <v>1.2779950781581307E-2</v>
      </c>
    </row>
    <row r="19" spans="2:16" x14ac:dyDescent="0.2">
      <c r="B19" s="12"/>
      <c r="C19" s="11"/>
      <c r="D19" s="11"/>
      <c r="E19" s="11"/>
      <c r="F19" s="40"/>
      <c r="H19" s="12"/>
      <c r="I19" s="11"/>
      <c r="J19" s="11"/>
      <c r="K19" s="11"/>
      <c r="L19" s="40"/>
      <c r="N19" s="12" t="str">
        <f>B26</f>
        <v>SOFT COSTS - SALES</v>
      </c>
      <c r="O19" s="11">
        <f ca="1">C26-O24</f>
        <v>1050000</v>
      </c>
      <c r="P19" s="18">
        <f t="shared" ca="1" si="11"/>
        <v>2.1849443392441392E-3</v>
      </c>
    </row>
    <row r="20" spans="2:16" x14ac:dyDescent="0.2">
      <c r="B20" s="36" t="s">
        <v>143</v>
      </c>
      <c r="C20" s="37" t="s">
        <v>135</v>
      </c>
      <c r="D20" s="38" t="s">
        <v>136</v>
      </c>
      <c r="E20" s="38" t="s">
        <v>137</v>
      </c>
      <c r="F20" s="41" t="s">
        <v>138</v>
      </c>
      <c r="H20" s="36" t="str">
        <f>B20</f>
        <v>USES</v>
      </c>
      <c r="I20" s="37" t="s">
        <v>135</v>
      </c>
      <c r="J20" s="38"/>
      <c r="K20" s="38"/>
      <c r="L20" s="41" t="s">
        <v>138</v>
      </c>
      <c r="N20" s="12" t="str">
        <f>B27</f>
        <v>SOFT COSTS - TAXES AND INSURANCE</v>
      </c>
      <c r="O20" s="11">
        <f>C27</f>
        <v>1694303.4700488781</v>
      </c>
      <c r="P20" s="18">
        <f t="shared" ca="1" si="11"/>
        <v>3.5256750246142835E-3</v>
      </c>
    </row>
    <row r="21" spans="2:16" x14ac:dyDescent="0.2">
      <c r="B21" s="12" t="str">
        <f>B53</f>
        <v>LAND &amp; PROJECT ACQUISITION</v>
      </c>
      <c r="C21" s="11">
        <f>C53+C84</f>
        <v>33977750</v>
      </c>
      <c r="D21" s="70"/>
      <c r="E21" s="11"/>
      <c r="F21" s="18">
        <f t="shared" ref="F21:F34" ca="1" si="13">C21/$C$33</f>
        <v>3.8398298667139105E-2</v>
      </c>
      <c r="H21" s="12" t="str">
        <f>B21</f>
        <v>LAND &amp; PROJECT ACQUISITION</v>
      </c>
      <c r="I21" s="11">
        <f>I53+I84</f>
        <v>33977750</v>
      </c>
      <c r="J21" s="70"/>
      <c r="K21" s="11"/>
      <c r="L21" s="18">
        <f t="shared" ref="L21:L33" ca="1" si="14">I21/$I$33</f>
        <v>0.14863182082169446</v>
      </c>
      <c r="N21" s="12" t="str">
        <f>B28</f>
        <v>SOFT COSTS - MUNICIPALITY FEES</v>
      </c>
      <c r="O21" s="11">
        <f>C28</f>
        <v>2334431.8250000002</v>
      </c>
      <c r="P21" s="18">
        <f t="shared" ca="1" si="11"/>
        <v>4.8577177156048715E-3</v>
      </c>
    </row>
    <row r="22" spans="2:16" x14ac:dyDescent="0.2">
      <c r="B22" s="12" t="str">
        <f>B54</f>
        <v>HARD COSTS - SITE, RESTORATION &amp; INFRASTRUCTURE</v>
      </c>
      <c r="C22" s="11">
        <f>C54+C86</f>
        <v>20734436.819661461</v>
      </c>
      <c r="D22" s="70"/>
      <c r="E22" s="11"/>
      <c r="F22" s="18">
        <f t="shared" ca="1" si="13"/>
        <v>2.3432013529332777E-2</v>
      </c>
      <c r="H22" s="12" t="str">
        <f t="shared" ref="H22:H30" si="15">B22</f>
        <v>HARD COSTS - SITE, RESTORATION &amp; INFRASTRUCTURE</v>
      </c>
      <c r="I22" s="11">
        <f>I54+I86</f>
        <v>13660311.197916668</v>
      </c>
      <c r="J22" s="70"/>
      <c r="K22" s="11"/>
      <c r="L22" s="18">
        <f t="shared" ca="1" si="14"/>
        <v>5.9755484878702581E-2</v>
      </c>
      <c r="N22" s="12" t="str">
        <f>B29</f>
        <v xml:space="preserve">DEVELOPMENT FEES </v>
      </c>
      <c r="O22" s="11">
        <f ca="1">C29</f>
        <v>13294099.225704867</v>
      </c>
      <c r="P22" s="18">
        <f t="shared" ca="1" si="11"/>
        <v>2.7663682712908325E-2</v>
      </c>
    </row>
    <row r="23" spans="2:16" x14ac:dyDescent="0.2">
      <c r="B23" s="12" t="str">
        <f>B85</f>
        <v>TOTAL VERTICAL CONSTRUCTION COSTS</v>
      </c>
      <c r="C23" s="11">
        <f>C55+C85</f>
        <v>272320049.57617188</v>
      </c>
      <c r="D23" s="70"/>
      <c r="E23" s="11"/>
      <c r="F23" s="18">
        <f t="shared" ca="1" si="13"/>
        <v>0.30774923579919145</v>
      </c>
      <c r="H23" s="12" t="str">
        <f t="shared" si="15"/>
        <v>TOTAL VERTICAL CONSTRUCTION COSTS</v>
      </c>
      <c r="I23" s="11">
        <f>I55+I85</f>
        <v>100964071.875</v>
      </c>
      <c r="J23" s="70"/>
      <c r="K23" s="11"/>
      <c r="L23" s="18">
        <f t="shared" ca="1" si="14"/>
        <v>0.44165590247599329</v>
      </c>
      <c r="N23" s="12" t="s">
        <v>144</v>
      </c>
      <c r="O23" s="11">
        <f ca="1">O54+O85</f>
        <v>87157632.331633493</v>
      </c>
      <c r="P23" s="18">
        <f t="shared" ca="1" si="11"/>
        <v>0.18136626227135672</v>
      </c>
    </row>
    <row r="24" spans="2:16" x14ac:dyDescent="0.2">
      <c r="B24" s="12" t="str">
        <f t="shared" ref="B24:B30" si="16">B56</f>
        <v>SOFT COSTS PROFESSIONALS - FINAL ENTITLEMENTS &amp; SITE INFRA.</v>
      </c>
      <c r="C24" s="11">
        <f>C56+C87</f>
        <v>13754560.279999999</v>
      </c>
      <c r="D24" s="70"/>
      <c r="E24" s="11"/>
      <c r="F24" s="18">
        <f t="shared" ca="1" si="13"/>
        <v>1.5544046138034699E-2</v>
      </c>
      <c r="H24" s="12" t="str">
        <f t="shared" si="15"/>
        <v>SOFT COSTS PROFESSIONALS - FINAL ENTITLEMENTS &amp; SITE INFRA.</v>
      </c>
      <c r="I24" s="11">
        <f>I56+I87</f>
        <v>11260235.699999999</v>
      </c>
      <c r="J24" s="70"/>
      <c r="K24" s="11"/>
      <c r="L24" s="18">
        <f t="shared" ca="1" si="14"/>
        <v>4.9256626320826051E-2</v>
      </c>
      <c r="N24" s="21" t="s">
        <v>145</v>
      </c>
      <c r="O24" s="22">
        <f ca="1">O55+O86</f>
        <v>28102625.830578893</v>
      </c>
      <c r="P24" s="39">
        <f t="shared" ca="1" si="11"/>
        <v>5.8478736406113785E-2</v>
      </c>
    </row>
    <row r="25" spans="2:16" x14ac:dyDescent="0.2">
      <c r="B25" s="12" t="str">
        <f t="shared" si="16"/>
        <v>SOFT COSTS PROFESSIONALS - HOMES</v>
      </c>
      <c r="C25" s="11">
        <f t="shared" ref="C25" si="17">C57</f>
        <v>6141551.5625</v>
      </c>
      <c r="D25" s="70"/>
      <c r="E25" s="11"/>
      <c r="F25" s="18">
        <f t="shared" ca="1" si="13"/>
        <v>6.9405752640039394E-3</v>
      </c>
      <c r="H25" s="12" t="str">
        <f t="shared" si="15"/>
        <v>SOFT COSTS PROFESSIONALS - HOMES</v>
      </c>
      <c r="I25" s="11">
        <f t="shared" ref="I25" si="18">I57</f>
        <v>1162353.125</v>
      </c>
      <c r="J25" s="70"/>
      <c r="K25" s="11"/>
      <c r="L25" s="18">
        <f t="shared" ca="1" si="14"/>
        <v>5.0845821576336464E-3</v>
      </c>
      <c r="N25" s="23" t="s">
        <v>146</v>
      </c>
      <c r="O25" s="24">
        <f ca="1">SUM(O14:O24)</f>
        <v>480561440.92129946</v>
      </c>
      <c r="P25" s="18">
        <f t="shared" ca="1" si="11"/>
        <v>1</v>
      </c>
    </row>
    <row r="26" spans="2:16" x14ac:dyDescent="0.2">
      <c r="B26" s="12" t="str">
        <f t="shared" si="16"/>
        <v>SOFT COSTS - SALES</v>
      </c>
      <c r="C26" s="11">
        <f ca="1">C58+C88</f>
        <v>29152625.830578893</v>
      </c>
      <c r="D26" s="70"/>
      <c r="E26" s="11"/>
      <c r="F26" s="18">
        <f t="shared" ca="1" si="13"/>
        <v>3.2945419681230298E-2</v>
      </c>
      <c r="H26" s="12" t="str">
        <f t="shared" si="15"/>
        <v>SOFT COSTS - SALES</v>
      </c>
      <c r="I26" s="11">
        <f>I58+I88</f>
        <v>1375506.25</v>
      </c>
      <c r="J26" s="70"/>
      <c r="K26" s="11"/>
      <c r="L26" s="18">
        <f t="shared" ca="1" si="14"/>
        <v>6.0169963723060204E-3</v>
      </c>
    </row>
    <row r="27" spans="2:16" x14ac:dyDescent="0.2">
      <c r="B27" s="12" t="str">
        <f t="shared" si="16"/>
        <v>SOFT COSTS - TAXES AND INSURANCE</v>
      </c>
      <c r="C27" s="11">
        <f>C59+C89</f>
        <v>1694303.4700488781</v>
      </c>
      <c r="D27" s="70"/>
      <c r="E27" s="11"/>
      <c r="F27" s="18">
        <f t="shared" ca="1" si="13"/>
        <v>1.9147345152550419E-3</v>
      </c>
      <c r="H27" s="12" t="str">
        <f t="shared" si="15"/>
        <v>SOFT COSTS - TAXES AND INSURANCE</v>
      </c>
      <c r="I27" s="11">
        <f>I59+I89</f>
        <v>686279.0299779647</v>
      </c>
      <c r="J27" s="70"/>
      <c r="K27" s="11"/>
      <c r="L27" s="18">
        <f t="shared" ca="1" si="14"/>
        <v>3.002049924358474E-3</v>
      </c>
      <c r="N27" s="52" t="s">
        <v>147</v>
      </c>
      <c r="O27" s="51">
        <f ca="1">O12-O25</f>
        <v>175711533.54152822</v>
      </c>
      <c r="P27" s="757">
        <f ca="1">O27/O12</f>
        <v>0.26774153496927339</v>
      </c>
    </row>
    <row r="28" spans="2:16" x14ac:dyDescent="0.2">
      <c r="B28" s="12" t="str">
        <f t="shared" si="16"/>
        <v>SOFT COSTS - MUNICIPALITY FEES</v>
      </c>
      <c r="C28" s="11">
        <f>C60+C90</f>
        <v>2334431.8250000002</v>
      </c>
      <c r="D28" s="70"/>
      <c r="E28" s="11"/>
      <c r="F28" s="18">
        <f t="shared" ca="1" si="13"/>
        <v>2.6381443866772998E-3</v>
      </c>
      <c r="H28" s="12" t="str">
        <f t="shared" si="15"/>
        <v>SOFT COSTS - MUNICIPALITY FEES</v>
      </c>
      <c r="I28" s="11">
        <f>I60+I90</f>
        <v>473003.66927083331</v>
      </c>
      <c r="J28" s="70"/>
      <c r="K28" s="11"/>
      <c r="L28" s="18">
        <f t="shared" ca="1" si="14"/>
        <v>2.0691010034233144E-3</v>
      </c>
    </row>
    <row r="29" spans="2:16" x14ac:dyDescent="0.2">
      <c r="B29" s="12" t="str">
        <f t="shared" si="16"/>
        <v xml:space="preserve">DEVELOPMENT FEES </v>
      </c>
      <c r="C29" s="11">
        <f ca="1">C61+C91</f>
        <v>13294099.225704867</v>
      </c>
      <c r="D29" s="70"/>
      <c r="E29" s="11"/>
      <c r="F29" s="18">
        <f t="shared" ca="1" si="13"/>
        <v>1.5023678512532414E-2</v>
      </c>
      <c r="H29" s="12" t="str">
        <f t="shared" si="15"/>
        <v xml:space="preserve">DEVELOPMENT FEES </v>
      </c>
      <c r="I29" s="11">
        <f>I61+I91</f>
        <v>6049088.4851249997</v>
      </c>
      <c r="J29" s="70"/>
      <c r="K29" s="11"/>
      <c r="L29" s="18">
        <f t="shared" ca="1" si="14"/>
        <v>2.6461052772937411E-2</v>
      </c>
    </row>
    <row r="30" spans="2:16" x14ac:dyDescent="0.2">
      <c r="B30" s="12" t="str">
        <f t="shared" si="16"/>
        <v>FINANCING COSTS &amp; REPAYMENT</v>
      </c>
      <c r="C30" s="11">
        <f ca="1">C62+C92</f>
        <v>260178636.75926459</v>
      </c>
      <c r="D30" s="70"/>
      <c r="E30" s="11"/>
      <c r="F30" s="18">
        <f t="shared" ca="1" si="13"/>
        <v>0.29402820966930832</v>
      </c>
      <c r="H30" s="12" t="str">
        <f t="shared" si="15"/>
        <v>FINANCING COSTS &amp; REPAYMENT</v>
      </c>
      <c r="I30" s="11">
        <f ca="1">I62+I92</f>
        <v>49683121.767225146</v>
      </c>
      <c r="J30" s="70"/>
      <c r="K30" s="11"/>
      <c r="L30" s="18">
        <f t="shared" ca="1" si="14"/>
        <v>0.21733319164360901</v>
      </c>
    </row>
    <row r="31" spans="2:16" x14ac:dyDescent="0.2">
      <c r="B31" s="12" t="s">
        <v>148</v>
      </c>
      <c r="C31" s="11">
        <f t="shared" ref="C31:C32" si="19">C63+C93</f>
        <v>49600000</v>
      </c>
      <c r="D31" s="70"/>
      <c r="E31" s="11"/>
      <c r="F31" s="18">
        <f t="shared" ca="1" si="13"/>
        <v>5.6053023342925876E-2</v>
      </c>
      <c r="H31" s="12"/>
      <c r="I31" s="11"/>
      <c r="J31" s="70"/>
      <c r="K31" s="11"/>
      <c r="L31" s="18">
        <f t="shared" ca="1" si="14"/>
        <v>0</v>
      </c>
    </row>
    <row r="32" spans="2:16" x14ac:dyDescent="0.2">
      <c r="B32" s="21" t="str">
        <f t="shared" ref="B32" si="20">B64</f>
        <v>DISTRIBUTIONS</v>
      </c>
      <c r="C32" s="22">
        <f t="shared" ca="1" si="19"/>
        <v>181693999.16598827</v>
      </c>
      <c r="D32" s="70"/>
      <c r="E32" s="22"/>
      <c r="F32" s="39">
        <f t="shared" ca="1" si="13"/>
        <v>0.20533262049436887</v>
      </c>
      <c r="H32" s="21" t="s">
        <v>149</v>
      </c>
      <c r="I32" s="22">
        <f ca="1">I33-SUM(I21:I30)</f>
        <v>9311748.9525754452</v>
      </c>
      <c r="J32" s="70"/>
      <c r="K32" s="22"/>
      <c r="L32" s="39">
        <f t="shared" ca="1" si="14"/>
        <v>4.0733191628515561E-2</v>
      </c>
      <c r="O32" s="11"/>
      <c r="P32" s="18"/>
    </row>
    <row r="33" spans="2:16" x14ac:dyDescent="0.2">
      <c r="B33" s="23" t="s">
        <v>150</v>
      </c>
      <c r="C33" s="24">
        <f ca="1">SUM(C21:C32)</f>
        <v>884876444.5149188</v>
      </c>
      <c r="D33" s="89"/>
      <c r="E33" s="11"/>
      <c r="F33" s="18">
        <f t="shared" ca="1" si="13"/>
        <v>1</v>
      </c>
      <c r="H33" s="23" t="str">
        <f>B33</f>
        <v>TOTAL USES</v>
      </c>
      <c r="I33" s="24">
        <f ca="1">J18</f>
        <v>228603470.05209109</v>
      </c>
      <c r="J33" s="89"/>
      <c r="K33" s="11"/>
      <c r="L33" s="18">
        <f t="shared" ca="1" si="14"/>
        <v>1</v>
      </c>
    </row>
    <row r="34" spans="2:16" x14ac:dyDescent="0.2">
      <c r="C34" s="11"/>
      <c r="F34" s="18">
        <f t="shared" ca="1" si="13"/>
        <v>0</v>
      </c>
    </row>
    <row r="36" spans="2:16" ht="19" x14ac:dyDescent="0.25">
      <c r="N36" s="42" t="s">
        <v>151</v>
      </c>
    </row>
    <row r="37" spans="2:16" x14ac:dyDescent="0.2">
      <c r="N37" s="3" t="s">
        <v>133</v>
      </c>
    </row>
    <row r="38" spans="2:16" ht="19" x14ac:dyDescent="0.25">
      <c r="B38" s="42" t="s">
        <v>151</v>
      </c>
      <c r="H38" s="42" t="str">
        <f>B38</f>
        <v>CLARENDON - RESI DEVELOPMENT: PROFORMA</v>
      </c>
      <c r="N38" s="36"/>
      <c r="O38" s="37" t="s">
        <v>135</v>
      </c>
      <c r="P38" s="38" t="s">
        <v>138</v>
      </c>
    </row>
    <row r="39" spans="2:16" x14ac:dyDescent="0.2">
      <c r="B39" s="3" t="s">
        <v>131</v>
      </c>
      <c r="D39">
        <f>'Proforma L+H'!$D$17</f>
        <v>158750</v>
      </c>
      <c r="E39">
        <f>'Proforma L+H'!$R$16</f>
        <v>45</v>
      </c>
      <c r="H39" s="3" t="s">
        <v>152</v>
      </c>
      <c r="N39" s="12"/>
      <c r="O39" s="11"/>
      <c r="P39" s="18"/>
    </row>
    <row r="40" spans="2:16" x14ac:dyDescent="0.2">
      <c r="B40" s="36" t="s">
        <v>134</v>
      </c>
      <c r="C40" s="37" t="s">
        <v>135</v>
      </c>
      <c r="D40" s="38" t="s">
        <v>136</v>
      </c>
      <c r="E40" s="38" t="s">
        <v>137</v>
      </c>
      <c r="F40" s="38" t="s">
        <v>138</v>
      </c>
      <c r="H40" s="36" t="str">
        <f t="shared" ref="H40:H43" si="21">B40</f>
        <v>SOURCES</v>
      </c>
      <c r="I40" s="37" t="s">
        <v>135</v>
      </c>
      <c r="J40" s="38" t="s">
        <v>136</v>
      </c>
      <c r="K40" s="38" t="s">
        <v>137</v>
      </c>
      <c r="L40" s="38" t="s">
        <v>138</v>
      </c>
      <c r="N40" s="12" t="str">
        <f t="shared" ref="N40:O42" si="22">B47</f>
        <v>LAND SALE TO AMENITY</v>
      </c>
      <c r="O40" s="11">
        <f t="shared" si="22"/>
        <v>15000000</v>
      </c>
      <c r="P40" s="18">
        <f>O40/$O$43</f>
        <v>4.0316552805722133E-2</v>
      </c>
    </row>
    <row r="41" spans="2:16" x14ac:dyDescent="0.2">
      <c r="B41" s="12" t="str">
        <f>'Proforma L+H'!B229</f>
        <v>MTN ORIGINS - PURSUIT CAPITAL</v>
      </c>
      <c r="C41" s="11">
        <f>'Proforma L+H'!R229</f>
        <v>1500000</v>
      </c>
      <c r="D41" s="70">
        <f>C41/'Proforma L+H'!$D$17</f>
        <v>9.4488188976377945</v>
      </c>
      <c r="E41" s="11">
        <f>C41/'Proforma L+H'!$R$16</f>
        <v>33333.333333333336</v>
      </c>
      <c r="F41" s="18">
        <f t="shared" ref="F41:F49" si="23">C41/$C$50</f>
        <v>3.2024502707510057E-3</v>
      </c>
      <c r="H41" s="12" t="str">
        <f t="shared" si="21"/>
        <v>MTN ORIGINS - PURSUIT CAPITAL</v>
      </c>
      <c r="I41" s="11">
        <f>C41</f>
        <v>1500000</v>
      </c>
      <c r="J41" s="70">
        <f>I41/$D$39</f>
        <v>9.4488188976377945</v>
      </c>
      <c r="K41" s="11">
        <f>I41/$E$39</f>
        <v>33333.333333333336</v>
      </c>
      <c r="L41" s="18">
        <f t="shared" ref="L41:L47" si="24">I41/$I$50</f>
        <v>1.3472763926039027E-2</v>
      </c>
      <c r="N41" s="12" t="str">
        <f t="shared" si="22"/>
        <v>PRESALE REVENUES</v>
      </c>
      <c r="O41" s="11">
        <f t="shared" si="22"/>
        <v>81794306.25</v>
      </c>
      <c r="P41" s="18">
        <f>O41/$O$43</f>
        <v>0.21984429780903553</v>
      </c>
    </row>
    <row r="42" spans="2:16" x14ac:dyDescent="0.2">
      <c r="B42" s="12" t="str">
        <f>'Proforma L+H'!B230</f>
        <v>JV - EQUITY CAPITAL</v>
      </c>
      <c r="C42" s="11">
        <f>'Proforma L+H'!R230</f>
        <v>10000000</v>
      </c>
      <c r="D42" s="70">
        <f>C42/'Proforma L+H'!$D$17</f>
        <v>62.99212598425197</v>
      </c>
      <c r="E42" s="11">
        <f>C42/'Proforma L+H'!$R$16</f>
        <v>222222.22222222222</v>
      </c>
      <c r="F42" s="18">
        <f t="shared" si="23"/>
        <v>2.1349668471673373E-2</v>
      </c>
      <c r="H42" s="12" t="str">
        <f t="shared" ref="H42" si="25">B42</f>
        <v>JV - EQUITY CAPITAL</v>
      </c>
      <c r="I42" s="11">
        <f>C42</f>
        <v>10000000</v>
      </c>
      <c r="J42" s="70">
        <f>I42/$D$39</f>
        <v>62.99212598425197</v>
      </c>
      <c r="K42" s="11">
        <f>I42/$E$39</f>
        <v>222222.22222222222</v>
      </c>
      <c r="L42" s="18">
        <f t="shared" si="24"/>
        <v>8.9818426173593507E-2</v>
      </c>
      <c r="N42" s="21" t="str">
        <f t="shared" si="22"/>
        <v>UNIT SALES</v>
      </c>
      <c r="O42" s="22">
        <f t="shared" si="22"/>
        <v>275261312.50000006</v>
      </c>
      <c r="P42" s="39">
        <f>O42/$O$43</f>
        <v>0.73983914938524231</v>
      </c>
    </row>
    <row r="43" spans="2:16" x14ac:dyDescent="0.2">
      <c r="B43" s="12" t="str">
        <f>'Proforma L+H'!B231</f>
        <v>JV BRIDGE LOAN</v>
      </c>
      <c r="C43" s="11">
        <f>'Proforma L+H'!R231</f>
        <v>15000000</v>
      </c>
      <c r="D43" s="70">
        <f>C43/'Proforma L+H'!$D$17</f>
        <v>94.488188976377955</v>
      </c>
      <c r="E43" s="11">
        <f>C43/'Proforma L+H'!$R$16</f>
        <v>333333.33333333331</v>
      </c>
      <c r="F43" s="18">
        <f t="shared" si="23"/>
        <v>3.2024502707510054E-2</v>
      </c>
      <c r="H43" s="12" t="str">
        <f t="shared" si="21"/>
        <v>JV BRIDGE LOAN</v>
      </c>
      <c r="I43" s="11">
        <f>C43</f>
        <v>15000000</v>
      </c>
      <c r="J43" s="70">
        <f t="shared" ref="J43" si="26">I43/$D$39</f>
        <v>94.488188976377955</v>
      </c>
      <c r="K43" s="11">
        <f t="shared" ref="K43" si="27">I43/$E$39</f>
        <v>333333.33333333331</v>
      </c>
      <c r="L43" s="18">
        <f t="shared" si="24"/>
        <v>0.13472763926039028</v>
      </c>
      <c r="N43" s="23" t="s">
        <v>141</v>
      </c>
      <c r="O43" s="24">
        <f>SUM(O40:O42)</f>
        <v>372055618.75000006</v>
      </c>
      <c r="P43" s="18">
        <f>O43/$O$43</f>
        <v>1</v>
      </c>
    </row>
    <row r="44" spans="2:16" x14ac:dyDescent="0.2">
      <c r="B44" s="12" t="str">
        <f>'Proforma L+H'!B232</f>
        <v>SELLER FINANCE</v>
      </c>
      <c r="C44" s="11">
        <f>'Proforma L+H'!R232</f>
        <v>0</v>
      </c>
      <c r="D44" s="70">
        <f>C44/'Proforma L+H'!$D$17</f>
        <v>0</v>
      </c>
      <c r="E44" s="11">
        <f>C44/'Proforma L+H'!$R$16</f>
        <v>0</v>
      </c>
      <c r="F44" s="18">
        <f t="shared" si="23"/>
        <v>0</v>
      </c>
      <c r="H44" s="12" t="str">
        <f t="shared" ref="H44" si="28">B44</f>
        <v>SELLER FINANCE</v>
      </c>
      <c r="I44" s="11">
        <f>C44</f>
        <v>0</v>
      </c>
      <c r="J44" s="70">
        <f t="shared" ref="J44" si="29">I44/$D$39</f>
        <v>0</v>
      </c>
      <c r="K44" s="11">
        <f t="shared" ref="K44" si="30">I44/$E$39</f>
        <v>0</v>
      </c>
      <c r="L44" s="18">
        <f t="shared" si="24"/>
        <v>0</v>
      </c>
    </row>
    <row r="45" spans="2:16" x14ac:dyDescent="0.2">
      <c r="B45" s="12" t="str">
        <f>'Proforma L+H'!B233</f>
        <v>EB5 - MEZZ DEBT</v>
      </c>
      <c r="C45" s="11">
        <f>'Proforma L+H'!R233</f>
        <v>20800000</v>
      </c>
      <c r="D45" s="70">
        <f>C45/'Proforma L+H'!$D$17</f>
        <v>131.02362204724409</v>
      </c>
      <c r="E45" s="11">
        <f>C45/'Proforma L+H'!$R$16</f>
        <v>462222.22222222225</v>
      </c>
      <c r="F45" s="18">
        <f t="shared" si="23"/>
        <v>4.4407310421080613E-2</v>
      </c>
      <c r="H45" s="12" t="str">
        <f>B45</f>
        <v>EB5 - MEZZ DEBT</v>
      </c>
      <c r="I45" s="11">
        <f>SUM('Proforma L+H'!E233:F233)</f>
        <v>20800000</v>
      </c>
      <c r="J45" s="70">
        <f>I45/$D$39</f>
        <v>131.02362204724409</v>
      </c>
      <c r="K45" s="11">
        <f>I45/$E$39</f>
        <v>462222.22222222225</v>
      </c>
      <c r="L45" s="18">
        <f t="shared" si="24"/>
        <v>0.18682232644107449</v>
      </c>
      <c r="N45" s="12" t="str">
        <f t="shared" ref="N45:O49" si="31">B53</f>
        <v>LAND &amp; PROJECT ACQUISITION</v>
      </c>
      <c r="O45" s="11">
        <f t="shared" si="31"/>
        <v>18977750</v>
      </c>
      <c r="P45" s="18">
        <f t="shared" ref="P45:P56" si="32">O45/$O$56</f>
        <v>6.9342927054144757E-2</v>
      </c>
    </row>
    <row r="46" spans="2:16" x14ac:dyDescent="0.2">
      <c r="B46" s="12" t="str">
        <f>'Proforma L+H'!B234</f>
        <v>DEV LOAN</v>
      </c>
      <c r="C46" s="11">
        <f>'Proforma L+H'!R234</f>
        <v>49035729.493554473</v>
      </c>
      <c r="D46" s="70">
        <f>C46/'Proforma L+H'!$D$17</f>
        <v>308.88648499876831</v>
      </c>
      <c r="E46" s="11">
        <f>C46/'Proforma L+H'!$R$16</f>
        <v>1089682.8776345439</v>
      </c>
      <c r="F46" s="18">
        <f t="shared" si="23"/>
        <v>0.1046896567954044</v>
      </c>
      <c r="H46" s="12" t="str">
        <f>B46</f>
        <v>DEV LOAN</v>
      </c>
      <c r="I46" s="11">
        <f>C46</f>
        <v>49035729.493554473</v>
      </c>
      <c r="J46" s="70">
        <f>I46/$D$39</f>
        <v>308.88648499876831</v>
      </c>
      <c r="K46" s="11">
        <f>I46/$E$39</f>
        <v>1089682.8776345439</v>
      </c>
      <c r="L46" s="18">
        <f t="shared" si="24"/>
        <v>0.44043120493851246</v>
      </c>
      <c r="N46" s="12" t="str">
        <f t="shared" si="31"/>
        <v>HARD COSTS - SITE, RESTORATION &amp; INFRASTRUCTURE</v>
      </c>
      <c r="O46" s="11">
        <f t="shared" si="31"/>
        <v>8698186.819661459</v>
      </c>
      <c r="P46" s="18">
        <f t="shared" si="32"/>
        <v>3.1782362721561194E-2</v>
      </c>
    </row>
    <row r="47" spans="2:16" x14ac:dyDescent="0.2">
      <c r="B47" s="12" t="str">
        <f>'Proforma L+H'!B235</f>
        <v>LAND SALE TO AMENITY</v>
      </c>
      <c r="C47" s="11">
        <f>'Proforma L+H'!R235</f>
        <v>15000000</v>
      </c>
      <c r="D47" s="70">
        <f>C47/'Proforma L+H'!$D$17</f>
        <v>94.488188976377955</v>
      </c>
      <c r="E47" s="11">
        <f>C47/'Proforma L+H'!$R$16</f>
        <v>333333.33333333331</v>
      </c>
      <c r="F47" s="18">
        <f t="shared" si="23"/>
        <v>3.2024502707510054E-2</v>
      </c>
      <c r="H47" s="12" t="str">
        <f>B47</f>
        <v>LAND SALE TO AMENITY</v>
      </c>
      <c r="I47" s="11">
        <f>C47</f>
        <v>15000000</v>
      </c>
      <c r="J47" s="70">
        <f>I47/$D$39</f>
        <v>94.488188976377955</v>
      </c>
      <c r="K47" s="11">
        <f>I47/$E$39</f>
        <v>333333.33333333331</v>
      </c>
      <c r="L47" s="18">
        <f t="shared" si="24"/>
        <v>0.13472763926039028</v>
      </c>
      <c r="N47" s="12" t="str">
        <f t="shared" si="31"/>
        <v>HARD COSTS - HOMES</v>
      </c>
      <c r="O47" s="11">
        <f t="shared" si="31"/>
        <v>164512319.57617188</v>
      </c>
      <c r="P47" s="18">
        <f t="shared" si="32"/>
        <v>0.60111265960815363</v>
      </c>
    </row>
    <row r="48" spans="2:16" x14ac:dyDescent="0.2">
      <c r="B48" s="12" t="str">
        <f>'Proforma L+H'!B236</f>
        <v>PRESALE REVENUES</v>
      </c>
      <c r="C48" s="11">
        <f>'Proforma L+H'!R236</f>
        <v>81794306.25</v>
      </c>
      <c r="D48" s="70">
        <f>C48/'Proforma L+H'!$D$17</f>
        <v>515.23972440944885</v>
      </c>
      <c r="E48" s="11">
        <f>C48/'Proforma L+H'!$R$16</f>
        <v>1817651.25</v>
      </c>
      <c r="F48" s="18">
        <f t="shared" si="23"/>
        <v>0.17462813213080211</v>
      </c>
      <c r="H48" s="12"/>
      <c r="I48" s="11"/>
      <c r="J48" s="70"/>
      <c r="K48" s="11"/>
      <c r="L48" s="18"/>
      <c r="N48" s="12" t="str">
        <f t="shared" si="31"/>
        <v>SOFT COSTS PROFESSIONALS - FINAL ENTITLEMENTS &amp; SITE INFRA.</v>
      </c>
      <c r="O48" s="11">
        <f t="shared" si="31"/>
        <v>3763315.625</v>
      </c>
      <c r="P48" s="18">
        <f t="shared" si="32"/>
        <v>1.3750804013441961E-2</v>
      </c>
    </row>
    <row r="49" spans="2:16" x14ac:dyDescent="0.2">
      <c r="B49" s="21" t="str">
        <f>'Proforma L+H'!B237</f>
        <v>UNIT SALES</v>
      </c>
      <c r="C49" s="22">
        <f>'Proforma L+H'!R237</f>
        <v>275261312.50000006</v>
      </c>
      <c r="D49" s="70">
        <f>C49/'Proforma L+H'!$D$17</f>
        <v>1733.9295275590555</v>
      </c>
      <c r="E49" s="22">
        <f>C49/'Proforma L+H'!$R$16</f>
        <v>6116918.0555555569</v>
      </c>
      <c r="F49" s="39">
        <f t="shared" si="23"/>
        <v>0.58767377649526831</v>
      </c>
      <c r="H49" s="21"/>
      <c r="I49" s="22"/>
      <c r="J49" s="70"/>
      <c r="K49" s="22"/>
      <c r="L49" s="39"/>
      <c r="N49" s="12" t="str">
        <f t="shared" si="31"/>
        <v>SOFT COSTS PROFESSIONALS - HOMES</v>
      </c>
      <c r="O49" s="11">
        <f t="shared" si="31"/>
        <v>6141551.5625</v>
      </c>
      <c r="P49" s="18">
        <f t="shared" si="32"/>
        <v>2.2440656136670904E-2</v>
      </c>
    </row>
    <row r="50" spans="2:16" x14ac:dyDescent="0.2">
      <c r="B50" s="23" t="str">
        <f>'Proforma L+H'!B238</f>
        <v>TOTAL SOURCES</v>
      </c>
      <c r="C50" s="24">
        <f>'Proforma L+H'!R238</f>
        <v>468391348.24355459</v>
      </c>
      <c r="D50" s="89">
        <f>C50/'Proforma L+H'!$D$17</f>
        <v>2950.496681849163</v>
      </c>
      <c r="E50" s="11">
        <f>C50/'Proforma L+H'!$R$16</f>
        <v>10408696.627634546</v>
      </c>
      <c r="F50" s="18">
        <f>E50/$E$50</f>
        <v>1</v>
      </c>
      <c r="H50" s="23" t="str">
        <f>B50</f>
        <v>TOTAL SOURCES</v>
      </c>
      <c r="I50" s="24">
        <f>SUM(I41:I49)</f>
        <v>111335729.49355447</v>
      </c>
      <c r="J50" s="89">
        <f t="shared" ref="J50" si="33">I50/$D$39</f>
        <v>701.32742988065809</v>
      </c>
      <c r="K50" s="11">
        <f>I50/$E$39</f>
        <v>2474127.3220789884</v>
      </c>
      <c r="L50" s="623">
        <f>I50/$I$50</f>
        <v>1</v>
      </c>
      <c r="N50" s="12" t="str">
        <f>B58</f>
        <v>SOFT COSTS - SALES</v>
      </c>
      <c r="O50" s="11">
        <f>C58-O55</f>
        <v>750000</v>
      </c>
      <c r="P50" s="18">
        <f t="shared" si="32"/>
        <v>2.7404299925232745E-3</v>
      </c>
    </row>
    <row r="51" spans="2:16" x14ac:dyDescent="0.2">
      <c r="B51" s="12"/>
      <c r="C51" s="11"/>
      <c r="D51" s="11"/>
      <c r="E51" s="11"/>
      <c r="F51" s="40"/>
      <c r="H51" s="12"/>
      <c r="I51" s="11"/>
      <c r="J51" s="11"/>
      <c r="K51" s="11"/>
      <c r="L51" s="40"/>
      <c r="N51" s="12" t="str">
        <f>B59</f>
        <v>SOFT COSTS - TAXES AND INSURANCE</v>
      </c>
      <c r="O51" s="11">
        <f>C59</f>
        <v>997529.5800488781</v>
      </c>
      <c r="P51" s="18">
        <f t="shared" si="32"/>
        <v>3.6448799727934558E-3</v>
      </c>
    </row>
    <row r="52" spans="2:16" x14ac:dyDescent="0.2">
      <c r="B52" s="36" t="s">
        <v>143</v>
      </c>
      <c r="C52" s="37" t="s">
        <v>135</v>
      </c>
      <c r="D52" s="38" t="s">
        <v>136</v>
      </c>
      <c r="E52" s="38" t="s">
        <v>137</v>
      </c>
      <c r="F52" s="41" t="s">
        <v>138</v>
      </c>
      <c r="H52" s="36" t="str">
        <f>B52</f>
        <v>USES</v>
      </c>
      <c r="I52" s="37" t="s">
        <v>135</v>
      </c>
      <c r="J52" s="38" t="s">
        <v>136</v>
      </c>
      <c r="K52" s="38" t="s">
        <v>137</v>
      </c>
      <c r="L52" s="41" t="s">
        <v>138</v>
      </c>
      <c r="N52" s="12" t="str">
        <f>B60</f>
        <v>SOFT COSTS - MUNICIPALITY FEES</v>
      </c>
      <c r="O52" s="11">
        <f>C60</f>
        <v>2064912.5</v>
      </c>
      <c r="P52" s="18">
        <f t="shared" si="32"/>
        <v>7.544997529248287E-3</v>
      </c>
    </row>
    <row r="53" spans="2:16" x14ac:dyDescent="0.2">
      <c r="B53" s="12" t="str">
        <f>'Proforma L+H'!B241</f>
        <v>LAND &amp; PROJECT ACQUISITION</v>
      </c>
      <c r="C53" s="11">
        <f>'Proforma L+H'!R241</f>
        <v>18977750</v>
      </c>
      <c r="D53" s="70">
        <f>C53/'Proforma L+H'!$D$17</f>
        <v>119.54488188976379</v>
      </c>
      <c r="E53" s="11">
        <f>C53/'Proforma L+H'!$R$16</f>
        <v>421727.77777777775</v>
      </c>
      <c r="F53" s="18">
        <f t="shared" ref="F53:F65" si="34">E53/$E$65</f>
        <v>4.0516867083829941E-2</v>
      </c>
      <c r="H53" s="12" t="str">
        <f>'Proforma L+H'!B241</f>
        <v>LAND &amp; PROJECT ACQUISITION</v>
      </c>
      <c r="I53" s="11">
        <f>SUM('Proforma L+H'!E241:F241)</f>
        <v>18977750</v>
      </c>
      <c r="J53" s="70">
        <f t="shared" ref="J53:J65" si="35">I53/$D$39</f>
        <v>119.54488188976379</v>
      </c>
      <c r="K53" s="11">
        <f t="shared" ref="K53:K65" si="36">I53/$E$39</f>
        <v>421727.77777777775</v>
      </c>
      <c r="L53" s="18">
        <f t="shared" ref="L53:L62" si="37">I53/$I$65</f>
        <v>0.17045516373159142</v>
      </c>
      <c r="N53" s="12" t="str">
        <f>B61</f>
        <v xml:space="preserve">DEVELOPMENT FEES </v>
      </c>
      <c r="O53" s="11">
        <f>C61</f>
        <v>9000000</v>
      </c>
      <c r="P53" s="18">
        <f t="shared" si="32"/>
        <v>3.2885159910279294E-2</v>
      </c>
    </row>
    <row r="54" spans="2:16" x14ac:dyDescent="0.2">
      <c r="B54" s="12" t="str">
        <f>'Proforma L+H'!B242</f>
        <v>HARD COSTS - SITE, RESTORATION &amp; INFRASTRUCTURE</v>
      </c>
      <c r="C54" s="11">
        <f>'Proforma L+H'!R242</f>
        <v>8698186.819661459</v>
      </c>
      <c r="D54" s="70">
        <f>C54/'Proforma L+H'!$D$17</f>
        <v>54.791727997867461</v>
      </c>
      <c r="E54" s="11">
        <f>C54/'Proforma L+H'!$R$16</f>
        <v>193293.04043692132</v>
      </c>
      <c r="F54" s="18">
        <f t="shared" si="34"/>
        <v>1.8570340490445116E-2</v>
      </c>
      <c r="H54" s="12" t="str">
        <f>'Proforma L+H'!B242</f>
        <v>HARD COSTS - SITE, RESTORATION &amp; INFRASTRUCTURE</v>
      </c>
      <c r="I54" s="11">
        <f>SUM('Proforma L+H'!E242:F242)</f>
        <v>5194373.6979166679</v>
      </c>
      <c r="J54" s="70">
        <f t="shared" si="35"/>
        <v>32.720464238845153</v>
      </c>
      <c r="K54" s="11">
        <f t="shared" si="36"/>
        <v>115430.52662037039</v>
      </c>
      <c r="L54" s="18">
        <f t="shared" si="37"/>
        <v>4.6655047050438415E-2</v>
      </c>
      <c r="N54" s="12" t="s">
        <v>144</v>
      </c>
      <c r="O54" s="11">
        <f>'Proforma L+H'!R172</f>
        <v>42706610.246285245</v>
      </c>
      <c r="P54" s="18">
        <f t="shared" si="32"/>
        <v>0.15604596746389582</v>
      </c>
    </row>
    <row r="55" spans="2:16" x14ac:dyDescent="0.2">
      <c r="B55" s="12" t="str">
        <f>'Proforma L+H'!B243</f>
        <v>HARD COSTS - HOMES</v>
      </c>
      <c r="C55" s="11">
        <f>'Proforma L+H'!R243</f>
        <v>164512319.57617188</v>
      </c>
      <c r="D55" s="70">
        <f>C55/'Proforma L+H'!$D$17</f>
        <v>1036.298076070374</v>
      </c>
      <c r="E55" s="11">
        <f>C55/'Proforma L+H'!$R$16</f>
        <v>3655829.3239149307</v>
      </c>
      <c r="F55" s="18">
        <f t="shared" si="34"/>
        <v>0.35122834824572519</v>
      </c>
      <c r="H55" s="12" t="str">
        <f>'Proforma L+H'!B243</f>
        <v>HARD COSTS - HOMES</v>
      </c>
      <c r="I55" s="11">
        <f>SUM('Proforma L+H'!E243:F243)</f>
        <v>18060937.5</v>
      </c>
      <c r="J55" s="70">
        <f t="shared" si="35"/>
        <v>113.76968503937007</v>
      </c>
      <c r="K55" s="11">
        <f t="shared" si="36"/>
        <v>401354.16666666669</v>
      </c>
      <c r="L55" s="18">
        <f t="shared" si="37"/>
        <v>0.16222049814696365</v>
      </c>
      <c r="N55" s="12" t="s">
        <v>145</v>
      </c>
      <c r="O55" s="11">
        <f>'Proforma L+H'!R121</f>
        <v>16067502.84375</v>
      </c>
      <c r="P55" s="18">
        <f t="shared" si="32"/>
        <v>5.8709155597287337E-2</v>
      </c>
    </row>
    <row r="56" spans="2:16" x14ac:dyDescent="0.2">
      <c r="B56" s="12" t="str">
        <f>'Proforma L+H'!B244</f>
        <v>SOFT COSTS PROFESSIONALS - FINAL ENTITLEMENTS &amp; SITE INFRA.</v>
      </c>
      <c r="C56" s="11">
        <f>'Proforma L+H'!R244</f>
        <v>3763315.625</v>
      </c>
      <c r="D56" s="70">
        <f>C56/'Proforma L+H'!$D$17</f>
        <v>23.705925196850394</v>
      </c>
      <c r="E56" s="11">
        <f>C56/'Proforma L+H'!$R$16</f>
        <v>83629.236111111109</v>
      </c>
      <c r="F56" s="18">
        <f t="shared" si="34"/>
        <v>8.0345540948018289E-3</v>
      </c>
      <c r="H56" s="12" t="str">
        <f>'Proforma L+H'!B244</f>
        <v>SOFT COSTS PROFESSIONALS - FINAL ENTITLEMENTS &amp; SITE INFRA.</v>
      </c>
      <c r="I56" s="11">
        <f>SUM('Proforma L+H'!E244:F244)</f>
        <v>2485267.96875</v>
      </c>
      <c r="J56" s="70">
        <f t="shared" si="35"/>
        <v>15.655231299212598</v>
      </c>
      <c r="K56" s="11">
        <f t="shared" si="36"/>
        <v>55228.177083333336</v>
      </c>
      <c r="L56" s="18">
        <f t="shared" si="37"/>
        <v>2.2322285757276857E-2</v>
      </c>
      <c r="N56" s="52" t="s">
        <v>146</v>
      </c>
      <c r="O56" s="51">
        <f>SUM(O45:O55)</f>
        <v>273679678.75341749</v>
      </c>
      <c r="P56" s="757">
        <f t="shared" si="32"/>
        <v>1</v>
      </c>
    </row>
    <row r="57" spans="2:16" x14ac:dyDescent="0.2">
      <c r="B57" s="12" t="str">
        <f>'Proforma L+H'!B245</f>
        <v>SOFT COSTS PROFESSIONALS - HOMES</v>
      </c>
      <c r="C57" s="11">
        <f>'Proforma L+H'!R245</f>
        <v>6141551.5625</v>
      </c>
      <c r="D57" s="70">
        <f>C57/'Proforma L+H'!$D$17</f>
        <v>38.686938976377952</v>
      </c>
      <c r="E57" s="11">
        <f>C57/'Proforma L+H'!$R$16</f>
        <v>136478.92361111112</v>
      </c>
      <c r="F57" s="18">
        <f t="shared" si="34"/>
        <v>1.3112008976106263E-2</v>
      </c>
      <c r="H57" s="12" t="str">
        <f>'Proforma L+H'!B245</f>
        <v>SOFT COSTS PROFESSIONALS - HOMES</v>
      </c>
      <c r="I57" s="11">
        <f>SUM('Proforma L+H'!E245:F245)</f>
        <v>1162353.125</v>
      </c>
      <c r="J57" s="70">
        <f t="shared" si="35"/>
        <v>7.3219094488188974</v>
      </c>
      <c r="K57" s="11">
        <f t="shared" si="36"/>
        <v>25830.069444444445</v>
      </c>
      <c r="L57" s="18">
        <f t="shared" si="37"/>
        <v>1.0440072834545821E-2</v>
      </c>
    </row>
    <row r="58" spans="2:16" x14ac:dyDescent="0.2">
      <c r="B58" s="12" t="str">
        <f>'Proforma L+H'!B246</f>
        <v>SOFT COSTS - SALES</v>
      </c>
      <c r="C58" s="11">
        <f>'Proforma L+H'!R246</f>
        <v>16817502.84375</v>
      </c>
      <c r="D58" s="70">
        <f>C58/'Proforma L+H'!$D$17</f>
        <v>105.93702578740158</v>
      </c>
      <c r="E58" s="11">
        <f>C58/'Proforma L+H'!$R$16</f>
        <v>373722.28541666665</v>
      </c>
      <c r="F58" s="18">
        <f t="shared" si="34"/>
        <v>3.5904811023548672E-2</v>
      </c>
      <c r="H58" s="12" t="str">
        <f>'Proforma L+H'!B246</f>
        <v>SOFT COSTS - SALES</v>
      </c>
      <c r="I58" s="11">
        <f>SUM('Proforma L+H'!E246:F246)</f>
        <v>625818.75</v>
      </c>
      <c r="J58" s="70">
        <f t="shared" si="35"/>
        <v>3.9421653543307085</v>
      </c>
      <c r="K58" s="11">
        <f t="shared" si="36"/>
        <v>13907.083333333334</v>
      </c>
      <c r="L58" s="18">
        <f t="shared" si="37"/>
        <v>5.6210055194925576E-3</v>
      </c>
      <c r="N58" s="52" t="s">
        <v>147</v>
      </c>
      <c r="O58" s="51">
        <f>O43-O56</f>
        <v>98375939.996582568</v>
      </c>
      <c r="P58" s="757">
        <f>O58/O43</f>
        <v>0.26441191864565156</v>
      </c>
    </row>
    <row r="59" spans="2:16" x14ac:dyDescent="0.2">
      <c r="B59" s="12" t="str">
        <f>'Proforma L+H'!B247</f>
        <v>SOFT COSTS - TAXES AND INSURANCE</v>
      </c>
      <c r="C59" s="11">
        <f>'Proforma L+H'!R247</f>
        <v>997529.5800488781</v>
      </c>
      <c r="D59" s="70">
        <f>C59/'Proforma L+H'!$D$17</f>
        <v>6.2836508979456891</v>
      </c>
      <c r="E59" s="11">
        <f>C59/'Proforma L+H'!$R$16</f>
        <v>22167.324001086181</v>
      </c>
      <c r="F59" s="18">
        <f t="shared" si="34"/>
        <v>2.1296925824731117E-3</v>
      </c>
      <c r="H59" s="12" t="str">
        <f>'Proforma L+H'!B247</f>
        <v>SOFT COSTS - TAXES AND INSURANCE</v>
      </c>
      <c r="I59" s="11">
        <f>SUM('Proforma L+H'!E247:F247)</f>
        <v>150981.13466546472</v>
      </c>
      <c r="J59" s="70">
        <f t="shared" si="35"/>
        <v>0.95106226560922658</v>
      </c>
      <c r="K59" s="11">
        <f t="shared" si="36"/>
        <v>3355.136325899216</v>
      </c>
      <c r="L59" s="18">
        <f t="shared" si="37"/>
        <v>1.3560887897555423E-3</v>
      </c>
    </row>
    <row r="60" spans="2:16" x14ac:dyDescent="0.2">
      <c r="B60" s="12" t="str">
        <f>'Proforma L+H'!B248</f>
        <v>SOFT COSTS - MUNICIPALITY FEES</v>
      </c>
      <c r="C60" s="11">
        <f>'Proforma L+H'!R248</f>
        <v>2064912.5</v>
      </c>
      <c r="D60" s="70">
        <f>C60/'Proforma L+H'!$D$17</f>
        <v>13.007322834645668</v>
      </c>
      <c r="E60" s="11">
        <f>C60/'Proforma L+H'!$R$16</f>
        <v>45886.944444444445</v>
      </c>
      <c r="F60" s="18">
        <f t="shared" si="34"/>
        <v>4.4085197298014255E-3</v>
      </c>
      <c r="H60" s="12" t="str">
        <f>'Proforma L+H'!B248</f>
        <v>SOFT COSTS - MUNICIPALITY FEES</v>
      </c>
      <c r="I60" s="11">
        <f>SUM('Proforma L+H'!E248:F248)</f>
        <v>265745.83333333331</v>
      </c>
      <c r="J60" s="70">
        <f t="shared" si="35"/>
        <v>1.6739895013123358</v>
      </c>
      <c r="K60" s="11">
        <f t="shared" si="36"/>
        <v>5905.4629629629626</v>
      </c>
      <c r="L60" s="18">
        <f t="shared" si="37"/>
        <v>2.3868872512190086E-3</v>
      </c>
    </row>
    <row r="61" spans="2:16" x14ac:dyDescent="0.2">
      <c r="B61" s="12" t="str">
        <f>'Proforma L+H'!B249</f>
        <v xml:space="preserve">DEVELOPMENT FEES </v>
      </c>
      <c r="C61" s="11">
        <f>'Proforma L+H'!R249</f>
        <v>9000000</v>
      </c>
      <c r="D61" s="70">
        <f>C61/'Proforma L+H'!$D$17</f>
        <v>56.69291338582677</v>
      </c>
      <c r="E61" s="11">
        <f>C61/'Proforma L+H'!$R$16</f>
        <v>200000</v>
      </c>
      <c r="F61" s="18">
        <f t="shared" si="34"/>
        <v>1.9214701624506038E-2</v>
      </c>
      <c r="H61" s="12" t="str">
        <f>'Proforma L+H'!B249</f>
        <v xml:space="preserve">DEVELOPMENT FEES </v>
      </c>
      <c r="I61" s="11">
        <f>SUM('Proforma L+H'!E249:F249)</f>
        <v>3000000</v>
      </c>
      <c r="J61" s="70">
        <f t="shared" si="35"/>
        <v>18.897637795275589</v>
      </c>
      <c r="K61" s="11">
        <f t="shared" si="36"/>
        <v>66666.666666666672</v>
      </c>
      <c r="L61" s="18">
        <f t="shared" si="37"/>
        <v>2.6945527852078054E-2</v>
      </c>
    </row>
    <row r="62" spans="2:16" x14ac:dyDescent="0.2">
      <c r="B62" s="12" t="str">
        <f>'Proforma L+H'!B250</f>
        <v>FINANCING COSTS &amp; REPAYMENT</v>
      </c>
      <c r="C62" s="11">
        <f>'Proforma L+H'!R250-C63</f>
        <v>90958027.816262498</v>
      </c>
      <c r="D62" s="70">
        <f>C62/'Proforma L+H'!$D$17</f>
        <v>572.96395474811027</v>
      </c>
      <c r="E62" s="11">
        <f>C62/'Proforma L+H'!$R$16</f>
        <v>2021289.5070280556</v>
      </c>
      <c r="F62" s="18">
        <f t="shared" si="34"/>
        <v>0.19419237387144495</v>
      </c>
      <c r="H62" s="12" t="str">
        <f>'Proforma L+H'!B250</f>
        <v>FINANCING COSTS &amp; REPAYMENT</v>
      </c>
      <c r="I62" s="11">
        <f>SUM('Proforma L+H'!E250:F250)</f>
        <v>25951177.879180249</v>
      </c>
      <c r="J62" s="70">
        <f t="shared" si="35"/>
        <v>163.47198664050549</v>
      </c>
      <c r="K62" s="11">
        <f t="shared" si="36"/>
        <v>576692.8417595611</v>
      </c>
      <c r="L62" s="18">
        <f t="shared" si="37"/>
        <v>0.23308939544589441</v>
      </c>
    </row>
    <row r="63" spans="2:16" x14ac:dyDescent="0.2">
      <c r="B63" s="12" t="s">
        <v>148</v>
      </c>
      <c r="C63" s="11">
        <f>'Proforma L+H'!R166</f>
        <v>36640000</v>
      </c>
      <c r="D63" s="70">
        <f>C63/'Proforma L+H'!$D$17</f>
        <v>230.8031496062992</v>
      </c>
      <c r="E63" s="11">
        <f>C63/'Proforma L+H'!$R$16</f>
        <v>814222.22222222225</v>
      </c>
      <c r="F63" s="18">
        <f t="shared" si="34"/>
        <v>7.822518528021126E-2</v>
      </c>
      <c r="H63" s="12"/>
      <c r="I63" s="11"/>
      <c r="J63" s="70"/>
      <c r="K63" s="11"/>
      <c r="L63" s="18"/>
    </row>
    <row r="64" spans="2:16" x14ac:dyDescent="0.2">
      <c r="B64" s="21" t="str">
        <f>'Proforma L+H'!B251</f>
        <v>DISTRIBUTIONS</v>
      </c>
      <c r="C64" s="22">
        <f>'Proforma L+H'!R251</f>
        <v>109820251.92015985</v>
      </c>
      <c r="D64" s="70">
        <f>C64/'Proforma L+H'!$D$17</f>
        <v>691.7811144576998</v>
      </c>
      <c r="E64" s="22">
        <f>C64/'Proforma L+H'!$R$16</f>
        <v>2440450.0426702187</v>
      </c>
      <c r="F64" s="39">
        <f t="shared" si="34"/>
        <v>0.23446259699710642</v>
      </c>
      <c r="H64" s="21" t="s">
        <v>149</v>
      </c>
      <c r="I64" s="22">
        <f>I65-SUM(I53:I62)</f>
        <v>35461323.604708746</v>
      </c>
      <c r="J64" s="70">
        <f t="shared" si="35"/>
        <v>223.37841640761414</v>
      </c>
      <c r="K64" s="22">
        <f t="shared" si="36"/>
        <v>788029.41343797208</v>
      </c>
      <c r="L64" s="39">
        <f>I64/$I$65</f>
        <v>0.31850802762074415</v>
      </c>
      <c r="O64" s="11"/>
    </row>
    <row r="65" spans="2:16" x14ac:dyDescent="0.2">
      <c r="B65" s="23" t="s">
        <v>150</v>
      </c>
      <c r="C65" s="24">
        <f>'Proforma L+H'!R252</f>
        <v>468391348.24355447</v>
      </c>
      <c r="D65" s="89">
        <f>C65/'Proforma L+H'!$D$17</f>
        <v>2950.4966818491621</v>
      </c>
      <c r="E65" s="11">
        <f>C65/'Proforma L+H'!$R$16</f>
        <v>10408696.627634544</v>
      </c>
      <c r="F65" s="18">
        <f t="shared" si="34"/>
        <v>1</v>
      </c>
      <c r="H65" s="23" t="str">
        <f>'Proforma L+H'!B252</f>
        <v>TOTAL USES</v>
      </c>
      <c r="I65" s="24">
        <f>I50</f>
        <v>111335729.49355447</v>
      </c>
      <c r="J65" s="89">
        <f t="shared" si="35"/>
        <v>701.32742988065809</v>
      </c>
      <c r="K65" s="11">
        <f t="shared" si="36"/>
        <v>2474127.3220789884</v>
      </c>
      <c r="L65" s="18">
        <f>I65/$I$65</f>
        <v>1</v>
      </c>
    </row>
    <row r="66" spans="2:16" x14ac:dyDescent="0.2">
      <c r="C66" s="11"/>
    </row>
    <row r="68" spans="2:16" ht="19" x14ac:dyDescent="0.25">
      <c r="N68" s="42" t="str">
        <f>B70</f>
        <v>CLARENDON - AMENITY + HOTEL DEVELOPMENT: PROFORMA</v>
      </c>
    </row>
    <row r="69" spans="2:16" x14ac:dyDescent="0.2">
      <c r="N69" s="3" t="s">
        <v>133</v>
      </c>
    </row>
    <row r="70" spans="2:16" ht="19" x14ac:dyDescent="0.25">
      <c r="B70" s="42" t="str">
        <f>'Proforma A+H'!B1</f>
        <v>CLARENDON - AMENITY + HOTEL DEVELOPMENT: PROFORMA</v>
      </c>
      <c r="H70" s="42" t="str">
        <f>'Proforma A+H'!B1</f>
        <v>CLARENDON - AMENITY + HOTEL DEVELOPMENT: PROFORMA</v>
      </c>
      <c r="N70" s="36"/>
      <c r="O70" s="37" t="s">
        <v>135</v>
      </c>
      <c r="P70" s="38" t="s">
        <v>138</v>
      </c>
    </row>
    <row r="71" spans="2:16" x14ac:dyDescent="0.2">
      <c r="B71" s="3" t="s">
        <v>131</v>
      </c>
      <c r="H71" s="3" t="s">
        <v>153</v>
      </c>
      <c r="N71" s="12"/>
      <c r="O71" s="11"/>
      <c r="P71" s="18"/>
    </row>
    <row r="72" spans="2:16" x14ac:dyDescent="0.2">
      <c r="B72" s="36" t="str">
        <f>B40</f>
        <v>SOURCES</v>
      </c>
      <c r="C72" s="37" t="s">
        <v>135</v>
      </c>
      <c r="D72" s="38" t="s">
        <v>136</v>
      </c>
      <c r="E72" s="38"/>
      <c r="F72" s="38" t="s">
        <v>138</v>
      </c>
      <c r="H72" s="36" t="str">
        <f>H40</f>
        <v>SOURCES</v>
      </c>
      <c r="I72" s="37" t="s">
        <v>135</v>
      </c>
      <c r="J72" s="38" t="s">
        <v>136</v>
      </c>
      <c r="K72" s="38"/>
      <c r="L72" s="38" t="s">
        <v>138</v>
      </c>
      <c r="N72" s="12" t="str">
        <f t="shared" ref="N72:O74" si="38">B78</f>
        <v>TOTAL NET OPERATING INCOME (NOI)</v>
      </c>
      <c r="O72" s="11">
        <f t="shared" ca="1" si="38"/>
        <v>30073583.476249766</v>
      </c>
      <c r="P72" s="18">
        <f ca="1">O72/$O$75</f>
        <v>0.10581191778673793</v>
      </c>
    </row>
    <row r="73" spans="2:16" x14ac:dyDescent="0.2">
      <c r="B73" s="12" t="str">
        <f>'Proforma A+H'!B262</f>
        <v>LAND EQUITY IN 80 ACRES - $15M in Equity derived from PUD</v>
      </c>
      <c r="C73" s="11">
        <f>'Proforma A+H'!T262</f>
        <v>0</v>
      </c>
      <c r="D73" s="70"/>
      <c r="E73" s="11"/>
      <c r="F73" s="18">
        <f ca="1">C73/$C$81</f>
        <v>0</v>
      </c>
      <c r="H73" s="12" t="str">
        <f t="shared" ref="H73:I75" si="39">B73</f>
        <v>LAND EQUITY IN 80 ACRES - $15M in Equity derived from PUD</v>
      </c>
      <c r="I73" s="11">
        <f t="shared" si="39"/>
        <v>0</v>
      </c>
      <c r="J73" s="70"/>
      <c r="K73" s="11"/>
      <c r="L73" s="18">
        <f ca="1">I73/$I$81</f>
        <v>0</v>
      </c>
      <c r="N73" s="12" t="str">
        <f t="shared" si="38"/>
        <v>TOTAL UNIT SALES</v>
      </c>
      <c r="O73" s="11">
        <f t="shared" si="38"/>
        <v>134413125</v>
      </c>
      <c r="P73" s="18">
        <f ca="1">O73/$O$75</f>
        <v>0.47292370539049916</v>
      </c>
    </row>
    <row r="74" spans="2:16" x14ac:dyDescent="0.2">
      <c r="B74" s="12" t="str">
        <f>'Proforma A+H'!B263</f>
        <v>MTN ORIGINS - PURSUIT CAPITAL</v>
      </c>
      <c r="C74" s="11">
        <f>'Proforma A+H'!T263</f>
        <v>0</v>
      </c>
      <c r="D74" s="70"/>
      <c r="E74" s="11"/>
      <c r="F74" s="18">
        <f ca="1">C74/$C$81</f>
        <v>0</v>
      </c>
      <c r="H74" s="12" t="str">
        <f t="shared" si="39"/>
        <v>MTN ORIGINS - PURSUIT CAPITAL</v>
      </c>
      <c r="I74" s="11">
        <f t="shared" si="39"/>
        <v>0</v>
      </c>
      <c r="J74" s="70"/>
      <c r="K74" s="11"/>
      <c r="L74" s="18">
        <f ca="1">I74/$I$81</f>
        <v>0</v>
      </c>
      <c r="N74" s="21" t="str">
        <f t="shared" si="38"/>
        <v>HOTEL SALE PROCEEDS / DISPOSITION</v>
      </c>
      <c r="O74" s="22">
        <f t="shared" ca="1" si="38"/>
        <v>119730647.23657788</v>
      </c>
      <c r="P74" s="39">
        <f ca="1">O74/$O$75</f>
        <v>0.42126437682276296</v>
      </c>
    </row>
    <row r="75" spans="2:16" x14ac:dyDescent="0.2">
      <c r="B75" s="12" t="str">
        <f>'Proforma A+H'!B264</f>
        <v>JV - EQUITY CAPITAL</v>
      </c>
      <c r="C75" s="11">
        <f>'Proforma A+H'!T264</f>
        <v>0</v>
      </c>
      <c r="D75" s="70"/>
      <c r="E75" s="11"/>
      <c r="F75" s="18">
        <f ca="1">C75/$C$81</f>
        <v>0</v>
      </c>
      <c r="H75" s="12" t="str">
        <f t="shared" si="39"/>
        <v>JV - EQUITY CAPITAL</v>
      </c>
      <c r="I75" s="11">
        <f t="shared" si="39"/>
        <v>0</v>
      </c>
      <c r="J75" s="70"/>
      <c r="K75" s="11"/>
      <c r="L75" s="18">
        <f t="shared" ref="L75:L80" ca="1" si="40">I75/$I$81</f>
        <v>0</v>
      </c>
      <c r="N75" s="23" t="str">
        <f>N43</f>
        <v>TOTAL REVENUE</v>
      </c>
      <c r="O75" s="24">
        <f ca="1">SUM(O72:O74)</f>
        <v>284217355.71282762</v>
      </c>
      <c r="P75" s="18">
        <f ca="1">O75/$O$75</f>
        <v>1</v>
      </c>
    </row>
    <row r="76" spans="2:16" x14ac:dyDescent="0.2">
      <c r="B76" s="12" t="str">
        <f>'Proforma A+H'!B265</f>
        <v>EB5 - MEZZ DEBT</v>
      </c>
      <c r="C76" s="11">
        <f>'Proforma A+H'!T265</f>
        <v>28800000</v>
      </c>
      <c r="D76" s="70"/>
      <c r="E76" s="11"/>
      <c r="F76" s="18">
        <f t="shared" ref="F76:F81" ca="1" si="41">C76/$C$81</f>
        <v>6.903769749614537E-2</v>
      </c>
      <c r="H76" s="12" t="str">
        <f t="shared" ref="H76:H81" si="42">B76</f>
        <v>EB5 - MEZZ DEBT</v>
      </c>
      <c r="I76" s="11">
        <f t="shared" ref="I76" si="43">C76</f>
        <v>28800000</v>
      </c>
      <c r="J76" s="70"/>
      <c r="K76" s="11"/>
      <c r="L76" s="18">
        <f t="shared" ca="1" si="40"/>
        <v>0.21774016762049569</v>
      </c>
      <c r="N76" s="12"/>
      <c r="O76" s="11"/>
      <c r="P76" s="40"/>
    </row>
    <row r="77" spans="2:16" x14ac:dyDescent="0.2">
      <c r="B77" s="12" t="str">
        <f>'Proforma A+H'!B266</f>
        <v>DEV LOAN</v>
      </c>
      <c r="C77" s="11">
        <f ca="1">'Proforma A+H'!T266</f>
        <v>103467740.55853662</v>
      </c>
      <c r="D77" s="70"/>
      <c r="E77" s="11"/>
      <c r="F77" s="18">
        <f t="shared" ca="1" si="41"/>
        <v>0.24802689490589938</v>
      </c>
      <c r="H77" s="12" t="str">
        <f t="shared" si="42"/>
        <v>DEV LOAN</v>
      </c>
      <c r="I77" s="11">
        <f ca="1">C77</f>
        <v>103467740.55853662</v>
      </c>
      <c r="J77" s="70"/>
      <c r="K77" s="11"/>
      <c r="L77" s="18">
        <f t="shared" ca="1" si="40"/>
        <v>0.78225983237950436</v>
      </c>
      <c r="N77" s="12" t="str">
        <f t="shared" ref="N77:O80" si="44">B84</f>
        <v>LAND ACQUISITION COSTS</v>
      </c>
      <c r="O77" s="11">
        <f t="shared" si="44"/>
        <v>15000000</v>
      </c>
      <c r="P77" s="18">
        <f ca="1">O77/$O$87</f>
        <v>7.2505182877491567E-2</v>
      </c>
    </row>
    <row r="78" spans="2:16" x14ac:dyDescent="0.2">
      <c r="B78" s="12" t="str">
        <f>'Proforma A+H'!B267</f>
        <v>TOTAL NET OPERATING INCOME (NOI)</v>
      </c>
      <c r="C78" s="11">
        <f ca="1">'Proforma A+H'!T267</f>
        <v>30073583.476249766</v>
      </c>
      <c r="D78" s="70"/>
      <c r="E78" s="11"/>
      <c r="F78" s="18">
        <f t="shared" ca="1" si="41"/>
        <v>7.209065828675025E-2</v>
      </c>
      <c r="H78" s="12"/>
      <c r="I78" s="11">
        <f>'Proforma A+H'!Z267</f>
        <v>0</v>
      </c>
      <c r="J78" s="70"/>
      <c r="K78" s="11"/>
      <c r="L78" s="18">
        <f t="shared" ca="1" si="40"/>
        <v>0</v>
      </c>
      <c r="N78" s="12" t="str">
        <f t="shared" si="44"/>
        <v>TOTAL VERTICAL CONSTRUCTION COSTS</v>
      </c>
      <c r="O78" s="11">
        <f t="shared" si="44"/>
        <v>107807730</v>
      </c>
      <c r="P78" s="18">
        <f t="shared" ref="P78:P87" ca="1" si="45">O78/$O$87</f>
        <v>0.52110794528381554</v>
      </c>
    </row>
    <row r="79" spans="2:16" x14ac:dyDescent="0.2">
      <c r="B79" s="12" t="str">
        <f>'Proforma A+H'!B268</f>
        <v>TOTAL UNIT SALES</v>
      </c>
      <c r="C79" s="11">
        <f>'Proforma A+H'!T268</f>
        <v>134413125</v>
      </c>
      <c r="D79" s="70"/>
      <c r="E79" s="11"/>
      <c r="F79" s="18">
        <f t="shared" ca="1" si="41"/>
        <v>0.3222073841410269</v>
      </c>
      <c r="H79" s="12"/>
      <c r="I79" s="11">
        <f>'Proforma A+H'!Z268</f>
        <v>0</v>
      </c>
      <c r="J79" s="70"/>
      <c r="K79" s="11"/>
      <c r="L79" s="18">
        <f t="shared" ca="1" si="40"/>
        <v>0</v>
      </c>
      <c r="N79" s="12" t="str">
        <f t="shared" si="44"/>
        <v>HARD COSTS - SITE</v>
      </c>
      <c r="O79" s="11">
        <f t="shared" si="44"/>
        <v>12036250</v>
      </c>
      <c r="P79" s="18">
        <f t="shared" ca="1" si="45"/>
        <v>5.8179367160613858E-2</v>
      </c>
    </row>
    <row r="80" spans="2:16" x14ac:dyDescent="0.2">
      <c r="B80" s="21" t="str">
        <f>'Proforma A+H'!B269</f>
        <v>HOTEL SALE PROCEEDS / DISPOSITION</v>
      </c>
      <c r="C80" s="22">
        <f ca="1">'Proforma A+H'!T269</f>
        <v>119730647.23657788</v>
      </c>
      <c r="D80" s="70"/>
      <c r="E80" s="22"/>
      <c r="F80" s="39">
        <f t="shared" ca="1" si="41"/>
        <v>0.28701139600474157</v>
      </c>
      <c r="H80" s="21"/>
      <c r="I80" s="22">
        <f>'Proforma A+H'!Z269</f>
        <v>0</v>
      </c>
      <c r="J80" s="70"/>
      <c r="K80" s="22"/>
      <c r="L80" s="39">
        <f t="shared" ca="1" si="40"/>
        <v>0</v>
      </c>
      <c r="N80" s="12" t="str">
        <f t="shared" si="44"/>
        <v>SOFT COSTS - PROFESSIONALS</v>
      </c>
      <c r="O80" s="11">
        <f t="shared" si="44"/>
        <v>9991244.6549999993</v>
      </c>
      <c r="P80" s="18">
        <f t="shared" ca="1" si="45"/>
        <v>4.8294468058969003E-2</v>
      </c>
    </row>
    <row r="81" spans="2:16" x14ac:dyDescent="0.2">
      <c r="B81" s="23" t="str">
        <f>'Proforma A+H'!B271</f>
        <v>TOTAL SOURCES</v>
      </c>
      <c r="C81" s="24">
        <f ca="1">'Proforma A+H'!T271</f>
        <v>417163391.08221287</v>
      </c>
      <c r="D81" s="89"/>
      <c r="E81" s="11"/>
      <c r="F81" s="18">
        <f t="shared" ca="1" si="41"/>
        <v>1</v>
      </c>
      <c r="H81" s="23" t="str">
        <f t="shared" si="42"/>
        <v>TOTAL SOURCES</v>
      </c>
      <c r="I81" s="24">
        <f ca="1">SUM(I73:I80)</f>
        <v>132267740.55853662</v>
      </c>
      <c r="J81" s="622"/>
      <c r="K81" s="24"/>
      <c r="L81" s="623">
        <f ca="1">I81/$I$81</f>
        <v>1</v>
      </c>
      <c r="N81" s="12" t="str">
        <f>B88</f>
        <v>SOFT COSTS - SALES</v>
      </c>
      <c r="O81" s="11">
        <f ca="1">C88-O86</f>
        <v>300000</v>
      </c>
      <c r="P81" s="18">
        <f t="shared" ca="1" si="45"/>
        <v>1.4501036575498313E-3</v>
      </c>
    </row>
    <row r="82" spans="2:16" x14ac:dyDescent="0.2">
      <c r="B82" s="12"/>
      <c r="C82" s="11"/>
      <c r="D82" s="11"/>
      <c r="E82" s="11"/>
      <c r="F82" s="40"/>
      <c r="H82" s="12"/>
      <c r="I82" s="11"/>
      <c r="J82" s="11"/>
      <c r="K82" s="11"/>
      <c r="L82" s="40"/>
      <c r="N82" s="12" t="str">
        <f>B89</f>
        <v>SOFT COSTS - TAXES AND INSURANCE</v>
      </c>
      <c r="O82" s="11">
        <f>C89</f>
        <v>696773.89</v>
      </c>
      <c r="P82" s="18">
        <f t="shared" ca="1" si="45"/>
        <v>3.3679812212474127E-3</v>
      </c>
    </row>
    <row r="83" spans="2:16" x14ac:dyDescent="0.2">
      <c r="B83" s="36" t="str">
        <f>B52</f>
        <v>USES</v>
      </c>
      <c r="C83" s="37" t="s">
        <v>135</v>
      </c>
      <c r="D83" s="38" t="s">
        <v>136</v>
      </c>
      <c r="E83" s="38"/>
      <c r="F83" s="41" t="s">
        <v>138</v>
      </c>
      <c r="H83" s="36" t="str">
        <f>H52</f>
        <v>USES</v>
      </c>
      <c r="I83" s="37" t="s">
        <v>135</v>
      </c>
      <c r="J83" s="38" t="s">
        <v>136</v>
      </c>
      <c r="K83" s="38"/>
      <c r="L83" s="41" t="s">
        <v>138</v>
      </c>
      <c r="N83" s="12" t="str">
        <f>B90</f>
        <v>SOFT COSTS - MUNICIPALITY FEES</v>
      </c>
      <c r="O83" s="11">
        <f>C90</f>
        <v>269519.32500000001</v>
      </c>
      <c r="P83" s="18">
        <f t="shared" ca="1" si="45"/>
        <v>1.3027698632095391E-3</v>
      </c>
    </row>
    <row r="84" spans="2:16" x14ac:dyDescent="0.2">
      <c r="B84" s="12" t="str">
        <f>'Proforma A+H'!B274</f>
        <v>LAND ACQUISITION COSTS</v>
      </c>
      <c r="C84" s="11">
        <f>'Proforma A+H'!T274</f>
        <v>15000000</v>
      </c>
      <c r="D84" s="70"/>
      <c r="E84" s="11"/>
      <c r="F84" s="18">
        <f ca="1">C84/$C$95</f>
        <v>3.5957134112575707E-2</v>
      </c>
      <c r="H84" s="12" t="str">
        <f>B84</f>
        <v>LAND ACQUISITION COSTS</v>
      </c>
      <c r="I84" s="11">
        <f>SUM('Proforma A+H'!G274:J274)</f>
        <v>15000000</v>
      </c>
      <c r="J84" s="70"/>
      <c r="K84" s="11"/>
      <c r="L84" s="18">
        <f ca="1">I84/$I$95</f>
        <v>0.11340633730234151</v>
      </c>
      <c r="N84" s="12" t="str">
        <f>B91</f>
        <v>DEVELOPMENT FEES</v>
      </c>
      <c r="O84" s="11">
        <f ca="1">C91</f>
        <v>4294099.2257048674</v>
      </c>
      <c r="P84" s="18">
        <f t="shared" ca="1" si="45"/>
        <v>2.0756296643588423E-2</v>
      </c>
    </row>
    <row r="85" spans="2:16" x14ac:dyDescent="0.2">
      <c r="B85" s="12" t="str">
        <f>'Proforma A+H'!B275</f>
        <v>TOTAL VERTICAL CONSTRUCTION COSTS</v>
      </c>
      <c r="C85" s="11">
        <f>'Proforma A+H'!T275</f>
        <v>107807730</v>
      </c>
      <c r="D85" s="70"/>
      <c r="E85" s="11"/>
      <c r="F85" s="18">
        <f t="shared" ref="F85:F95" ca="1" si="46">C85/$C$95</f>
        <v>0.25843046706549011</v>
      </c>
      <c r="H85" s="12" t="str">
        <f t="shared" ref="H85:H95" si="47">B85</f>
        <v>TOTAL VERTICAL CONSTRUCTION COSTS</v>
      </c>
      <c r="I85" s="11">
        <f>SUM('Proforma A+H'!G275:J275)</f>
        <v>82903134.375</v>
      </c>
      <c r="J85" s="70"/>
      <c r="K85" s="11"/>
      <c r="L85" s="18">
        <f t="shared" ref="L85:L95" ca="1" si="48">I85/$I$95</f>
        <v>0.62678272135683955</v>
      </c>
      <c r="N85" s="12" t="s">
        <v>144</v>
      </c>
      <c r="O85" s="11">
        <f ca="1">'Proforma A+H'!T209</f>
        <v>44451022.085348248</v>
      </c>
      <c r="P85" s="18">
        <f t="shared" ca="1" si="45"/>
        <v>0.21486196569263941</v>
      </c>
    </row>
    <row r="86" spans="2:16" x14ac:dyDescent="0.2">
      <c r="B86" s="12" t="str">
        <f>'Proforma A+H'!B276</f>
        <v>HARD COSTS - SITE</v>
      </c>
      <c r="C86" s="11">
        <f>'Proforma A+H'!T276</f>
        <v>12036250</v>
      </c>
      <c r="D86" s="70"/>
      <c r="E86" s="11"/>
      <c r="F86" s="18">
        <f t="shared" ca="1" si="46"/>
        <v>2.8852603697499292E-2</v>
      </c>
      <c r="H86" s="12" t="str">
        <f t="shared" si="47"/>
        <v>HARD COSTS - SITE</v>
      </c>
      <c r="I86" s="11">
        <f>SUM('Proforma A+H'!G276:J276)</f>
        <v>8465937.5</v>
      </c>
      <c r="J86" s="70"/>
      <c r="K86" s="11"/>
      <c r="L86" s="18">
        <f t="shared" ca="1" si="48"/>
        <v>6.4006064247036115E-2</v>
      </c>
      <c r="N86" s="21" t="s">
        <v>145</v>
      </c>
      <c r="O86" s="22">
        <f ca="1">'Proforma A+H'!T163+'Proforma A+H'!T167</f>
        <v>12035122.986828893</v>
      </c>
      <c r="P86" s="39">
        <f t="shared" ca="1" si="45"/>
        <v>5.8173919540875425E-2</v>
      </c>
    </row>
    <row r="87" spans="2:16" x14ac:dyDescent="0.2">
      <c r="B87" s="12" t="str">
        <f>'Proforma A+H'!B277</f>
        <v>SOFT COSTS - PROFESSIONALS</v>
      </c>
      <c r="C87" s="11">
        <f>'Proforma A+H'!T277</f>
        <v>9991244.6549999993</v>
      </c>
      <c r="D87" s="70"/>
      <c r="E87" s="11"/>
      <c r="F87" s="18">
        <f t="shared" ca="1" si="46"/>
        <v>2.3950434934092681E-2</v>
      </c>
      <c r="H87" s="12" t="str">
        <f t="shared" si="47"/>
        <v>SOFT COSTS - PROFESSIONALS</v>
      </c>
      <c r="I87" s="11">
        <f>SUM('Proforma A+H'!G277:J277)</f>
        <v>8774967.7312499993</v>
      </c>
      <c r="J87" s="70"/>
      <c r="K87" s="11"/>
      <c r="L87" s="18">
        <f t="shared" ca="1" si="48"/>
        <v>6.634246335648665E-2</v>
      </c>
      <c r="N87" s="23" t="str">
        <f>N56</f>
        <v>TOTAL COSTS</v>
      </c>
      <c r="O87" s="24">
        <f ca="1">SUM(O77:O86)</f>
        <v>206881762.167882</v>
      </c>
      <c r="P87" s="18">
        <f t="shared" ca="1" si="45"/>
        <v>1</v>
      </c>
    </row>
    <row r="88" spans="2:16" x14ac:dyDescent="0.2">
      <c r="B88" s="12" t="str">
        <f>'Proforma A+H'!B278</f>
        <v>SOFT COSTS - SALES</v>
      </c>
      <c r="C88" s="11">
        <f ca="1">'Proforma A+H'!T278</f>
        <v>12335122.986828893</v>
      </c>
      <c r="D88" s="70"/>
      <c r="E88" s="11"/>
      <c r="F88" s="18">
        <f t="shared" ca="1" si="46"/>
        <v>2.9569044768834797E-2</v>
      </c>
      <c r="H88" s="12" t="str">
        <f t="shared" si="47"/>
        <v>SOFT COSTS - SALES</v>
      </c>
      <c r="I88" s="11">
        <f>SUM('Proforma A+H'!G278:J278)</f>
        <v>749687.5</v>
      </c>
      <c r="J88" s="70"/>
      <c r="K88" s="11"/>
      <c r="L88" s="18">
        <f t="shared" ca="1" si="48"/>
        <v>5.6679542330899434E-3</v>
      </c>
    </row>
    <row r="89" spans="2:16" x14ac:dyDescent="0.2">
      <c r="B89" s="12" t="str">
        <f>'Proforma A+H'!B279</f>
        <v>SOFT COSTS - TAXES AND INSURANCE</v>
      </c>
      <c r="C89" s="11">
        <f>'Proforma A+H'!T279</f>
        <v>696773.89</v>
      </c>
      <c r="D89" s="70"/>
      <c r="E89" s="11"/>
      <c r="F89" s="18">
        <f t="shared" ca="1" si="46"/>
        <v>1.6702661472580717E-3</v>
      </c>
      <c r="H89" s="12" t="str">
        <f t="shared" si="47"/>
        <v>SOFT COSTS - TAXES AND INSURANCE</v>
      </c>
      <c r="I89" s="11">
        <f>SUM('Proforma A+H'!G279:J279)</f>
        <v>535297.89531249995</v>
      </c>
      <c r="J89" s="70"/>
      <c r="K89" s="11"/>
      <c r="L89" s="18">
        <f t="shared" ca="1" si="48"/>
        <v>4.0470782448695239E-3</v>
      </c>
      <c r="N89" s="52" t="s">
        <v>147</v>
      </c>
      <c r="O89" s="51">
        <f ca="1">O75-O87</f>
        <v>77335593.544945627</v>
      </c>
      <c r="P89" s="757">
        <f ca="1">O89/O75</f>
        <v>0.27210017963535371</v>
      </c>
    </row>
    <row r="90" spans="2:16" x14ac:dyDescent="0.2">
      <c r="B90" s="12" t="str">
        <f>'Proforma A+H'!B280</f>
        <v>SOFT COSTS - MUNICIPALITY FEES</v>
      </c>
      <c r="C90" s="11">
        <f>'Proforma A+H'!T280</f>
        <v>269519.32500000001</v>
      </c>
      <c r="D90" s="70"/>
      <c r="E90" s="11"/>
      <c r="F90" s="18">
        <f t="shared" ca="1" si="46"/>
        <v>6.4607616766372534E-4</v>
      </c>
      <c r="H90" s="12" t="str">
        <f t="shared" si="47"/>
        <v>SOFT COSTS - MUNICIPALITY FEES</v>
      </c>
      <c r="I90" s="11">
        <f>SUM('Proforma A+H'!G280:J280)</f>
        <v>207257.8359375</v>
      </c>
      <c r="J90" s="70"/>
      <c r="K90" s="11"/>
      <c r="L90" s="18">
        <f t="shared" ca="1" si="48"/>
        <v>1.5669568033920987E-3</v>
      </c>
    </row>
    <row r="91" spans="2:16" x14ac:dyDescent="0.2">
      <c r="B91" s="12" t="str">
        <f>'Proforma A+H'!B281</f>
        <v>DEVELOPMENT FEES</v>
      </c>
      <c r="C91" s="11">
        <f ca="1">'Proforma A+H'!T281</f>
        <v>4294099.2257048674</v>
      </c>
      <c r="D91" s="70"/>
      <c r="E91" s="11"/>
      <c r="F91" s="18">
        <f t="shared" ca="1" si="46"/>
        <v>1.0293566783425162E-2</v>
      </c>
      <c r="H91" s="12" t="str">
        <f t="shared" si="47"/>
        <v>DEVELOPMENT FEES</v>
      </c>
      <c r="I91" s="11">
        <f>SUM('Proforma A+H'!G281:J281)</f>
        <v>3049088.4851249997</v>
      </c>
      <c r="J91" s="70"/>
      <c r="K91" s="11"/>
      <c r="L91" s="18">
        <f t="shared" ca="1" si="48"/>
        <v>2.3052397147251415E-2</v>
      </c>
    </row>
    <row r="92" spans="2:16" x14ac:dyDescent="0.2">
      <c r="B92" s="12" t="str">
        <f>'Proforma A+H'!B282</f>
        <v>FINANCING COSTS &amp; REPAYMENT</v>
      </c>
      <c r="C92" s="11">
        <f ca="1">'Proforma A+H'!T282-C93</f>
        <v>169220608.9430021</v>
      </c>
      <c r="D92" s="70"/>
      <c r="E92" s="11"/>
      <c r="F92" s="18">
        <f t="shared" ca="1" si="46"/>
        <v>0.40564587535835034</v>
      </c>
      <c r="H92" s="12" t="str">
        <f t="shared" si="47"/>
        <v>FINANCING COSTS &amp; REPAYMENT</v>
      </c>
      <c r="I92" s="11">
        <f ca="1">SUM('Proforma A+H'!G282:J282)</f>
        <v>23731943.888044894</v>
      </c>
      <c r="J92" s="70"/>
      <c r="K92" s="11"/>
      <c r="L92" s="18">
        <f t="shared" ca="1" si="48"/>
        <v>0.17942352222719074</v>
      </c>
    </row>
    <row r="93" spans="2:16" x14ac:dyDescent="0.2">
      <c r="B93" s="12" t="s">
        <v>148</v>
      </c>
      <c r="C93" s="11">
        <f>'Proforma A+H'!T205</f>
        <v>12960000</v>
      </c>
      <c r="D93" s="70"/>
      <c r="E93" s="11"/>
      <c r="F93" s="18">
        <f t="shared" ca="1" si="46"/>
        <v>3.1066963873265414E-2</v>
      </c>
      <c r="H93" s="12"/>
      <c r="I93" s="11"/>
      <c r="J93" s="70"/>
      <c r="K93" s="11"/>
      <c r="L93" s="18">
        <f t="shared" ca="1" si="48"/>
        <v>0</v>
      </c>
    </row>
    <row r="94" spans="2:16" x14ac:dyDescent="0.2">
      <c r="B94" s="21" t="str">
        <f>'Proforma A+H'!B283</f>
        <v>DISTRIBUTIONS</v>
      </c>
      <c r="C94" s="22">
        <f ca="1">'Proforma A+H'!T283</f>
        <v>71873747.24582842</v>
      </c>
      <c r="D94" s="70"/>
      <c r="E94" s="22"/>
      <c r="F94" s="39">
        <f t="shared" ca="1" si="46"/>
        <v>0.1722915979261081</v>
      </c>
      <c r="H94" s="21" t="s">
        <v>149</v>
      </c>
      <c r="I94" s="22">
        <f ca="1">I95-SUM(I84:I92)</f>
        <v>-11149574.652133286</v>
      </c>
      <c r="J94" s="70"/>
      <c r="K94" s="22"/>
      <c r="L94" s="39">
        <f t="shared" ca="1" si="48"/>
        <v>-8.4295494918497624E-2</v>
      </c>
    </row>
    <row r="95" spans="2:16" x14ac:dyDescent="0.2">
      <c r="B95" s="23" t="str">
        <f>'Proforma A+H'!B285</f>
        <v>TOTAL USES</v>
      </c>
      <c r="C95" s="24">
        <f ca="1">'Proforma A+H'!T285</f>
        <v>417163391.08221292</v>
      </c>
      <c r="D95" s="89"/>
      <c r="E95" s="11"/>
      <c r="F95" s="18">
        <f t="shared" ca="1" si="46"/>
        <v>1</v>
      </c>
      <c r="H95" s="23" t="str">
        <f t="shared" si="47"/>
        <v>TOTAL USES</v>
      </c>
      <c r="I95" s="24">
        <f ca="1">I81</f>
        <v>132267740.55853662</v>
      </c>
      <c r="J95" s="89"/>
      <c r="K95" s="11"/>
      <c r="L95" s="18">
        <f t="shared" ca="1" si="48"/>
        <v>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D4789-BFB8-394A-896C-0BE21E640B56}">
  <sheetPr>
    <tabColor theme="4"/>
  </sheetPr>
  <dimension ref="B4:S4"/>
  <sheetViews>
    <sheetView topLeftCell="A2" workbookViewId="0">
      <selection activeCell="B5" sqref="B5"/>
    </sheetView>
  </sheetViews>
  <sheetFormatPr baseColWidth="10" defaultColWidth="11" defaultRowHeight="16" x14ac:dyDescent="0.2"/>
  <sheetData>
    <row r="4" spans="2:19" x14ac:dyDescent="0.2">
      <c r="B4" s="415" t="s">
        <v>154</v>
      </c>
      <c r="C4" s="415"/>
      <c r="D4" s="415"/>
      <c r="E4" s="415"/>
      <c r="F4" s="415"/>
      <c r="G4" s="415"/>
      <c r="H4" s="415"/>
      <c r="I4" s="415"/>
      <c r="J4" s="415"/>
      <c r="K4" s="415"/>
      <c r="L4" s="415"/>
      <c r="M4" s="415"/>
      <c r="N4" s="415"/>
      <c r="O4" s="415"/>
      <c r="P4" s="415"/>
      <c r="Q4" s="415"/>
      <c r="R4" s="415"/>
      <c r="S4" s="4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C1C3-3D55-47AF-B206-B5A7CFBADD2F}">
  <sheetPr>
    <tabColor theme="4"/>
  </sheetPr>
  <dimension ref="A1:AK102"/>
  <sheetViews>
    <sheetView showGridLines="0" zoomScale="90" zoomScaleNormal="90" zoomScaleSheetLayoutView="85" workbookViewId="0">
      <selection activeCell="F43" sqref="F43"/>
    </sheetView>
  </sheetViews>
  <sheetFormatPr baseColWidth="10" defaultColWidth="11" defaultRowHeight="16" outlineLevelCol="1" x14ac:dyDescent="0.2"/>
  <cols>
    <col min="1" max="1" width="3.1640625" style="515" customWidth="1"/>
    <col min="2" max="2" width="35.5" customWidth="1"/>
    <col min="3" max="3" width="11.1640625" bestFit="1" customWidth="1"/>
    <col min="4" max="4" width="13" bestFit="1" customWidth="1"/>
    <col min="5" max="5" width="11.1640625" customWidth="1"/>
    <col min="6" max="13" width="14.1640625" customWidth="1"/>
    <col min="14" max="18" width="12.1640625" customWidth="1" outlineLevel="1"/>
    <col min="19" max="19" width="3.6640625" customWidth="1"/>
    <col min="20" max="20" width="14" style="515" bestFit="1" customWidth="1"/>
    <col min="21" max="21" width="13.1640625" style="515" bestFit="1" customWidth="1"/>
    <col min="22" max="22" width="14" style="515" bestFit="1" customWidth="1"/>
    <col min="23" max="23" width="13" style="515" customWidth="1"/>
    <col min="24" max="34" width="13.1640625" style="515" bestFit="1" customWidth="1"/>
    <col min="35" max="36" width="11" style="515"/>
    <col min="37" max="37" width="12.5" style="515" bestFit="1" customWidth="1"/>
    <col min="38" max="16384" width="11" style="515"/>
  </cols>
  <sheetData>
    <row r="1" spans="1:19" ht="21" x14ac:dyDescent="0.25">
      <c r="A1" s="75"/>
      <c r="B1" s="511" t="s">
        <v>155</v>
      </c>
      <c r="C1" s="584"/>
      <c r="D1" s="584"/>
      <c r="E1" s="584"/>
    </row>
    <row r="2" spans="1:19" ht="21" x14ac:dyDescent="0.25">
      <c r="A2" s="75"/>
      <c r="B2" s="582" t="s">
        <v>156</v>
      </c>
      <c r="C2" s="582"/>
      <c r="D2" s="582"/>
      <c r="E2" s="58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</row>
    <row r="3" spans="1:19" hidden="1" x14ac:dyDescent="0.2">
      <c r="A3" s="257"/>
      <c r="H3" s="137"/>
    </row>
    <row r="4" spans="1:19" hidden="1" x14ac:dyDescent="0.2">
      <c r="A4" s="257"/>
      <c r="B4" s="191" t="s">
        <v>157</v>
      </c>
      <c r="C4" s="191"/>
      <c r="D4" s="191"/>
      <c r="E4" s="3"/>
      <c r="F4" s="614" t="s">
        <v>158</v>
      </c>
      <c r="G4" s="191"/>
      <c r="H4" s="191"/>
    </row>
    <row r="5" spans="1:19" hidden="1" x14ac:dyDescent="0.2">
      <c r="A5" s="257"/>
      <c r="B5" s="239" t="s">
        <v>159</v>
      </c>
      <c r="D5" s="586">
        <f>'Returns L+H'!D5</f>
        <v>96335729.493554473</v>
      </c>
      <c r="F5" s="239" t="s">
        <v>160</v>
      </c>
      <c r="H5" s="586">
        <f>'Returns L+H'!H5</f>
        <v>372055618.75000006</v>
      </c>
    </row>
    <row r="6" spans="1:19" hidden="1" x14ac:dyDescent="0.2">
      <c r="A6" s="257"/>
      <c r="B6" s="239" t="s">
        <v>161</v>
      </c>
      <c r="D6" s="586">
        <f>'Returns L+H'!D6</f>
        <v>287850000</v>
      </c>
      <c r="F6" s="307" t="s">
        <v>162</v>
      </c>
      <c r="H6" s="586">
        <f>'Returns L+H'!H6</f>
        <v>273679678.75341743</v>
      </c>
    </row>
    <row r="7" spans="1:19" hidden="1" x14ac:dyDescent="0.2">
      <c r="A7" s="257"/>
      <c r="B7" s="613" t="s">
        <v>163</v>
      </c>
      <c r="D7" s="617">
        <f>'Returns L+H'!D7</f>
        <v>0</v>
      </c>
      <c r="F7" s="616" t="s">
        <v>164</v>
      </c>
      <c r="H7" s="586">
        <f>'Returns L+H'!H7</f>
        <v>98375939.996582627</v>
      </c>
    </row>
    <row r="8" spans="1:19" hidden="1" x14ac:dyDescent="0.2">
      <c r="A8" s="257"/>
      <c r="B8" s="613" t="s">
        <v>165</v>
      </c>
      <c r="D8" s="615" t="e">
        <f>'Returns L+H'!D8</f>
        <v>#DIV/0!</v>
      </c>
      <c r="F8" s="239" t="s">
        <v>166</v>
      </c>
      <c r="H8" s="612">
        <f>'Returns L+H'!H8</f>
        <v>0.26441191864565172</v>
      </c>
    </row>
    <row r="9" spans="1:19" hidden="1" x14ac:dyDescent="0.2">
      <c r="A9" s="257"/>
      <c r="B9" s="613" t="s">
        <v>167</v>
      </c>
      <c r="D9" s="612">
        <f>'Returns L+H'!D9</f>
        <v>0.88062580664041756</v>
      </c>
      <c r="F9" s="239" t="s">
        <v>168</v>
      </c>
      <c r="H9" s="604">
        <f>'Returns L+H'!H9</f>
        <v>8.5544295649202287</v>
      </c>
      <c r="L9" s="2"/>
      <c r="M9" s="2"/>
      <c r="N9" s="2"/>
      <c r="O9" s="2"/>
      <c r="P9" s="2"/>
      <c r="Q9" s="2"/>
      <c r="R9" s="2"/>
      <c r="S9" s="2"/>
    </row>
    <row r="10" spans="1:19" hidden="1" x14ac:dyDescent="0.2">
      <c r="A10" s="257"/>
      <c r="B10" s="239" t="s">
        <v>169</v>
      </c>
      <c r="D10" s="489">
        <f>'Returns L+H'!D10</f>
        <v>5.5454059015788905E-2</v>
      </c>
      <c r="F10" s="11"/>
      <c r="I10" s="137"/>
      <c r="K10" s="604"/>
      <c r="L10" s="11"/>
      <c r="M10" s="11"/>
      <c r="N10" s="11"/>
    </row>
    <row r="11" spans="1:19" hidden="1" x14ac:dyDescent="0.2">
      <c r="A11" s="257"/>
      <c r="B11" s="613"/>
      <c r="L11" s="11"/>
      <c r="M11" s="11"/>
      <c r="N11" s="11"/>
    </row>
    <row r="12" spans="1:19" hidden="1" x14ac:dyDescent="0.2">
      <c r="A12" s="257"/>
      <c r="B12" s="614" t="s">
        <v>170</v>
      </c>
      <c r="C12" s="271"/>
      <c r="D12" s="271"/>
      <c r="F12" s="11"/>
      <c r="L12" s="11"/>
      <c r="M12" s="11"/>
      <c r="N12" s="11"/>
    </row>
    <row r="13" spans="1:19" hidden="1" x14ac:dyDescent="0.2">
      <c r="A13" s="257"/>
      <c r="B13" s="613" t="s">
        <v>171</v>
      </c>
      <c r="D13" s="586">
        <f>'Returns L+H'!D13</f>
        <v>98320251.920159847</v>
      </c>
      <c r="L13" s="11"/>
      <c r="M13" s="11"/>
      <c r="N13" s="11"/>
    </row>
    <row r="14" spans="1:19" hidden="1" x14ac:dyDescent="0.2">
      <c r="A14" s="257"/>
      <c r="B14" s="613" t="s">
        <v>172</v>
      </c>
      <c r="D14" s="604">
        <f>'Returns L+H'!D14</f>
        <v>9.5495871234921612</v>
      </c>
      <c r="L14" s="11"/>
      <c r="M14" s="11"/>
      <c r="N14" s="11"/>
    </row>
    <row r="15" spans="1:19" hidden="1" x14ac:dyDescent="0.2">
      <c r="A15" s="257"/>
      <c r="B15" s="239" t="s">
        <v>173</v>
      </c>
      <c r="D15" s="612">
        <f>'Returns L+H'!D15</f>
        <v>8.5495871234921612</v>
      </c>
      <c r="F15" s="11"/>
      <c r="L15" s="11"/>
      <c r="M15" s="11"/>
      <c r="N15" s="11"/>
    </row>
    <row r="16" spans="1:19" hidden="1" x14ac:dyDescent="0.2">
      <c r="A16" s="257"/>
      <c r="B16" s="239" t="s">
        <v>174</v>
      </c>
      <c r="D16" s="612">
        <f>'Returns L+H'!D16</f>
        <v>0.64360042214393631</v>
      </c>
    </row>
    <row r="17" spans="1:37" x14ac:dyDescent="0.2">
      <c r="A17" s="257"/>
      <c r="B17" s="239"/>
      <c r="D17" s="612"/>
    </row>
    <row r="18" spans="1:37" x14ac:dyDescent="0.2">
      <c r="A18" s="257"/>
      <c r="B18" s="611"/>
      <c r="E18" s="610"/>
      <c r="F18" s="247">
        <f>'Proforma L+H'!E3</f>
        <v>0</v>
      </c>
      <c r="G18" s="247">
        <f>'Proforma L+H'!F3</f>
        <v>1</v>
      </c>
      <c r="H18" s="247">
        <f>'Proforma L+H'!G3</f>
        <v>2</v>
      </c>
      <c r="I18" s="247">
        <f>'Proforma L+H'!H3</f>
        <v>3</v>
      </c>
      <c r="J18" s="247">
        <f>'Proforma L+H'!I3</f>
        <v>4</v>
      </c>
      <c r="K18" s="247">
        <f>'Proforma L+H'!J3</f>
        <v>5</v>
      </c>
      <c r="L18" s="247">
        <f>'Proforma L+H'!K3</f>
        <v>6</v>
      </c>
      <c r="M18" s="247">
        <f>'Proforma L+H'!L3</f>
        <v>7</v>
      </c>
      <c r="N18" s="247">
        <f>'Proforma L+H'!M3</f>
        <v>8</v>
      </c>
      <c r="O18" s="247">
        <f>'Proforma L+H'!N3</f>
        <v>9</v>
      </c>
      <c r="P18" s="247">
        <f>'Proforma L+H'!O3</f>
        <v>10</v>
      </c>
      <c r="Q18" s="247">
        <f>'Proforma L+H'!P3</f>
        <v>11</v>
      </c>
      <c r="R18" s="247">
        <f>'Proforma L+H'!Q3</f>
        <v>12</v>
      </c>
    </row>
    <row r="19" spans="1:37" s="744" customFormat="1" x14ac:dyDescent="0.2">
      <c r="A19" s="740"/>
      <c r="B19" s="741" t="s">
        <v>175</v>
      </c>
      <c r="C19" s="529"/>
      <c r="D19" s="529"/>
      <c r="E19" s="529"/>
      <c r="F19" s="742">
        <f>'Proforma L+H'!E4</f>
        <v>45658</v>
      </c>
      <c r="G19" s="742">
        <f>'Proforma L+H'!F4</f>
        <v>46023</v>
      </c>
      <c r="H19" s="742">
        <f>'Proforma L+H'!G4</f>
        <v>46388</v>
      </c>
      <c r="I19" s="742">
        <f>'Proforma L+H'!H4</f>
        <v>46753</v>
      </c>
      <c r="J19" s="742">
        <f>'Proforma L+H'!I4</f>
        <v>47119</v>
      </c>
      <c r="K19" s="742">
        <f>'Proforma L+H'!J4</f>
        <v>47484</v>
      </c>
      <c r="L19" s="742">
        <f>'Proforma L+H'!K4</f>
        <v>47849</v>
      </c>
      <c r="M19" s="742">
        <f>'Proforma L+H'!L4</f>
        <v>48214</v>
      </c>
      <c r="N19" s="742">
        <f>'Proforma L+H'!M4</f>
        <v>48580</v>
      </c>
      <c r="O19" s="742">
        <f>'Proforma L+H'!N4</f>
        <v>48945</v>
      </c>
      <c r="P19" s="742">
        <f>'Proforma L+H'!O4</f>
        <v>49310</v>
      </c>
      <c r="Q19" s="742">
        <f>'Proforma L+H'!P4</f>
        <v>49675</v>
      </c>
      <c r="R19" s="742">
        <f>'Proforma L+H'!Q4</f>
        <v>50041</v>
      </c>
      <c r="S19" s="529"/>
      <c r="T19" s="743"/>
      <c r="U19" s="743"/>
      <c r="V19" s="743"/>
      <c r="W19" s="743"/>
      <c r="X19" s="743"/>
      <c r="Y19" s="743"/>
      <c r="Z19" s="743"/>
      <c r="AA19" s="743"/>
      <c r="AB19" s="743"/>
      <c r="AC19" s="743"/>
      <c r="AD19" s="743"/>
      <c r="AE19" s="743"/>
      <c r="AF19" s="743"/>
      <c r="AG19" s="743"/>
      <c r="AH19" s="743"/>
      <c r="AI19" s="743"/>
      <c r="AJ19" s="743"/>
      <c r="AK19" s="743"/>
    </row>
    <row r="20" spans="1:37" x14ac:dyDescent="0.2">
      <c r="A20" s="257"/>
      <c r="B20" s="34" t="s">
        <v>176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262"/>
      <c r="T20" s="608"/>
      <c r="U20" s="608"/>
      <c r="V20" s="608"/>
      <c r="W20" s="608"/>
      <c r="X20" s="608"/>
      <c r="Y20" s="608"/>
      <c r="Z20" s="608"/>
      <c r="AA20" s="608"/>
      <c r="AB20" s="608"/>
      <c r="AC20" s="608"/>
      <c r="AD20" s="608"/>
      <c r="AE20" s="608"/>
      <c r="AF20" s="608"/>
      <c r="AG20" s="608"/>
      <c r="AH20" s="608"/>
      <c r="AI20" s="608"/>
      <c r="AJ20" s="608"/>
      <c r="AK20" s="608"/>
    </row>
    <row r="21" spans="1:37" x14ac:dyDescent="0.2">
      <c r="A21" s="257"/>
      <c r="B21" s="170" t="s">
        <v>32</v>
      </c>
      <c r="D21" s="147">
        <f t="shared" ref="D21:D22" si="0">SUM(F21:R21)</f>
        <v>14641000</v>
      </c>
      <c r="F21" s="92">
        <f>'Returns L+H'!F21+'Returns A+H'!F21</f>
        <v>0</v>
      </c>
      <c r="G21" s="92">
        <f>'Returns L+H'!G21+'Returns A+H'!G21</f>
        <v>0</v>
      </c>
      <c r="H21" s="92">
        <f>'Returns L+H'!H21+'Returns A+H'!H21</f>
        <v>0</v>
      </c>
      <c r="I21" s="92">
        <f>'Returns L+H'!I21+'Returns A+H'!I21</f>
        <v>0</v>
      </c>
      <c r="J21" s="92">
        <f>'Returns L+H'!J21+'Returns A+H'!J21</f>
        <v>14641000</v>
      </c>
      <c r="K21" s="92">
        <f>'Returns L+H'!K21+'Returns A+H'!K21</f>
        <v>0</v>
      </c>
      <c r="L21" s="92">
        <f>'Returns L+H'!L21+'Returns A+H'!L21</f>
        <v>0</v>
      </c>
      <c r="M21" s="92">
        <f>'Returns L+H'!M21+'Returns A+H'!M21</f>
        <v>0</v>
      </c>
      <c r="N21" s="92">
        <f>'Returns L+H'!N21+'Returns A+H'!N21</f>
        <v>0</v>
      </c>
      <c r="O21" s="92">
        <f>'Returns L+H'!O21+'Returns A+H'!O21</f>
        <v>0</v>
      </c>
      <c r="P21" s="92">
        <f>'Returns L+H'!P21+'Returns A+H'!P21</f>
        <v>0</v>
      </c>
      <c r="Q21" s="92">
        <f>'Returns L+H'!Q21+'Returns A+H'!Q21</f>
        <v>0</v>
      </c>
      <c r="R21" s="92">
        <f>'Returns L+H'!R21+'Returns A+H'!R21</f>
        <v>0</v>
      </c>
      <c r="S21" s="262"/>
      <c r="T21" s="608"/>
      <c r="U21" s="608"/>
      <c r="V21" s="608"/>
    </row>
    <row r="22" spans="1:37" x14ac:dyDescent="0.2">
      <c r="A22" s="257"/>
      <c r="B22" s="268" t="s">
        <v>177</v>
      </c>
      <c r="C22" s="222"/>
      <c r="D22" s="267">
        <f t="shared" si="0"/>
        <v>14953794.547868952</v>
      </c>
      <c r="E22" s="222"/>
      <c r="F22" s="77">
        <f>'Returns L+H'!F22+'Returns A+H'!F22</f>
        <v>0</v>
      </c>
      <c r="G22" s="77">
        <f>'Returns L+H'!G22+'Returns A+H'!G22</f>
        <v>0</v>
      </c>
      <c r="H22" s="77">
        <f>'Returns L+H'!H22+'Returns A+H'!H22</f>
        <v>0</v>
      </c>
      <c r="I22" s="77">
        <f>'Returns L+H'!I22+'Returns A+H'!I22</f>
        <v>0</v>
      </c>
      <c r="J22" s="77">
        <f>'Returns L+H'!J22+'Returns A+H'!J22</f>
        <v>14953794.547868948</v>
      </c>
      <c r="K22" s="77">
        <f>'Returns L+H'!K22+'Returns A+H'!K22</f>
        <v>0</v>
      </c>
      <c r="L22" s="77">
        <f>'Returns L+H'!L22+'Returns A+H'!L22</f>
        <v>4.5351360155188514E-9</v>
      </c>
      <c r="M22" s="77">
        <f>'Returns L+H'!M22+'Returns A+H'!M22</f>
        <v>0</v>
      </c>
      <c r="N22" s="77">
        <f>'Returns L+H'!N22+'Returns A+H'!N22</f>
        <v>0</v>
      </c>
      <c r="O22" s="77">
        <f>'Returns L+H'!O22+'Returns A+H'!O22</f>
        <v>0</v>
      </c>
      <c r="P22" s="77">
        <f>'Returns L+H'!P22+'Returns A+H'!P22</f>
        <v>0</v>
      </c>
      <c r="Q22" s="77">
        <f>'Returns L+H'!Q22+'Returns A+H'!Q22</f>
        <v>0</v>
      </c>
      <c r="R22" s="77">
        <f>'Returns L+H'!R22+'Returns A+H'!R22</f>
        <v>0</v>
      </c>
      <c r="S22" s="262"/>
      <c r="T22" s="608"/>
      <c r="U22" s="608"/>
      <c r="V22" s="608"/>
    </row>
    <row r="23" spans="1:37" x14ac:dyDescent="0.2">
      <c r="A23" s="257"/>
      <c r="B23" s="132" t="s">
        <v>178</v>
      </c>
      <c r="D23" s="109">
        <f>SUM(F23:R23)</f>
        <v>29594794.547868952</v>
      </c>
      <c r="F23" s="92">
        <f>F21+F22</f>
        <v>0</v>
      </c>
      <c r="G23" s="92">
        <f t="shared" ref="G23:R23" si="1">G21+G22</f>
        <v>0</v>
      </c>
      <c r="H23" s="92">
        <f t="shared" si="1"/>
        <v>0</v>
      </c>
      <c r="I23" s="92">
        <f t="shared" si="1"/>
        <v>0</v>
      </c>
      <c r="J23" s="92">
        <f t="shared" si="1"/>
        <v>29594794.547868948</v>
      </c>
      <c r="K23" s="92">
        <f t="shared" si="1"/>
        <v>0</v>
      </c>
      <c r="L23" s="92">
        <f t="shared" si="1"/>
        <v>4.5351360155188514E-9</v>
      </c>
      <c r="M23" s="92">
        <f t="shared" si="1"/>
        <v>0</v>
      </c>
      <c r="N23" s="92">
        <f t="shared" si="1"/>
        <v>0</v>
      </c>
      <c r="O23" s="92">
        <f t="shared" si="1"/>
        <v>0</v>
      </c>
      <c r="P23" s="92">
        <f t="shared" si="1"/>
        <v>0</v>
      </c>
      <c r="Q23" s="92">
        <f t="shared" si="1"/>
        <v>0</v>
      </c>
      <c r="R23" s="92">
        <f t="shared" si="1"/>
        <v>0</v>
      </c>
      <c r="S23" s="262"/>
      <c r="T23" s="608"/>
      <c r="U23" s="608"/>
      <c r="V23" s="608"/>
    </row>
    <row r="24" spans="1:37" x14ac:dyDescent="0.2">
      <c r="A24" s="257"/>
      <c r="B24" s="599" t="s">
        <v>179</v>
      </c>
      <c r="C24" s="2"/>
      <c r="D24" s="606">
        <f>SUM(F24:R24)</f>
        <v>10000000</v>
      </c>
      <c r="E24" s="2"/>
      <c r="F24" s="542">
        <f>'Returns L+H'!F24+'Returns A+H'!F24</f>
        <v>10000000</v>
      </c>
      <c r="G24" s="542">
        <f>'Returns L+H'!G24+'Returns A+H'!G24</f>
        <v>0</v>
      </c>
      <c r="H24" s="542">
        <f>'Returns L+H'!H24+'Returns A+H'!H24</f>
        <v>0</v>
      </c>
      <c r="I24" s="542"/>
      <c r="J24" s="542"/>
      <c r="K24" s="542"/>
      <c r="L24" s="542"/>
      <c r="M24" s="542"/>
      <c r="N24" s="542"/>
      <c r="O24" s="542"/>
      <c r="P24" s="542"/>
      <c r="Q24" s="542"/>
      <c r="R24" s="542"/>
      <c r="S24" s="262"/>
      <c r="T24" s="608"/>
      <c r="U24" s="608"/>
      <c r="V24" s="608"/>
      <c r="W24" s="608"/>
      <c r="X24" s="608"/>
      <c r="Y24" s="608"/>
      <c r="Z24" s="608"/>
      <c r="AA24" s="608"/>
      <c r="AB24" s="608"/>
      <c r="AC24" s="608"/>
      <c r="AD24" s="608"/>
      <c r="AE24" s="608"/>
      <c r="AF24" s="608"/>
      <c r="AG24" s="608"/>
      <c r="AH24" s="608"/>
      <c r="AI24" s="608"/>
      <c r="AJ24" s="608"/>
      <c r="AK24" s="608"/>
    </row>
    <row r="25" spans="1:37" ht="17" thickBot="1" x14ac:dyDescent="0.25">
      <c r="A25" s="257"/>
      <c r="B25" s="599" t="s">
        <v>180</v>
      </c>
      <c r="C25" s="2"/>
      <c r="D25" s="609">
        <f>SUM(F25:R25)</f>
        <v>19594794.547868952</v>
      </c>
      <c r="E25" s="2"/>
      <c r="F25" s="542">
        <f>F23-F24</f>
        <v>-10000000</v>
      </c>
      <c r="G25" s="542">
        <f t="shared" ref="G25:R25" si="2">G23-G24</f>
        <v>0</v>
      </c>
      <c r="H25" s="542">
        <f t="shared" si="2"/>
        <v>0</v>
      </c>
      <c r="I25" s="542">
        <f t="shared" si="2"/>
        <v>0</v>
      </c>
      <c r="J25" s="542">
        <f t="shared" si="2"/>
        <v>29594794.547868948</v>
      </c>
      <c r="K25" s="542">
        <f t="shared" si="2"/>
        <v>0</v>
      </c>
      <c r="L25" s="542">
        <f t="shared" si="2"/>
        <v>4.5351360155188514E-9</v>
      </c>
      <c r="M25" s="542">
        <f t="shared" si="2"/>
        <v>0</v>
      </c>
      <c r="N25" s="542">
        <f t="shared" si="2"/>
        <v>0</v>
      </c>
      <c r="O25" s="542">
        <f t="shared" si="2"/>
        <v>0</v>
      </c>
      <c r="P25" s="542">
        <f t="shared" si="2"/>
        <v>0</v>
      </c>
      <c r="Q25" s="542">
        <f t="shared" si="2"/>
        <v>0</v>
      </c>
      <c r="R25" s="542">
        <f t="shared" si="2"/>
        <v>0</v>
      </c>
      <c r="S25" s="262"/>
      <c r="T25" s="608"/>
      <c r="U25" s="608"/>
      <c r="V25" s="608"/>
      <c r="W25" s="608"/>
      <c r="X25" s="608"/>
      <c r="Y25" s="608"/>
      <c r="Z25" s="608"/>
      <c r="AA25" s="608"/>
      <c r="AB25" s="608"/>
      <c r="AC25" s="608"/>
      <c r="AD25" s="608"/>
      <c r="AE25" s="608"/>
      <c r="AF25" s="608"/>
      <c r="AG25" s="608"/>
      <c r="AH25" s="608"/>
      <c r="AI25" s="608"/>
      <c r="AJ25" s="608"/>
      <c r="AK25" s="608"/>
    </row>
    <row r="26" spans="1:37" ht="17" thickTop="1" x14ac:dyDescent="0.2">
      <c r="A26" s="257"/>
      <c r="B26" s="599" t="s">
        <v>181</v>
      </c>
      <c r="C26" s="2"/>
      <c r="D26" s="2"/>
      <c r="E26" s="2"/>
      <c r="F26" s="598">
        <f>IRR(F25:R25)</f>
        <v>0.31160732171530525</v>
      </c>
    </row>
    <row r="27" spans="1:37" x14ac:dyDescent="0.2">
      <c r="A27" s="257"/>
      <c r="B27" s="599" t="s">
        <v>182</v>
      </c>
      <c r="C27" s="2"/>
      <c r="D27" s="2"/>
      <c r="E27" s="2"/>
      <c r="F27" s="603">
        <f>SUMIF(F25:R25,"&gt;0")/-SUMIF(F25:R25,"&lt;0")</f>
        <v>2.9594794547868952</v>
      </c>
    </row>
    <row r="28" spans="1:37" x14ac:dyDescent="0.2">
      <c r="A28" s="257"/>
      <c r="B28" s="599" t="s">
        <v>183</v>
      </c>
      <c r="C28" s="2"/>
      <c r="D28" s="2"/>
      <c r="E28" s="2"/>
      <c r="F28" s="542">
        <f t="shared" ref="F28:R28" si="3">F25+E28</f>
        <v>-10000000</v>
      </c>
      <c r="G28" s="542">
        <f t="shared" si="3"/>
        <v>-10000000</v>
      </c>
      <c r="H28" s="542">
        <f t="shared" si="3"/>
        <v>-10000000</v>
      </c>
      <c r="I28" s="542">
        <f t="shared" si="3"/>
        <v>-10000000</v>
      </c>
      <c r="J28" s="542">
        <f t="shared" si="3"/>
        <v>19594794.547868948</v>
      </c>
      <c r="K28" s="542">
        <f t="shared" si="3"/>
        <v>19594794.547868948</v>
      </c>
      <c r="L28" s="542">
        <f t="shared" si="3"/>
        <v>19594794.547868952</v>
      </c>
      <c r="M28" s="542">
        <f t="shared" si="3"/>
        <v>19594794.547868952</v>
      </c>
      <c r="N28" s="542">
        <f t="shared" si="3"/>
        <v>19594794.547868952</v>
      </c>
      <c r="O28" s="542">
        <f t="shared" si="3"/>
        <v>19594794.547868952</v>
      </c>
      <c r="P28" s="542">
        <f t="shared" si="3"/>
        <v>19594794.547868952</v>
      </c>
      <c r="Q28" s="542">
        <f t="shared" si="3"/>
        <v>19594794.547868952</v>
      </c>
      <c r="R28" s="542">
        <f t="shared" si="3"/>
        <v>19594794.547868952</v>
      </c>
    </row>
    <row r="29" spans="1:37" x14ac:dyDescent="0.2">
      <c r="A29" s="257"/>
      <c r="B29" s="599"/>
      <c r="C29" s="2"/>
      <c r="D29" s="2"/>
      <c r="E29" s="2"/>
      <c r="F29" s="542"/>
      <c r="G29" s="542"/>
      <c r="H29" s="542"/>
      <c r="I29" s="542"/>
      <c r="J29" s="542"/>
      <c r="K29" s="542"/>
      <c r="L29" s="542"/>
      <c r="M29" s="542"/>
      <c r="N29" s="542"/>
      <c r="O29" s="542"/>
      <c r="P29" s="542"/>
      <c r="Q29" s="542"/>
      <c r="R29" s="542"/>
    </row>
    <row r="30" spans="1:37" x14ac:dyDescent="0.2">
      <c r="A30" s="257"/>
      <c r="B30" s="34" t="s">
        <v>184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</row>
    <row r="31" spans="1:37" x14ac:dyDescent="0.2">
      <c r="A31" s="257"/>
      <c r="B31" s="170" t="s">
        <v>185</v>
      </c>
      <c r="D31" s="147">
        <f t="shared" ref="D31:D32" ca="1" si="4">SUM(F31:R31)</f>
        <v>2196150</v>
      </c>
      <c r="F31" s="92">
        <f>'Returns L+H'!F31+'Returns A+H'!F31</f>
        <v>0</v>
      </c>
      <c r="G31" s="92">
        <f>'Returns L+H'!G31+'Returns A+H'!G31</f>
        <v>0</v>
      </c>
      <c r="H31" s="92">
        <f>'Returns L+H'!H31+'Returns A+H'!H31</f>
        <v>0</v>
      </c>
      <c r="I31" s="92">
        <f>'Returns L+H'!I31+'Returns A+H'!I31</f>
        <v>0</v>
      </c>
      <c r="J31" s="92">
        <f ca="1">'Returns L+H'!J31+'Returns A+H'!J31</f>
        <v>2196150</v>
      </c>
      <c r="K31" s="92">
        <f ca="1">'Returns L+H'!K31+'Returns A+H'!K31</f>
        <v>0</v>
      </c>
      <c r="L31" s="92">
        <f ca="1">'Returns L+H'!L31+'Returns A+H'!L31</f>
        <v>0</v>
      </c>
      <c r="M31" s="92">
        <f ca="1">'Returns L+H'!M31+'Returns A+H'!M31</f>
        <v>0</v>
      </c>
      <c r="N31" s="92">
        <f>'Returns L+H'!N31+'Returns A+H'!N31</f>
        <v>0</v>
      </c>
      <c r="O31" s="92">
        <f>'Returns L+H'!O31+'Returns A+H'!O31</f>
        <v>0</v>
      </c>
      <c r="P31" s="92">
        <f>'Returns L+H'!P31+'Returns A+H'!P31</f>
        <v>0</v>
      </c>
      <c r="Q31" s="92">
        <f>'Returns L+H'!Q31+'Returns A+H'!Q31</f>
        <v>0</v>
      </c>
      <c r="R31" s="92">
        <f>'Returns L+H'!R31+'Returns A+H'!R31</f>
        <v>0</v>
      </c>
      <c r="S31" s="262"/>
      <c r="T31" s="608"/>
      <c r="U31" s="608"/>
      <c r="V31" s="608"/>
    </row>
    <row r="32" spans="1:37" x14ac:dyDescent="0.2">
      <c r="A32" s="257"/>
      <c r="B32" s="268" t="s">
        <v>177</v>
      </c>
      <c r="C32" s="222"/>
      <c r="D32" s="267">
        <f t="shared" ca="1" si="4"/>
        <v>2243069.1821803427</v>
      </c>
      <c r="E32" s="222"/>
      <c r="F32" s="77">
        <f>'Returns L+H'!F32+'Returns A+H'!F32</f>
        <v>0</v>
      </c>
      <c r="G32" s="77">
        <f>'Returns L+H'!G32+'Returns A+H'!G32</f>
        <v>0</v>
      </c>
      <c r="H32" s="77">
        <f>'Returns L+H'!H32+'Returns A+H'!H32</f>
        <v>0</v>
      </c>
      <c r="I32" s="77">
        <f>'Returns L+H'!I32+'Returns A+H'!I32</f>
        <v>0</v>
      </c>
      <c r="J32" s="77">
        <f ca="1">'Returns L+H'!J32+'Returns A+H'!J32</f>
        <v>2243069.1821803423</v>
      </c>
      <c r="K32" s="77">
        <f ca="1">'Returns L+H'!K32+'Returns A+H'!K32</f>
        <v>0</v>
      </c>
      <c r="L32" s="77">
        <f ca="1">'Returns L+H'!L32+'Returns A+H'!L32</f>
        <v>6.8027040232782789E-10</v>
      </c>
      <c r="M32" s="77">
        <f ca="1">'Returns L+H'!M32+'Returns A+H'!M32</f>
        <v>0</v>
      </c>
      <c r="N32" s="77">
        <f>'Returns L+H'!N32+'Returns A+H'!N32</f>
        <v>0</v>
      </c>
      <c r="O32" s="77">
        <f>'Returns L+H'!O32+'Returns A+H'!O32</f>
        <v>0</v>
      </c>
      <c r="P32" s="77">
        <f>'Returns L+H'!P32+'Returns A+H'!P32</f>
        <v>0</v>
      </c>
      <c r="Q32" s="77">
        <f>'Returns L+H'!Q32+'Returns A+H'!Q32</f>
        <v>0</v>
      </c>
      <c r="R32" s="77">
        <f>'Returns L+H'!R32+'Returns A+H'!R32</f>
        <v>0</v>
      </c>
      <c r="S32" s="262"/>
      <c r="T32" s="608"/>
      <c r="U32" s="608"/>
      <c r="V32" s="608"/>
    </row>
    <row r="33" spans="1:37" x14ac:dyDescent="0.2">
      <c r="A33" s="257"/>
      <c r="B33" s="599" t="s">
        <v>186</v>
      </c>
      <c r="C33" s="2"/>
      <c r="D33" s="606">
        <f t="shared" ref="D33:D34" ca="1" si="5">SUM(F33:R33)</f>
        <v>4439219.1821803432</v>
      </c>
      <c r="E33" s="2"/>
      <c r="F33" s="542">
        <f>SUM(F31:F32)</f>
        <v>0</v>
      </c>
      <c r="G33" s="542">
        <f t="shared" ref="G33:R33" si="6">SUM(G31:G32)</f>
        <v>0</v>
      </c>
      <c r="H33" s="542">
        <f t="shared" si="6"/>
        <v>0</v>
      </c>
      <c r="I33" s="542">
        <f t="shared" si="6"/>
        <v>0</v>
      </c>
      <c r="J33" s="542">
        <f t="shared" ca="1" si="6"/>
        <v>4439219.1821803423</v>
      </c>
      <c r="K33" s="542">
        <f t="shared" ca="1" si="6"/>
        <v>0</v>
      </c>
      <c r="L33" s="542">
        <f t="shared" ca="1" si="6"/>
        <v>6.8027040232782789E-10</v>
      </c>
      <c r="M33" s="542">
        <f t="shared" ca="1" si="6"/>
        <v>0</v>
      </c>
      <c r="N33" s="542">
        <f t="shared" si="6"/>
        <v>0</v>
      </c>
      <c r="O33" s="542">
        <f t="shared" si="6"/>
        <v>0</v>
      </c>
      <c r="P33" s="542">
        <f t="shared" si="6"/>
        <v>0</v>
      </c>
      <c r="Q33" s="542">
        <f t="shared" si="6"/>
        <v>0</v>
      </c>
      <c r="R33" s="542">
        <f t="shared" si="6"/>
        <v>0</v>
      </c>
    </row>
    <row r="34" spans="1:37" x14ac:dyDescent="0.2">
      <c r="A34" s="257"/>
      <c r="B34" s="599" t="s">
        <v>179</v>
      </c>
      <c r="C34" s="2"/>
      <c r="D34" s="606">
        <f t="shared" si="5"/>
        <v>1500000</v>
      </c>
      <c r="E34" s="2"/>
      <c r="F34" s="542">
        <f>'Returns L+H'!F34+'Returns A+H'!F34</f>
        <v>1500000</v>
      </c>
      <c r="G34" s="542">
        <f>'Returns L+H'!G34+'Returns A+H'!G34</f>
        <v>0</v>
      </c>
      <c r="H34" s="542">
        <f>'Returns L+H'!H34+'Returns A+H'!H34</f>
        <v>0</v>
      </c>
      <c r="I34" s="542">
        <f>'Returns L+H'!I34+'Returns A+H'!I34</f>
        <v>0</v>
      </c>
      <c r="J34" s="542">
        <f>'Returns L+H'!J34+'Returns A+H'!J34</f>
        <v>0</v>
      </c>
      <c r="K34" s="542">
        <f>'Returns L+H'!K34+'Returns A+H'!K34</f>
        <v>0</v>
      </c>
      <c r="L34" s="542">
        <f>'Returns L+H'!L34+'Returns A+H'!L34</f>
        <v>0</v>
      </c>
      <c r="M34" s="542">
        <f>'Returns L+H'!M34+'Returns A+H'!M34</f>
        <v>0</v>
      </c>
      <c r="N34" s="542">
        <f>'Returns L+H'!N34+'Returns A+H'!N34</f>
        <v>0</v>
      </c>
      <c r="O34" s="542"/>
      <c r="P34" s="542"/>
      <c r="Q34" s="542"/>
      <c r="R34" s="542"/>
      <c r="S34" s="262"/>
      <c r="T34" s="608"/>
      <c r="U34" s="608"/>
      <c r="V34" s="608"/>
      <c r="W34" s="608"/>
      <c r="X34" s="608"/>
      <c r="Y34" s="608"/>
      <c r="Z34" s="608"/>
      <c r="AA34" s="608"/>
      <c r="AB34" s="608"/>
      <c r="AC34" s="608"/>
      <c r="AD34" s="608"/>
      <c r="AE34" s="608"/>
      <c r="AF34" s="608"/>
      <c r="AG34" s="608"/>
      <c r="AH34" s="608"/>
      <c r="AI34" s="608"/>
      <c r="AJ34" s="608"/>
      <c r="AK34" s="608"/>
    </row>
    <row r="35" spans="1:37" ht="17" thickBot="1" x14ac:dyDescent="0.25">
      <c r="A35" s="257"/>
      <c r="B35" s="599" t="s">
        <v>187</v>
      </c>
      <c r="C35" s="2"/>
      <c r="D35" s="609">
        <f ca="1">SUM(F35:R35)</f>
        <v>2939219.1821803427</v>
      </c>
      <c r="E35" s="2"/>
      <c r="F35" s="542">
        <f>F33-F34</f>
        <v>-1500000</v>
      </c>
      <c r="G35" s="542">
        <f t="shared" ref="G35:R35" si="7">G33-G34</f>
        <v>0</v>
      </c>
      <c r="H35" s="542">
        <f t="shared" si="7"/>
        <v>0</v>
      </c>
      <c r="I35" s="542">
        <f t="shared" si="7"/>
        <v>0</v>
      </c>
      <c r="J35" s="542">
        <f t="shared" ca="1" si="7"/>
        <v>4439219.1821803423</v>
      </c>
      <c r="K35" s="542">
        <f t="shared" ca="1" si="7"/>
        <v>0</v>
      </c>
      <c r="L35" s="542">
        <f t="shared" ca="1" si="7"/>
        <v>6.8027040232782789E-10</v>
      </c>
      <c r="M35" s="542">
        <f t="shared" ca="1" si="7"/>
        <v>0</v>
      </c>
      <c r="N35" s="542">
        <f t="shared" si="7"/>
        <v>0</v>
      </c>
      <c r="O35" s="542">
        <f t="shared" si="7"/>
        <v>0</v>
      </c>
      <c r="P35" s="542">
        <f t="shared" si="7"/>
        <v>0</v>
      </c>
      <c r="Q35" s="542">
        <f t="shared" si="7"/>
        <v>0</v>
      </c>
      <c r="R35" s="542">
        <f t="shared" si="7"/>
        <v>0</v>
      </c>
      <c r="S35" s="262"/>
      <c r="T35" s="608"/>
      <c r="U35" s="608"/>
      <c r="V35" s="608"/>
      <c r="W35" s="608"/>
      <c r="X35" s="608"/>
      <c r="Y35" s="608"/>
      <c r="Z35" s="608"/>
      <c r="AA35" s="608"/>
      <c r="AB35" s="608"/>
      <c r="AC35" s="608"/>
      <c r="AD35" s="608"/>
      <c r="AE35" s="608"/>
      <c r="AF35" s="608"/>
      <c r="AG35" s="608"/>
      <c r="AH35" s="608"/>
      <c r="AI35" s="608"/>
      <c r="AJ35" s="608"/>
      <c r="AK35" s="608"/>
    </row>
    <row r="36" spans="1:37" ht="17" thickTop="1" x14ac:dyDescent="0.2">
      <c r="A36" s="257"/>
      <c r="B36" s="599" t="s">
        <v>188</v>
      </c>
      <c r="C36" s="2"/>
      <c r="D36" s="2"/>
      <c r="E36" s="2"/>
      <c r="F36" s="598">
        <f ca="1">IRR(F35:R35)</f>
        <v>0.31160732171530525</v>
      </c>
    </row>
    <row r="37" spans="1:37" x14ac:dyDescent="0.2">
      <c r="A37" s="257"/>
      <c r="B37" s="599" t="s">
        <v>189</v>
      </c>
      <c r="C37" s="2"/>
      <c r="D37" s="2"/>
      <c r="E37" s="2"/>
      <c r="F37" s="603">
        <f ca="1">SUMIF(F35:R35,"&gt;0")/-SUMIF(F35:R35,"&lt;0")</f>
        <v>2.9594794547868957</v>
      </c>
    </row>
    <row r="38" spans="1:37" x14ac:dyDescent="0.2">
      <c r="A38" s="257"/>
      <c r="B38" s="599" t="s">
        <v>183</v>
      </c>
      <c r="C38" s="2"/>
      <c r="D38" s="2"/>
      <c r="E38" s="2"/>
      <c r="F38" s="542">
        <f t="shared" ref="F38:R38" si="8">F35+E38</f>
        <v>-1500000</v>
      </c>
      <c r="G38" s="542">
        <f t="shared" si="8"/>
        <v>-1500000</v>
      </c>
      <c r="H38" s="542">
        <f t="shared" si="8"/>
        <v>-1500000</v>
      </c>
      <c r="I38" s="542">
        <f t="shared" si="8"/>
        <v>-1500000</v>
      </c>
      <c r="J38" s="542">
        <f t="shared" ca="1" si="8"/>
        <v>2939219.1821803423</v>
      </c>
      <c r="K38" s="542">
        <f t="shared" ca="1" si="8"/>
        <v>2939219.1821803423</v>
      </c>
      <c r="L38" s="542">
        <f t="shared" ca="1" si="8"/>
        <v>2939219.1821803427</v>
      </c>
      <c r="M38" s="542">
        <f t="shared" ca="1" si="8"/>
        <v>2939219.1821803427</v>
      </c>
      <c r="N38" s="542">
        <f t="shared" ca="1" si="8"/>
        <v>2939219.1821803427</v>
      </c>
      <c r="O38" s="542">
        <f t="shared" ca="1" si="8"/>
        <v>2939219.1821803427</v>
      </c>
      <c r="P38" s="542">
        <f t="shared" ca="1" si="8"/>
        <v>2939219.1821803427</v>
      </c>
      <c r="Q38" s="542">
        <f t="shared" ca="1" si="8"/>
        <v>2939219.1821803427</v>
      </c>
      <c r="R38" s="542">
        <f t="shared" ca="1" si="8"/>
        <v>2939219.1821803427</v>
      </c>
    </row>
    <row r="39" spans="1:37" x14ac:dyDescent="0.2">
      <c r="A39" s="257"/>
      <c r="B39" s="599"/>
      <c r="C39" s="2"/>
      <c r="D39" s="2"/>
      <c r="E39" s="2"/>
      <c r="F39" s="607"/>
      <c r="G39" s="2"/>
      <c r="H39" s="12"/>
      <c r="I39" s="12"/>
      <c r="J39" s="12"/>
      <c r="K39" s="12"/>
      <c r="L39" s="12"/>
      <c r="M39" s="12"/>
      <c r="N39" s="12"/>
    </row>
    <row r="40" spans="1:37" x14ac:dyDescent="0.2">
      <c r="A40" s="257"/>
      <c r="B40" s="34" t="s">
        <v>190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</row>
    <row r="41" spans="1:37" x14ac:dyDescent="0.2">
      <c r="A41" s="257"/>
      <c r="B41" s="132" t="s">
        <v>178</v>
      </c>
      <c r="D41" s="606">
        <f t="shared" ref="D41:D44" ca="1" si="9">SUM(F41:R41)</f>
        <v>147659985.43593895</v>
      </c>
      <c r="F41" s="92">
        <f>'Returns L+H'!F41+'Returns A+H'!F41</f>
        <v>0</v>
      </c>
      <c r="G41" s="92">
        <f ca="1">'Returns L+H'!G41+'Returns A+H'!G41</f>
        <v>7262.0859474292956</v>
      </c>
      <c r="H41" s="92">
        <f ca="1">'Returns L+H'!H41+'Returns A+H'!H41</f>
        <v>0</v>
      </c>
      <c r="I41" s="92">
        <f ca="1">'Returns L+H'!I41+'Returns A+H'!I41</f>
        <v>0</v>
      </c>
      <c r="J41" s="92">
        <f ca="1">'Returns L+H'!J41+'Returns A+H'!J41</f>
        <v>9943752.6003512684</v>
      </c>
      <c r="K41" s="92">
        <f ca="1">'Returns L+H'!K41+'Returns A+H'!K41</f>
        <v>98981767.183895379</v>
      </c>
      <c r="L41" s="92">
        <f ca="1">'Returns L+H'!L41+'Returns A+H'!L41</f>
        <v>2.2351741790771488E-9</v>
      </c>
      <c r="M41" s="92">
        <f ca="1">'Returns L+H'!M41+'Returns A+H'!M41</f>
        <v>38727203.565744892</v>
      </c>
      <c r="N41" s="92">
        <f ca="1">'Returns L+H'!N41+'Returns A+H'!N41</f>
        <v>0</v>
      </c>
      <c r="O41" s="92">
        <f>'Returns L+H'!O41+'Returns A+H'!O41</f>
        <v>0</v>
      </c>
      <c r="P41" s="92">
        <f>'Returns L+H'!P41+'Returns A+H'!P41</f>
        <v>0</v>
      </c>
      <c r="Q41" s="92">
        <f>'Returns L+H'!Q41+'Returns A+H'!Q41</f>
        <v>0</v>
      </c>
      <c r="R41" s="92">
        <f>'Returns L+H'!R41+'Returns A+H'!R41</f>
        <v>0</v>
      </c>
      <c r="S41" s="262"/>
      <c r="T41" s="608"/>
      <c r="U41" s="608"/>
      <c r="V41" s="608"/>
    </row>
    <row r="42" spans="1:37" x14ac:dyDescent="0.2">
      <c r="A42" s="257"/>
      <c r="B42" s="672" t="s">
        <v>187</v>
      </c>
      <c r="C42" s="673"/>
      <c r="D42" s="674">
        <f t="shared" ca="1" si="9"/>
        <v>147659985.43593895</v>
      </c>
      <c r="E42" s="673"/>
      <c r="F42" s="675">
        <f t="shared" ref="F42:R42" si="10">SUM(F41:F41)</f>
        <v>0</v>
      </c>
      <c r="G42" s="675">
        <f t="shared" ca="1" si="10"/>
        <v>7262.0859474292956</v>
      </c>
      <c r="H42" s="675">
        <f t="shared" ca="1" si="10"/>
        <v>0</v>
      </c>
      <c r="I42" s="675">
        <f t="shared" ca="1" si="10"/>
        <v>0</v>
      </c>
      <c r="J42" s="675">
        <f t="shared" ca="1" si="10"/>
        <v>9943752.6003512684</v>
      </c>
      <c r="K42" s="675">
        <f t="shared" ca="1" si="10"/>
        <v>98981767.183895379</v>
      </c>
      <c r="L42" s="675">
        <f t="shared" ca="1" si="10"/>
        <v>2.2351741790771488E-9</v>
      </c>
      <c r="M42" s="675">
        <f t="shared" ca="1" si="10"/>
        <v>38727203.565744892</v>
      </c>
      <c r="N42" s="675">
        <f t="shared" ca="1" si="10"/>
        <v>0</v>
      </c>
      <c r="O42" s="675">
        <f t="shared" si="10"/>
        <v>0</v>
      </c>
      <c r="P42" s="675">
        <f t="shared" si="10"/>
        <v>0</v>
      </c>
      <c r="Q42" s="675">
        <f t="shared" si="10"/>
        <v>0</v>
      </c>
      <c r="R42" s="675">
        <f t="shared" si="10"/>
        <v>0</v>
      </c>
      <c r="S42" s="262"/>
      <c r="T42" s="608"/>
      <c r="U42" s="608"/>
      <c r="V42" s="608"/>
      <c r="W42" s="608"/>
      <c r="X42" s="608"/>
      <c r="Y42" s="608"/>
      <c r="Z42" s="608"/>
      <c r="AA42" s="608"/>
      <c r="AB42" s="608"/>
      <c r="AC42" s="608"/>
      <c r="AD42" s="608"/>
      <c r="AE42" s="608"/>
      <c r="AF42" s="608"/>
      <c r="AG42" s="608"/>
      <c r="AH42" s="608"/>
      <c r="AI42" s="608"/>
      <c r="AJ42" s="608"/>
      <c r="AK42" s="608"/>
    </row>
    <row r="43" spans="1:37" x14ac:dyDescent="0.2">
      <c r="A43" s="257"/>
      <c r="B43" s="599" t="s">
        <v>191</v>
      </c>
      <c r="C43" s="671">
        <f>Assumptions!K11</f>
        <v>0.4</v>
      </c>
      <c r="D43" s="606">
        <f t="shared" ca="1" si="9"/>
        <v>59063994.174375594</v>
      </c>
      <c r="E43" s="2"/>
      <c r="F43" s="542">
        <f>F42*$C$43</f>
        <v>0</v>
      </c>
      <c r="G43" s="542">
        <f t="shared" ref="G43:R43" ca="1" si="11">G42*$C$43</f>
        <v>2904.8343789717183</v>
      </c>
      <c r="H43" s="542">
        <f t="shared" ca="1" si="11"/>
        <v>0</v>
      </c>
      <c r="I43" s="542">
        <f t="shared" ca="1" si="11"/>
        <v>0</v>
      </c>
      <c r="J43" s="542">
        <f t="shared" ca="1" si="11"/>
        <v>3977501.0401405077</v>
      </c>
      <c r="K43" s="542">
        <f t="shared" ca="1" si="11"/>
        <v>39592706.873558156</v>
      </c>
      <c r="L43" s="542">
        <f t="shared" ca="1" si="11"/>
        <v>8.9406967163085955E-10</v>
      </c>
      <c r="M43" s="542">
        <f t="shared" ca="1" si="11"/>
        <v>15490881.426297957</v>
      </c>
      <c r="N43" s="542">
        <f t="shared" ca="1" si="11"/>
        <v>0</v>
      </c>
      <c r="O43" s="542">
        <f t="shared" si="11"/>
        <v>0</v>
      </c>
      <c r="P43" s="542">
        <f t="shared" si="11"/>
        <v>0</v>
      </c>
      <c r="Q43" s="542">
        <f t="shared" si="11"/>
        <v>0</v>
      </c>
      <c r="R43" s="542">
        <f t="shared" si="11"/>
        <v>0</v>
      </c>
      <c r="S43" s="262"/>
      <c r="T43" s="608"/>
      <c r="U43" s="608"/>
      <c r="V43" s="608"/>
      <c r="W43" s="608"/>
      <c r="X43" s="608"/>
      <c r="Y43" s="608"/>
      <c r="Z43" s="608"/>
      <c r="AA43" s="608"/>
      <c r="AB43" s="608"/>
      <c r="AC43" s="608"/>
      <c r="AD43" s="608"/>
      <c r="AE43" s="608"/>
      <c r="AF43" s="608"/>
      <c r="AG43" s="608"/>
      <c r="AH43" s="608"/>
      <c r="AI43" s="608"/>
      <c r="AJ43" s="608"/>
      <c r="AK43" s="608"/>
    </row>
    <row r="44" spans="1:37" ht="16.25" customHeight="1" x14ac:dyDescent="0.2">
      <c r="A44" s="257"/>
      <c r="B44" s="599" t="s">
        <v>192</v>
      </c>
      <c r="C44" s="671">
        <f>1-C43</f>
        <v>0.6</v>
      </c>
      <c r="D44" s="606">
        <f t="shared" ca="1" si="9"/>
        <v>88595991.261563376</v>
      </c>
      <c r="E44" s="2"/>
      <c r="F44" s="542">
        <f>F42*$C$44</f>
        <v>0</v>
      </c>
      <c r="G44" s="542">
        <f t="shared" ref="G44:R44" ca="1" si="12">G42*$C$44</f>
        <v>4357.2515684575774</v>
      </c>
      <c r="H44" s="542">
        <f t="shared" ca="1" si="12"/>
        <v>0</v>
      </c>
      <c r="I44" s="542">
        <f t="shared" ca="1" si="12"/>
        <v>0</v>
      </c>
      <c r="J44" s="542">
        <f t="shared" ca="1" si="12"/>
        <v>5966251.5602107607</v>
      </c>
      <c r="K44" s="542">
        <f t="shared" ca="1" si="12"/>
        <v>59389060.310337223</v>
      </c>
      <c r="L44" s="542">
        <f t="shared" ca="1" si="12"/>
        <v>1.3411045074462892E-9</v>
      </c>
      <c r="M44" s="542">
        <f t="shared" ca="1" si="12"/>
        <v>23236322.139446933</v>
      </c>
      <c r="N44" s="542">
        <f t="shared" ca="1" si="12"/>
        <v>0</v>
      </c>
      <c r="O44" s="542">
        <f t="shared" si="12"/>
        <v>0</v>
      </c>
      <c r="P44" s="542">
        <f t="shared" si="12"/>
        <v>0</v>
      </c>
      <c r="Q44" s="542">
        <f t="shared" si="12"/>
        <v>0</v>
      </c>
      <c r="R44" s="542">
        <f t="shared" si="12"/>
        <v>0</v>
      </c>
    </row>
    <row r="45" spans="1:37" customFormat="1" x14ac:dyDescent="0.2">
      <c r="A45" s="261"/>
      <c r="B45" s="3"/>
      <c r="C45" s="4"/>
      <c r="D45" s="4"/>
      <c r="E45" s="4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65"/>
    </row>
    <row r="46" spans="1:37" x14ac:dyDescent="0.2">
      <c r="A46" s="257"/>
      <c r="B46" s="34" t="s">
        <v>193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266"/>
    </row>
    <row r="47" spans="1:37" x14ac:dyDescent="0.2">
      <c r="A47" s="257"/>
      <c r="B47" s="257" t="s">
        <v>194</v>
      </c>
      <c r="D47" s="147">
        <f t="shared" ref="D47" ca="1" si="13">SUM(F47:R47)</f>
        <v>170193999.16598827</v>
      </c>
      <c r="F47" s="12">
        <f>'Returns L+H'!F47+'Returns A+H'!F47</f>
        <v>-11500000</v>
      </c>
      <c r="G47" s="12">
        <f ca="1">'Returns L+H'!G47+'Returns A+H'!G47</f>
        <v>7262.0859474292956</v>
      </c>
      <c r="H47" s="12">
        <f ca="1">'Returns L+H'!H47+'Returns A+H'!H47</f>
        <v>0</v>
      </c>
      <c r="I47" s="12">
        <f ca="1">'Returns L+H'!I47+'Returns A+H'!I47</f>
        <v>2165625</v>
      </c>
      <c r="J47" s="12">
        <f ca="1">'Returns L+H'!J47+'Returns A+H'!J47</f>
        <v>52547453.830400556</v>
      </c>
      <c r="K47" s="12">
        <f ca="1">'Returns L+H'!K47+'Returns A+H'!K47</f>
        <v>88246454.683895379</v>
      </c>
      <c r="L47" s="12">
        <f ca="1">'Returns L+H'!L47+'Returns A+H'!L47</f>
        <v>7.4505805969238281E-9</v>
      </c>
      <c r="M47" s="12">
        <f ca="1">'Returns L+H'!M47+'Returns A+H'!M47</f>
        <v>38727203.565744892</v>
      </c>
      <c r="N47" s="12">
        <f ca="1">'Returns L+H'!N47+'Returns A+H'!N47</f>
        <v>0</v>
      </c>
      <c r="O47" s="12">
        <f>'Returns L+H'!O47+'Returns A+H'!O47</f>
        <v>0</v>
      </c>
      <c r="P47" s="12">
        <f>'Returns L+H'!P47+'Returns A+H'!P47</f>
        <v>0</v>
      </c>
      <c r="Q47" s="12">
        <f>'Returns L+H'!Q47+'Returns A+H'!Q47</f>
        <v>0</v>
      </c>
      <c r="R47" s="12">
        <f>'Returns L+H'!R47+'Returns A+H'!R47</f>
        <v>0</v>
      </c>
    </row>
    <row r="48" spans="1:37" x14ac:dyDescent="0.2">
      <c r="A48" s="257"/>
      <c r="B48" s="599" t="s">
        <v>195</v>
      </c>
      <c r="F48" s="598">
        <f ca="1">XIRR(F47:R47,F19:R19)</f>
        <v>0.77074140310287476</v>
      </c>
      <c r="G48" s="12"/>
      <c r="H48" s="12"/>
      <c r="I48" s="12"/>
      <c r="J48" s="12"/>
      <c r="K48" s="12"/>
      <c r="L48" s="12"/>
      <c r="M48" s="12"/>
      <c r="N48" s="12"/>
    </row>
    <row r="49" spans="1:20" x14ac:dyDescent="0.2">
      <c r="A49" s="257"/>
      <c r="B49" s="599" t="s">
        <v>189</v>
      </c>
      <c r="F49" s="604">
        <f ca="1">SUMIF(F47:R47,"&gt;0")/-SUMIF(F47:R47,"&lt;0")</f>
        <v>15.799478188346805</v>
      </c>
      <c r="M49" s="602"/>
    </row>
    <row r="50" spans="1:20" x14ac:dyDescent="0.2">
      <c r="A50" s="257"/>
      <c r="F50" s="12"/>
      <c r="G50" s="12"/>
      <c r="H50" s="12"/>
      <c r="I50" s="12"/>
      <c r="J50" s="12"/>
      <c r="K50" s="12"/>
      <c r="L50" s="12"/>
      <c r="M50" s="12"/>
    </row>
    <row r="51" spans="1:20" hidden="1" x14ac:dyDescent="0.2">
      <c r="A51" s="257"/>
      <c r="B51" s="34" t="s">
        <v>196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</row>
    <row r="52" spans="1:20" hidden="1" x14ac:dyDescent="0.2">
      <c r="A52" s="257"/>
      <c r="B52" s="257" t="s">
        <v>194</v>
      </c>
      <c r="F52" s="61">
        <f t="shared" ref="F52:M52" si="14">F47</f>
        <v>-11500000</v>
      </c>
      <c r="G52" s="61">
        <f t="shared" ca="1" si="14"/>
        <v>7262.0859474292956</v>
      </c>
      <c r="H52" s="61">
        <f t="shared" ca="1" si="14"/>
        <v>0</v>
      </c>
      <c r="I52" s="61">
        <f t="shared" ca="1" si="14"/>
        <v>2165625</v>
      </c>
      <c r="J52" s="61">
        <f t="shared" ca="1" si="14"/>
        <v>52547453.830400556</v>
      </c>
      <c r="K52" s="61">
        <f t="shared" ca="1" si="14"/>
        <v>88246454.683895379</v>
      </c>
      <c r="L52" s="61">
        <f t="shared" ca="1" si="14"/>
        <v>7.4505805969238281E-9</v>
      </c>
      <c r="M52" s="61">
        <f t="shared" ca="1" si="14"/>
        <v>38727203.565744892</v>
      </c>
      <c r="N52" s="12">
        <f>'Proforma L+H'!M217</f>
        <v>0</v>
      </c>
      <c r="O52" s="12">
        <f>'Proforma L+H'!N217</f>
        <v>0</v>
      </c>
      <c r="P52" s="12">
        <f>'Proforma L+H'!O217</f>
        <v>0</v>
      </c>
      <c r="Q52" s="12">
        <f>'Proforma L+H'!P217</f>
        <v>0</v>
      </c>
      <c r="R52" s="12">
        <f>'Proforma L+H'!Q217</f>
        <v>0</v>
      </c>
    </row>
    <row r="53" spans="1:20" hidden="1" x14ac:dyDescent="0.2">
      <c r="A53" s="257"/>
      <c r="B53" s="132" t="s">
        <v>197</v>
      </c>
      <c r="F53" s="61">
        <f>F52</f>
        <v>-11500000</v>
      </c>
      <c r="G53" s="12">
        <f ca="1">G52</f>
        <v>7262.0859474292956</v>
      </c>
      <c r="H53" s="12">
        <f ca="1">H52</f>
        <v>0</v>
      </c>
      <c r="I53" s="12">
        <f ca="1">I52</f>
        <v>2165625</v>
      </c>
      <c r="J53" s="12">
        <f ca="1">J52</f>
        <v>52547453.830400556</v>
      </c>
      <c r="K53" s="601"/>
      <c r="L53" s="601">
        <f ca="1">L52</f>
        <v>7.4505805969238281E-9</v>
      </c>
      <c r="M53" s="12">
        <v>27400000</v>
      </c>
      <c r="N53" s="12">
        <f>N52</f>
        <v>0</v>
      </c>
      <c r="O53" s="12">
        <f>O52</f>
        <v>0</v>
      </c>
      <c r="P53" s="12">
        <f>P52</f>
        <v>0</v>
      </c>
      <c r="Q53" s="12">
        <f>Q52</f>
        <v>0</v>
      </c>
      <c r="R53" s="12">
        <f>R52</f>
        <v>0</v>
      </c>
      <c r="T53" s="519">
        <f ca="1">SUM(F53:S53)</f>
        <v>70620340.916347995</v>
      </c>
    </row>
    <row r="54" spans="1:20" hidden="1" x14ac:dyDescent="0.2">
      <c r="A54" s="257"/>
      <c r="B54" s="599" t="s">
        <v>198</v>
      </c>
      <c r="E54" s="137"/>
      <c r="F54" s="598" t="e">
        <f ca="1">XIRR(F53:R53,F45:R45)</f>
        <v>#NUM!</v>
      </c>
      <c r="T54" s="597">
        <f>U76</f>
        <v>0</v>
      </c>
    </row>
    <row r="55" spans="1:20" hidden="1" x14ac:dyDescent="0.2">
      <c r="A55" s="257"/>
      <c r="B55" t="s">
        <v>199</v>
      </c>
      <c r="F55" s="12">
        <f t="shared" ref="F55:R55" si="15">F52-F53</f>
        <v>0</v>
      </c>
      <c r="G55" s="12">
        <f t="shared" ca="1" si="15"/>
        <v>0</v>
      </c>
      <c r="H55" s="12">
        <f t="shared" ca="1" si="15"/>
        <v>0</v>
      </c>
      <c r="I55" s="12">
        <f t="shared" ca="1" si="15"/>
        <v>0</v>
      </c>
      <c r="J55" s="12">
        <f t="shared" ca="1" si="15"/>
        <v>0</v>
      </c>
      <c r="K55" s="12">
        <f t="shared" ca="1" si="15"/>
        <v>88246454.683895379</v>
      </c>
      <c r="L55" s="12">
        <f t="shared" ca="1" si="15"/>
        <v>0</v>
      </c>
      <c r="M55" s="12">
        <f t="shared" ca="1" si="15"/>
        <v>11327203.565744892</v>
      </c>
      <c r="N55" s="12">
        <f t="shared" si="15"/>
        <v>0</v>
      </c>
      <c r="O55" s="12">
        <f t="shared" si="15"/>
        <v>0</v>
      </c>
      <c r="P55" s="12">
        <f t="shared" si="15"/>
        <v>0</v>
      </c>
      <c r="Q55" s="12">
        <f t="shared" si="15"/>
        <v>0</v>
      </c>
      <c r="R55" s="12">
        <f t="shared" si="15"/>
        <v>0</v>
      </c>
    </row>
    <row r="56" spans="1:20" hidden="1" x14ac:dyDescent="0.2">
      <c r="A56" s="257"/>
      <c r="B56" s="596">
        <f>T79</f>
        <v>0</v>
      </c>
      <c r="C56" s="595">
        <f>U79</f>
        <v>0</v>
      </c>
      <c r="D56" s="595"/>
      <c r="E56" s="595"/>
      <c r="F56" s="57">
        <f t="shared" ref="F56:R57" si="16">F$55*$C56</f>
        <v>0</v>
      </c>
      <c r="G56" s="57">
        <f t="shared" ca="1" si="16"/>
        <v>0</v>
      </c>
      <c r="H56" s="57">
        <f t="shared" ca="1" si="16"/>
        <v>0</v>
      </c>
      <c r="I56" s="57">
        <f t="shared" ca="1" si="16"/>
        <v>0</v>
      </c>
      <c r="J56" s="57">
        <f t="shared" ca="1" si="16"/>
        <v>0</v>
      </c>
      <c r="K56" s="57">
        <f t="shared" ca="1" si="16"/>
        <v>0</v>
      </c>
      <c r="L56" s="57">
        <f t="shared" ca="1" si="16"/>
        <v>0</v>
      </c>
      <c r="M56" s="57">
        <f t="shared" ca="1" si="16"/>
        <v>0</v>
      </c>
      <c r="N56" s="57">
        <f t="shared" si="16"/>
        <v>0</v>
      </c>
      <c r="O56" s="57">
        <f t="shared" si="16"/>
        <v>0</v>
      </c>
      <c r="P56" s="57">
        <f t="shared" si="16"/>
        <v>0</v>
      </c>
      <c r="Q56" s="57">
        <f t="shared" si="16"/>
        <v>0</v>
      </c>
      <c r="R56" s="57">
        <f t="shared" si="16"/>
        <v>0</v>
      </c>
      <c r="T56" s="519">
        <f ca="1">SUM(F56:S56)</f>
        <v>0</v>
      </c>
    </row>
    <row r="57" spans="1:20" hidden="1" x14ac:dyDescent="0.2">
      <c r="A57" s="257"/>
      <c r="B57" s="257">
        <f>T80</f>
        <v>0</v>
      </c>
      <c r="C57" s="425">
        <f>U80</f>
        <v>0</v>
      </c>
      <c r="D57" s="425"/>
      <c r="E57" s="425"/>
      <c r="F57" s="12">
        <f t="shared" si="16"/>
        <v>0</v>
      </c>
      <c r="G57" s="12">
        <f t="shared" ca="1" si="16"/>
        <v>0</v>
      </c>
      <c r="H57" s="12">
        <f t="shared" ca="1" si="16"/>
        <v>0</v>
      </c>
      <c r="I57" s="12">
        <f t="shared" ca="1" si="16"/>
        <v>0</v>
      </c>
      <c r="J57" s="12">
        <f t="shared" ca="1" si="16"/>
        <v>0</v>
      </c>
      <c r="K57" s="12">
        <f t="shared" ca="1" si="16"/>
        <v>0</v>
      </c>
      <c r="L57" s="12">
        <f t="shared" ca="1" si="16"/>
        <v>0</v>
      </c>
      <c r="M57" s="12">
        <f t="shared" ca="1" si="16"/>
        <v>0</v>
      </c>
      <c r="N57" s="12">
        <f t="shared" si="16"/>
        <v>0</v>
      </c>
      <c r="O57" s="12">
        <f t="shared" si="16"/>
        <v>0</v>
      </c>
      <c r="P57" s="12">
        <f t="shared" si="16"/>
        <v>0</v>
      </c>
      <c r="Q57" s="12">
        <f t="shared" si="16"/>
        <v>0</v>
      </c>
      <c r="R57" s="12">
        <f t="shared" si="16"/>
        <v>0</v>
      </c>
      <c r="T57" s="519">
        <f ca="1">SUM(F57:S57)</f>
        <v>0</v>
      </c>
    </row>
    <row r="58" spans="1:20" hidden="1" x14ac:dyDescent="0.2">
      <c r="A58" s="257"/>
      <c r="B58" s="257"/>
      <c r="C58" s="425"/>
      <c r="D58" s="425"/>
      <c r="E58" s="425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20" hidden="1" x14ac:dyDescent="0.2">
      <c r="B59" s="34" t="s">
        <v>200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</row>
    <row r="60" spans="1:20" hidden="1" x14ac:dyDescent="0.2">
      <c r="B60" s="257" t="s">
        <v>194</v>
      </c>
      <c r="F60" s="12" t="e">
        <f>-#REF!</f>
        <v>#REF!</v>
      </c>
      <c r="G60" s="12" t="e">
        <f>-#REF!</f>
        <v>#REF!</v>
      </c>
      <c r="H60" s="12" t="e">
        <f>-#REF!</f>
        <v>#REF!</v>
      </c>
      <c r="I60" s="12">
        <f t="shared" ref="I60:R60" ca="1" si="17">I57</f>
        <v>0</v>
      </c>
      <c r="J60" s="12">
        <f t="shared" ca="1" si="17"/>
        <v>0</v>
      </c>
      <c r="K60" s="12">
        <f t="shared" ca="1" si="17"/>
        <v>0</v>
      </c>
      <c r="L60" s="12">
        <f t="shared" ca="1" si="17"/>
        <v>0</v>
      </c>
      <c r="M60" s="12">
        <f t="shared" ca="1" si="17"/>
        <v>0</v>
      </c>
      <c r="N60" s="12">
        <f t="shared" si="17"/>
        <v>0</v>
      </c>
      <c r="O60" s="12">
        <f t="shared" si="17"/>
        <v>0</v>
      </c>
      <c r="P60" s="12">
        <f t="shared" si="17"/>
        <v>0</v>
      </c>
      <c r="Q60" s="12">
        <f t="shared" si="17"/>
        <v>0</v>
      </c>
      <c r="R60" s="12">
        <f t="shared" si="17"/>
        <v>0</v>
      </c>
    </row>
    <row r="61" spans="1:20" hidden="1" x14ac:dyDescent="0.2">
      <c r="B61" s="132" t="s">
        <v>197</v>
      </c>
      <c r="F61" s="12" t="e">
        <f>F60</f>
        <v>#REF!</v>
      </c>
      <c r="G61" s="12" t="e">
        <f>G60</f>
        <v>#REF!</v>
      </c>
      <c r="H61" s="12"/>
      <c r="I61" s="12"/>
      <c r="J61" s="12"/>
      <c r="K61" s="600"/>
      <c r="L61" s="12"/>
      <c r="M61" s="12"/>
      <c r="N61" s="12"/>
      <c r="O61" s="12"/>
      <c r="P61" s="12"/>
      <c r="Q61" s="12"/>
      <c r="R61" s="12"/>
    </row>
    <row r="62" spans="1:20" hidden="1" x14ac:dyDescent="0.2">
      <c r="B62" s="599" t="s">
        <v>198</v>
      </c>
      <c r="F62" s="598" t="e">
        <f>XIRR(F61:R61,F45:R45)</f>
        <v>#REF!</v>
      </c>
      <c r="T62" s="597">
        <v>0.1</v>
      </c>
    </row>
    <row r="63" spans="1:20" hidden="1" x14ac:dyDescent="0.2">
      <c r="B63" t="s">
        <v>199</v>
      </c>
      <c r="F63" s="12" t="e">
        <f t="shared" ref="F63:R63" si="18">F60-F61</f>
        <v>#REF!</v>
      </c>
      <c r="G63" s="12" t="e">
        <f t="shared" si="18"/>
        <v>#REF!</v>
      </c>
      <c r="H63" s="12" t="e">
        <f t="shared" si="18"/>
        <v>#REF!</v>
      </c>
      <c r="I63" s="12">
        <f t="shared" ca="1" si="18"/>
        <v>0</v>
      </c>
      <c r="J63" s="12">
        <f t="shared" ca="1" si="18"/>
        <v>0</v>
      </c>
      <c r="K63" s="12">
        <f t="shared" ca="1" si="18"/>
        <v>0</v>
      </c>
      <c r="L63" s="12">
        <f t="shared" ca="1" si="18"/>
        <v>0</v>
      </c>
      <c r="M63" s="12">
        <f t="shared" ca="1" si="18"/>
        <v>0</v>
      </c>
      <c r="N63" s="12">
        <f t="shared" si="18"/>
        <v>0</v>
      </c>
      <c r="O63" s="12">
        <f t="shared" si="18"/>
        <v>0</v>
      </c>
      <c r="P63" s="12">
        <f t="shared" si="18"/>
        <v>0</v>
      </c>
      <c r="Q63" s="12">
        <f t="shared" si="18"/>
        <v>0</v>
      </c>
      <c r="R63" s="12">
        <f t="shared" si="18"/>
        <v>0</v>
      </c>
    </row>
    <row r="64" spans="1:20" hidden="1" x14ac:dyDescent="0.2">
      <c r="B64" s="596" t="s">
        <v>201</v>
      </c>
      <c r="C64" s="595">
        <v>0</v>
      </c>
      <c r="D64" s="595"/>
      <c r="E64" s="595"/>
      <c r="F64" s="57" t="e">
        <f t="shared" ref="F64:R65" si="19">F$63*$C64</f>
        <v>#REF!</v>
      </c>
      <c r="G64" s="57" t="e">
        <f t="shared" si="19"/>
        <v>#REF!</v>
      </c>
      <c r="H64" s="57" t="e">
        <f t="shared" si="19"/>
        <v>#REF!</v>
      </c>
      <c r="I64" s="57">
        <f t="shared" ca="1" si="19"/>
        <v>0</v>
      </c>
      <c r="J64" s="57">
        <f t="shared" ca="1" si="19"/>
        <v>0</v>
      </c>
      <c r="K64" s="57">
        <f t="shared" ca="1" si="19"/>
        <v>0</v>
      </c>
      <c r="L64" s="57">
        <f t="shared" ca="1" si="19"/>
        <v>0</v>
      </c>
      <c r="M64" s="57">
        <f t="shared" ca="1" si="19"/>
        <v>0</v>
      </c>
      <c r="N64" s="57">
        <f t="shared" si="19"/>
        <v>0</v>
      </c>
      <c r="O64" s="57">
        <f t="shared" si="19"/>
        <v>0</v>
      </c>
      <c r="P64" s="57">
        <f t="shared" si="19"/>
        <v>0</v>
      </c>
      <c r="Q64" s="57">
        <f t="shared" si="19"/>
        <v>0</v>
      </c>
      <c r="R64" s="57">
        <f t="shared" si="19"/>
        <v>0</v>
      </c>
    </row>
    <row r="65" spans="2:30" hidden="1" x14ac:dyDescent="0.2">
      <c r="B65" s="257" t="s">
        <v>202</v>
      </c>
      <c r="C65" s="425">
        <f>1-C64</f>
        <v>1</v>
      </c>
      <c r="D65" s="425"/>
      <c r="E65" s="425"/>
      <c r="F65" s="12" t="e">
        <f t="shared" si="19"/>
        <v>#REF!</v>
      </c>
      <c r="G65" s="12" t="e">
        <f t="shared" si="19"/>
        <v>#REF!</v>
      </c>
      <c r="H65" s="12" t="e">
        <f t="shared" si="19"/>
        <v>#REF!</v>
      </c>
      <c r="I65" s="12">
        <f t="shared" ca="1" si="19"/>
        <v>0</v>
      </c>
      <c r="J65" s="12">
        <f t="shared" ca="1" si="19"/>
        <v>0</v>
      </c>
      <c r="K65" s="12">
        <f t="shared" ca="1" si="19"/>
        <v>0</v>
      </c>
      <c r="L65" s="12">
        <f t="shared" ca="1" si="19"/>
        <v>0</v>
      </c>
      <c r="M65" s="12">
        <f t="shared" ca="1" si="19"/>
        <v>0</v>
      </c>
      <c r="N65" s="12">
        <f t="shared" si="19"/>
        <v>0</v>
      </c>
      <c r="O65" s="12">
        <f t="shared" si="19"/>
        <v>0</v>
      </c>
      <c r="P65" s="12">
        <f t="shared" si="19"/>
        <v>0</v>
      </c>
      <c r="Q65" s="12">
        <f t="shared" si="19"/>
        <v>0</v>
      </c>
      <c r="R65" s="12">
        <f t="shared" si="19"/>
        <v>0</v>
      </c>
      <c r="T65" s="519" t="e">
        <f>SUM(D65:S65)</f>
        <v>#REF!</v>
      </c>
    </row>
    <row r="66" spans="2:30" hidden="1" x14ac:dyDescent="0.2">
      <c r="B66" s="515"/>
      <c r="C66" s="515"/>
      <c r="D66" s="515"/>
      <c r="E66" s="515"/>
      <c r="F66" s="515"/>
      <c r="G66" s="515"/>
      <c r="H66" s="515"/>
      <c r="I66" s="515"/>
      <c r="J66" s="515"/>
      <c r="K66" s="515"/>
      <c r="L66" s="515"/>
      <c r="M66" s="515"/>
      <c r="N66" s="515"/>
      <c r="O66" s="515"/>
      <c r="P66" s="515"/>
      <c r="Q66" s="515"/>
      <c r="R66" s="515"/>
      <c r="S66" s="515"/>
      <c r="V66" s="592" t="s">
        <v>203</v>
      </c>
      <c r="W66" s="594" t="s">
        <v>204</v>
      </c>
      <c r="AA66" s="588" t="s">
        <v>205</v>
      </c>
      <c r="AB66" s="588" t="s">
        <v>206</v>
      </c>
      <c r="AC66" s="588" t="s">
        <v>207</v>
      </c>
      <c r="AD66" s="588" t="s">
        <v>208</v>
      </c>
    </row>
    <row r="67" spans="2:30" hidden="1" x14ac:dyDescent="0.2">
      <c r="B67" s="593" t="s">
        <v>209</v>
      </c>
      <c r="O67" s="515"/>
      <c r="P67" s="515"/>
      <c r="Q67" s="515"/>
      <c r="R67" s="515"/>
    </row>
    <row r="68" spans="2:30" hidden="1" x14ac:dyDescent="0.2">
      <c r="B68" s="261" t="s">
        <v>210</v>
      </c>
      <c r="O68" s="515"/>
      <c r="P68" s="515"/>
      <c r="Q68" s="515"/>
      <c r="R68" s="515"/>
    </row>
    <row r="69" spans="2:30" hidden="1" x14ac:dyDescent="0.2">
      <c r="B69" s="261" t="s">
        <v>211</v>
      </c>
      <c r="O69" s="515"/>
      <c r="P69" s="515"/>
      <c r="Q69" s="515"/>
      <c r="R69" s="515"/>
    </row>
    <row r="70" spans="2:30" hidden="1" x14ac:dyDescent="0.2">
      <c r="B70" s="261" t="s">
        <v>212</v>
      </c>
      <c r="O70" s="515"/>
      <c r="P70" s="515"/>
      <c r="Q70" s="515"/>
      <c r="R70" s="515"/>
    </row>
    <row r="71" spans="2:30" hidden="1" x14ac:dyDescent="0.2">
      <c r="B71" s="515"/>
      <c r="C71" s="515"/>
      <c r="D71" s="515"/>
      <c r="E71" s="515"/>
      <c r="F71" s="515"/>
      <c r="G71" s="515"/>
      <c r="H71" s="515"/>
      <c r="I71" s="515"/>
      <c r="J71" s="515"/>
      <c r="K71" s="515"/>
      <c r="L71" s="515"/>
      <c r="M71" s="515"/>
      <c r="N71" s="515"/>
      <c r="O71" s="515"/>
      <c r="P71" s="515"/>
      <c r="Q71" s="515"/>
      <c r="R71" s="515"/>
      <c r="S71" s="515"/>
      <c r="T71" s="592" t="s">
        <v>213</v>
      </c>
      <c r="U71" s="591">
        <f>AA75</f>
        <v>0</v>
      </c>
      <c r="V71" s="519">
        <f ca="1">$T$57*U71</f>
        <v>0</v>
      </c>
      <c r="W71" s="519">
        <f ca="1">(5000000/$D$24)*$T$56+5000000</f>
        <v>5000000</v>
      </c>
      <c r="Y71" s="515" t="s">
        <v>214</v>
      </c>
      <c r="Z71" s="590">
        <v>0.33333000000000002</v>
      </c>
      <c r="AA71" s="590">
        <f>1/3</f>
        <v>0.33333333333333331</v>
      </c>
      <c r="AB71" s="590">
        <f>1/3</f>
        <v>0.33333333333333331</v>
      </c>
      <c r="AC71" s="590">
        <f>1/3</f>
        <v>0.33333333333333331</v>
      </c>
      <c r="AD71" s="590">
        <f>SUM(AA71:AC71)</f>
        <v>1</v>
      </c>
    </row>
    <row r="72" spans="2:30" x14ac:dyDescent="0.2">
      <c r="B72" s="515"/>
      <c r="C72" s="515"/>
      <c r="D72" s="515"/>
      <c r="E72" s="515"/>
      <c r="F72" s="515"/>
      <c r="G72" s="515"/>
      <c r="H72" s="515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592"/>
      <c r="U72" s="591"/>
      <c r="V72" s="519"/>
      <c r="W72" s="519"/>
      <c r="Z72" s="590"/>
      <c r="AA72" s="590"/>
      <c r="AB72" s="590"/>
      <c r="AC72" s="590"/>
      <c r="AD72" s="590"/>
    </row>
    <row r="73" spans="2:30" x14ac:dyDescent="0.2">
      <c r="B73" s="515"/>
      <c r="C73" s="515"/>
      <c r="D73" s="515"/>
      <c r="E73" s="515"/>
      <c r="F73" s="515"/>
      <c r="G73" s="515"/>
      <c r="H73" s="515"/>
      <c r="I73" s="515"/>
      <c r="J73" s="515"/>
      <c r="K73" s="515"/>
      <c r="L73" s="515"/>
      <c r="M73" s="515"/>
      <c r="N73" s="515"/>
      <c r="O73" s="515"/>
      <c r="P73" s="515"/>
      <c r="Q73" s="515"/>
      <c r="R73" s="515"/>
      <c r="S73" s="515"/>
      <c r="T73" s="592"/>
      <c r="U73" s="665"/>
      <c r="V73" s="519"/>
      <c r="W73" s="519"/>
      <c r="Z73" s="590"/>
      <c r="AA73" s="590"/>
      <c r="AB73" s="590"/>
      <c r="AC73" s="590"/>
      <c r="AD73" s="590"/>
    </row>
    <row r="74" spans="2:30" x14ac:dyDescent="0.2">
      <c r="B74" s="515"/>
      <c r="C74" s="515"/>
      <c r="D74" s="515"/>
      <c r="E74" s="515"/>
      <c r="F74" s="515"/>
      <c r="G74" s="515"/>
      <c r="H74" s="515"/>
      <c r="I74" s="515"/>
      <c r="J74" s="515"/>
      <c r="K74" s="515"/>
      <c r="L74" s="515"/>
      <c r="M74" s="515"/>
      <c r="N74" s="515"/>
      <c r="O74" s="515"/>
      <c r="P74" s="515"/>
      <c r="Q74" s="515"/>
      <c r="R74" s="515"/>
      <c r="S74" s="515"/>
      <c r="Z74" s="590"/>
      <c r="AA74" s="590"/>
      <c r="AB74" s="590"/>
      <c r="AC74" s="591"/>
      <c r="AD74" s="590"/>
    </row>
    <row r="75" spans="2:30" x14ac:dyDescent="0.2">
      <c r="B75" s="515"/>
      <c r="C75" s="515"/>
      <c r="D75" s="515"/>
      <c r="E75" s="515"/>
      <c r="F75" s="515"/>
      <c r="G75" s="515"/>
      <c r="H75" s="515"/>
      <c r="I75" s="515"/>
      <c r="J75" s="515"/>
      <c r="K75" s="515"/>
      <c r="L75" s="515"/>
      <c r="M75" s="515"/>
      <c r="N75" s="515"/>
      <c r="O75" s="515"/>
      <c r="P75" s="515"/>
      <c r="Q75" s="515"/>
      <c r="R75" s="515"/>
      <c r="S75" s="515"/>
      <c r="T75" s="624"/>
      <c r="AA75" s="589"/>
      <c r="AB75" s="589"/>
      <c r="AC75" s="589"/>
      <c r="AD75" s="589"/>
    </row>
    <row r="76" spans="2:30" x14ac:dyDescent="0.2">
      <c r="B76" s="515"/>
      <c r="C76" s="515"/>
      <c r="D76" s="515"/>
      <c r="E76" s="515"/>
      <c r="F76" s="515"/>
      <c r="G76" s="515"/>
      <c r="H76" s="515"/>
      <c r="I76" s="515"/>
      <c r="J76" s="515"/>
      <c r="K76" s="515"/>
      <c r="L76" s="515"/>
      <c r="M76" s="515"/>
      <c r="N76" s="515"/>
      <c r="O76" s="515"/>
      <c r="P76" s="515"/>
      <c r="Q76" s="515"/>
      <c r="R76" s="515"/>
      <c r="S76" s="515"/>
      <c r="U76" s="668"/>
    </row>
    <row r="77" spans="2:30" x14ac:dyDescent="0.2">
      <c r="B77" s="515"/>
      <c r="C77" s="515"/>
      <c r="D77" s="515"/>
      <c r="E77" s="515"/>
      <c r="F77" s="515"/>
      <c r="G77" s="515"/>
      <c r="H77" s="515"/>
      <c r="I77" s="515"/>
      <c r="J77" s="515"/>
      <c r="K77" s="515"/>
      <c r="L77" s="515"/>
      <c r="M77" s="515"/>
      <c r="N77" s="515"/>
      <c r="O77" s="515"/>
      <c r="P77" s="515"/>
      <c r="Q77" s="515"/>
      <c r="R77" s="515"/>
      <c r="S77" s="515"/>
      <c r="U77" s="665"/>
      <c r="V77" s="519"/>
    </row>
    <row r="78" spans="2:30" x14ac:dyDescent="0.2">
      <c r="B78" s="515"/>
      <c r="C78" s="515"/>
      <c r="D78" s="515"/>
      <c r="E78" s="515"/>
      <c r="F78" s="515"/>
      <c r="G78" s="515"/>
      <c r="H78" s="515"/>
      <c r="I78" s="515"/>
      <c r="J78" s="515"/>
      <c r="K78" s="515"/>
      <c r="L78" s="515"/>
      <c r="M78" s="515"/>
      <c r="N78" s="515"/>
      <c r="O78" s="515"/>
      <c r="P78" s="515"/>
      <c r="Q78" s="515"/>
      <c r="R78" s="515"/>
      <c r="S78" s="515"/>
      <c r="T78" s="624"/>
      <c r="U78" s="665"/>
      <c r="V78" s="519"/>
    </row>
    <row r="79" spans="2:30" x14ac:dyDescent="0.2">
      <c r="B79" s="515"/>
      <c r="C79" s="515"/>
      <c r="D79" s="515"/>
      <c r="E79" s="515"/>
      <c r="F79" s="515"/>
      <c r="G79" s="515"/>
      <c r="H79" s="515"/>
      <c r="I79" s="515"/>
      <c r="J79" s="515"/>
      <c r="K79" s="515"/>
      <c r="L79" s="515"/>
      <c r="M79" s="515"/>
      <c r="N79" s="515"/>
      <c r="O79" s="515"/>
      <c r="P79" s="515"/>
      <c r="Q79" s="515"/>
      <c r="R79" s="515"/>
      <c r="S79" s="515"/>
      <c r="T79" s="669"/>
      <c r="U79" s="670"/>
      <c r="V79" s="519"/>
    </row>
    <row r="80" spans="2:30" x14ac:dyDescent="0.2">
      <c r="B80" s="515"/>
      <c r="C80" s="515"/>
      <c r="D80" s="515"/>
      <c r="E80" s="515"/>
      <c r="F80" s="515"/>
      <c r="G80" s="515"/>
      <c r="H80" s="515"/>
      <c r="I80" s="515"/>
      <c r="J80" s="515"/>
      <c r="K80" s="515"/>
      <c r="L80" s="515"/>
      <c r="M80" s="515"/>
      <c r="N80" s="515"/>
      <c r="O80" s="515"/>
      <c r="P80" s="515"/>
      <c r="Q80" s="515"/>
      <c r="R80" s="515"/>
      <c r="S80" s="515"/>
      <c r="T80" s="669"/>
      <c r="U80" s="670"/>
      <c r="V80" s="519"/>
    </row>
    <row r="81" s="515" customFormat="1" x14ac:dyDescent="0.2"/>
    <row r="82" s="515" customFormat="1" x14ac:dyDescent="0.2"/>
    <row r="83" s="515" customFormat="1" x14ac:dyDescent="0.2"/>
    <row r="84" s="515" customFormat="1" x14ac:dyDescent="0.2"/>
    <row r="85" s="515" customFormat="1" x14ac:dyDescent="0.2"/>
    <row r="86" s="515" customFormat="1" x14ac:dyDescent="0.2"/>
    <row r="87" s="515" customFormat="1" x14ac:dyDescent="0.2"/>
    <row r="88" s="515" customFormat="1" x14ac:dyDescent="0.2"/>
    <row r="89" s="515" customFormat="1" x14ac:dyDescent="0.2"/>
    <row r="90" s="515" customFormat="1" x14ac:dyDescent="0.2"/>
    <row r="91" s="515" customFormat="1" x14ac:dyDescent="0.2"/>
    <row r="92" s="515" customFormat="1" x14ac:dyDescent="0.2"/>
    <row r="93" s="515" customFormat="1" x14ac:dyDescent="0.2"/>
    <row r="94" s="515" customFormat="1" x14ac:dyDescent="0.2"/>
    <row r="95" s="515" customFormat="1" x14ac:dyDescent="0.2"/>
    <row r="96" s="515" customFormat="1" x14ac:dyDescent="0.2"/>
    <row r="97" s="515" customFormat="1" x14ac:dyDescent="0.2"/>
    <row r="98" s="515" customFormat="1" x14ac:dyDescent="0.2"/>
    <row r="99" s="515" customFormat="1" x14ac:dyDescent="0.2"/>
    <row r="100" s="515" customFormat="1" x14ac:dyDescent="0.2"/>
    <row r="101" s="515" customFormat="1" x14ac:dyDescent="0.2"/>
    <row r="102" s="515" customFormat="1" x14ac:dyDescent="0.2"/>
  </sheetData>
  <conditionalFormatting sqref="D5:D6 H5:H7 D13">
    <cfRule type="cellIs" dxfId="15" priority="1" operator="lessThan">
      <formula>$C$202</formula>
    </cfRule>
  </conditionalFormatting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65" min="1" max="1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9937" r:id="rId4" name="Button 1">
              <controlPr defaultSize="0" print="0" autoFill="0" autoPict="0" macro="[0]!IRRY4">
                <anchor moveWithCells="1" sizeWithCells="1">
                  <from>
                    <xdr:col>20</xdr:col>
                    <xdr:colOff>571500</xdr:colOff>
                    <xdr:row>46</xdr:row>
                    <xdr:rowOff>114300</xdr:rowOff>
                  </from>
                  <to>
                    <xdr:col>21</xdr:col>
                    <xdr:colOff>685800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8" r:id="rId5" name="Button 2">
              <controlPr defaultSize="0" print="0" autoFill="0" autoPict="0" macro="[0]!IRRY5">
                <anchor moveWithCells="1" sizeWithCells="1">
                  <from>
                    <xdr:col>22</xdr:col>
                    <xdr:colOff>190500</xdr:colOff>
                    <xdr:row>46</xdr:row>
                    <xdr:rowOff>114300</xdr:rowOff>
                  </from>
                  <to>
                    <xdr:col>23</xdr:col>
                    <xdr:colOff>304800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39" r:id="rId6" name="Button 3">
              <controlPr defaultSize="0" print="0" autoFill="0" autoPict="0" macro="[0]!IRRY3">
                <anchor moveWithCells="1" sizeWithCells="1">
                  <from>
                    <xdr:col>19</xdr:col>
                    <xdr:colOff>152400</xdr:colOff>
                    <xdr:row>46</xdr:row>
                    <xdr:rowOff>114300</xdr:rowOff>
                  </from>
                  <to>
                    <xdr:col>20</xdr:col>
                    <xdr:colOff>228600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9940" r:id="rId7" name="Button 4">
              <controlPr defaultSize="0" print="0" autoFill="0" autoPict="0" macro="[0]!IRRY6">
                <anchor moveWithCells="1" sizeWithCells="1">
                  <from>
                    <xdr:col>23</xdr:col>
                    <xdr:colOff>838200</xdr:colOff>
                    <xdr:row>46</xdr:row>
                    <xdr:rowOff>114300</xdr:rowOff>
                  </from>
                  <to>
                    <xdr:col>24</xdr:col>
                    <xdr:colOff>952500</xdr:colOff>
                    <xdr:row>49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560D-8375-2A4F-8C30-228067768C23}">
  <sheetPr codeName="Sheet1">
    <tabColor theme="9" tint="0.59999389629810485"/>
  </sheetPr>
  <dimension ref="A1:AK269"/>
  <sheetViews>
    <sheetView topLeftCell="A248" zoomScaleNormal="100" workbookViewId="0">
      <selection activeCell="B264" sqref="B264:M269"/>
    </sheetView>
  </sheetViews>
  <sheetFormatPr baseColWidth="10" defaultColWidth="11" defaultRowHeight="16" outlineLevelRow="1" outlineLevelCol="1" x14ac:dyDescent="0.2"/>
  <cols>
    <col min="1" max="1" width="2.6640625" style="2" customWidth="1"/>
    <col min="2" max="2" width="46.1640625" customWidth="1"/>
    <col min="3" max="3" width="18.1640625" bestFit="1" customWidth="1"/>
    <col min="4" max="4" width="11.6640625" customWidth="1"/>
    <col min="5" max="5" width="12.6640625" bestFit="1" customWidth="1"/>
    <col min="6" max="13" width="13.6640625" bestFit="1" customWidth="1"/>
    <col min="14" max="15" width="10.6640625" hidden="1" customWidth="1" outlineLevel="1"/>
    <col min="16" max="16" width="10.1640625" hidden="1" customWidth="1" outlineLevel="1"/>
    <col min="17" max="17" width="10.6640625" hidden="1" customWidth="1" outlineLevel="1"/>
    <col min="18" max="18" width="15.1640625" bestFit="1" customWidth="1" collapsed="1"/>
    <col min="19" max="19" width="12.1640625" customWidth="1"/>
    <col min="20" max="20" width="22.6640625" customWidth="1"/>
    <col min="21" max="21" width="13.6640625" customWidth="1"/>
    <col min="22" max="22" width="12.6640625" customWidth="1"/>
    <col min="23" max="23" width="16.6640625" customWidth="1"/>
    <col min="24" max="24" width="12.1640625" bestFit="1" customWidth="1"/>
    <col min="25" max="25" width="11.5" bestFit="1" customWidth="1"/>
    <col min="26" max="26" width="16" bestFit="1" customWidth="1"/>
    <col min="27" max="27" width="16.5" bestFit="1" customWidth="1"/>
    <col min="28" max="28" width="36.33203125" bestFit="1" customWidth="1"/>
    <col min="29" max="30" width="18" bestFit="1" customWidth="1"/>
    <col min="31" max="31" width="16.1640625" customWidth="1"/>
    <col min="32" max="35" width="18" bestFit="1" customWidth="1"/>
    <col min="36" max="36" width="17.1640625" bestFit="1" customWidth="1"/>
  </cols>
  <sheetData>
    <row r="1" spans="1:36" s="2" customFormat="1" ht="21" x14ac:dyDescent="0.25">
      <c r="B1" s="313" t="s">
        <v>215</v>
      </c>
      <c r="C1" s="314"/>
      <c r="D1" s="314"/>
      <c r="AB1" s="2" t="s">
        <v>216</v>
      </c>
      <c r="AC1" s="317">
        <f t="shared" ref="AC1:AJ1" si="0">+IF(AC2&lt;0,-$C$193*AC2,0)</f>
        <v>0</v>
      </c>
      <c r="AD1" s="317" t="e">
        <f t="shared" si="0"/>
        <v>#REF!</v>
      </c>
      <c r="AE1" s="317" t="e">
        <f t="shared" si="0"/>
        <v>#REF!</v>
      </c>
      <c r="AF1" s="317" t="e">
        <f t="shared" si="0"/>
        <v>#REF!</v>
      </c>
      <c r="AG1" s="317" t="e">
        <f t="shared" si="0"/>
        <v>#REF!</v>
      </c>
      <c r="AH1" s="317" t="e">
        <f t="shared" si="0"/>
        <v>#REF!</v>
      </c>
      <c r="AI1" s="317" t="e">
        <f t="shared" si="0"/>
        <v>#REF!</v>
      </c>
      <c r="AJ1" s="317" t="e">
        <f t="shared" si="0"/>
        <v>#REF!</v>
      </c>
    </row>
    <row r="2" spans="1:36" x14ac:dyDescent="0.2">
      <c r="B2" s="1" t="s">
        <v>217</v>
      </c>
      <c r="C2" s="1" t="s">
        <v>218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42"/>
      <c r="AB2" t="s">
        <v>219</v>
      </c>
      <c r="AC2" s="130">
        <f>+'Returns Resi'!F30</f>
        <v>0</v>
      </c>
      <c r="AD2" s="130" t="e">
        <f>+'Returns Resi'!G40</f>
        <v>#REF!</v>
      </c>
      <c r="AE2" s="130" t="e">
        <f>+'Returns Resi'!H40</f>
        <v>#REF!</v>
      </c>
      <c r="AF2" s="130" t="e">
        <f>+'Returns Resi'!I40</f>
        <v>#REF!</v>
      </c>
      <c r="AG2" s="130" t="e">
        <f>+'Returns Resi'!J40</f>
        <v>#REF!</v>
      </c>
      <c r="AH2" s="130" t="e">
        <f>+'Returns Resi'!K40</f>
        <v>#REF!</v>
      </c>
      <c r="AI2" s="130" t="e">
        <f>+'Returns Resi'!L40</f>
        <v>#REF!</v>
      </c>
      <c r="AJ2" s="130" t="e">
        <f>+'Returns Resi'!M40</f>
        <v>#REF!</v>
      </c>
    </row>
    <row r="3" spans="1:36" s="3" customFormat="1" x14ac:dyDescent="0.2">
      <c r="A3" s="55"/>
      <c r="B3" s="191"/>
      <c r="C3" s="191"/>
      <c r="D3" s="191"/>
      <c r="E3" s="247">
        <v>0</v>
      </c>
      <c r="F3" s="247">
        <f>E3+1</f>
        <v>1</v>
      </c>
      <c r="G3" s="247">
        <f t="shared" ref="G3:Q3" si="1">F3+1</f>
        <v>2</v>
      </c>
      <c r="H3" s="247">
        <f t="shared" si="1"/>
        <v>3</v>
      </c>
      <c r="I3" s="247">
        <f t="shared" si="1"/>
        <v>4</v>
      </c>
      <c r="J3" s="247">
        <f t="shared" si="1"/>
        <v>5</v>
      </c>
      <c r="K3" s="247">
        <f t="shared" si="1"/>
        <v>6</v>
      </c>
      <c r="L3" s="247">
        <f t="shared" si="1"/>
        <v>7</v>
      </c>
      <c r="M3" s="247">
        <f t="shared" si="1"/>
        <v>8</v>
      </c>
      <c r="N3" s="247">
        <f t="shared" si="1"/>
        <v>9</v>
      </c>
      <c r="O3" s="247">
        <f t="shared" si="1"/>
        <v>10</v>
      </c>
      <c r="P3" s="247">
        <f t="shared" si="1"/>
        <v>11</v>
      </c>
      <c r="Q3" s="247">
        <f t="shared" si="1"/>
        <v>12</v>
      </c>
      <c r="R3" s="191"/>
      <c r="Z3" s="182"/>
      <c r="AA3" s="183"/>
      <c r="AC3" s="3" t="s">
        <v>220</v>
      </c>
      <c r="AD3" s="3" t="s">
        <v>221</v>
      </c>
      <c r="AE3" s="3" t="s">
        <v>222</v>
      </c>
      <c r="AF3" s="3" t="s">
        <v>223</v>
      </c>
      <c r="AG3" s="3" t="s">
        <v>224</v>
      </c>
      <c r="AH3" s="3" t="s">
        <v>225</v>
      </c>
      <c r="AI3" s="3" t="s">
        <v>226</v>
      </c>
      <c r="AJ3" s="3" t="s">
        <v>227</v>
      </c>
    </row>
    <row r="4" spans="1:36" s="3" customFormat="1" x14ac:dyDescent="0.2">
      <c r="A4" s="55"/>
      <c r="E4" s="6">
        <f>Assumptions!C6</f>
        <v>2025</v>
      </c>
      <c r="F4" s="6">
        <f>E4+1</f>
        <v>2026</v>
      </c>
      <c r="G4" s="6">
        <f t="shared" ref="G4:Q4" si="2">F4+1</f>
        <v>2027</v>
      </c>
      <c r="H4" s="6">
        <f t="shared" si="2"/>
        <v>2028</v>
      </c>
      <c r="I4" s="6">
        <f t="shared" si="2"/>
        <v>2029</v>
      </c>
      <c r="J4" s="6">
        <f t="shared" si="2"/>
        <v>2030</v>
      </c>
      <c r="K4" s="6">
        <f t="shared" si="2"/>
        <v>2031</v>
      </c>
      <c r="L4" s="6">
        <f t="shared" si="2"/>
        <v>2032</v>
      </c>
      <c r="M4" s="6">
        <f t="shared" si="2"/>
        <v>2033</v>
      </c>
      <c r="N4" s="6">
        <f t="shared" si="2"/>
        <v>2034</v>
      </c>
      <c r="O4" s="6">
        <f t="shared" si="2"/>
        <v>2035</v>
      </c>
      <c r="P4" s="6">
        <f t="shared" si="2"/>
        <v>2036</v>
      </c>
      <c r="Q4" s="6">
        <f t="shared" si="2"/>
        <v>2037</v>
      </c>
      <c r="R4" s="6" t="s">
        <v>228</v>
      </c>
      <c r="U4"/>
      <c r="V4" s="132"/>
      <c r="AB4"/>
      <c r="AC4"/>
      <c r="AD4"/>
      <c r="AE4"/>
      <c r="AF4"/>
      <c r="AG4"/>
      <c r="AH4"/>
      <c r="AI4"/>
      <c r="AJ4"/>
    </row>
    <row r="5" spans="1:36" x14ac:dyDescent="0.2">
      <c r="C5" s="813" t="s">
        <v>229</v>
      </c>
      <c r="D5" s="813" t="s">
        <v>230</v>
      </c>
      <c r="E5" s="20">
        <v>44927</v>
      </c>
      <c r="F5" s="20">
        <f>E5+365</f>
        <v>45292</v>
      </c>
      <c r="G5" s="20">
        <f>F5+366</f>
        <v>45658</v>
      </c>
      <c r="H5" s="20">
        <f>G5+365</f>
        <v>46023</v>
      </c>
      <c r="I5" s="20">
        <f>H5+365</f>
        <v>46388</v>
      </c>
      <c r="J5" s="20">
        <f>I5+365</f>
        <v>46753</v>
      </c>
      <c r="K5" s="20">
        <f>J5+366</f>
        <v>47119</v>
      </c>
      <c r="L5" s="20">
        <f>K5+365</f>
        <v>47484</v>
      </c>
      <c r="M5" s="20">
        <f>L5+365</f>
        <v>47849</v>
      </c>
      <c r="N5" s="20">
        <f>M5+365</f>
        <v>48214</v>
      </c>
      <c r="O5" s="20">
        <f>N5+365</f>
        <v>48579</v>
      </c>
      <c r="P5" s="20">
        <f>O5+366</f>
        <v>48945</v>
      </c>
      <c r="Q5" s="20">
        <f>P5+365</f>
        <v>49310</v>
      </c>
      <c r="R5" s="7"/>
      <c r="S5" s="813" t="s">
        <v>231</v>
      </c>
    </row>
    <row r="6" spans="1:36" ht="19" outlineLevel="1" x14ac:dyDescent="0.25">
      <c r="A6" s="74" t="s">
        <v>232</v>
      </c>
      <c r="B6" s="76" t="s">
        <v>233</v>
      </c>
      <c r="C6" s="813"/>
      <c r="D6" s="813" t="s">
        <v>234</v>
      </c>
      <c r="S6" s="814"/>
    </row>
    <row r="7" spans="1:36" outlineLevel="1" x14ac:dyDescent="0.2">
      <c r="A7" s="74"/>
      <c r="B7" s="103" t="str">
        <f>'Proforma Resi'!E265</f>
        <v>Phase 1: Downhill SFR</v>
      </c>
      <c r="C7" s="501">
        <v>10000</v>
      </c>
      <c r="D7" s="345">
        <f>'Proforma Resi'!G265</f>
        <v>2650</v>
      </c>
      <c r="E7" s="104"/>
      <c r="F7" s="8">
        <v>1</v>
      </c>
      <c r="G7" s="8">
        <v>1</v>
      </c>
      <c r="H7" s="8">
        <v>5</v>
      </c>
      <c r="I7" s="8">
        <v>3</v>
      </c>
      <c r="J7" s="8"/>
      <c r="K7" s="8"/>
      <c r="L7" s="8"/>
      <c r="M7" s="8"/>
      <c r="N7" s="8"/>
      <c r="O7" s="8"/>
      <c r="P7" s="8"/>
      <c r="Q7" s="8"/>
      <c r="R7">
        <f>SUM(F7:Q7)</f>
        <v>10</v>
      </c>
      <c r="S7" s="11">
        <f>D7*F23</f>
        <v>3776250</v>
      </c>
      <c r="T7" s="11">
        <f t="shared" ref="T7:T10" si="3">R7*S7</f>
        <v>37762500</v>
      </c>
      <c r="V7" s="11">
        <f>SUMPRODUCT(D7,R7)</f>
        <v>26500</v>
      </c>
      <c r="X7" s="3"/>
    </row>
    <row r="8" spans="1:36" outlineLevel="1" x14ac:dyDescent="0.2">
      <c r="A8" s="74"/>
      <c r="B8" s="103" t="str">
        <f>'Proforma Resi'!E266</f>
        <v>Phase 1: Uphill SFR</v>
      </c>
      <c r="C8" s="502">
        <v>10000</v>
      </c>
      <c r="D8" s="345">
        <f>'Proforma Resi'!G266</f>
        <v>2405</v>
      </c>
      <c r="E8" s="104"/>
      <c r="F8" s="8">
        <v>1</v>
      </c>
      <c r="G8" s="8">
        <v>2</v>
      </c>
      <c r="H8" s="8"/>
      <c r="I8" s="8"/>
      <c r="J8" s="8"/>
      <c r="K8" s="8"/>
      <c r="L8" s="8"/>
      <c r="M8" s="8"/>
      <c r="N8" s="8"/>
      <c r="O8" s="8"/>
      <c r="P8" s="8"/>
      <c r="Q8" s="8"/>
      <c r="R8">
        <f>SUM(F8:Q8)</f>
        <v>3</v>
      </c>
      <c r="S8" s="11">
        <f t="shared" ref="S8:S10" si="4">D8*F24</f>
        <v>3487250</v>
      </c>
      <c r="T8" s="11">
        <f t="shared" si="3"/>
        <v>10461750</v>
      </c>
      <c r="V8" s="11">
        <f>SUMPRODUCT(D8,R8)</f>
        <v>7215</v>
      </c>
      <c r="X8" s="3"/>
    </row>
    <row r="9" spans="1:36" outlineLevel="1" x14ac:dyDescent="0.2">
      <c r="A9" s="74"/>
      <c r="B9" s="103" t="str">
        <f>'Proforma Resi'!E267</f>
        <v>Phase 1: Uphill/Downhill Duplex</v>
      </c>
      <c r="C9" s="502">
        <v>5000</v>
      </c>
      <c r="D9" s="499">
        <f>'Proforma Resi'!G267</f>
        <v>1783</v>
      </c>
      <c r="E9" s="104"/>
      <c r="F9" s="8">
        <v>2</v>
      </c>
      <c r="G9" s="8">
        <v>8</v>
      </c>
      <c r="H9" s="8">
        <v>4</v>
      </c>
      <c r="I9" s="8">
        <v>8</v>
      </c>
      <c r="J9" s="8"/>
      <c r="K9" s="8"/>
      <c r="L9" s="8"/>
      <c r="M9" s="8"/>
      <c r="N9" s="8"/>
      <c r="O9" s="8"/>
      <c r="P9" s="8"/>
      <c r="Q9" s="8"/>
      <c r="R9">
        <f>SUM(F9:Q9)</f>
        <v>22</v>
      </c>
      <c r="S9" s="11">
        <f t="shared" si="4"/>
        <v>2451625</v>
      </c>
      <c r="T9" s="11">
        <f t="shared" si="3"/>
        <v>53935750</v>
      </c>
      <c r="V9" s="11">
        <f>SUMPRODUCT(D9,R9)</f>
        <v>39226</v>
      </c>
      <c r="X9" s="3"/>
    </row>
    <row r="10" spans="1:36" outlineLevel="1" x14ac:dyDescent="0.2">
      <c r="A10" s="74"/>
      <c r="B10" s="103" t="str">
        <f>'Proforma Resi'!E268</f>
        <v>Phase 1: Multi-unit</v>
      </c>
      <c r="C10" s="502">
        <v>5000</v>
      </c>
      <c r="D10" s="500">
        <f>'Proforma Resi'!G268</f>
        <v>1350</v>
      </c>
      <c r="E10" s="104"/>
      <c r="F10" s="8"/>
      <c r="G10" s="8">
        <v>4</v>
      </c>
      <c r="H10" s="8">
        <v>4</v>
      </c>
      <c r="I10" s="8"/>
      <c r="J10" s="8"/>
      <c r="K10" s="8"/>
      <c r="L10" s="8"/>
      <c r="M10" s="8"/>
      <c r="N10" s="8"/>
      <c r="O10" s="8"/>
      <c r="P10" s="8"/>
      <c r="Q10" s="8"/>
      <c r="R10">
        <f>SUM(F10:Q10)</f>
        <v>8</v>
      </c>
      <c r="S10" s="11">
        <f t="shared" si="4"/>
        <v>1957500</v>
      </c>
      <c r="T10" s="11">
        <f t="shared" si="3"/>
        <v>15660000</v>
      </c>
      <c r="V10" s="11">
        <f>SUMPRODUCT(D10,R10)</f>
        <v>10800</v>
      </c>
      <c r="X10" s="3"/>
    </row>
    <row r="11" spans="1:36" outlineLevel="1" x14ac:dyDescent="0.2">
      <c r="B11" s="49" t="s">
        <v>235</v>
      </c>
      <c r="C11" s="49"/>
      <c r="D11" s="3"/>
      <c r="E11" s="8"/>
      <c r="F11" s="56">
        <f t="shared" ref="F11:R11" si="5">SUM(F7:F10)</f>
        <v>4</v>
      </c>
      <c r="G11" s="56">
        <f t="shared" si="5"/>
        <v>15</v>
      </c>
      <c r="H11" s="56">
        <f t="shared" si="5"/>
        <v>13</v>
      </c>
      <c r="I11" s="56">
        <f t="shared" si="5"/>
        <v>11</v>
      </c>
      <c r="J11" s="56">
        <f t="shared" si="5"/>
        <v>0</v>
      </c>
      <c r="K11" s="56">
        <f t="shared" si="5"/>
        <v>0</v>
      </c>
      <c r="L11" s="56">
        <f t="shared" si="5"/>
        <v>0</v>
      </c>
      <c r="M11" s="56">
        <f t="shared" si="5"/>
        <v>0</v>
      </c>
      <c r="N11" s="56">
        <f t="shared" si="5"/>
        <v>0</v>
      </c>
      <c r="O11" s="56">
        <f t="shared" si="5"/>
        <v>0</v>
      </c>
      <c r="P11" s="56">
        <f t="shared" si="5"/>
        <v>0</v>
      </c>
      <c r="Q11" s="56">
        <f t="shared" si="5"/>
        <v>0</v>
      </c>
      <c r="R11" s="49">
        <f t="shared" si="5"/>
        <v>43</v>
      </c>
      <c r="S11" s="99" t="s">
        <v>236</v>
      </c>
      <c r="T11" s="133">
        <f>SUM(T7:T10)</f>
        <v>117820000</v>
      </c>
      <c r="U11" s="112"/>
      <c r="V11" s="61">
        <f>SUMPRODUCT(D7:D10,R7:R10)</f>
        <v>83741</v>
      </c>
      <c r="W11" s="134" t="s">
        <v>237</v>
      </c>
      <c r="X11">
        <f>SUM(T7:T10)/V11</f>
        <v>1406.9571655461482</v>
      </c>
      <c r="Y11" t="s">
        <v>237</v>
      </c>
      <c r="Z11" t="s">
        <v>237</v>
      </c>
    </row>
    <row r="12" spans="1:36" outlineLevel="1" x14ac:dyDescent="0.2">
      <c r="B12" t="s">
        <v>238</v>
      </c>
      <c r="C12" s="12">
        <f>SUMPRODUCT(C7:C10,R7:R10)</f>
        <v>280000</v>
      </c>
      <c r="D12" s="82">
        <f>SUMPRODUCT(D7:D10,R7:R10)</f>
        <v>83741</v>
      </c>
      <c r="E12" s="83"/>
      <c r="G12" s="8"/>
      <c r="H12" s="8"/>
      <c r="I12" s="8"/>
      <c r="J12" s="8"/>
      <c r="K12" s="8"/>
      <c r="L12" s="8"/>
      <c r="M12" s="8"/>
      <c r="N12" s="8"/>
      <c r="O12" s="8"/>
      <c r="P12" s="8"/>
      <c r="S12" s="7"/>
      <c r="T12" s="135">
        <f>T11/R11</f>
        <v>2740000</v>
      </c>
      <c r="U12" s="136" t="s">
        <v>239</v>
      </c>
    </row>
    <row r="13" spans="1:36" outlineLevel="1" x14ac:dyDescent="0.2">
      <c r="B13" t="s">
        <v>240</v>
      </c>
      <c r="C13" s="73">
        <f>C12/43560</f>
        <v>6.4279155188246095</v>
      </c>
      <c r="D13" s="7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36" ht="8" customHeight="1" outlineLevel="1" x14ac:dyDescent="0.2">
      <c r="C14" s="73"/>
      <c r="D14" s="7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36" ht="19" outlineLevel="1" x14ac:dyDescent="0.25">
      <c r="B15" s="76" t="s">
        <v>241</v>
      </c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U15" s="137"/>
      <c r="V15" s="137"/>
      <c r="W15" s="137"/>
      <c r="X15" s="137"/>
      <c r="Y15" s="137"/>
      <c r="Z15" s="137"/>
    </row>
    <row r="16" spans="1:36" outlineLevel="1" x14ac:dyDescent="0.2">
      <c r="B16" s="103" t="str">
        <f>B7</f>
        <v>Phase 1: Downhill SFR</v>
      </c>
      <c r="C16" s="5">
        <f>R7</f>
        <v>10</v>
      </c>
      <c r="D16" s="17"/>
      <c r="E16" s="8"/>
      <c r="F16" s="7">
        <v>0</v>
      </c>
      <c r="G16" s="7">
        <f t="shared" ref="G16:Q16" si="6">F7</f>
        <v>1</v>
      </c>
      <c r="H16" s="7">
        <f t="shared" si="6"/>
        <v>1</v>
      </c>
      <c r="I16" s="7">
        <f t="shared" si="6"/>
        <v>5</v>
      </c>
      <c r="J16" s="7">
        <f t="shared" si="6"/>
        <v>3</v>
      </c>
      <c r="K16" s="7">
        <f t="shared" si="6"/>
        <v>0</v>
      </c>
      <c r="L16" s="7">
        <f t="shared" si="6"/>
        <v>0</v>
      </c>
      <c r="M16" s="7">
        <f t="shared" si="6"/>
        <v>0</v>
      </c>
      <c r="N16" s="7">
        <f t="shared" si="6"/>
        <v>0</v>
      </c>
      <c r="O16" s="7">
        <f t="shared" si="6"/>
        <v>0</v>
      </c>
      <c r="P16" s="7">
        <f t="shared" si="6"/>
        <v>0</v>
      </c>
      <c r="Q16" s="7">
        <f t="shared" si="6"/>
        <v>0</v>
      </c>
      <c r="R16">
        <f>SUM(F16:Q16)</f>
        <v>10</v>
      </c>
      <c r="U16" s="138"/>
      <c r="V16" s="138"/>
      <c r="W16" s="138"/>
      <c r="X16" s="138"/>
      <c r="Y16" s="138"/>
      <c r="Z16" s="138"/>
      <c r="AA16" s="138"/>
      <c r="AB16" s="138"/>
      <c r="AC16" s="138">
        <f>+_xlfn.XLOOKUP($T16,$D$23:$D$26,O$23:O$26)</f>
        <v>2541.4559014253882</v>
      </c>
      <c r="AD16" s="138">
        <f>+_xlfn.XLOOKUP($T16,$D$23:$D$26,P$23:P$26)</f>
        <v>2732.0650940322921</v>
      </c>
      <c r="AE16" s="138">
        <f>+_xlfn.XLOOKUP($T16,$D$23:$D$26,Q$23:Q$26)</f>
        <v>2936.9699760847138</v>
      </c>
      <c r="AF16" s="138"/>
      <c r="AG16" s="138"/>
    </row>
    <row r="17" spans="1:33" outlineLevel="1" x14ac:dyDescent="0.2">
      <c r="B17" s="103" t="str">
        <f>B8</f>
        <v>Phase 1: Uphill SFR</v>
      </c>
      <c r="C17" s="5">
        <f>R8</f>
        <v>3</v>
      </c>
      <c r="D17" s="17"/>
      <c r="E17" s="8"/>
      <c r="F17" s="7">
        <v>0</v>
      </c>
      <c r="G17" s="7">
        <f t="shared" ref="G17:Q17" si="7">F8</f>
        <v>1</v>
      </c>
      <c r="H17" s="7">
        <f t="shared" si="7"/>
        <v>2</v>
      </c>
      <c r="I17" s="7">
        <f t="shared" si="7"/>
        <v>0</v>
      </c>
      <c r="J17" s="7">
        <f t="shared" si="7"/>
        <v>0</v>
      </c>
      <c r="K17" s="7">
        <f t="shared" si="7"/>
        <v>0</v>
      </c>
      <c r="L17" s="7">
        <f t="shared" si="7"/>
        <v>0</v>
      </c>
      <c r="M17" s="7">
        <f t="shared" si="7"/>
        <v>0</v>
      </c>
      <c r="N17" s="7">
        <f t="shared" si="7"/>
        <v>0</v>
      </c>
      <c r="O17" s="7">
        <f t="shared" si="7"/>
        <v>0</v>
      </c>
      <c r="P17" s="7">
        <f t="shared" si="7"/>
        <v>0</v>
      </c>
      <c r="Q17" s="7">
        <f t="shared" si="7"/>
        <v>0</v>
      </c>
      <c r="R17">
        <f>SUM(F17:Q17)</f>
        <v>3</v>
      </c>
      <c r="U17" s="138"/>
      <c r="V17" s="138"/>
      <c r="W17" s="138"/>
      <c r="X17" s="138"/>
      <c r="Y17" s="138"/>
      <c r="Z17" s="138"/>
      <c r="AA17" s="138"/>
      <c r="AB17" s="138"/>
      <c r="AC17" s="138">
        <f t="shared" ref="AC17:AE17" si="8">+AC16</f>
        <v>2541.4559014253882</v>
      </c>
      <c r="AD17" s="138">
        <f t="shared" si="8"/>
        <v>2732.0650940322921</v>
      </c>
      <c r="AE17" s="138">
        <f t="shared" si="8"/>
        <v>2936.9699760847138</v>
      </c>
      <c r="AF17" s="138"/>
      <c r="AG17" s="138"/>
    </row>
    <row r="18" spans="1:33" outlineLevel="1" x14ac:dyDescent="0.2">
      <c r="B18" s="103" t="str">
        <f>B9</f>
        <v>Phase 1: Uphill/Downhill Duplex</v>
      </c>
      <c r="C18" s="5">
        <f>R9</f>
        <v>22</v>
      </c>
      <c r="D18" s="17"/>
      <c r="E18" s="8"/>
      <c r="F18" s="7">
        <v>0</v>
      </c>
      <c r="G18" s="7">
        <f t="shared" ref="G18:Q18" si="9">F9</f>
        <v>2</v>
      </c>
      <c r="H18" s="7">
        <f t="shared" si="9"/>
        <v>8</v>
      </c>
      <c r="I18" s="7">
        <f t="shared" si="9"/>
        <v>4</v>
      </c>
      <c r="J18" s="7">
        <f t="shared" si="9"/>
        <v>8</v>
      </c>
      <c r="K18" s="7">
        <f t="shared" si="9"/>
        <v>0</v>
      </c>
      <c r="L18" s="7">
        <f t="shared" si="9"/>
        <v>0</v>
      </c>
      <c r="M18" s="7">
        <f t="shared" si="9"/>
        <v>0</v>
      </c>
      <c r="N18" s="7">
        <f t="shared" si="9"/>
        <v>0</v>
      </c>
      <c r="O18" s="7">
        <f t="shared" si="9"/>
        <v>0</v>
      </c>
      <c r="P18" s="7">
        <f t="shared" si="9"/>
        <v>0</v>
      </c>
      <c r="Q18" s="7">
        <f t="shared" si="9"/>
        <v>0</v>
      </c>
      <c r="R18">
        <f>SUM(F18:Q18)</f>
        <v>22</v>
      </c>
      <c r="U18" s="138"/>
      <c r="V18" s="138"/>
      <c r="W18" s="138"/>
      <c r="X18" s="138"/>
      <c r="Y18" s="138"/>
      <c r="Z18" s="138"/>
      <c r="AA18" s="138"/>
      <c r="AB18" s="138"/>
      <c r="AC18" s="138">
        <f>+_xlfn.XLOOKUP($T18,$D$23:$D$26,O$23:O$26)</f>
        <v>2541.4559014253882</v>
      </c>
      <c r="AD18" s="138">
        <f>+_xlfn.XLOOKUP($T18,$D$23:$D$26,P$23:P$26)</f>
        <v>2732.0650940322921</v>
      </c>
      <c r="AE18" s="138">
        <f>+_xlfn.XLOOKUP($T18,$D$23:$D$26,Q$23:Q$26)</f>
        <v>2936.9699760847138</v>
      </c>
    </row>
    <row r="19" spans="1:33" outlineLevel="1" x14ac:dyDescent="0.2">
      <c r="B19" s="103" t="str">
        <f>B10</f>
        <v>Phase 1: Multi-unit</v>
      </c>
      <c r="C19" s="5">
        <f>R10</f>
        <v>8</v>
      </c>
      <c r="D19" s="17"/>
      <c r="E19" s="8"/>
      <c r="F19" s="7">
        <v>0</v>
      </c>
      <c r="G19" s="7">
        <f t="shared" ref="G19:Q19" si="10">F10</f>
        <v>0</v>
      </c>
      <c r="H19" s="7">
        <f t="shared" si="10"/>
        <v>4</v>
      </c>
      <c r="I19" s="7">
        <f t="shared" si="10"/>
        <v>4</v>
      </c>
      <c r="J19" s="7">
        <f t="shared" si="10"/>
        <v>0</v>
      </c>
      <c r="K19" s="7">
        <f t="shared" si="10"/>
        <v>0</v>
      </c>
      <c r="L19" s="7">
        <f t="shared" si="10"/>
        <v>0</v>
      </c>
      <c r="M19" s="7">
        <f t="shared" si="10"/>
        <v>0</v>
      </c>
      <c r="N19" s="7">
        <f t="shared" si="10"/>
        <v>0</v>
      </c>
      <c r="O19" s="7">
        <f t="shared" si="10"/>
        <v>0</v>
      </c>
      <c r="P19" s="7">
        <f t="shared" si="10"/>
        <v>0</v>
      </c>
      <c r="Q19" s="7">
        <f t="shared" si="10"/>
        <v>0</v>
      </c>
      <c r="R19">
        <f>SUM(F19:Q19)</f>
        <v>8</v>
      </c>
      <c r="U19" s="138"/>
      <c r="V19" s="138"/>
      <c r="W19" s="138"/>
      <c r="X19" s="138"/>
      <c r="Y19" s="138"/>
      <c r="Z19" s="138"/>
      <c r="AA19" s="138"/>
      <c r="AB19" s="138"/>
      <c r="AC19" s="138">
        <f t="shared" ref="AC19:AE19" si="11">+AC18</f>
        <v>2541.4559014253882</v>
      </c>
      <c r="AD19" s="138">
        <f t="shared" si="11"/>
        <v>2732.0650940322921</v>
      </c>
      <c r="AE19" s="138">
        <f t="shared" si="11"/>
        <v>2936.9699760847138</v>
      </c>
    </row>
    <row r="20" spans="1:33" x14ac:dyDescent="0.2">
      <c r="B20" s="49" t="s">
        <v>242</v>
      </c>
      <c r="C20" s="49">
        <f>SUM(C16:C19)</f>
        <v>43</v>
      </c>
      <c r="D20" s="3"/>
      <c r="E20" s="9"/>
      <c r="F20" s="56">
        <f t="shared" ref="F20:R20" si="12">SUM(F16:F19)</f>
        <v>0</v>
      </c>
      <c r="G20" s="56">
        <f t="shared" si="12"/>
        <v>4</v>
      </c>
      <c r="H20" s="56">
        <f t="shared" si="12"/>
        <v>15</v>
      </c>
      <c r="I20" s="56">
        <f t="shared" si="12"/>
        <v>13</v>
      </c>
      <c r="J20" s="56">
        <f t="shared" si="12"/>
        <v>11</v>
      </c>
      <c r="K20" s="56">
        <f t="shared" si="12"/>
        <v>0</v>
      </c>
      <c r="L20" s="56">
        <f t="shared" si="12"/>
        <v>0</v>
      </c>
      <c r="M20" s="56">
        <f t="shared" si="12"/>
        <v>0</v>
      </c>
      <c r="N20" s="56">
        <f t="shared" si="12"/>
        <v>0</v>
      </c>
      <c r="O20" s="56">
        <f t="shared" si="12"/>
        <v>0</v>
      </c>
      <c r="P20" s="56">
        <f t="shared" si="12"/>
        <v>0</v>
      </c>
      <c r="Q20" s="56">
        <f t="shared" si="12"/>
        <v>0</v>
      </c>
      <c r="R20" s="49">
        <f t="shared" si="12"/>
        <v>43</v>
      </c>
      <c r="W20" s="105"/>
      <c r="Z20" s="131"/>
      <c r="AA20" s="131"/>
    </row>
    <row r="21" spans="1:33" x14ac:dyDescent="0.2">
      <c r="B21" s="3"/>
      <c r="C21" s="3"/>
      <c r="D21" s="3"/>
      <c r="E21" s="9"/>
      <c r="F21" s="346"/>
      <c r="G21" s="346"/>
      <c r="H21" s="346"/>
      <c r="I21" s="346"/>
      <c r="J21" s="346"/>
      <c r="K21" s="346"/>
      <c r="L21" s="346"/>
      <c r="M21" s="346"/>
      <c r="N21" s="346"/>
      <c r="O21" s="346"/>
      <c r="P21" s="346"/>
      <c r="Q21" s="346"/>
      <c r="R21" s="3"/>
      <c r="W21" s="105"/>
      <c r="Z21" s="131"/>
      <c r="AA21" s="131"/>
    </row>
    <row r="22" spans="1:33" ht="15.5" customHeight="1" x14ac:dyDescent="0.25">
      <c r="B22" s="76" t="s">
        <v>71</v>
      </c>
      <c r="C22" s="17"/>
      <c r="D22" s="17"/>
      <c r="E22" s="59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  <c r="Q22" s="160"/>
      <c r="U22" s="143"/>
    </row>
    <row r="23" spans="1:33" x14ac:dyDescent="0.2">
      <c r="B23" s="15" t="s">
        <v>243</v>
      </c>
      <c r="C23" s="454">
        <v>7.4999999999999997E-2</v>
      </c>
      <c r="E23" s="339"/>
      <c r="F23" s="455">
        <f>'Proforma Resi'!H265</f>
        <v>1425</v>
      </c>
      <c r="G23" s="455">
        <f>'Proforma Resi'!H265</f>
        <v>1425</v>
      </c>
      <c r="H23" s="455">
        <f t="shared" ref="H23:M23" si="13">G23*(1+$C23)</f>
        <v>1531.875</v>
      </c>
      <c r="I23" s="455">
        <f t="shared" si="13"/>
        <v>1646.765625</v>
      </c>
      <c r="J23" s="455">
        <f t="shared" si="13"/>
        <v>1770.2730468749999</v>
      </c>
      <c r="K23" s="455">
        <f t="shared" si="13"/>
        <v>1903.0435253906248</v>
      </c>
      <c r="L23" s="455">
        <f t="shared" si="13"/>
        <v>2045.7717897949217</v>
      </c>
      <c r="M23" s="455">
        <f t="shared" si="13"/>
        <v>2199.2046740295409</v>
      </c>
      <c r="N23" s="455">
        <f>M23*(1+$C$23)</f>
        <v>2364.1450245817564</v>
      </c>
      <c r="O23" s="455">
        <f>N23*(1+$C$23)</f>
        <v>2541.4559014253882</v>
      </c>
      <c r="P23" s="455">
        <f>O23*(1+$C$23)</f>
        <v>2732.0650940322921</v>
      </c>
      <c r="Q23" s="455">
        <f>P23*(1+$C$23)</f>
        <v>2936.9699760847138</v>
      </c>
      <c r="R23" s="146"/>
      <c r="T23" s="216"/>
      <c r="U23" s="143"/>
    </row>
    <row r="24" spans="1:33" x14ac:dyDescent="0.2">
      <c r="B24" s="15" t="s">
        <v>244</v>
      </c>
      <c r="C24" s="454">
        <v>7.4999999999999997E-2</v>
      </c>
      <c r="E24" s="339"/>
      <c r="F24" s="455">
        <f>'Proforma Resi'!H266</f>
        <v>1450</v>
      </c>
      <c r="G24" s="455">
        <v>1450</v>
      </c>
      <c r="H24" s="455">
        <f t="shared" ref="H24:M26" si="14">G24*(1+$C24)</f>
        <v>1558.75</v>
      </c>
      <c r="I24" s="455">
        <f t="shared" si="14"/>
        <v>1675.65625</v>
      </c>
      <c r="J24" s="455">
        <f t="shared" si="14"/>
        <v>1801.3304687499999</v>
      </c>
      <c r="K24" s="455">
        <f t="shared" si="14"/>
        <v>1936.4302539062498</v>
      </c>
      <c r="L24" s="455">
        <f t="shared" si="14"/>
        <v>2081.6625229492183</v>
      </c>
      <c r="M24" s="455">
        <f t="shared" si="14"/>
        <v>2237.7872121704095</v>
      </c>
      <c r="N24" s="455">
        <f>M24*(1+$C$24)</f>
        <v>2405.6212530831899</v>
      </c>
      <c r="O24" s="455">
        <f>N24*(1+$C$24)</f>
        <v>2586.0428470644292</v>
      </c>
      <c r="P24" s="455">
        <f>O24*(1+$C$24)</f>
        <v>2779.9960605942615</v>
      </c>
      <c r="Q24" s="455">
        <f>P24*(1+$C$24)</f>
        <v>2988.4957651388308</v>
      </c>
      <c r="R24" s="455"/>
      <c r="T24" s="216"/>
      <c r="U24" s="143"/>
      <c r="Z24" s="131"/>
      <c r="AA24" s="124"/>
    </row>
    <row r="25" spans="1:33" x14ac:dyDescent="0.2">
      <c r="B25" s="128" t="s">
        <v>245</v>
      </c>
      <c r="C25" s="454">
        <v>7.4999999999999997E-2</v>
      </c>
      <c r="D25" s="15"/>
      <c r="E25" s="339"/>
      <c r="F25" s="455">
        <f>'Proforma Resi'!H267</f>
        <v>1375</v>
      </c>
      <c r="G25" s="455">
        <v>1375</v>
      </c>
      <c r="H25" s="455">
        <f t="shared" si="14"/>
        <v>1478.125</v>
      </c>
      <c r="I25" s="455">
        <f t="shared" si="14"/>
        <v>1588.984375</v>
      </c>
      <c r="J25" s="455">
        <f t="shared" si="14"/>
        <v>1708.158203125</v>
      </c>
      <c r="K25" s="455">
        <f t="shared" si="14"/>
        <v>1836.2700683593748</v>
      </c>
      <c r="L25" s="455">
        <f t="shared" si="14"/>
        <v>1973.990323486328</v>
      </c>
      <c r="M25" s="455">
        <f t="shared" si="14"/>
        <v>2122.0395977478024</v>
      </c>
      <c r="N25" s="455">
        <f>M25*(1+$C$25)</f>
        <v>2281.1925675788875</v>
      </c>
      <c r="O25" s="455">
        <f>N25*(1+$C$25)</f>
        <v>2452.2820101473039</v>
      </c>
      <c r="P25" s="455">
        <f>O25*(1+$C$25)</f>
        <v>2636.2031609083515</v>
      </c>
      <c r="Q25" s="455">
        <f>P25*(1+$C$25)</f>
        <v>2833.9183979764775</v>
      </c>
      <c r="R25" s="455"/>
      <c r="U25" s="143"/>
      <c r="Z25" s="131"/>
      <c r="AA25" s="124"/>
    </row>
    <row r="26" spans="1:33" ht="15.5" customHeight="1" x14ac:dyDescent="0.2">
      <c r="B26" s="128" t="s">
        <v>246</v>
      </c>
      <c r="C26" s="454">
        <v>7.4999999999999997E-2</v>
      </c>
      <c r="D26" s="15"/>
      <c r="E26" s="339"/>
      <c r="F26" s="455">
        <f>'Proforma Resi'!H268</f>
        <v>1450</v>
      </c>
      <c r="G26" s="455">
        <f>'Proforma Resi'!H268</f>
        <v>1450</v>
      </c>
      <c r="H26" s="455">
        <f>'Proforma Resi'!H268</f>
        <v>1450</v>
      </c>
      <c r="I26" s="455">
        <f>'Proforma Resi'!H268</f>
        <v>1450</v>
      </c>
      <c r="J26" s="455">
        <f t="shared" si="14"/>
        <v>1558.75</v>
      </c>
      <c r="K26" s="455">
        <f t="shared" si="14"/>
        <v>1675.65625</v>
      </c>
      <c r="L26" s="455">
        <f t="shared" si="14"/>
        <v>1801.3304687499999</v>
      </c>
      <c r="M26" s="455">
        <f t="shared" si="14"/>
        <v>1936.4302539062498</v>
      </c>
      <c r="N26" s="455">
        <f>M26*(1+$C$26)</f>
        <v>2081.6625229492183</v>
      </c>
      <c r="O26" s="455">
        <f>N26*(1+$C$26)</f>
        <v>2237.7872121704095</v>
      </c>
      <c r="P26" s="455">
        <f>O26*(1+$C$26)</f>
        <v>2405.6212530831899</v>
      </c>
      <c r="Q26" s="455">
        <f>P26*(1+$C$26)</f>
        <v>2586.0428470644292</v>
      </c>
      <c r="R26" s="455"/>
      <c r="U26" s="143"/>
    </row>
    <row r="27" spans="1:33" x14ac:dyDescent="0.2">
      <c r="B27" s="137" t="s">
        <v>247</v>
      </c>
      <c r="C27" s="17"/>
      <c r="D27" s="17"/>
      <c r="E27" s="59"/>
      <c r="F27" s="160"/>
      <c r="G27" s="160">
        <f t="shared" ref="G27:Q27" si="15">IFERROR(SUM(F42+G44)/G20,"")</f>
        <v>3041687.5</v>
      </c>
      <c r="H27" s="160">
        <f t="shared" si="15"/>
        <v>2698068.75</v>
      </c>
      <c r="I27" s="160">
        <f t="shared" si="15"/>
        <v>3152483.1610576925</v>
      </c>
      <c r="J27" s="160">
        <f t="shared" si="15"/>
        <v>3494439.9392755684</v>
      </c>
      <c r="K27" s="160" t="str">
        <f t="shared" si="15"/>
        <v/>
      </c>
      <c r="L27" s="160" t="str">
        <f t="shared" si="15"/>
        <v/>
      </c>
      <c r="M27" s="160" t="str">
        <f t="shared" si="15"/>
        <v/>
      </c>
      <c r="N27" s="160" t="str">
        <f t="shared" si="15"/>
        <v/>
      </c>
      <c r="O27" s="160" t="str">
        <f t="shared" si="15"/>
        <v/>
      </c>
      <c r="P27" s="160" t="str">
        <f t="shared" si="15"/>
        <v/>
      </c>
      <c r="Q27" s="160" t="str">
        <f t="shared" si="15"/>
        <v/>
      </c>
      <c r="U27" s="143"/>
    </row>
    <row r="28" spans="1:33" x14ac:dyDescent="0.2">
      <c r="B28" s="34" t="s">
        <v>134</v>
      </c>
      <c r="C28" s="161"/>
      <c r="D28" s="161"/>
      <c r="E28" s="161"/>
      <c r="F28" s="161"/>
      <c r="G28" s="161"/>
      <c r="H28" s="161"/>
      <c r="I28" s="161"/>
      <c r="J28" s="161"/>
      <c r="K28" s="161"/>
      <c r="L28" s="161"/>
      <c r="M28" s="161"/>
      <c r="N28" s="161"/>
      <c r="O28" s="161"/>
      <c r="P28" s="161"/>
      <c r="Q28" s="161"/>
      <c r="R28" s="161"/>
      <c r="T28" s="812" t="s">
        <v>248</v>
      </c>
      <c r="U28" s="812"/>
      <c r="W28" s="812" t="s">
        <v>249</v>
      </c>
      <c r="X28" s="812"/>
      <c r="Y28" s="812"/>
    </row>
    <row r="29" spans="1:33" x14ac:dyDescent="0.2">
      <c r="B29" s="132" t="s">
        <v>250</v>
      </c>
      <c r="E29" s="25">
        <v>75000</v>
      </c>
      <c r="F29" s="25"/>
      <c r="G29" s="10"/>
      <c r="H29" s="10"/>
      <c r="I29" s="10"/>
      <c r="J29" s="10"/>
      <c r="K29" s="10"/>
      <c r="L29" s="10">
        <v>0</v>
      </c>
      <c r="M29" s="10"/>
      <c r="N29" s="10"/>
      <c r="O29" s="10"/>
      <c r="P29" s="10"/>
      <c r="Q29" s="10"/>
      <c r="R29" s="12">
        <f>SUM(E29:Q29)</f>
        <v>75000</v>
      </c>
      <c r="T29" s="3" t="s">
        <v>251</v>
      </c>
      <c r="U29" s="147" t="e">
        <f>SUM(E197:G197)</f>
        <v>#REF!</v>
      </c>
      <c r="V29" s="319" t="s">
        <v>252</v>
      </c>
      <c r="W29" s="3" t="s">
        <v>253</v>
      </c>
      <c r="Y29" s="11">
        <f>SUMPRODUCT(D7:D10,F7:F10,F23:F26)</f>
        <v>12166750</v>
      </c>
    </row>
    <row r="30" spans="1:33" x14ac:dyDescent="0.2">
      <c r="B30" s="132" t="s">
        <v>254</v>
      </c>
      <c r="E30" s="25"/>
      <c r="F30" s="61" t="s">
        <v>255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2"/>
      <c r="T30" s="3" t="s">
        <v>256</v>
      </c>
      <c r="U30" s="147" t="e">
        <f>U29*(1+Assumptions!#REF!)</f>
        <v>#REF!</v>
      </c>
      <c r="V30" s="320" t="e">
        <f>U29+SUMIF(E3:Q3,"&lt;="&amp;Assumptions!G6,'Proforma Resi'!E201:Q201)+R202</f>
        <v>#REF!</v>
      </c>
      <c r="W30" s="3" t="s">
        <v>257</v>
      </c>
      <c r="Y30" s="111" t="e">
        <f>(R32)/Y29</f>
        <v>#REF!</v>
      </c>
    </row>
    <row r="31" spans="1:33" ht="17" customHeight="1" x14ac:dyDescent="0.2">
      <c r="B31" s="132" t="s">
        <v>258</v>
      </c>
      <c r="E31" s="67"/>
      <c r="F31" s="67" t="e">
        <f>U34-SUM(E29:F29)</f>
        <v>#REF!</v>
      </c>
      <c r="G31" s="32"/>
      <c r="H31" s="32"/>
      <c r="I31" s="32"/>
      <c r="J31" s="32"/>
      <c r="K31" s="32"/>
      <c r="L31" s="32">
        <v>0</v>
      </c>
      <c r="M31" s="32"/>
      <c r="N31" s="32"/>
      <c r="O31" s="10"/>
      <c r="P31" s="10"/>
      <c r="Q31" s="10"/>
      <c r="R31" s="12" t="e">
        <f>SUM(E31:Q31)</f>
        <v>#REF!</v>
      </c>
      <c r="T31" s="145" t="s">
        <v>259</v>
      </c>
      <c r="U31" s="146">
        <f>SUM(E44:G44)</f>
        <v>12166750</v>
      </c>
      <c r="W31" s="3" t="s">
        <v>260</v>
      </c>
      <c r="Y31" s="111" t="e">
        <f>R35/(Y29+R64+F72+G72)</f>
        <v>#REF!</v>
      </c>
    </row>
    <row r="32" spans="1:33" s="3" customFormat="1" ht="17" customHeight="1" x14ac:dyDescent="0.2">
      <c r="A32" s="55"/>
      <c r="B32" s="49" t="s">
        <v>261</v>
      </c>
      <c r="C32" s="49"/>
      <c r="D32" s="49"/>
      <c r="E32" s="249">
        <f t="shared" ref="E32:R32" si="16">SUM(E29:E31)</f>
        <v>75000</v>
      </c>
      <c r="F32" s="249" t="e">
        <f>SUM(F29:F31)</f>
        <v>#REF!</v>
      </c>
      <c r="G32" s="249">
        <f t="shared" si="16"/>
        <v>0</v>
      </c>
      <c r="H32" s="249">
        <f t="shared" si="16"/>
        <v>0</v>
      </c>
      <c r="I32" s="249">
        <f t="shared" si="16"/>
        <v>0</v>
      </c>
      <c r="J32" s="249">
        <f t="shared" si="16"/>
        <v>0</v>
      </c>
      <c r="K32" s="249">
        <f t="shared" si="16"/>
        <v>0</v>
      </c>
      <c r="L32" s="249">
        <f t="shared" si="16"/>
        <v>0</v>
      </c>
      <c r="M32" s="249">
        <f t="shared" si="16"/>
        <v>0</v>
      </c>
      <c r="N32" s="249">
        <f t="shared" si="16"/>
        <v>0</v>
      </c>
      <c r="O32" s="249">
        <f t="shared" si="16"/>
        <v>0</v>
      </c>
      <c r="P32" s="249">
        <f t="shared" si="16"/>
        <v>0</v>
      </c>
      <c r="Q32" s="249">
        <f t="shared" si="16"/>
        <v>0</v>
      </c>
      <c r="R32" s="249" t="e">
        <f t="shared" si="16"/>
        <v>#REF!</v>
      </c>
      <c r="T32" s="145" t="s">
        <v>262</v>
      </c>
      <c r="U32" s="337">
        <f>Assumptions!F7</f>
        <v>0.6</v>
      </c>
      <c r="V32" s="24"/>
      <c r="W32" s="3" t="s">
        <v>263</v>
      </c>
      <c r="Y32" s="338" t="e">
        <f>(R35/(R58+R32+R35))</f>
        <v>#REF!</v>
      </c>
    </row>
    <row r="33" spans="1:30" x14ac:dyDescent="0.2">
      <c r="B33" s="132"/>
      <c r="D33" s="217"/>
      <c r="E33" s="12"/>
      <c r="F33" s="12"/>
      <c r="G33" s="12"/>
      <c r="H33" s="218"/>
      <c r="I33" s="218"/>
      <c r="J33" s="217"/>
      <c r="K33" s="217"/>
      <c r="L33" s="219"/>
      <c r="M33" s="10"/>
      <c r="N33" s="10"/>
      <c r="O33" s="10"/>
      <c r="P33" s="10"/>
      <c r="Q33" s="10"/>
      <c r="R33" s="220"/>
      <c r="T33" s="145" t="s">
        <v>264</v>
      </c>
      <c r="U33" s="498" t="e">
        <f>U30*U32</f>
        <v>#REF!</v>
      </c>
      <c r="V33" s="319" t="s">
        <v>252</v>
      </c>
    </row>
    <row r="34" spans="1:30" ht="17" customHeight="1" x14ac:dyDescent="0.2">
      <c r="B34" s="132" t="s">
        <v>265</v>
      </c>
      <c r="C34" s="60" t="e">
        <f>U33</f>
        <v>#REF!</v>
      </c>
      <c r="D34" s="217"/>
      <c r="E34" s="67">
        <v>0</v>
      </c>
      <c r="F34" s="67" t="e">
        <f t="shared" ref="F34:M34" si="17">MAX(F197-F32-F44-E230,0)</f>
        <v>#REF!</v>
      </c>
      <c r="G34" s="67" t="e">
        <f t="shared" si="17"/>
        <v>#REF!</v>
      </c>
      <c r="H34" s="67" t="e">
        <f t="shared" si="17"/>
        <v>#REF!</v>
      </c>
      <c r="I34" s="67" t="e">
        <f t="shared" si="17"/>
        <v>#REF!</v>
      </c>
      <c r="J34" s="67" t="e">
        <f t="shared" si="17"/>
        <v>#REF!</v>
      </c>
      <c r="K34" s="67" t="e">
        <f t="shared" si="17"/>
        <v>#REF!</v>
      </c>
      <c r="L34" s="67" t="e">
        <f t="shared" si="17"/>
        <v>#REF!</v>
      </c>
      <c r="M34" s="67" t="e">
        <f t="shared" si="17"/>
        <v>#REF!</v>
      </c>
      <c r="N34" s="67"/>
      <c r="O34" s="67" t="e">
        <f>MAX(O197-O32-O44-N230,0)</f>
        <v>#REF!</v>
      </c>
      <c r="P34" s="67" t="e">
        <f>MAX(P197-P32-P44-O230,0)</f>
        <v>#REF!</v>
      </c>
      <c r="Q34" s="67" t="e">
        <f>MAX(Q197-Q32-Q44-P230,0)</f>
        <v>#REF!</v>
      </c>
      <c r="R34" s="67" t="e">
        <f>SUM(E34:Q34)</f>
        <v>#REF!</v>
      </c>
      <c r="T34" s="145" t="s">
        <v>266</v>
      </c>
      <c r="U34" s="109" t="e">
        <f>U30-U33-C56*0.89</f>
        <v>#REF!</v>
      </c>
      <c r="V34" s="320" t="e">
        <f>U34+C56</f>
        <v>#REF!</v>
      </c>
    </row>
    <row r="35" spans="1:30" s="3" customFormat="1" ht="17" customHeight="1" x14ac:dyDescent="0.2">
      <c r="A35" s="55"/>
      <c r="B35" s="49" t="s">
        <v>267</v>
      </c>
      <c r="C35" s="336"/>
      <c r="D35" s="336"/>
      <c r="E35" s="52">
        <f t="shared" ref="E35:Q35" si="18">SUM(E34:E34)</f>
        <v>0</v>
      </c>
      <c r="F35" s="52" t="e">
        <f t="shared" si="18"/>
        <v>#REF!</v>
      </c>
      <c r="G35" s="52" t="e">
        <f t="shared" si="18"/>
        <v>#REF!</v>
      </c>
      <c r="H35" s="52" t="e">
        <f t="shared" si="18"/>
        <v>#REF!</v>
      </c>
      <c r="I35" s="52" t="e">
        <f t="shared" si="18"/>
        <v>#REF!</v>
      </c>
      <c r="J35" s="52" t="e">
        <f t="shared" si="18"/>
        <v>#REF!</v>
      </c>
      <c r="K35" s="52" t="e">
        <f t="shared" si="18"/>
        <v>#REF!</v>
      </c>
      <c r="L35" s="52" t="e">
        <f t="shared" si="18"/>
        <v>#REF!</v>
      </c>
      <c r="M35" s="52" t="e">
        <f t="shared" si="18"/>
        <v>#REF!</v>
      </c>
      <c r="N35" s="52">
        <f t="shared" si="18"/>
        <v>0</v>
      </c>
      <c r="O35" s="52" t="e">
        <f t="shared" si="18"/>
        <v>#REF!</v>
      </c>
      <c r="P35" s="52" t="e">
        <f t="shared" si="18"/>
        <v>#REF!</v>
      </c>
      <c r="Q35" s="52" t="e">
        <f t="shared" si="18"/>
        <v>#REF!</v>
      </c>
      <c r="R35" s="52" t="e">
        <f>SUM(E35:Q35)</f>
        <v>#REF!</v>
      </c>
      <c r="U35" s="109"/>
    </row>
    <row r="36" spans="1:30" x14ac:dyDescent="0.2">
      <c r="C36" s="15"/>
      <c r="D36" s="15"/>
      <c r="E36" s="16"/>
      <c r="F36" s="91"/>
      <c r="G36" s="92"/>
      <c r="H36" s="92"/>
      <c r="I36" s="92"/>
      <c r="J36" s="32"/>
      <c r="K36" s="32"/>
      <c r="L36" s="32"/>
      <c r="M36" s="32"/>
      <c r="N36" s="32"/>
      <c r="O36" s="32"/>
      <c r="P36" s="32"/>
      <c r="Q36" s="32"/>
      <c r="R36" s="12"/>
    </row>
    <row r="37" spans="1:30" hidden="1" outlineLevel="1" x14ac:dyDescent="0.2">
      <c r="B37" s="132" t="s">
        <v>268</v>
      </c>
      <c r="C37" s="221"/>
      <c r="D37" s="221"/>
      <c r="E37" s="16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217"/>
      <c r="R37" s="12"/>
      <c r="T37" s="111"/>
    </row>
    <row r="38" spans="1:30" hidden="1" outlineLevel="1" x14ac:dyDescent="0.2">
      <c r="B38" s="132" t="s">
        <v>269</v>
      </c>
      <c r="C38" s="221"/>
      <c r="D38" s="221"/>
      <c r="E38" s="16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217"/>
      <c r="R38" s="12"/>
      <c r="T38" s="111"/>
    </row>
    <row r="39" spans="1:30" hidden="1" outlineLevel="1" x14ac:dyDescent="0.2">
      <c r="B39" s="132" t="s">
        <v>270</v>
      </c>
      <c r="C39" s="221"/>
      <c r="D39" s="221"/>
      <c r="E39" s="16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217"/>
      <c r="R39" s="12"/>
      <c r="T39" s="111"/>
    </row>
    <row r="40" spans="1:30" hidden="1" outlineLevel="1" x14ac:dyDescent="0.2">
      <c r="B40" s="132" t="s">
        <v>271</v>
      </c>
      <c r="C40" s="221"/>
      <c r="D40" s="221"/>
      <c r="E40" s="16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73"/>
      <c r="R40" s="12"/>
      <c r="T40" s="111"/>
    </row>
    <row r="41" spans="1:30" hidden="1" outlineLevel="1" x14ac:dyDescent="0.2">
      <c r="B41" s="132" t="s">
        <v>272</v>
      </c>
      <c r="C41" s="221"/>
      <c r="D41" s="221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21"/>
      <c r="T41" s="111"/>
    </row>
    <row r="42" spans="1:30" collapsed="1" x14ac:dyDescent="0.2">
      <c r="B42" t="s">
        <v>273</v>
      </c>
      <c r="C42" s="15">
        <f>SUM(C37:C41)</f>
        <v>0</v>
      </c>
      <c r="D42" s="15"/>
      <c r="E42" s="32">
        <f t="shared" ref="E42:G42" si="19">SUM(E37:E41)</f>
        <v>0</v>
      </c>
      <c r="F42" s="32">
        <f t="shared" si="19"/>
        <v>0</v>
      </c>
      <c r="G42" s="32">
        <f t="shared" si="19"/>
        <v>0</v>
      </c>
      <c r="H42" s="32">
        <f t="shared" ref="H42" si="20">SUM(H37:H41)</f>
        <v>0</v>
      </c>
      <c r="I42" s="32">
        <f t="shared" ref="I42" si="21">SUM(I37:I41)</f>
        <v>0</v>
      </c>
      <c r="J42" s="32">
        <f t="shared" ref="J42" si="22">SUM(J37:J41)</f>
        <v>0</v>
      </c>
      <c r="K42" s="32">
        <f t="shared" ref="K42" si="23">SUM(K37:K41)</f>
        <v>0</v>
      </c>
      <c r="L42" s="32">
        <f t="shared" ref="L42" si="24">SUM(L37:L41)</f>
        <v>0</v>
      </c>
      <c r="M42" s="32">
        <f t="shared" ref="M42" si="25">SUM(M37:M41)</f>
        <v>0</v>
      </c>
      <c r="N42" s="32">
        <f t="shared" ref="N42" si="26">SUM(N37:N41)</f>
        <v>0</v>
      </c>
      <c r="O42" s="32">
        <f t="shared" ref="O42" si="27">SUM(O37:O41)</f>
        <v>0</v>
      </c>
      <c r="P42" s="32">
        <f t="shared" ref="P42" si="28">SUM(P37:P41)</f>
        <v>0</v>
      </c>
      <c r="Q42" s="32"/>
      <c r="R42" s="12">
        <f>SUM(E42:Q42)</f>
        <v>0</v>
      </c>
      <c r="T42" s="139" t="s">
        <v>274</v>
      </c>
    </row>
    <row r="43" spans="1:30" x14ac:dyDescent="0.2">
      <c r="B43" t="s">
        <v>275</v>
      </c>
      <c r="C43" s="15"/>
      <c r="D43" s="15"/>
      <c r="E43" s="32"/>
      <c r="F43" s="32"/>
      <c r="G43" s="32"/>
      <c r="H43" s="32" t="e">
        <f>'Proforma A+H'!#REF!</f>
        <v>#REF!</v>
      </c>
      <c r="I43" s="32"/>
      <c r="J43" s="32"/>
      <c r="K43" s="32"/>
      <c r="L43" s="32"/>
      <c r="M43" s="32"/>
      <c r="N43" s="32"/>
      <c r="O43" s="32"/>
      <c r="P43" s="32"/>
      <c r="Q43" s="32"/>
      <c r="R43" s="12"/>
      <c r="T43" s="139"/>
    </row>
    <row r="44" spans="1:30" x14ac:dyDescent="0.2">
      <c r="B44" s="222" t="s">
        <v>276</v>
      </c>
      <c r="C44" s="44"/>
      <c r="D44" s="44"/>
      <c r="E44" s="45"/>
      <c r="F44" s="77">
        <f>(1-$C$42)*SUMPRODUCT(F$16:F$19,$D$7:$D$10,F$23:F$26)</f>
        <v>0</v>
      </c>
      <c r="G44" s="77">
        <f>+(1-$C$42)*SUMPRODUCT(G$16:G$19,$D$7:$D$10,G$23:G$26)</f>
        <v>12166750</v>
      </c>
      <c r="H44" s="77">
        <f>(1-$C$42)*SUMPRODUCT(H$16:H$19,$D$7:$D$10,H$23:H$26)</f>
        <v>40471031.25</v>
      </c>
      <c r="I44" s="77">
        <f t="shared" ref="I44:Q44" si="29">(1-$C$42)*SUMPRODUCT(I$16:I$19,$D$7:$D$10,I$23:I$26)</f>
        <v>40982281.09375</v>
      </c>
      <c r="J44" s="77">
        <f>(1-$C$42)*SUMPRODUCT(J$16:J$19,$D$7:$D$10,J$23:J$26)</f>
        <v>38438839.33203125</v>
      </c>
      <c r="K44" s="77">
        <f t="shared" si="29"/>
        <v>0</v>
      </c>
      <c r="L44" s="77">
        <f t="shared" si="29"/>
        <v>0</v>
      </c>
      <c r="M44" s="77">
        <f t="shared" si="29"/>
        <v>0</v>
      </c>
      <c r="N44" s="77">
        <f t="shared" si="29"/>
        <v>0</v>
      </c>
      <c r="O44" s="77">
        <f t="shared" si="29"/>
        <v>0</v>
      </c>
      <c r="P44" s="77">
        <f t="shared" si="29"/>
        <v>0</v>
      </c>
      <c r="Q44" s="77">
        <f t="shared" si="29"/>
        <v>0</v>
      </c>
      <c r="R44" s="77">
        <f>SUM(E44:Q44)</f>
        <v>132058901.67578125</v>
      </c>
      <c r="T44" s="61"/>
      <c r="W44" s="11"/>
      <c r="AA44" s="223"/>
      <c r="AB44" s="223"/>
      <c r="AC44" s="223"/>
      <c r="AD44" s="223"/>
    </row>
    <row r="45" spans="1:30" x14ac:dyDescent="0.2">
      <c r="B45" s="30" t="s">
        <v>142</v>
      </c>
      <c r="C45" s="3"/>
      <c r="D45" s="3"/>
      <c r="E45" s="24">
        <f t="shared" ref="E45:G45" si="30">E32+E35+E42+E43+E44</f>
        <v>75000</v>
      </c>
      <c r="F45" s="24" t="e">
        <f t="shared" si="30"/>
        <v>#REF!</v>
      </c>
      <c r="G45" s="24" t="e">
        <f t="shared" si="30"/>
        <v>#REF!</v>
      </c>
      <c r="H45" s="24" t="e">
        <f>H32+H35+H42+H43+H44</f>
        <v>#REF!</v>
      </c>
      <c r="I45" s="24" t="e">
        <f t="shared" ref="I45:M45" si="31">I32+I35+I42+I43+I44</f>
        <v>#REF!</v>
      </c>
      <c r="J45" s="24" t="e">
        <f t="shared" si="31"/>
        <v>#REF!</v>
      </c>
      <c r="K45" s="24" t="e">
        <f t="shared" si="31"/>
        <v>#REF!</v>
      </c>
      <c r="L45" s="24" t="e">
        <f t="shared" si="31"/>
        <v>#REF!</v>
      </c>
      <c r="M45" s="24" t="e">
        <f t="shared" si="31"/>
        <v>#REF!</v>
      </c>
      <c r="N45" s="24">
        <f t="shared" ref="N45:Q45" si="32">N32+N35+N42+N44</f>
        <v>0</v>
      </c>
      <c r="O45" s="24" t="e">
        <f t="shared" si="32"/>
        <v>#REF!</v>
      </c>
      <c r="P45" s="24" t="e">
        <f t="shared" si="32"/>
        <v>#REF!</v>
      </c>
      <c r="Q45" s="24" t="e">
        <f t="shared" si="32"/>
        <v>#REF!</v>
      </c>
      <c r="R45" s="23" t="e">
        <f>SUM(E45:Q45)</f>
        <v>#REF!</v>
      </c>
      <c r="T45" t="s">
        <v>277</v>
      </c>
      <c r="U45" s="508">
        <f>T46/R11</f>
        <v>3071137.2482739827</v>
      </c>
      <c r="V45" s="506" t="s">
        <v>278</v>
      </c>
    </row>
    <row r="46" spans="1:30" x14ac:dyDescent="0.2">
      <c r="E46" s="137"/>
      <c r="G46" s="12"/>
      <c r="R46" s="12"/>
      <c r="T46" s="11">
        <f>(R42)+R44</f>
        <v>132058901.67578125</v>
      </c>
      <c r="U46" s="507">
        <f>T46/D12</f>
        <v>1576.9921743922482</v>
      </c>
      <c r="V46" s="506" t="s">
        <v>279</v>
      </c>
    </row>
    <row r="47" spans="1:30" x14ac:dyDescent="0.2">
      <c r="B47" s="34" t="s">
        <v>143</v>
      </c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35"/>
      <c r="T47" s="11"/>
    </row>
    <row r="48" spans="1:30" outlineLevel="1" x14ac:dyDescent="0.2">
      <c r="A48" s="224" t="s">
        <v>280</v>
      </c>
      <c r="B48" s="87" t="s">
        <v>281</v>
      </c>
      <c r="C48" s="137"/>
      <c r="R48" s="12"/>
      <c r="V48" s="70"/>
      <c r="W48" s="139"/>
    </row>
    <row r="49" spans="1:23" outlineLevel="1" x14ac:dyDescent="0.2">
      <c r="B49" s="163" t="s">
        <v>282</v>
      </c>
      <c r="C49" s="90">
        <v>0.02</v>
      </c>
      <c r="D49" s="25"/>
      <c r="E49" s="61"/>
      <c r="F49" s="12">
        <f>C49*C56</f>
        <v>300000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>
        <f>SUM(E49:L49)</f>
        <v>300000</v>
      </c>
      <c r="T49" s="489">
        <f>R49/T46</f>
        <v>2.2717135777528437E-3</v>
      </c>
      <c r="V49" s="70"/>
      <c r="W49" s="139"/>
    </row>
    <row r="50" spans="1:23" outlineLevel="1" x14ac:dyDescent="0.2">
      <c r="A50" s="224"/>
      <c r="B50" s="163" t="s">
        <v>283</v>
      </c>
      <c r="C50" s="90">
        <v>0.2</v>
      </c>
      <c r="F50" s="225">
        <f>Assumptions!Q7*C50</f>
        <v>3000000</v>
      </c>
      <c r="G50" s="225"/>
      <c r="H50" s="225"/>
      <c r="I50" s="225"/>
      <c r="J50" s="225"/>
      <c r="K50" s="225"/>
      <c r="L50" s="225"/>
      <c r="M50" s="225"/>
      <c r="N50" s="225"/>
      <c r="O50" s="225"/>
      <c r="P50" s="225"/>
      <c r="Q50" s="225"/>
      <c r="R50" s="12">
        <f t="shared" ref="R50:R54" si="33">SUM(E50:L50)</f>
        <v>3000000</v>
      </c>
      <c r="V50" s="70"/>
      <c r="W50" s="139"/>
    </row>
    <row r="51" spans="1:23" outlineLevel="1" x14ac:dyDescent="0.2">
      <c r="A51" s="224"/>
      <c r="B51" s="163"/>
      <c r="C51" s="90"/>
      <c r="F51" s="225"/>
      <c r="G51" s="225"/>
      <c r="H51" s="225"/>
      <c r="I51" s="225"/>
      <c r="J51" s="225"/>
      <c r="K51" s="225"/>
      <c r="L51" s="225"/>
      <c r="M51" s="225"/>
      <c r="N51" s="225"/>
      <c r="O51" s="225"/>
      <c r="P51" s="225"/>
      <c r="Q51" s="225"/>
      <c r="R51" s="12"/>
      <c r="V51" s="70"/>
      <c r="W51" s="139"/>
    </row>
    <row r="52" spans="1:23" s="457" customFormat="1" outlineLevel="1" x14ac:dyDescent="0.2">
      <c r="A52" s="460"/>
      <c r="B52" s="459" t="s">
        <v>284</v>
      </c>
      <c r="C52" s="466">
        <f>'Proforma Resi'!M267</f>
        <v>0.2</v>
      </c>
      <c r="F52" s="462">
        <f>(F42+F44)*$C$52</f>
        <v>0</v>
      </c>
      <c r="G52" s="462">
        <f t="shared" ref="G52:Q52" si="34">(G42+G44)*$C$52</f>
        <v>2433350</v>
      </c>
      <c r="H52" s="462">
        <f t="shared" si="34"/>
        <v>8094206.25</v>
      </c>
      <c r="I52" s="462">
        <f t="shared" si="34"/>
        <v>8196456.21875</v>
      </c>
      <c r="J52" s="462">
        <f t="shared" si="34"/>
        <v>7687767.8664062507</v>
      </c>
      <c r="K52" s="462">
        <f t="shared" si="34"/>
        <v>0</v>
      </c>
      <c r="L52" s="462">
        <f t="shared" si="34"/>
        <v>0</v>
      </c>
      <c r="M52" s="462">
        <f t="shared" si="34"/>
        <v>0</v>
      </c>
      <c r="N52" s="462">
        <f t="shared" si="34"/>
        <v>0</v>
      </c>
      <c r="O52" s="462">
        <f t="shared" si="34"/>
        <v>0</v>
      </c>
      <c r="P52" s="462">
        <f t="shared" si="34"/>
        <v>0</v>
      </c>
      <c r="Q52" s="462">
        <f t="shared" si="34"/>
        <v>0</v>
      </c>
      <c r="R52" s="220">
        <f t="shared" si="33"/>
        <v>26411780.335156251</v>
      </c>
      <c r="V52" s="464"/>
      <c r="W52" s="465"/>
    </row>
    <row r="53" spans="1:23" s="457" customFormat="1" outlineLevel="1" x14ac:dyDescent="0.2">
      <c r="A53" s="460"/>
      <c r="B53" s="468" t="s">
        <v>285</v>
      </c>
      <c r="C53" s="469">
        <f>'Proforma Resi'!M268</f>
        <v>0.3</v>
      </c>
      <c r="D53" s="491"/>
      <c r="E53" s="470"/>
      <c r="F53" s="471">
        <f>F52*$C$53</f>
        <v>0</v>
      </c>
      <c r="G53" s="471">
        <f t="shared" ref="G53:Q53" si="35">G52*$C$53</f>
        <v>730005</v>
      </c>
      <c r="H53" s="471">
        <f t="shared" si="35"/>
        <v>2428261.875</v>
      </c>
      <c r="I53" s="471">
        <f t="shared" si="35"/>
        <v>2458936.8656250001</v>
      </c>
      <c r="J53" s="471">
        <f t="shared" si="35"/>
        <v>2306330.3599218749</v>
      </c>
      <c r="K53" s="471">
        <f t="shared" si="35"/>
        <v>0</v>
      </c>
      <c r="L53" s="471">
        <f t="shared" si="35"/>
        <v>0</v>
      </c>
      <c r="M53" s="471">
        <f t="shared" si="35"/>
        <v>0</v>
      </c>
      <c r="N53" s="471">
        <f t="shared" si="35"/>
        <v>0</v>
      </c>
      <c r="O53" s="471">
        <f t="shared" si="35"/>
        <v>0</v>
      </c>
      <c r="P53" s="471">
        <f t="shared" si="35"/>
        <v>0</v>
      </c>
      <c r="Q53" s="471">
        <f t="shared" si="35"/>
        <v>0</v>
      </c>
      <c r="R53" s="472">
        <f t="shared" si="33"/>
        <v>7923534.1005468741</v>
      </c>
      <c r="V53" s="464"/>
      <c r="W53" s="465"/>
    </row>
    <row r="54" spans="1:23" outlineLevel="1" x14ac:dyDescent="0.2">
      <c r="A54" s="224"/>
      <c r="B54" s="163" t="s">
        <v>286</v>
      </c>
      <c r="C54" s="25">
        <v>500000</v>
      </c>
      <c r="D54" s="458" t="s">
        <v>287</v>
      </c>
      <c r="E54" s="225"/>
      <c r="F54" s="225"/>
      <c r="G54" s="225">
        <f>MIN(MAX(G52-G53,$C$54),F56)</f>
        <v>1703345</v>
      </c>
      <c r="H54" s="225">
        <f t="shared" ref="H54:Q54" si="36">MIN(MAX(H52-H53,$C$54),G56)</f>
        <v>5665944.375</v>
      </c>
      <c r="I54" s="225">
        <f t="shared" si="36"/>
        <v>4630710.625</v>
      </c>
      <c r="J54" s="225">
        <f t="shared" si="36"/>
        <v>0</v>
      </c>
      <c r="K54" s="225">
        <f t="shared" si="36"/>
        <v>0</v>
      </c>
      <c r="L54" s="225">
        <f t="shared" si="36"/>
        <v>0</v>
      </c>
      <c r="M54" s="225">
        <f t="shared" si="36"/>
        <v>0</v>
      </c>
      <c r="N54" s="225">
        <f t="shared" si="36"/>
        <v>0</v>
      </c>
      <c r="O54" s="225">
        <f t="shared" si="36"/>
        <v>0</v>
      </c>
      <c r="P54" s="225">
        <f t="shared" si="36"/>
        <v>0</v>
      </c>
      <c r="Q54" s="225">
        <f t="shared" si="36"/>
        <v>0</v>
      </c>
      <c r="R54" s="12">
        <f t="shared" si="33"/>
        <v>12000000</v>
      </c>
      <c r="T54" s="105">
        <f>(R50+R54)/T46</f>
        <v>0.11358567888764218</v>
      </c>
      <c r="U54" s="225">
        <f>Assumptions!Q7</f>
        <v>15000000</v>
      </c>
      <c r="V54" s="70" t="s">
        <v>288</v>
      </c>
      <c r="W54" s="139"/>
    </row>
    <row r="55" spans="1:23" outlineLevel="1" x14ac:dyDescent="0.2">
      <c r="A55" s="224"/>
      <c r="B55" s="163"/>
      <c r="C55" s="25"/>
      <c r="D55" s="458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12"/>
      <c r="T55" s="105"/>
      <c r="U55" s="225"/>
      <c r="V55" s="70"/>
      <c r="W55" s="139"/>
    </row>
    <row r="56" spans="1:23" s="457" customFormat="1" outlineLevel="1" x14ac:dyDescent="0.2">
      <c r="A56" s="460"/>
      <c r="B56" s="467" t="s">
        <v>289</v>
      </c>
      <c r="C56" s="461">
        <f>Assumptions!Q7</f>
        <v>15000000</v>
      </c>
      <c r="D56" s="458" t="s">
        <v>290</v>
      </c>
      <c r="E56" s="462"/>
      <c r="F56" s="462">
        <f>C56-F50</f>
        <v>12000000</v>
      </c>
      <c r="G56" s="462">
        <f>F56-G54</f>
        <v>10296655</v>
      </c>
      <c r="H56" s="462">
        <f t="shared" ref="H56:Q56" si="37">G56-H54</f>
        <v>4630710.625</v>
      </c>
      <c r="I56" s="462">
        <f t="shared" si="37"/>
        <v>0</v>
      </c>
      <c r="J56" s="462">
        <f t="shared" si="37"/>
        <v>0</v>
      </c>
      <c r="K56" s="462">
        <f t="shared" si="37"/>
        <v>0</v>
      </c>
      <c r="L56" s="462">
        <f t="shared" si="37"/>
        <v>0</v>
      </c>
      <c r="M56" s="462">
        <f t="shared" si="37"/>
        <v>0</v>
      </c>
      <c r="N56" s="462">
        <f t="shared" si="37"/>
        <v>0</v>
      </c>
      <c r="O56" s="462">
        <f t="shared" si="37"/>
        <v>0</v>
      </c>
      <c r="P56" s="462">
        <f t="shared" si="37"/>
        <v>0</v>
      </c>
      <c r="Q56" s="462">
        <f t="shared" si="37"/>
        <v>0</v>
      </c>
      <c r="R56" s="220"/>
      <c r="T56" s="463"/>
      <c r="U56" s="462"/>
      <c r="V56" s="464"/>
      <c r="W56" s="465"/>
    </row>
    <row r="57" spans="1:23" outlineLevel="1" x14ac:dyDescent="0.2">
      <c r="B57" s="163" t="s">
        <v>291</v>
      </c>
      <c r="C57" s="90" t="e">
        <f>Assumptions!#REF!</f>
        <v>#REF!</v>
      </c>
      <c r="D57" s="93"/>
      <c r="E57" s="47"/>
      <c r="F57" s="12" t="e">
        <f>F56*C57/2</f>
        <v>#REF!</v>
      </c>
      <c r="G57" s="12" t="e">
        <f>F56*$C$57</f>
        <v>#REF!</v>
      </c>
      <c r="H57" s="12" t="e">
        <f t="shared" ref="H57:Q57" si="38">G56*$C$57</f>
        <v>#REF!</v>
      </c>
      <c r="I57" s="12" t="e">
        <f t="shared" si="38"/>
        <v>#REF!</v>
      </c>
      <c r="J57" s="12" t="e">
        <f t="shared" si="38"/>
        <v>#REF!</v>
      </c>
      <c r="K57" s="12" t="e">
        <f t="shared" si="38"/>
        <v>#REF!</v>
      </c>
      <c r="L57" s="12" t="e">
        <f t="shared" si="38"/>
        <v>#REF!</v>
      </c>
      <c r="M57" s="12" t="e">
        <f t="shared" si="38"/>
        <v>#REF!</v>
      </c>
      <c r="N57" s="12" t="e">
        <f t="shared" si="38"/>
        <v>#REF!</v>
      </c>
      <c r="O57" s="12" t="e">
        <f t="shared" si="38"/>
        <v>#REF!</v>
      </c>
      <c r="P57" s="12" t="e">
        <f t="shared" si="38"/>
        <v>#REF!</v>
      </c>
      <c r="Q57" s="12" t="e">
        <f t="shared" si="38"/>
        <v>#REF!</v>
      </c>
      <c r="R57" s="47" t="e">
        <f>SUM(E57:Q57)</f>
        <v>#REF!</v>
      </c>
      <c r="T57" s="489" t="e">
        <f>R57/T46</f>
        <v>#REF!</v>
      </c>
      <c r="V57" s="70"/>
      <c r="W57" s="139"/>
    </row>
    <row r="58" spans="1:23" x14ac:dyDescent="0.2">
      <c r="A58" s="224"/>
      <c r="B58" s="85" t="s">
        <v>281</v>
      </c>
      <c r="C58" s="94"/>
      <c r="D58" s="94"/>
      <c r="E58" s="52">
        <f>SUM(E54:E57)</f>
        <v>0</v>
      </c>
      <c r="F58" s="52" t="e">
        <f>F49+F50+F54+F57</f>
        <v>#REF!</v>
      </c>
      <c r="G58" s="52" t="e">
        <f t="shared" ref="G58:Q58" si="39">G49+G50+G54+G57</f>
        <v>#REF!</v>
      </c>
      <c r="H58" s="52" t="e">
        <f>H49+H50+H54+H57</f>
        <v>#REF!</v>
      </c>
      <c r="I58" s="52" t="e">
        <f t="shared" si="39"/>
        <v>#REF!</v>
      </c>
      <c r="J58" s="52" t="e">
        <f>J49+J50+J54+J57</f>
        <v>#REF!</v>
      </c>
      <c r="K58" s="52" t="e">
        <f t="shared" si="39"/>
        <v>#REF!</v>
      </c>
      <c r="L58" s="52" t="e">
        <f t="shared" si="39"/>
        <v>#REF!</v>
      </c>
      <c r="M58" s="52" t="e">
        <f t="shared" si="39"/>
        <v>#REF!</v>
      </c>
      <c r="N58" s="52" t="e">
        <f t="shared" si="39"/>
        <v>#REF!</v>
      </c>
      <c r="O58" s="52" t="e">
        <f t="shared" si="39"/>
        <v>#REF!</v>
      </c>
      <c r="P58" s="52" t="e">
        <f t="shared" si="39"/>
        <v>#REF!</v>
      </c>
      <c r="Q58" s="52" t="e">
        <f t="shared" si="39"/>
        <v>#REF!</v>
      </c>
      <c r="R58" s="107" t="e">
        <f>SUM(E58:Q58)</f>
        <v>#REF!</v>
      </c>
      <c r="T58" s="63" t="e">
        <f>+T54+T49+T57</f>
        <v>#REF!</v>
      </c>
      <c r="U58" s="18"/>
      <c r="V58" s="70"/>
      <c r="W58" s="139"/>
    </row>
    <row r="59" spans="1:23" x14ac:dyDescent="0.2">
      <c r="B59" s="162"/>
      <c r="C59" s="19"/>
      <c r="D59" s="19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2"/>
      <c r="T59" s="70"/>
      <c r="U59" s="134"/>
    </row>
    <row r="60" spans="1:23" outlineLevel="1" x14ac:dyDescent="0.2">
      <c r="A60" s="224" t="s">
        <v>292</v>
      </c>
      <c r="B60" s="87" t="s">
        <v>293</v>
      </c>
      <c r="C60" s="19"/>
      <c r="D60" s="19"/>
      <c r="E60" s="167"/>
      <c r="F60" s="33"/>
      <c r="G60" s="167"/>
      <c r="H60" s="167"/>
      <c r="I60" s="33"/>
      <c r="J60" s="167"/>
      <c r="K60" s="167"/>
      <c r="L60" s="167"/>
      <c r="M60" s="167"/>
      <c r="N60" s="167"/>
      <c r="O60" s="167"/>
      <c r="P60" s="167"/>
      <c r="Q60" s="167"/>
      <c r="R60" s="12"/>
      <c r="T60" s="105"/>
    </row>
    <row r="61" spans="1:23" ht="16.25" customHeight="1" outlineLevel="1" x14ac:dyDescent="0.2">
      <c r="B61" s="163" t="s">
        <v>294</v>
      </c>
      <c r="C61" s="426">
        <f>F61/SUM(R7:R8)</f>
        <v>451765.60946635128</v>
      </c>
      <c r="D61" s="13"/>
      <c r="E61" s="12"/>
      <c r="F61" s="61">
        <f>(Assumptions!Q9*($T$7/SUM($T$7:$T$8))*Assumptions!P6/Assumptions!P6)/2</f>
        <v>5872952.9230625667</v>
      </c>
      <c r="G61" s="61">
        <f>(Assumptions!Q9*($T$7/SUM($T$7:$T$8))*Assumptions!P6/Assumptions!P6)/2</f>
        <v>5872952.9230625667</v>
      </c>
      <c r="H61" s="811" t="s">
        <v>295</v>
      </c>
      <c r="I61" s="811"/>
      <c r="J61" s="811"/>
      <c r="K61" s="811"/>
      <c r="L61" s="811"/>
      <c r="M61" s="811"/>
      <c r="N61" s="504"/>
      <c r="O61" s="504"/>
      <c r="P61" s="504"/>
      <c r="Q61" s="504"/>
      <c r="R61" s="12">
        <f t="shared" ref="R61:R62" si="40">SUM(E61:P61)</f>
        <v>11745905.846125133</v>
      </c>
    </row>
    <row r="62" spans="1:23" outlineLevel="1" x14ac:dyDescent="0.2">
      <c r="B62" s="163" t="s">
        <v>296</v>
      </c>
      <c r="C62" s="426">
        <f>F62/SUM(R9:R10)</f>
        <v>54234.902564581098</v>
      </c>
      <c r="D62" s="13"/>
      <c r="E62" s="12"/>
      <c r="F62" s="61">
        <f>(Assumptions!Q9*($T$8/SUM($T$7:$T$8))*Assumptions!P6/Assumptions!P6)/2</f>
        <v>1627047.0769374329</v>
      </c>
      <c r="G62" s="61">
        <f>(Assumptions!Q9*($T$8/SUM($T$7:$T$8))*Assumptions!P6/Assumptions!P6)/2</f>
        <v>1627047.0769374329</v>
      </c>
      <c r="H62" s="811"/>
      <c r="I62" s="811"/>
      <c r="J62" s="811"/>
      <c r="K62" s="811"/>
      <c r="L62" s="811"/>
      <c r="M62" s="811"/>
      <c r="N62" s="504"/>
      <c r="O62" s="504"/>
      <c r="P62" s="504"/>
      <c r="Q62" s="504"/>
      <c r="R62" s="12">
        <f t="shared" si="40"/>
        <v>3254094.1538748657</v>
      </c>
    </row>
    <row r="63" spans="1:23" outlineLevel="1" x14ac:dyDescent="0.2">
      <c r="B63" s="168" t="s">
        <v>297</v>
      </c>
      <c r="C63" s="54">
        <v>0</v>
      </c>
      <c r="D63" s="54"/>
      <c r="E63" s="22">
        <f>SUM(E61:E62)*$C$63</f>
        <v>0</v>
      </c>
      <c r="F63" s="22">
        <f>SUM(F61:F62)*$C$63</f>
        <v>0</v>
      </c>
      <c r="G63" s="22">
        <f t="shared" ref="G63:Q63" si="41">SUM(G61:G62)*$C$63</f>
        <v>0</v>
      </c>
      <c r="H63" s="22">
        <f>SUM(H61:H62)*$C$63</f>
        <v>0</v>
      </c>
      <c r="I63" s="505"/>
      <c r="J63" s="505"/>
      <c r="K63" s="505"/>
      <c r="L63" s="505"/>
      <c r="M63" s="505"/>
      <c r="N63" s="22">
        <f t="shared" si="41"/>
        <v>0</v>
      </c>
      <c r="O63" s="22">
        <f t="shared" si="41"/>
        <v>0</v>
      </c>
      <c r="P63" s="22">
        <f t="shared" si="41"/>
        <v>0</v>
      </c>
      <c r="Q63" s="22">
        <f t="shared" si="41"/>
        <v>0</v>
      </c>
      <c r="R63" s="21">
        <f>SUM(E63:Q63)</f>
        <v>0</v>
      </c>
      <c r="T63" s="11"/>
    </row>
    <row r="64" spans="1:23" x14ac:dyDescent="0.2">
      <c r="B64" s="85" t="str">
        <f>B60</f>
        <v>HARD COSTS - SITE INFRASTRUCTURE RESORT</v>
      </c>
      <c r="C64" s="86"/>
      <c r="D64" s="86"/>
      <c r="E64" s="51">
        <f t="shared" ref="E64:P64" si="42">SUM(E61:E63)</f>
        <v>0</v>
      </c>
      <c r="F64" s="51">
        <f t="shared" si="42"/>
        <v>7500000</v>
      </c>
      <c r="G64" s="51">
        <f t="shared" si="42"/>
        <v>7500000</v>
      </c>
      <c r="H64" s="51">
        <f>SUM(H61:H63)</f>
        <v>0</v>
      </c>
      <c r="I64" s="51">
        <f t="shared" si="42"/>
        <v>0</v>
      </c>
      <c r="J64" s="51">
        <f t="shared" si="42"/>
        <v>0</v>
      </c>
      <c r="K64" s="51">
        <f t="shared" si="42"/>
        <v>0</v>
      </c>
      <c r="L64" s="51">
        <f t="shared" si="42"/>
        <v>0</v>
      </c>
      <c r="M64" s="51">
        <f t="shared" si="42"/>
        <v>0</v>
      </c>
      <c r="N64" s="51">
        <f t="shared" si="42"/>
        <v>0</v>
      </c>
      <c r="O64" s="51">
        <f t="shared" si="42"/>
        <v>0</v>
      </c>
      <c r="P64" s="51">
        <f t="shared" si="42"/>
        <v>0</v>
      </c>
      <c r="Q64" s="51"/>
      <c r="R64" s="52">
        <f>SUM(E64:Q64)</f>
        <v>15000000</v>
      </c>
      <c r="T64" s="11">
        <f>R64/$R$11</f>
        <v>348837.20930232556</v>
      </c>
      <c r="U64" s="134" t="s">
        <v>298</v>
      </c>
      <c r="V64" s="134"/>
    </row>
    <row r="65" spans="1:22" x14ac:dyDescent="0.2">
      <c r="B65" s="162"/>
      <c r="C65" s="19"/>
      <c r="D65" s="19"/>
      <c r="E65" s="167"/>
      <c r="F65" s="167"/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2"/>
      <c r="T65" s="111" t="e">
        <f>(R64-H43)/$T$46</f>
        <v>#REF!</v>
      </c>
      <c r="U65" t="s">
        <v>299</v>
      </c>
    </row>
    <row r="66" spans="1:22" outlineLevel="1" x14ac:dyDescent="0.2">
      <c r="A66" s="224" t="s">
        <v>292</v>
      </c>
      <c r="B66" s="87" t="s">
        <v>300</v>
      </c>
      <c r="C66" s="19"/>
      <c r="D66" s="19"/>
      <c r="E66" s="167"/>
      <c r="F66" s="33"/>
      <c r="G66" s="167"/>
      <c r="H66" s="167"/>
      <c r="I66" s="33"/>
      <c r="J66" s="167"/>
      <c r="K66" s="167"/>
      <c r="L66" s="167"/>
      <c r="M66" s="167"/>
      <c r="N66" s="167"/>
      <c r="O66" s="167"/>
      <c r="P66" s="167"/>
      <c r="Q66" s="167"/>
      <c r="R66" s="12"/>
    </row>
    <row r="67" spans="1:22" outlineLevel="1" x14ac:dyDescent="0.2">
      <c r="B67" s="163" t="s">
        <v>294</v>
      </c>
      <c r="C67" s="71">
        <v>85000</v>
      </c>
      <c r="D67" s="13"/>
      <c r="E67" s="12"/>
      <c r="F67" s="12">
        <f t="shared" ref="F67:L67" si="43">+(F7+F8)*$C67</f>
        <v>170000</v>
      </c>
      <c r="G67" s="12">
        <f t="shared" si="43"/>
        <v>255000</v>
      </c>
      <c r="H67" s="12">
        <f t="shared" si="43"/>
        <v>425000</v>
      </c>
      <c r="I67" s="12">
        <f t="shared" si="43"/>
        <v>255000</v>
      </c>
      <c r="J67" s="12">
        <f t="shared" si="43"/>
        <v>0</v>
      </c>
      <c r="K67" s="12">
        <f t="shared" si="43"/>
        <v>0</v>
      </c>
      <c r="L67" s="12">
        <f t="shared" si="43"/>
        <v>0</v>
      </c>
      <c r="M67" s="12"/>
      <c r="N67" s="12"/>
      <c r="O67" s="12"/>
      <c r="P67" s="12"/>
      <c r="Q67" s="12"/>
      <c r="R67" s="12">
        <f t="shared" ref="R67:R70" si="44">SUM(E67:P67)</f>
        <v>1105000</v>
      </c>
    </row>
    <row r="68" spans="1:22" outlineLevel="1" x14ac:dyDescent="0.2">
      <c r="B68" s="163" t="s">
        <v>301</v>
      </c>
      <c r="C68" s="71">
        <v>65000</v>
      </c>
      <c r="D68" s="13"/>
      <c r="E68" s="12"/>
      <c r="F68" s="12">
        <f>F9*$C68</f>
        <v>130000</v>
      </c>
      <c r="G68" s="12">
        <f t="shared" ref="G68:L68" si="45">G9*$C68</f>
        <v>520000</v>
      </c>
      <c r="H68" s="12">
        <f t="shared" si="45"/>
        <v>260000</v>
      </c>
      <c r="I68" s="12">
        <f t="shared" si="45"/>
        <v>520000</v>
      </c>
      <c r="J68" s="12">
        <f t="shared" si="45"/>
        <v>0</v>
      </c>
      <c r="K68" s="12">
        <f t="shared" si="45"/>
        <v>0</v>
      </c>
      <c r="L68" s="12">
        <f t="shared" si="45"/>
        <v>0</v>
      </c>
      <c r="M68" s="12"/>
      <c r="N68" s="12"/>
      <c r="O68" s="12"/>
      <c r="P68" s="12"/>
      <c r="Q68" s="12"/>
      <c r="R68" s="12">
        <f t="shared" si="44"/>
        <v>1430000</v>
      </c>
    </row>
    <row r="69" spans="1:22" outlineLevel="1" x14ac:dyDescent="0.2">
      <c r="B69" s="163" t="s">
        <v>302</v>
      </c>
      <c r="C69" s="71">
        <v>25000</v>
      </c>
      <c r="D69" s="13"/>
      <c r="E69" s="12"/>
      <c r="F69" s="12">
        <f>F10*$C69</f>
        <v>0</v>
      </c>
      <c r="G69" s="12">
        <f t="shared" ref="G69:P69" si="46">G10*$C69</f>
        <v>100000</v>
      </c>
      <c r="H69" s="12">
        <f t="shared" si="46"/>
        <v>100000</v>
      </c>
      <c r="I69" s="12">
        <f t="shared" si="46"/>
        <v>0</v>
      </c>
      <c r="J69" s="12">
        <f t="shared" si="46"/>
        <v>0</v>
      </c>
      <c r="K69" s="12">
        <f t="shared" si="46"/>
        <v>0</v>
      </c>
      <c r="L69" s="12">
        <f t="shared" si="46"/>
        <v>0</v>
      </c>
      <c r="M69" s="12">
        <f t="shared" si="46"/>
        <v>0</v>
      </c>
      <c r="N69" s="12">
        <f t="shared" si="46"/>
        <v>0</v>
      </c>
      <c r="O69" s="12">
        <f t="shared" si="46"/>
        <v>0</v>
      </c>
      <c r="P69" s="12">
        <f t="shared" si="46"/>
        <v>0</v>
      </c>
      <c r="Q69" s="12"/>
      <c r="R69" s="12">
        <f t="shared" si="44"/>
        <v>200000</v>
      </c>
    </row>
    <row r="70" spans="1:22" outlineLevel="1" x14ac:dyDescent="0.2">
      <c r="B70" s="163" t="s">
        <v>303</v>
      </c>
      <c r="C70" s="71">
        <v>750000</v>
      </c>
      <c r="D70" s="13"/>
      <c r="E70" s="12"/>
      <c r="F70" s="12"/>
      <c r="G70" s="12">
        <f>C70</f>
        <v>750000</v>
      </c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>
        <f t="shared" si="44"/>
        <v>750000</v>
      </c>
    </row>
    <row r="71" spans="1:22" outlineLevel="1" x14ac:dyDescent="0.2">
      <c r="B71" s="168" t="s">
        <v>297</v>
      </c>
      <c r="C71" s="54">
        <v>0.05</v>
      </c>
      <c r="D71" s="54"/>
      <c r="E71" s="22">
        <f t="shared" ref="E71:L71" si="47">SUM(E67:E68)*$C$71</f>
        <v>0</v>
      </c>
      <c r="F71" s="22">
        <f t="shared" si="47"/>
        <v>15000</v>
      </c>
      <c r="G71" s="22">
        <f t="shared" si="47"/>
        <v>38750</v>
      </c>
      <c r="H71" s="22">
        <f t="shared" si="47"/>
        <v>34250</v>
      </c>
      <c r="I71" s="22">
        <f t="shared" si="47"/>
        <v>38750</v>
      </c>
      <c r="J71" s="22">
        <f t="shared" si="47"/>
        <v>0</v>
      </c>
      <c r="K71" s="22">
        <f t="shared" si="47"/>
        <v>0</v>
      </c>
      <c r="L71" s="22">
        <f t="shared" si="47"/>
        <v>0</v>
      </c>
      <c r="M71" s="22">
        <v>0</v>
      </c>
      <c r="N71" s="22">
        <v>0</v>
      </c>
      <c r="O71" s="22">
        <v>0</v>
      </c>
      <c r="P71" s="22">
        <v>0</v>
      </c>
      <c r="Q71" s="22">
        <v>0</v>
      </c>
      <c r="R71" s="21">
        <f>SUM(E71:Q71)</f>
        <v>126750</v>
      </c>
      <c r="T71" s="11"/>
    </row>
    <row r="72" spans="1:22" x14ac:dyDescent="0.2">
      <c r="B72" s="85" t="str">
        <f>B66</f>
        <v>HARD COSTS - SITE INFRASTRUCTURE INTERNAL ROADS</v>
      </c>
      <c r="C72" s="86"/>
      <c r="D72" s="86"/>
      <c r="E72" s="51">
        <f t="shared" ref="E72:P72" si="48">SUM(E67:E71)</f>
        <v>0</v>
      </c>
      <c r="F72" s="51">
        <f t="shared" si="48"/>
        <v>315000</v>
      </c>
      <c r="G72" s="51">
        <f t="shared" si="48"/>
        <v>1663750</v>
      </c>
      <c r="H72" s="51">
        <f t="shared" si="48"/>
        <v>819250</v>
      </c>
      <c r="I72" s="51">
        <f t="shared" si="48"/>
        <v>813750</v>
      </c>
      <c r="J72" s="51">
        <f t="shared" si="48"/>
        <v>0</v>
      </c>
      <c r="K72" s="51">
        <f t="shared" si="48"/>
        <v>0</v>
      </c>
      <c r="L72" s="51">
        <f t="shared" si="48"/>
        <v>0</v>
      </c>
      <c r="M72" s="51">
        <f t="shared" si="48"/>
        <v>0</v>
      </c>
      <c r="N72" s="51">
        <f t="shared" si="48"/>
        <v>0</v>
      </c>
      <c r="O72" s="51">
        <f t="shared" si="48"/>
        <v>0</v>
      </c>
      <c r="P72" s="51">
        <f t="shared" si="48"/>
        <v>0</v>
      </c>
      <c r="Q72" s="51"/>
      <c r="R72" s="52">
        <f>SUM(E72:Q72)</f>
        <v>3611750</v>
      </c>
      <c r="T72" s="70">
        <f>R72/$R$11</f>
        <v>83994.186046511633</v>
      </c>
      <c r="U72" s="134" t="s">
        <v>304</v>
      </c>
      <c r="V72" s="134"/>
    </row>
    <row r="73" spans="1:22" x14ac:dyDescent="0.2">
      <c r="B73" s="162"/>
      <c r="C73" s="19"/>
      <c r="D73" s="19"/>
      <c r="E73" s="167"/>
      <c r="F73" s="167"/>
      <c r="G73" s="167"/>
      <c r="H73" s="167"/>
      <c r="I73" s="167"/>
      <c r="J73" s="167"/>
      <c r="K73" s="167"/>
      <c r="L73" s="167"/>
      <c r="M73" s="167"/>
      <c r="N73" s="167"/>
      <c r="O73" s="167"/>
      <c r="P73" s="167"/>
      <c r="Q73" s="167"/>
      <c r="R73" s="12"/>
      <c r="T73" s="111">
        <f>R72/$T$46</f>
        <v>2.7349538381496109E-2</v>
      </c>
      <c r="U73" t="s">
        <v>299</v>
      </c>
    </row>
    <row r="74" spans="1:22" outlineLevel="1" x14ac:dyDescent="0.2">
      <c r="A74" s="224" t="s">
        <v>305</v>
      </c>
      <c r="B74" s="87" t="s">
        <v>306</v>
      </c>
      <c r="C74" s="19"/>
      <c r="D74" s="167"/>
      <c r="E74" s="167"/>
      <c r="F74" s="167"/>
      <c r="G74" s="167"/>
      <c r="H74" s="167"/>
      <c r="I74" s="167"/>
      <c r="J74" s="167"/>
      <c r="K74" s="167"/>
      <c r="L74" s="167"/>
      <c r="M74" s="167"/>
      <c r="N74" s="167"/>
      <c r="O74" s="167"/>
      <c r="P74" s="167"/>
      <c r="Q74" s="12"/>
    </row>
    <row r="75" spans="1:22" outlineLevel="1" x14ac:dyDescent="0.2">
      <c r="B75" s="163" t="s">
        <v>307</v>
      </c>
      <c r="C75" s="71">
        <v>50000</v>
      </c>
      <c r="D75" s="12"/>
      <c r="E75" s="12"/>
      <c r="F75" s="12">
        <f t="shared" ref="F75:Q75" si="49">((SUM(E$7)*$C75)*0.25)+((SUM(F$7)*$C75)*0.75)</f>
        <v>37500</v>
      </c>
      <c r="G75" s="12">
        <f t="shared" si="49"/>
        <v>50000</v>
      </c>
      <c r="H75" s="12">
        <f t="shared" si="49"/>
        <v>200000</v>
      </c>
      <c r="I75" s="12">
        <f t="shared" si="49"/>
        <v>175000</v>
      </c>
      <c r="J75" s="12">
        <f t="shared" si="49"/>
        <v>37500</v>
      </c>
      <c r="K75" s="12">
        <f t="shared" si="49"/>
        <v>0</v>
      </c>
      <c r="L75" s="12">
        <f t="shared" si="49"/>
        <v>0</v>
      </c>
      <c r="M75" s="12">
        <f t="shared" si="49"/>
        <v>0</v>
      </c>
      <c r="N75" s="12">
        <f t="shared" si="49"/>
        <v>0</v>
      </c>
      <c r="O75" s="12">
        <f t="shared" si="49"/>
        <v>0</v>
      </c>
      <c r="P75" s="12">
        <f t="shared" si="49"/>
        <v>0</v>
      </c>
      <c r="Q75" s="12">
        <f t="shared" si="49"/>
        <v>0</v>
      </c>
      <c r="R75" s="12">
        <f t="shared" ref="R75:R80" si="50">SUM(E75:Q75)</f>
        <v>500000</v>
      </c>
      <c r="T75" s="11">
        <f t="shared" ref="T75:T80" si="51">R75/SUM($R$7)</f>
        <v>50000</v>
      </c>
      <c r="U75" s="134" t="s">
        <v>308</v>
      </c>
      <c r="V75" t="s">
        <v>309</v>
      </c>
    </row>
    <row r="76" spans="1:22" outlineLevel="1" x14ac:dyDescent="0.2">
      <c r="B76" s="163" t="s">
        <v>310</v>
      </c>
      <c r="C76" s="426">
        <v>635</v>
      </c>
      <c r="D76" s="61"/>
      <c r="E76" s="61"/>
      <c r="F76" s="61">
        <f>(IFERROR(SUMPRODUCT($D$7,E7)*$C76,0)*0.75)+(IFERROR(SUMPRODUCT($D$7,F7)*$C76,0)*0.25)</f>
        <v>420687.5</v>
      </c>
      <c r="G76" s="61">
        <f t="shared" ref="G76:Q76" si="52">(IFERROR(SUMPRODUCT($D$7,F7)*$C76,0)*0.75)+(IFERROR(SUMPRODUCT($D$7,G7)*$C76,0)*0.25)</f>
        <v>1682750</v>
      </c>
      <c r="H76" s="61">
        <f t="shared" si="52"/>
        <v>3365500</v>
      </c>
      <c r="I76" s="61">
        <f t="shared" si="52"/>
        <v>7572375</v>
      </c>
      <c r="J76" s="61">
        <f t="shared" si="52"/>
        <v>3786187.5</v>
      </c>
      <c r="K76" s="61">
        <f t="shared" si="52"/>
        <v>0</v>
      </c>
      <c r="L76" s="61">
        <f t="shared" si="52"/>
        <v>0</v>
      </c>
      <c r="M76" s="61">
        <f t="shared" si="52"/>
        <v>0</v>
      </c>
      <c r="N76" s="61">
        <f t="shared" si="52"/>
        <v>0</v>
      </c>
      <c r="O76" s="61">
        <f t="shared" si="52"/>
        <v>0</v>
      </c>
      <c r="P76" s="61">
        <f t="shared" si="52"/>
        <v>0</v>
      </c>
      <c r="Q76" s="61">
        <f t="shared" si="52"/>
        <v>0</v>
      </c>
      <c r="R76" s="12">
        <f t="shared" si="50"/>
        <v>16827500</v>
      </c>
      <c r="T76" s="11">
        <f t="shared" si="51"/>
        <v>1682750</v>
      </c>
      <c r="U76" t="s">
        <v>311</v>
      </c>
      <c r="V76" s="226">
        <f>(R76)/V7</f>
        <v>635</v>
      </c>
    </row>
    <row r="77" spans="1:22" outlineLevel="1" x14ac:dyDescent="0.2">
      <c r="B77" s="163" t="s">
        <v>312</v>
      </c>
      <c r="C77" s="101">
        <v>50000</v>
      </c>
      <c r="D77" s="61"/>
      <c r="E77" s="61"/>
      <c r="F77" s="61">
        <f t="shared" ref="F77:Q77" si="53">SUM(E7)*$C77</f>
        <v>0</v>
      </c>
      <c r="G77" s="61">
        <f t="shared" si="53"/>
        <v>50000</v>
      </c>
      <c r="H77" s="61">
        <f t="shared" si="53"/>
        <v>50000</v>
      </c>
      <c r="I77" s="61">
        <f t="shared" si="53"/>
        <v>250000</v>
      </c>
      <c r="J77" s="61">
        <f t="shared" si="53"/>
        <v>150000</v>
      </c>
      <c r="K77" s="61">
        <f t="shared" si="53"/>
        <v>0</v>
      </c>
      <c r="L77" s="61">
        <f t="shared" si="53"/>
        <v>0</v>
      </c>
      <c r="M77" s="61">
        <f t="shared" si="53"/>
        <v>0</v>
      </c>
      <c r="N77" s="61">
        <f t="shared" si="53"/>
        <v>0</v>
      </c>
      <c r="O77" s="61">
        <f t="shared" si="53"/>
        <v>0</v>
      </c>
      <c r="P77" s="12">
        <f t="shared" si="53"/>
        <v>0</v>
      </c>
      <c r="Q77" s="12">
        <f t="shared" si="53"/>
        <v>0</v>
      </c>
      <c r="R77" s="12">
        <f t="shared" si="50"/>
        <v>500000</v>
      </c>
      <c r="T77" s="11">
        <f t="shared" si="51"/>
        <v>50000</v>
      </c>
      <c r="U77" s="134" t="s">
        <v>308</v>
      </c>
    </row>
    <row r="78" spans="1:22" outlineLevel="1" x14ac:dyDescent="0.2">
      <c r="B78" s="163" t="s">
        <v>313</v>
      </c>
      <c r="C78" s="84">
        <v>0.05</v>
      </c>
      <c r="D78" s="61"/>
      <c r="E78" s="61"/>
      <c r="F78" s="61">
        <f>SUM(F75:F77,E78)*$C78</f>
        <v>22909.375</v>
      </c>
      <c r="G78" s="61">
        <f>SUM(G75:G77,F78)*$C78</f>
        <v>90282.96875</v>
      </c>
      <c r="H78" s="61">
        <f>SUM(H75:H77,G78)*$C78</f>
        <v>185289.1484375</v>
      </c>
      <c r="I78" s="61">
        <f t="shared" ref="I78:M78" si="54">SUM(I75:I77,H78)*$C78</f>
        <v>409133.20742187503</v>
      </c>
      <c r="J78" s="61">
        <f t="shared" si="54"/>
        <v>219141.03537109375</v>
      </c>
      <c r="K78" s="61"/>
      <c r="L78" s="61">
        <f t="shared" si="54"/>
        <v>0</v>
      </c>
      <c r="M78" s="61">
        <f t="shared" si="54"/>
        <v>0</v>
      </c>
      <c r="N78" s="61"/>
      <c r="O78" s="61"/>
      <c r="P78" s="12"/>
      <c r="Q78" s="12"/>
      <c r="R78" s="12">
        <f t="shared" si="50"/>
        <v>926755.73498046887</v>
      </c>
      <c r="T78" s="11">
        <f t="shared" si="51"/>
        <v>92675.573498046884</v>
      </c>
      <c r="U78" t="s">
        <v>311</v>
      </c>
    </row>
    <row r="79" spans="1:22" outlineLevel="1" x14ac:dyDescent="0.2">
      <c r="B79" s="163" t="s">
        <v>297</v>
      </c>
      <c r="C79" s="84">
        <v>3.5000000000000003E-2</v>
      </c>
      <c r="D79" s="11"/>
      <c r="E79" s="11">
        <f>SUM(E74:E77)*$C79</f>
        <v>0</v>
      </c>
      <c r="F79" s="11">
        <f t="shared" ref="F79:L79" si="55">SUM(F74:F78)*$C79</f>
        <v>16838.390625</v>
      </c>
      <c r="G79" s="11">
        <f t="shared" si="55"/>
        <v>65556.153906250009</v>
      </c>
      <c r="H79" s="11">
        <f t="shared" si="55"/>
        <v>133027.62019531251</v>
      </c>
      <c r="I79" s="11">
        <f t="shared" si="55"/>
        <v>294227.78725976567</v>
      </c>
      <c r="J79" s="11">
        <f t="shared" si="55"/>
        <v>146748.9987379883</v>
      </c>
      <c r="K79" s="11">
        <f t="shared" si="55"/>
        <v>0</v>
      </c>
      <c r="L79" s="11">
        <f t="shared" si="55"/>
        <v>0</v>
      </c>
      <c r="M79" s="11">
        <f>SUM(M74:M77)*$C79</f>
        <v>0</v>
      </c>
      <c r="N79" s="11">
        <f>SUM(N74:N77)*$C79</f>
        <v>0</v>
      </c>
      <c r="O79" s="11">
        <f>SUM(O74:O77)*$C79</f>
        <v>0</v>
      </c>
      <c r="P79" s="11">
        <f>SUM(P74:P77)*$C79</f>
        <v>0</v>
      </c>
      <c r="Q79" s="11">
        <f>SUM(Q74:Q77)*$C79</f>
        <v>0</v>
      </c>
      <c r="R79" s="12">
        <f t="shared" si="50"/>
        <v>656398.95072431653</v>
      </c>
      <c r="T79" s="11">
        <f t="shared" si="51"/>
        <v>65639.895072431653</v>
      </c>
      <c r="U79" t="s">
        <v>311</v>
      </c>
      <c r="V79" s="3" t="s">
        <v>314</v>
      </c>
    </row>
    <row r="80" spans="1:22" x14ac:dyDescent="0.2">
      <c r="B80" s="85" t="str">
        <f>B74</f>
        <v>HARD COSTS - HOMES: SFR Large</v>
      </c>
      <c r="C80" s="86"/>
      <c r="D80" s="51"/>
      <c r="E80" s="51">
        <f t="shared" ref="E80:Q80" si="56">SUM(E74:E79)</f>
        <v>0</v>
      </c>
      <c r="F80" s="51">
        <f t="shared" si="56"/>
        <v>497935.265625</v>
      </c>
      <c r="G80" s="51">
        <f t="shared" si="56"/>
        <v>1938589.1226562499</v>
      </c>
      <c r="H80" s="51">
        <f t="shared" si="56"/>
        <v>3933816.7686328124</v>
      </c>
      <c r="I80" s="51">
        <f t="shared" si="56"/>
        <v>8700735.9946816396</v>
      </c>
      <c r="J80" s="51">
        <f t="shared" si="56"/>
        <v>4339577.5341090821</v>
      </c>
      <c r="K80" s="51">
        <f t="shared" si="56"/>
        <v>0</v>
      </c>
      <c r="L80" s="51">
        <f t="shared" si="56"/>
        <v>0</v>
      </c>
      <c r="M80" s="51">
        <f t="shared" si="56"/>
        <v>0</v>
      </c>
      <c r="N80" s="51">
        <f t="shared" si="56"/>
        <v>0</v>
      </c>
      <c r="O80" s="51">
        <f t="shared" si="56"/>
        <v>0</v>
      </c>
      <c r="P80" s="51">
        <f t="shared" si="56"/>
        <v>0</v>
      </c>
      <c r="Q80" s="51">
        <f t="shared" si="56"/>
        <v>0</v>
      </c>
      <c r="R80" s="52">
        <f t="shared" si="50"/>
        <v>19410654.685704783</v>
      </c>
      <c r="T80" s="133">
        <f t="shared" si="51"/>
        <v>1941065.4685704783</v>
      </c>
      <c r="U80" t="s">
        <v>311</v>
      </c>
      <c r="V80" s="423">
        <f>R80/V7</f>
        <v>732.47753530961438</v>
      </c>
    </row>
    <row r="81" spans="1:22" x14ac:dyDescent="0.2">
      <c r="B81" s="26"/>
      <c r="C81" s="19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66"/>
      <c r="T81" s="111" cm="1">
        <f t="array" ref="T81">R80/SUMPRODUCT(D7*F7:Q7*F$23:Q$23)</f>
        <v>0.4741055610992479</v>
      </c>
      <c r="U81" t="s">
        <v>299</v>
      </c>
      <c r="V81" s="226"/>
    </row>
    <row r="82" spans="1:22" outlineLevel="1" x14ac:dyDescent="0.2">
      <c r="A82" s="224" t="s">
        <v>305</v>
      </c>
      <c r="B82" s="87" t="s">
        <v>315</v>
      </c>
      <c r="C82" s="19"/>
      <c r="D82" s="167"/>
      <c r="E82" s="167"/>
      <c r="F82" s="167"/>
      <c r="G82" s="167"/>
      <c r="H82" s="167"/>
      <c r="I82" s="167"/>
      <c r="J82" s="167"/>
      <c r="K82" s="167"/>
      <c r="L82" s="167"/>
      <c r="M82" s="167"/>
      <c r="N82" s="167"/>
      <c r="O82" s="167"/>
      <c r="P82" s="167"/>
      <c r="Q82" s="12"/>
    </row>
    <row r="83" spans="1:22" outlineLevel="1" x14ac:dyDescent="0.2">
      <c r="B83" s="163" t="s">
        <v>307</v>
      </c>
      <c r="C83" s="71">
        <v>50000</v>
      </c>
      <c r="D83" s="61"/>
      <c r="E83" s="61"/>
      <c r="F83" s="61">
        <f t="shared" ref="F83:Q83" si="57">((SUM(E$8)*$C83)*0.25)+((SUM(F$8)*$C83)*0.75)</f>
        <v>37500</v>
      </c>
      <c r="G83" s="61">
        <f t="shared" si="57"/>
        <v>87500</v>
      </c>
      <c r="H83" s="61">
        <f t="shared" si="57"/>
        <v>25000</v>
      </c>
      <c r="I83" s="61">
        <f t="shared" si="57"/>
        <v>0</v>
      </c>
      <c r="J83" s="61">
        <f t="shared" si="57"/>
        <v>0</v>
      </c>
      <c r="K83" s="61">
        <f t="shared" si="57"/>
        <v>0</v>
      </c>
      <c r="L83" s="61">
        <f t="shared" si="57"/>
        <v>0</v>
      </c>
      <c r="M83" s="61">
        <f t="shared" si="57"/>
        <v>0</v>
      </c>
      <c r="N83" s="61">
        <f t="shared" si="57"/>
        <v>0</v>
      </c>
      <c r="O83" s="61">
        <f t="shared" si="57"/>
        <v>0</v>
      </c>
      <c r="P83" s="12">
        <f t="shared" si="57"/>
        <v>0</v>
      </c>
      <c r="Q83" s="12">
        <f t="shared" si="57"/>
        <v>0</v>
      </c>
      <c r="R83" s="12">
        <f t="shared" ref="R83:R88" si="58">SUM(E83:Q83)</f>
        <v>150000</v>
      </c>
      <c r="T83" s="11">
        <f t="shared" ref="T83:T88" si="59">R83/SUM($R$8)</f>
        <v>50000</v>
      </c>
      <c r="U83" s="134" t="s">
        <v>308</v>
      </c>
      <c r="V83" t="s">
        <v>309</v>
      </c>
    </row>
    <row r="84" spans="1:22" outlineLevel="1" x14ac:dyDescent="0.2">
      <c r="B84" s="163" t="s">
        <v>310</v>
      </c>
      <c r="C84" s="426">
        <v>650</v>
      </c>
      <c r="D84" s="61"/>
      <c r="E84" s="61"/>
      <c r="F84" s="61">
        <f>(IFERROR((SUMPRODUCT($D$8,E8))*$C84,0)*0.75)+(IFERROR((SUMPRODUCT($D$8,F8))*$C84,0)*0.25)</f>
        <v>390812.5</v>
      </c>
      <c r="G84" s="61">
        <f t="shared" ref="G84:Q84" si="60">(IFERROR((SUMPRODUCT($D$8,F8))*$C84,0)*0.75)+(IFERROR((SUMPRODUCT($D$8,G8))*$C84,0)*0.25)</f>
        <v>1954062.5</v>
      </c>
      <c r="H84" s="61">
        <f t="shared" si="60"/>
        <v>2344875</v>
      </c>
      <c r="I84" s="61">
        <f t="shared" si="60"/>
        <v>0</v>
      </c>
      <c r="J84" s="61">
        <f t="shared" si="60"/>
        <v>0</v>
      </c>
      <c r="K84" s="61">
        <f t="shared" si="60"/>
        <v>0</v>
      </c>
      <c r="L84" s="61">
        <f t="shared" si="60"/>
        <v>0</v>
      </c>
      <c r="M84" s="61">
        <f t="shared" si="60"/>
        <v>0</v>
      </c>
      <c r="N84" s="61">
        <f t="shared" si="60"/>
        <v>0</v>
      </c>
      <c r="O84" s="61">
        <f t="shared" si="60"/>
        <v>0</v>
      </c>
      <c r="P84" s="61">
        <f t="shared" si="60"/>
        <v>0</v>
      </c>
      <c r="Q84" s="61">
        <f t="shared" si="60"/>
        <v>0</v>
      </c>
      <c r="R84" s="12">
        <f t="shared" si="58"/>
        <v>4689750</v>
      </c>
      <c r="T84" s="11">
        <f t="shared" si="59"/>
        <v>1563250</v>
      </c>
      <c r="U84" t="s">
        <v>311</v>
      </c>
      <c r="V84" s="226">
        <f>(R84)/V8</f>
        <v>650</v>
      </c>
    </row>
    <row r="85" spans="1:22" outlineLevel="1" x14ac:dyDescent="0.2">
      <c r="B85" s="163" t="s">
        <v>312</v>
      </c>
      <c r="C85" s="101">
        <v>50000</v>
      </c>
      <c r="D85" s="61"/>
      <c r="E85" s="61"/>
      <c r="F85" s="61"/>
      <c r="G85" s="61">
        <f t="shared" ref="G85:Q85" si="61">SUM(F8*$C85)</f>
        <v>50000</v>
      </c>
      <c r="H85" s="61">
        <f t="shared" si="61"/>
        <v>100000</v>
      </c>
      <c r="I85" s="61">
        <f t="shared" si="61"/>
        <v>0</v>
      </c>
      <c r="J85" s="61">
        <f t="shared" si="61"/>
        <v>0</v>
      </c>
      <c r="K85" s="61">
        <f t="shared" si="61"/>
        <v>0</v>
      </c>
      <c r="L85" s="61">
        <f t="shared" si="61"/>
        <v>0</v>
      </c>
      <c r="M85" s="61">
        <f t="shared" si="61"/>
        <v>0</v>
      </c>
      <c r="N85" s="61">
        <f t="shared" si="61"/>
        <v>0</v>
      </c>
      <c r="O85" s="61">
        <f t="shared" si="61"/>
        <v>0</v>
      </c>
      <c r="P85" s="61">
        <f t="shared" si="61"/>
        <v>0</v>
      </c>
      <c r="Q85" s="61">
        <f t="shared" si="61"/>
        <v>0</v>
      </c>
      <c r="R85" s="12">
        <f t="shared" si="58"/>
        <v>150000</v>
      </c>
      <c r="T85" s="11">
        <f t="shared" si="59"/>
        <v>50000</v>
      </c>
      <c r="U85" s="134" t="s">
        <v>308</v>
      </c>
    </row>
    <row r="86" spans="1:22" outlineLevel="1" x14ac:dyDescent="0.2">
      <c r="B86" s="163" t="s">
        <v>313</v>
      </c>
      <c r="C86" s="84">
        <v>0.05</v>
      </c>
      <c r="D86" s="61"/>
      <c r="E86" s="61"/>
      <c r="F86" s="61">
        <f>SUM(F83:F85,E86)*$C86</f>
        <v>21415.625</v>
      </c>
      <c r="G86" s="61">
        <f>SUM(G83:G85,F86)*$C86</f>
        <v>105648.90625</v>
      </c>
      <c r="H86" s="61">
        <f>SUM(H83:H85,G86)*$C86</f>
        <v>128776.1953125</v>
      </c>
      <c r="I86" s="61">
        <f t="shared" ref="I86:J86" si="62">SUM(I83:I85,H86)*$C86</f>
        <v>6438.8097656250002</v>
      </c>
      <c r="J86" s="61">
        <f t="shared" si="62"/>
        <v>321.94048828125005</v>
      </c>
      <c r="K86" s="61"/>
      <c r="L86" s="61"/>
      <c r="M86" s="61"/>
      <c r="N86" s="61"/>
      <c r="O86" s="61"/>
      <c r="P86" s="12"/>
      <c r="Q86" s="12"/>
      <c r="R86" s="12">
        <f t="shared" si="58"/>
        <v>262601.47681640624</v>
      </c>
      <c r="T86" s="11">
        <f t="shared" si="59"/>
        <v>87533.825605468752</v>
      </c>
      <c r="U86" t="s">
        <v>311</v>
      </c>
    </row>
    <row r="87" spans="1:22" outlineLevel="1" x14ac:dyDescent="0.2">
      <c r="B87" s="163" t="s">
        <v>297</v>
      </c>
      <c r="C87" s="84">
        <v>3.5000000000000003E-2</v>
      </c>
      <c r="D87" s="11"/>
      <c r="E87" s="11">
        <f>SUM(E82:E85)*$C87</f>
        <v>0</v>
      </c>
      <c r="F87" s="11">
        <f t="shared" ref="F87:L87" si="63">SUM(F82:F86)*$C87</f>
        <v>15740.484375000002</v>
      </c>
      <c r="G87" s="11">
        <f t="shared" si="63"/>
        <v>76902.399218750012</v>
      </c>
      <c r="H87" s="11">
        <f t="shared" si="63"/>
        <v>90952.791835937503</v>
      </c>
      <c r="I87" s="11">
        <f t="shared" si="63"/>
        <v>225.35834179687504</v>
      </c>
      <c r="J87" s="11">
        <f t="shared" si="63"/>
        <v>11.267917089843753</v>
      </c>
      <c r="K87" s="11">
        <f t="shared" si="63"/>
        <v>0</v>
      </c>
      <c r="L87" s="11">
        <f t="shared" si="63"/>
        <v>0</v>
      </c>
      <c r="M87" s="11">
        <f>SUM(M82:M85)*$C87</f>
        <v>0</v>
      </c>
      <c r="N87" s="11">
        <f>SUM(N82:N85)*$C87</f>
        <v>0</v>
      </c>
      <c r="O87" s="11">
        <f>SUM(O82:O85)*$C87</f>
        <v>0</v>
      </c>
      <c r="P87" s="11">
        <f>SUM(P82:P85)*$C87</f>
        <v>0</v>
      </c>
      <c r="Q87" s="11">
        <f>SUM(Q82:Q85)*$C87</f>
        <v>0</v>
      </c>
      <c r="R87" s="12">
        <f t="shared" si="58"/>
        <v>183832.30168857423</v>
      </c>
      <c r="T87" s="11">
        <f t="shared" si="59"/>
        <v>61277.433896191411</v>
      </c>
      <c r="U87" t="s">
        <v>311</v>
      </c>
      <c r="V87" s="3" t="s">
        <v>314</v>
      </c>
    </row>
    <row r="88" spans="1:22" x14ac:dyDescent="0.2">
      <c r="B88" s="85" t="str">
        <f>B82</f>
        <v>HARD COSTS - HOMES: SFR Small</v>
      </c>
      <c r="C88" s="86"/>
      <c r="D88" s="51"/>
      <c r="E88" s="51">
        <f t="shared" ref="E88:Q88" si="64">SUM(E82:E87)</f>
        <v>0</v>
      </c>
      <c r="F88" s="51">
        <f t="shared" si="64"/>
        <v>465468.609375</v>
      </c>
      <c r="G88" s="51">
        <f t="shared" si="64"/>
        <v>2274113.8054687502</v>
      </c>
      <c r="H88" s="51">
        <f t="shared" si="64"/>
        <v>2689603.9871484376</v>
      </c>
      <c r="I88" s="51">
        <f t="shared" si="64"/>
        <v>6664.168107421875</v>
      </c>
      <c r="J88" s="51">
        <f t="shared" si="64"/>
        <v>333.20840537109382</v>
      </c>
      <c r="K88" s="51">
        <f t="shared" si="64"/>
        <v>0</v>
      </c>
      <c r="L88" s="51">
        <f t="shared" si="64"/>
        <v>0</v>
      </c>
      <c r="M88" s="51">
        <f t="shared" si="64"/>
        <v>0</v>
      </c>
      <c r="N88" s="51">
        <f t="shared" si="64"/>
        <v>0</v>
      </c>
      <c r="O88" s="51">
        <f t="shared" si="64"/>
        <v>0</v>
      </c>
      <c r="P88" s="51">
        <f t="shared" si="64"/>
        <v>0</v>
      </c>
      <c r="Q88" s="51">
        <f t="shared" si="64"/>
        <v>0</v>
      </c>
      <c r="R88" s="52">
        <f t="shared" si="58"/>
        <v>5436183.7785049807</v>
      </c>
      <c r="T88" s="133">
        <f t="shared" si="59"/>
        <v>1812061.2595016602</v>
      </c>
      <c r="U88" t="s">
        <v>311</v>
      </c>
      <c r="V88" s="423">
        <f>R88/V8</f>
        <v>753.45582515661545</v>
      </c>
    </row>
    <row r="89" spans="1:22" x14ac:dyDescent="0.2">
      <c r="B89" s="26"/>
      <c r="C89" s="19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66"/>
      <c r="T89" s="111" cm="1">
        <f t="array" ref="T89">R88/SUMPRODUCT(D8*F8:Q8*F$24:Q$24)</f>
        <v>0.51962470700456243</v>
      </c>
      <c r="U89" t="s">
        <v>299</v>
      </c>
      <c r="V89" s="226"/>
    </row>
    <row r="90" spans="1:22" outlineLevel="1" x14ac:dyDescent="0.2">
      <c r="A90" s="224" t="s">
        <v>305</v>
      </c>
      <c r="B90" s="87" t="s">
        <v>316</v>
      </c>
      <c r="C90" s="19"/>
      <c r="D90" s="167"/>
      <c r="E90" s="167"/>
      <c r="F90" s="167"/>
      <c r="G90" s="167"/>
      <c r="H90" s="167"/>
      <c r="I90" s="167"/>
      <c r="J90" s="167"/>
      <c r="K90" s="167"/>
      <c r="L90" s="167"/>
      <c r="M90" s="167"/>
      <c r="N90" s="167"/>
      <c r="O90" s="167"/>
      <c r="P90" s="167"/>
      <c r="Q90" s="12"/>
    </row>
    <row r="91" spans="1:22" outlineLevel="1" x14ac:dyDescent="0.2">
      <c r="B91" s="163" t="s">
        <v>317</v>
      </c>
      <c r="C91" s="71">
        <v>30000</v>
      </c>
      <c r="D91" s="61"/>
      <c r="E91" s="61"/>
      <c r="F91" s="61">
        <f>((SUM(E$9)*$C91)*0.25)+((SUM(F$9)*$C91)*0.75)</f>
        <v>45000</v>
      </c>
      <c r="G91" s="61">
        <f t="shared" ref="G91:Q91" si="65">((SUM(F$9)*$C91)*0.25)+((SUM(G$9)*$C91)*0.75)</f>
        <v>195000</v>
      </c>
      <c r="H91" s="61">
        <f t="shared" si="65"/>
        <v>150000</v>
      </c>
      <c r="I91" s="61">
        <f t="shared" si="65"/>
        <v>210000</v>
      </c>
      <c r="J91" s="61">
        <f t="shared" si="65"/>
        <v>60000</v>
      </c>
      <c r="K91" s="61">
        <f t="shared" si="65"/>
        <v>0</v>
      </c>
      <c r="L91" s="61">
        <f t="shared" si="65"/>
        <v>0</v>
      </c>
      <c r="M91" s="61">
        <f t="shared" si="65"/>
        <v>0</v>
      </c>
      <c r="N91" s="61">
        <f t="shared" si="65"/>
        <v>0</v>
      </c>
      <c r="O91" s="61">
        <f t="shared" si="65"/>
        <v>0</v>
      </c>
      <c r="P91" s="61">
        <f t="shared" si="65"/>
        <v>0</v>
      </c>
      <c r="Q91" s="61">
        <f t="shared" si="65"/>
        <v>0</v>
      </c>
      <c r="R91" s="12">
        <f t="shared" ref="R91:R96" si="66">SUM(E91:Q91)</f>
        <v>660000</v>
      </c>
      <c r="T91" s="11">
        <f t="shared" ref="T91:T96" si="67">R91/SUM($R$9)</f>
        <v>30000</v>
      </c>
      <c r="U91" s="134" t="s">
        <v>308</v>
      </c>
      <c r="V91" t="s">
        <v>309</v>
      </c>
    </row>
    <row r="92" spans="1:22" outlineLevel="1" x14ac:dyDescent="0.2">
      <c r="B92" s="163" t="s">
        <v>318</v>
      </c>
      <c r="C92" s="426">
        <v>615</v>
      </c>
      <c r="D92" s="61"/>
      <c r="E92" s="61"/>
      <c r="F92" s="61">
        <f>(IFERROR((SUMPRODUCT($D$9,E9))*$C92,0)*0.75)+(IFERROR((SUMPRODUCT($D$9,F9))*$C92,0)*0.25)</f>
        <v>548272.5</v>
      </c>
      <c r="G92" s="61">
        <f t="shared" ref="G92:Q92" si="68">(IFERROR((SUMPRODUCT($D$9,F9))*$C92,0)*0.75)+(IFERROR((SUMPRODUCT($D$9,G9))*$C92,0)*0.25)</f>
        <v>3837907.5</v>
      </c>
      <c r="H92" s="61">
        <f t="shared" si="68"/>
        <v>7675815</v>
      </c>
      <c r="I92" s="61">
        <f t="shared" si="68"/>
        <v>5482725</v>
      </c>
      <c r="J92" s="61">
        <f t="shared" si="68"/>
        <v>6579270</v>
      </c>
      <c r="K92" s="61">
        <f t="shared" si="68"/>
        <v>0</v>
      </c>
      <c r="L92" s="61">
        <f t="shared" si="68"/>
        <v>0</v>
      </c>
      <c r="M92" s="61">
        <f t="shared" si="68"/>
        <v>0</v>
      </c>
      <c r="N92" s="61">
        <f t="shared" si="68"/>
        <v>0</v>
      </c>
      <c r="O92" s="61">
        <f t="shared" si="68"/>
        <v>0</v>
      </c>
      <c r="P92" s="61">
        <f t="shared" si="68"/>
        <v>0</v>
      </c>
      <c r="Q92" s="61">
        <f t="shared" si="68"/>
        <v>0</v>
      </c>
      <c r="R92" s="12">
        <f t="shared" si="66"/>
        <v>24123990</v>
      </c>
      <c r="T92" s="11">
        <f t="shared" si="67"/>
        <v>1096545</v>
      </c>
      <c r="U92" t="s">
        <v>311</v>
      </c>
      <c r="V92" s="226">
        <f>(R92)/V9</f>
        <v>615</v>
      </c>
    </row>
    <row r="93" spans="1:22" outlineLevel="1" x14ac:dyDescent="0.2">
      <c r="B93" s="163" t="s">
        <v>319</v>
      </c>
      <c r="C93" s="101">
        <v>40000</v>
      </c>
      <c r="D93" s="12"/>
      <c r="E93" s="12"/>
      <c r="F93" s="61"/>
      <c r="G93" s="61">
        <f>+$C$93*F9</f>
        <v>80000</v>
      </c>
      <c r="H93" s="61">
        <f t="shared" ref="H93:Q93" si="69">+$C$93*G9</f>
        <v>320000</v>
      </c>
      <c r="I93" s="61">
        <f t="shared" si="69"/>
        <v>160000</v>
      </c>
      <c r="J93" s="61">
        <f t="shared" si="69"/>
        <v>320000</v>
      </c>
      <c r="K93" s="61">
        <f t="shared" si="69"/>
        <v>0</v>
      </c>
      <c r="L93" s="61">
        <f t="shared" si="69"/>
        <v>0</v>
      </c>
      <c r="M93" s="61">
        <f t="shared" si="69"/>
        <v>0</v>
      </c>
      <c r="N93" s="61">
        <f t="shared" si="69"/>
        <v>0</v>
      </c>
      <c r="O93" s="61">
        <f t="shared" si="69"/>
        <v>0</v>
      </c>
      <c r="P93" s="61">
        <f t="shared" si="69"/>
        <v>0</v>
      </c>
      <c r="Q93" s="61">
        <f t="shared" si="69"/>
        <v>0</v>
      </c>
      <c r="R93" s="12">
        <f t="shared" si="66"/>
        <v>880000</v>
      </c>
      <c r="T93" s="11">
        <f t="shared" si="67"/>
        <v>40000</v>
      </c>
      <c r="U93" s="134" t="s">
        <v>308</v>
      </c>
    </row>
    <row r="94" spans="1:22" outlineLevel="1" x14ac:dyDescent="0.2">
      <c r="B94" s="163" t="s">
        <v>313</v>
      </c>
      <c r="C94" s="84">
        <v>0.05</v>
      </c>
      <c r="D94" s="12"/>
      <c r="E94" s="12"/>
      <c r="F94" s="61">
        <f>SUM(F91:F93,E94)*$C94</f>
        <v>29663.625</v>
      </c>
      <c r="G94" s="61">
        <f>SUM(G91:G93,F94)*$C94</f>
        <v>207128.55625000002</v>
      </c>
      <c r="H94" s="61">
        <f>SUM(H91:H93,G94)*$C94</f>
        <v>417647.17781250004</v>
      </c>
      <c r="I94" s="61">
        <f t="shared" ref="I94:J94" si="70">SUM(I91:I93,H94)*$C94</f>
        <v>313518.60889062501</v>
      </c>
      <c r="J94" s="61">
        <f t="shared" si="70"/>
        <v>363639.43044453126</v>
      </c>
      <c r="K94" s="61"/>
      <c r="L94" s="61"/>
      <c r="M94" s="61"/>
      <c r="N94" s="61"/>
      <c r="O94" s="61"/>
      <c r="P94" s="12"/>
      <c r="Q94" s="12"/>
      <c r="R94" s="12">
        <f t="shared" si="66"/>
        <v>1331597.3983976562</v>
      </c>
      <c r="T94" s="11">
        <f t="shared" si="67"/>
        <v>60527.154472620736</v>
      </c>
      <c r="U94" t="s">
        <v>311</v>
      </c>
    </row>
    <row r="95" spans="1:22" outlineLevel="1" x14ac:dyDescent="0.2">
      <c r="B95" s="163" t="s">
        <v>297</v>
      </c>
      <c r="C95" s="84">
        <v>3.5000000000000003E-2</v>
      </c>
      <c r="D95" s="11"/>
      <c r="E95" s="11">
        <f>SUM(E90:E93)*$C95</f>
        <v>0</v>
      </c>
      <c r="F95" s="11">
        <f t="shared" ref="F95:L95" si="71">SUM(F90:F94)*$C95</f>
        <v>21802.764375000002</v>
      </c>
      <c r="G95" s="11">
        <f t="shared" si="71"/>
        <v>151201.26196875004</v>
      </c>
      <c r="H95" s="11">
        <f t="shared" si="71"/>
        <v>299721.17622343753</v>
      </c>
      <c r="I95" s="11">
        <f t="shared" si="71"/>
        <v>215818.52631117188</v>
      </c>
      <c r="J95" s="11">
        <f t="shared" si="71"/>
        <v>256301.83006555861</v>
      </c>
      <c r="K95" s="11">
        <f t="shared" si="71"/>
        <v>0</v>
      </c>
      <c r="L95" s="11">
        <f t="shared" si="71"/>
        <v>0</v>
      </c>
      <c r="M95" s="11">
        <f>SUM(M90:M93)*$C95</f>
        <v>0</v>
      </c>
      <c r="N95" s="11">
        <f>SUM(N90:N93)*$C95</f>
        <v>0</v>
      </c>
      <c r="O95" s="11">
        <f>SUM(O90:O93)*$C95</f>
        <v>0</v>
      </c>
      <c r="P95" s="11">
        <f>SUM(P90:P93)*$C95</f>
        <v>0</v>
      </c>
      <c r="Q95" s="11">
        <f>SUM(Q90:Q93)*$C95</f>
        <v>0</v>
      </c>
      <c r="R95" s="12">
        <f t="shared" si="66"/>
        <v>944845.55894391821</v>
      </c>
      <c r="T95" s="11">
        <f t="shared" si="67"/>
        <v>42947.525406541739</v>
      </c>
      <c r="U95" t="s">
        <v>311</v>
      </c>
      <c r="V95" s="3" t="s">
        <v>314</v>
      </c>
    </row>
    <row r="96" spans="1:22" x14ac:dyDescent="0.2">
      <c r="B96" s="85" t="str">
        <f>B90</f>
        <v>HARD COSTS - HOMES: Duplex Small</v>
      </c>
      <c r="C96" s="86"/>
      <c r="D96" s="51"/>
      <c r="E96" s="51">
        <f t="shared" ref="E96:Q96" si="72">SUM(E90:E95)</f>
        <v>0</v>
      </c>
      <c r="F96" s="51">
        <f t="shared" si="72"/>
        <v>644738.88937500003</v>
      </c>
      <c r="G96" s="51">
        <f t="shared" si="72"/>
        <v>4471237.3182187509</v>
      </c>
      <c r="H96" s="51">
        <f t="shared" si="72"/>
        <v>8863183.3540359382</v>
      </c>
      <c r="I96" s="51">
        <f t="shared" si="72"/>
        <v>6382062.1352017969</v>
      </c>
      <c r="J96" s="51">
        <f t="shared" si="72"/>
        <v>7579211.2605100898</v>
      </c>
      <c r="K96" s="51">
        <f t="shared" si="72"/>
        <v>0</v>
      </c>
      <c r="L96" s="51">
        <f t="shared" si="72"/>
        <v>0</v>
      </c>
      <c r="M96" s="51">
        <f t="shared" si="72"/>
        <v>0</v>
      </c>
      <c r="N96" s="51">
        <f t="shared" si="72"/>
        <v>0</v>
      </c>
      <c r="O96" s="51">
        <f t="shared" si="72"/>
        <v>0</v>
      </c>
      <c r="P96" s="51">
        <f t="shared" si="72"/>
        <v>0</v>
      </c>
      <c r="Q96" s="51">
        <f t="shared" si="72"/>
        <v>0</v>
      </c>
      <c r="R96" s="52">
        <f t="shared" si="66"/>
        <v>27940432.957341578</v>
      </c>
      <c r="T96" s="133">
        <f t="shared" si="67"/>
        <v>1270019.6798791627</v>
      </c>
      <c r="U96" t="s">
        <v>311</v>
      </c>
      <c r="V96" s="423">
        <f>R96/V9</f>
        <v>712.29370716722531</v>
      </c>
    </row>
    <row r="97" spans="1:22" x14ac:dyDescent="0.2">
      <c r="B97" s="26"/>
      <c r="C97" s="19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66"/>
      <c r="T97" s="111" cm="1">
        <f t="array" ref="T97">R96/SUMPRODUCT(D9*F9:Q9*F$25:Q$25)</f>
        <v>0.48403904500639644</v>
      </c>
      <c r="U97" t="s">
        <v>299</v>
      </c>
      <c r="V97" s="226"/>
    </row>
    <row r="98" spans="1:22" outlineLevel="1" x14ac:dyDescent="0.2">
      <c r="A98" s="224" t="s">
        <v>305</v>
      </c>
      <c r="B98" s="87" t="s">
        <v>320</v>
      </c>
      <c r="C98" s="19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2"/>
    </row>
    <row r="99" spans="1:22" outlineLevel="1" x14ac:dyDescent="0.2">
      <c r="B99" s="163" t="s">
        <v>321</v>
      </c>
      <c r="C99" s="71">
        <f>35000/2</f>
        <v>17500</v>
      </c>
      <c r="D99" s="61"/>
      <c r="E99" s="61"/>
      <c r="F99" s="61">
        <f>((SUM(E$10)*$C99)*0.25)+((SUM(F$10)*$C99)*0.75)</f>
        <v>0</v>
      </c>
      <c r="G99" s="61">
        <f t="shared" ref="G99:Q99" si="73">((SUM(F$10)*$C99)*0.25)+((SUM(G$10)*$C99)*0.75)</f>
        <v>52500</v>
      </c>
      <c r="H99" s="61">
        <f t="shared" si="73"/>
        <v>70000</v>
      </c>
      <c r="I99" s="61">
        <f t="shared" si="73"/>
        <v>17500</v>
      </c>
      <c r="J99" s="61">
        <f t="shared" si="73"/>
        <v>0</v>
      </c>
      <c r="K99" s="61">
        <f t="shared" si="73"/>
        <v>0</v>
      </c>
      <c r="L99" s="61">
        <f t="shared" si="73"/>
        <v>0</v>
      </c>
      <c r="M99" s="61">
        <f t="shared" si="73"/>
        <v>0</v>
      </c>
      <c r="N99" s="61">
        <f t="shared" si="73"/>
        <v>0</v>
      </c>
      <c r="O99" s="61">
        <f t="shared" si="73"/>
        <v>0</v>
      </c>
      <c r="P99" s="61">
        <f t="shared" si="73"/>
        <v>0</v>
      </c>
      <c r="Q99" s="61">
        <f t="shared" si="73"/>
        <v>0</v>
      </c>
      <c r="R99" s="12">
        <f t="shared" ref="R99:R105" si="74">SUM(E99:Q99)</f>
        <v>140000</v>
      </c>
      <c r="T99" s="11">
        <f>R99/SUM($R$10)</f>
        <v>17500</v>
      </c>
      <c r="U99" s="134" t="s">
        <v>308</v>
      </c>
      <c r="V99" t="s">
        <v>309</v>
      </c>
    </row>
    <row r="100" spans="1:22" outlineLevel="1" x14ac:dyDescent="0.2">
      <c r="B100" s="163" t="s">
        <v>322</v>
      </c>
      <c r="C100" s="71">
        <v>100000</v>
      </c>
      <c r="D100" s="61"/>
      <c r="E100" s="61"/>
      <c r="F100" s="61">
        <f t="shared" ref="F100:G100" si="75">$C100*F10</f>
        <v>0</v>
      </c>
      <c r="G100" s="61">
        <f t="shared" si="75"/>
        <v>400000</v>
      </c>
      <c r="H100" s="61">
        <f>$C100*H10</f>
        <v>400000</v>
      </c>
      <c r="I100" s="61">
        <f t="shared" ref="I100:Q100" si="76">$C100*I10</f>
        <v>0</v>
      </c>
      <c r="J100" s="61">
        <f t="shared" si="76"/>
        <v>0</v>
      </c>
      <c r="K100" s="61">
        <f t="shared" si="76"/>
        <v>0</v>
      </c>
      <c r="L100" s="61">
        <f t="shared" si="76"/>
        <v>0</v>
      </c>
      <c r="M100" s="61">
        <f t="shared" si="76"/>
        <v>0</v>
      </c>
      <c r="N100" s="61">
        <f t="shared" si="76"/>
        <v>0</v>
      </c>
      <c r="O100" s="61">
        <f t="shared" si="76"/>
        <v>0</v>
      </c>
      <c r="P100" s="61">
        <f t="shared" si="76"/>
        <v>0</v>
      </c>
      <c r="Q100" s="61">
        <f t="shared" si="76"/>
        <v>0</v>
      </c>
      <c r="R100" s="12">
        <f t="shared" si="74"/>
        <v>800000</v>
      </c>
      <c r="T100" s="11">
        <f>R100/SUM($R$10)</f>
        <v>100000</v>
      </c>
      <c r="U100" s="134" t="s">
        <v>308</v>
      </c>
    </row>
    <row r="101" spans="1:22" outlineLevel="1" x14ac:dyDescent="0.2">
      <c r="B101" s="163" t="s">
        <v>323</v>
      </c>
      <c r="C101" s="67">
        <v>550</v>
      </c>
      <c r="D101" s="61"/>
      <c r="E101" s="61"/>
      <c r="F101" s="61">
        <f t="shared" ref="F101:G101" si="77">(IFERROR((SUMPRODUCT($D$10,E10))*$C101,0)*0.75)+(IFERROR((SUMPRODUCT($D$10,F10))*$C101,0)*0.25)</f>
        <v>0</v>
      </c>
      <c r="G101" s="61">
        <f t="shared" si="77"/>
        <v>742500</v>
      </c>
      <c r="H101" s="61">
        <f>(IFERROR((SUMPRODUCT($D$10,G10))*$C101,0)*0.75)+(IFERROR((SUMPRODUCT($D$10,H10))*$C101,0)*0.25)</f>
        <v>2970000</v>
      </c>
      <c r="I101" s="61">
        <f t="shared" ref="I101:Q101" si="78">(IFERROR((SUMPRODUCT($D$10,H10))*$C101,0)*0.75)+(IFERROR((SUMPRODUCT($D$10,I10))*$C101,0)*0.25)</f>
        <v>2227500</v>
      </c>
      <c r="J101" s="61">
        <f t="shared" si="78"/>
        <v>0</v>
      </c>
      <c r="K101" s="61">
        <f t="shared" si="78"/>
        <v>0</v>
      </c>
      <c r="L101" s="61">
        <f t="shared" si="78"/>
        <v>0</v>
      </c>
      <c r="M101" s="61">
        <f t="shared" si="78"/>
        <v>0</v>
      </c>
      <c r="N101" s="61">
        <f t="shared" si="78"/>
        <v>0</v>
      </c>
      <c r="O101" s="61">
        <f t="shared" si="78"/>
        <v>0</v>
      </c>
      <c r="P101" s="61">
        <f t="shared" si="78"/>
        <v>0</v>
      </c>
      <c r="Q101" s="61">
        <f t="shared" si="78"/>
        <v>0</v>
      </c>
      <c r="R101" s="12">
        <f t="shared" si="74"/>
        <v>5940000</v>
      </c>
      <c r="T101" s="11">
        <f t="shared" ref="T101:T104" si="79">R101/SUM($R$10)</f>
        <v>742500</v>
      </c>
      <c r="U101" t="s">
        <v>311</v>
      </c>
      <c r="V101" s="226">
        <f>(R101)/V10</f>
        <v>550</v>
      </c>
    </row>
    <row r="102" spans="1:22" outlineLevel="1" x14ac:dyDescent="0.2">
      <c r="B102" s="163" t="s">
        <v>324</v>
      </c>
      <c r="C102" s="101">
        <v>15000</v>
      </c>
      <c r="D102" s="61"/>
      <c r="E102" s="61"/>
      <c r="F102" s="61"/>
      <c r="G102" s="61">
        <f>SUM(F10*$C102)</f>
        <v>0</v>
      </c>
      <c r="H102" s="61">
        <f t="shared" ref="H102:Q102" si="80">SUM(G10*$C102)</f>
        <v>60000</v>
      </c>
      <c r="I102" s="61">
        <f t="shared" si="80"/>
        <v>60000</v>
      </c>
      <c r="J102" s="61">
        <f t="shared" si="80"/>
        <v>0</v>
      </c>
      <c r="K102" s="61">
        <f t="shared" si="80"/>
        <v>0</v>
      </c>
      <c r="L102" s="61">
        <f t="shared" si="80"/>
        <v>0</v>
      </c>
      <c r="M102" s="61">
        <f t="shared" si="80"/>
        <v>0</v>
      </c>
      <c r="N102" s="61">
        <f t="shared" si="80"/>
        <v>0</v>
      </c>
      <c r="O102" s="61">
        <f t="shared" si="80"/>
        <v>0</v>
      </c>
      <c r="P102" s="61">
        <f t="shared" si="80"/>
        <v>0</v>
      </c>
      <c r="Q102" s="61">
        <f t="shared" si="80"/>
        <v>0</v>
      </c>
      <c r="R102" s="12">
        <f t="shared" si="74"/>
        <v>120000</v>
      </c>
      <c r="T102" s="11">
        <f t="shared" si="79"/>
        <v>15000</v>
      </c>
      <c r="U102" s="134" t="s">
        <v>308</v>
      </c>
    </row>
    <row r="103" spans="1:22" outlineLevel="1" x14ac:dyDescent="0.2">
      <c r="B103" s="163" t="s">
        <v>313</v>
      </c>
      <c r="C103" s="84">
        <v>0.05</v>
      </c>
      <c r="D103" s="61"/>
      <c r="E103" s="61"/>
      <c r="F103" s="61"/>
      <c r="G103" s="61">
        <f>SUM(G99:G102,F103)*$C103</f>
        <v>59750</v>
      </c>
      <c r="H103" s="61">
        <f>SUM(H99:H102,G103)*$C103</f>
        <v>177987.5</v>
      </c>
      <c r="I103" s="61">
        <f>SUM(I99:I102,H103)*$C103</f>
        <v>124149.375</v>
      </c>
      <c r="J103" s="61">
        <f>SUM(J99:J102,I103)*$C103</f>
        <v>6207.46875</v>
      </c>
      <c r="K103" s="61"/>
      <c r="L103" s="61"/>
      <c r="M103" s="61"/>
      <c r="N103" s="61"/>
      <c r="O103" s="61"/>
      <c r="P103" s="12"/>
      <c r="Q103" s="12"/>
      <c r="R103" s="12">
        <f t="shared" si="74"/>
        <v>368094.34375</v>
      </c>
      <c r="T103" s="11">
        <f t="shared" si="79"/>
        <v>46011.79296875</v>
      </c>
      <c r="U103" t="s">
        <v>311</v>
      </c>
    </row>
    <row r="104" spans="1:22" outlineLevel="1" x14ac:dyDescent="0.2">
      <c r="B104" s="163" t="s">
        <v>297</v>
      </c>
      <c r="C104" s="84">
        <v>3.5000000000000003E-2</v>
      </c>
      <c r="D104" s="11"/>
      <c r="E104" s="11">
        <f>SUM(E98:E102)*$C104</f>
        <v>0</v>
      </c>
      <c r="F104" s="11">
        <f t="shared" ref="F104:L104" si="81">SUM(F98:F103)*$C104</f>
        <v>0</v>
      </c>
      <c r="G104" s="11">
        <f t="shared" si="81"/>
        <v>43916.250000000007</v>
      </c>
      <c r="H104" s="11">
        <f t="shared" si="81"/>
        <v>128729.56250000001</v>
      </c>
      <c r="I104" s="11">
        <f t="shared" si="81"/>
        <v>85020.228125000009</v>
      </c>
      <c r="J104" s="11">
        <f t="shared" si="81"/>
        <v>217.26140625000002</v>
      </c>
      <c r="K104" s="11">
        <f t="shared" si="81"/>
        <v>0</v>
      </c>
      <c r="L104" s="11">
        <f t="shared" si="81"/>
        <v>0</v>
      </c>
      <c r="M104" s="11">
        <f>SUM(M98:M102)*$C104</f>
        <v>0</v>
      </c>
      <c r="N104" s="11">
        <f>SUM(N98:N102)*$C104</f>
        <v>0</v>
      </c>
      <c r="O104" s="11">
        <f>SUM(O98:O102)*$C104</f>
        <v>0</v>
      </c>
      <c r="P104" s="11">
        <f>SUM(P98:P102)*$C104</f>
        <v>0</v>
      </c>
      <c r="Q104" s="11">
        <f>SUM(Q98:Q102)*$C104</f>
        <v>0</v>
      </c>
      <c r="R104" s="12">
        <f t="shared" si="74"/>
        <v>257883.30203125003</v>
      </c>
      <c r="T104" s="11">
        <f t="shared" si="79"/>
        <v>32235.412753906254</v>
      </c>
      <c r="U104" t="s">
        <v>311</v>
      </c>
      <c r="V104" s="3" t="s">
        <v>314</v>
      </c>
    </row>
    <row r="105" spans="1:22" x14ac:dyDescent="0.2">
      <c r="B105" s="85" t="str">
        <f>B98</f>
        <v>HARD COSTS - HOMES: Multi-Unit</v>
      </c>
      <c r="C105" s="86"/>
      <c r="D105" s="51"/>
      <c r="E105" s="51">
        <f t="shared" ref="E105:Q105" si="82">SUM(E98:E104)</f>
        <v>0</v>
      </c>
      <c r="F105" s="51">
        <f t="shared" si="82"/>
        <v>0</v>
      </c>
      <c r="G105" s="51">
        <f t="shared" si="82"/>
        <v>1298666.25</v>
      </c>
      <c r="H105" s="51">
        <f t="shared" si="82"/>
        <v>3806717.0625</v>
      </c>
      <c r="I105" s="51">
        <f>SUM(I98:I104)</f>
        <v>2514169.6031249999</v>
      </c>
      <c r="J105" s="51">
        <f t="shared" si="82"/>
        <v>6424.7301562499997</v>
      </c>
      <c r="K105" s="51">
        <f t="shared" si="82"/>
        <v>0</v>
      </c>
      <c r="L105" s="51">
        <f t="shared" si="82"/>
        <v>0</v>
      </c>
      <c r="M105" s="51">
        <f t="shared" si="82"/>
        <v>0</v>
      </c>
      <c r="N105" s="51">
        <f t="shared" si="82"/>
        <v>0</v>
      </c>
      <c r="O105" s="51">
        <f t="shared" si="82"/>
        <v>0</v>
      </c>
      <c r="P105" s="51">
        <f t="shared" si="82"/>
        <v>0</v>
      </c>
      <c r="Q105" s="51">
        <f t="shared" si="82"/>
        <v>0</v>
      </c>
      <c r="R105" s="52">
        <f t="shared" si="74"/>
        <v>7625977.6457812507</v>
      </c>
      <c r="T105" s="133">
        <f>R105/SUM($R$10)</f>
        <v>953247.20572265633</v>
      </c>
      <c r="U105" t="s">
        <v>311</v>
      </c>
      <c r="V105" s="423">
        <f>R105/V10</f>
        <v>706.10904127604169</v>
      </c>
    </row>
    <row r="106" spans="1:22" x14ac:dyDescent="0.2">
      <c r="B106" s="26"/>
      <c r="C106" s="19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66"/>
      <c r="T106" s="111" cm="1">
        <f t="array" ref="T106">R105/SUMPRODUCT(D10*F10:Q10*F$26:Q$26)</f>
        <v>0.4869717526041667</v>
      </c>
      <c r="U106" t="s">
        <v>299</v>
      </c>
      <c r="V106" s="226"/>
    </row>
    <row r="107" spans="1:22" outlineLevel="1" x14ac:dyDescent="0.2">
      <c r="A107" s="224" t="s">
        <v>325</v>
      </c>
      <c r="B107" s="81" t="s">
        <v>326</v>
      </c>
      <c r="R107" s="12"/>
    </row>
    <row r="108" spans="1:22" outlineLevel="1" x14ac:dyDescent="0.2">
      <c r="A108" s="224"/>
      <c r="B108" s="163" t="s">
        <v>327</v>
      </c>
      <c r="C108" s="25">
        <f>(R72+R77+R85+R93+R102)*0.05</f>
        <v>263087.5</v>
      </c>
      <c r="D108" s="10"/>
      <c r="F108" s="67">
        <f>$C108*0.2</f>
        <v>52617.5</v>
      </c>
      <c r="G108" s="67">
        <f>$C108*0.35</f>
        <v>92080.625</v>
      </c>
      <c r="H108" s="67">
        <f>$C108*0.2</f>
        <v>52617.5</v>
      </c>
      <c r="I108" s="67">
        <f>$C108*0.2</f>
        <v>52617.5</v>
      </c>
      <c r="J108" s="67">
        <f>$C108*0.05</f>
        <v>13154.375</v>
      </c>
      <c r="K108" s="32"/>
      <c r="L108" s="32"/>
      <c r="M108" s="32"/>
      <c r="N108" s="32"/>
      <c r="O108" s="32"/>
      <c r="R108" s="12">
        <f>SUM(F108:Q108)</f>
        <v>263087.5</v>
      </c>
      <c r="T108" s="11">
        <f>C108-R108</f>
        <v>0</v>
      </c>
    </row>
    <row r="109" spans="1:22" outlineLevel="1" x14ac:dyDescent="0.2">
      <c r="A109" s="224"/>
      <c r="B109" s="163" t="s">
        <v>328</v>
      </c>
      <c r="C109" s="25">
        <f>(R72+R75+R83+R91+R99)*0.05</f>
        <v>253087.5</v>
      </c>
      <c r="D109" s="10"/>
      <c r="F109" s="67">
        <f>$C109*0.2</f>
        <v>50617.5</v>
      </c>
      <c r="G109" s="67">
        <f>$C109*0.35</f>
        <v>88580.625</v>
      </c>
      <c r="H109" s="67">
        <f>$C109*0.2</f>
        <v>50617.5</v>
      </c>
      <c r="I109" s="67">
        <f>$C109*0.2</f>
        <v>50617.5</v>
      </c>
      <c r="J109" s="67">
        <f>$C109*0.05</f>
        <v>12654.375</v>
      </c>
      <c r="R109" s="12">
        <f>SUM(F109:Q109)</f>
        <v>253087.5</v>
      </c>
      <c r="T109" s="11">
        <f>C109-R109</f>
        <v>0</v>
      </c>
    </row>
    <row r="110" spans="1:22" outlineLevel="1" x14ac:dyDescent="0.2">
      <c r="B110" s="163" t="s">
        <v>329</v>
      </c>
      <c r="C110" s="503" t="s">
        <v>330</v>
      </c>
      <c r="D110" s="80"/>
      <c r="E110" s="67"/>
      <c r="F110" s="67"/>
      <c r="G110" s="67"/>
      <c r="H110" s="32"/>
      <c r="I110" s="32"/>
      <c r="J110" s="32"/>
      <c r="K110" s="32"/>
      <c r="L110" s="32"/>
      <c r="M110" s="32"/>
      <c r="N110" s="32"/>
      <c r="O110" s="32"/>
      <c r="R110" s="12">
        <f t="shared" ref="R110:R114" si="83">SUM(E110:Q110)</f>
        <v>0</v>
      </c>
      <c r="T110" s="11" t="e">
        <f>C110-R110</f>
        <v>#VALUE!</v>
      </c>
    </row>
    <row r="111" spans="1:22" outlineLevel="1" x14ac:dyDescent="0.2">
      <c r="B111" s="163" t="s">
        <v>331</v>
      </c>
      <c r="C111" s="25">
        <v>50000</v>
      </c>
      <c r="D111" s="10"/>
      <c r="F111" s="67">
        <f>$C111*0.25</f>
        <v>12500</v>
      </c>
      <c r="G111" s="67">
        <f>$C111*0.5</f>
        <v>25000</v>
      </c>
      <c r="H111" s="67">
        <f>$C111*0.25</f>
        <v>12500</v>
      </c>
      <c r="I111" s="32"/>
      <c r="J111" s="32"/>
      <c r="K111" s="32"/>
      <c r="L111" s="32"/>
      <c r="M111" s="32"/>
      <c r="N111" s="32"/>
      <c r="O111" s="32"/>
      <c r="R111" s="12">
        <f>SUM(F111:Q111)</f>
        <v>50000</v>
      </c>
      <c r="T111" s="11">
        <f>C111-R111</f>
        <v>0</v>
      </c>
    </row>
    <row r="112" spans="1:22" outlineLevel="1" x14ac:dyDescent="0.2">
      <c r="B112" s="163" t="s">
        <v>332</v>
      </c>
      <c r="C112" s="25">
        <v>2500</v>
      </c>
      <c r="D112" s="10"/>
      <c r="E112" s="61"/>
      <c r="F112" s="61">
        <f t="shared" ref="F112:J112" si="84">$C$112</f>
        <v>2500</v>
      </c>
      <c r="G112" s="61">
        <f t="shared" si="84"/>
        <v>2500</v>
      </c>
      <c r="H112" s="61">
        <f t="shared" si="84"/>
        <v>2500</v>
      </c>
      <c r="I112" s="61">
        <f t="shared" si="84"/>
        <v>2500</v>
      </c>
      <c r="J112" s="61">
        <f t="shared" si="84"/>
        <v>2500</v>
      </c>
      <c r="K112" s="61"/>
      <c r="L112" s="61"/>
      <c r="M112" s="61"/>
      <c r="N112" s="12"/>
      <c r="O112" s="12"/>
      <c r="P112" s="12"/>
      <c r="Q112" s="12"/>
      <c r="R112" s="12">
        <f t="shared" si="83"/>
        <v>12500</v>
      </c>
      <c r="T112" s="11"/>
    </row>
    <row r="113" spans="1:26" outlineLevel="1" x14ac:dyDescent="0.2">
      <c r="B113" s="163" t="s">
        <v>333</v>
      </c>
      <c r="C113" s="490">
        <v>0.05</v>
      </c>
      <c r="D113" s="490"/>
      <c r="E113" s="11">
        <f t="shared" ref="E113:M113" si="85">SUM(E107:E112)*$C$113</f>
        <v>0</v>
      </c>
      <c r="F113" s="11">
        <f t="shared" si="85"/>
        <v>5911.75</v>
      </c>
      <c r="G113" s="11">
        <f t="shared" si="85"/>
        <v>10408.0625</v>
      </c>
      <c r="H113" s="11">
        <f t="shared" si="85"/>
        <v>5911.75</v>
      </c>
      <c r="I113" s="11">
        <f t="shared" si="85"/>
        <v>5286.75</v>
      </c>
      <c r="J113" s="11">
        <f t="shared" si="85"/>
        <v>1415.4375</v>
      </c>
      <c r="K113" s="11">
        <f t="shared" si="85"/>
        <v>0</v>
      </c>
      <c r="L113" s="11">
        <f t="shared" si="85"/>
        <v>0</v>
      </c>
      <c r="M113" s="11">
        <f t="shared" si="85"/>
        <v>0</v>
      </c>
      <c r="N113" s="11"/>
      <c r="O113" s="11"/>
      <c r="P113" s="11"/>
      <c r="Q113" s="11">
        <f>SUM(Q109:Q112)*$C$113</f>
        <v>0</v>
      </c>
      <c r="R113" s="47">
        <f t="shared" si="83"/>
        <v>28933.75</v>
      </c>
      <c r="T113" s="11"/>
    </row>
    <row r="114" spans="1:26" x14ac:dyDescent="0.2">
      <c r="B114" s="49" t="str">
        <f>B107</f>
        <v>SOFT COSTS PROFESSIONALS - SITE, RESTORE, &amp; INFRA</v>
      </c>
      <c r="C114" s="164"/>
      <c r="D114" s="164"/>
      <c r="E114" s="51">
        <f t="shared" ref="E114:Q114" si="86">SUM(E107:E113)</f>
        <v>0</v>
      </c>
      <c r="F114" s="51">
        <f t="shared" si="86"/>
        <v>124146.75</v>
      </c>
      <c r="G114" s="51">
        <f t="shared" si="86"/>
        <v>218569.3125</v>
      </c>
      <c r="H114" s="51">
        <f t="shared" si="86"/>
        <v>124146.75</v>
      </c>
      <c r="I114" s="51">
        <f t="shared" si="86"/>
        <v>111021.75</v>
      </c>
      <c r="J114" s="51">
        <f t="shared" si="86"/>
        <v>29724.1875</v>
      </c>
      <c r="K114" s="51">
        <f t="shared" si="86"/>
        <v>0</v>
      </c>
      <c r="L114" s="51">
        <f t="shared" si="86"/>
        <v>0</v>
      </c>
      <c r="M114" s="51">
        <f t="shared" si="86"/>
        <v>0</v>
      </c>
      <c r="N114" s="51">
        <f t="shared" si="86"/>
        <v>0</v>
      </c>
      <c r="O114" s="51">
        <f t="shared" si="86"/>
        <v>0</v>
      </c>
      <c r="P114" s="51">
        <f t="shared" si="86"/>
        <v>0</v>
      </c>
      <c r="Q114" s="51">
        <f t="shared" si="86"/>
        <v>0</v>
      </c>
      <c r="R114" s="52">
        <f t="shared" si="83"/>
        <v>607608.75</v>
      </c>
      <c r="T114" s="70">
        <f>R114/$R$11</f>
        <v>14130.436046511628</v>
      </c>
      <c r="U114" s="134" t="s">
        <v>298</v>
      </c>
    </row>
    <row r="115" spans="1:26" x14ac:dyDescent="0.2">
      <c r="B115" s="162"/>
      <c r="C115" s="19"/>
      <c r="D115" s="167"/>
      <c r="E115" s="167"/>
      <c r="F115" s="167"/>
      <c r="G115" s="167"/>
      <c r="H115" s="167"/>
      <c r="I115" s="167"/>
      <c r="J115" s="167"/>
      <c r="K115" s="167"/>
      <c r="L115" s="167"/>
      <c r="M115" s="167"/>
      <c r="N115" s="167"/>
      <c r="O115" s="167"/>
      <c r="P115" s="167"/>
      <c r="Q115" s="12"/>
      <c r="T115" s="111">
        <f>R114/$T$46</f>
        <v>4.6010434911214438E-3</v>
      </c>
      <c r="U115" t="s">
        <v>299</v>
      </c>
    </row>
    <row r="116" spans="1:26" outlineLevel="1" x14ac:dyDescent="0.2">
      <c r="A116" s="224" t="s">
        <v>334</v>
      </c>
      <c r="B116" s="81" t="s">
        <v>335</v>
      </c>
      <c r="R116" s="12"/>
      <c r="V116">
        <v>2</v>
      </c>
      <c r="W116" t="s">
        <v>336</v>
      </c>
    </row>
    <row r="117" spans="1:26" outlineLevel="1" x14ac:dyDescent="0.2">
      <c r="A117" s="224" t="s">
        <v>337</v>
      </c>
      <c r="B117" s="163" t="s">
        <v>338</v>
      </c>
      <c r="C117" s="65">
        <v>0.05</v>
      </c>
      <c r="D117" s="32"/>
      <c r="E117" s="32">
        <f>($C117*F75)*0.5</f>
        <v>937.5</v>
      </c>
      <c r="F117" s="32">
        <f t="shared" ref="F117:Q117" si="87">$C117*F75</f>
        <v>1875</v>
      </c>
      <c r="G117" s="32">
        <f t="shared" si="87"/>
        <v>2500</v>
      </c>
      <c r="H117" s="32">
        <f t="shared" si="87"/>
        <v>10000</v>
      </c>
      <c r="I117" s="32">
        <f t="shared" si="87"/>
        <v>8750</v>
      </c>
      <c r="J117" s="32">
        <f t="shared" si="87"/>
        <v>1875</v>
      </c>
      <c r="K117" s="32">
        <f t="shared" si="87"/>
        <v>0</v>
      </c>
      <c r="L117" s="32">
        <f t="shared" si="87"/>
        <v>0</v>
      </c>
      <c r="M117" s="32">
        <f t="shared" si="87"/>
        <v>0</v>
      </c>
      <c r="N117" s="32">
        <f t="shared" si="87"/>
        <v>0</v>
      </c>
      <c r="O117" s="32">
        <f t="shared" si="87"/>
        <v>0</v>
      </c>
      <c r="P117" s="32">
        <f t="shared" si="87"/>
        <v>0</v>
      </c>
      <c r="Q117" s="32">
        <f t="shared" si="87"/>
        <v>0</v>
      </c>
      <c r="R117" s="12">
        <f>SUM(D117:Q117)</f>
        <v>25937.5</v>
      </c>
      <c r="T117" s="11">
        <f t="shared" ref="T117:T128" si="88">R117/$R$7</f>
        <v>2593.75</v>
      </c>
      <c r="U117" s="134" t="s">
        <v>308</v>
      </c>
      <c r="V117" s="11">
        <f t="shared" ref="V117:V128" si="89">R117/$V$116</f>
        <v>12968.75</v>
      </c>
      <c r="W117" s="134" t="s">
        <v>339</v>
      </c>
    </row>
    <row r="118" spans="1:26" outlineLevel="1" x14ac:dyDescent="0.2">
      <c r="B118" s="163" t="s">
        <v>340</v>
      </c>
      <c r="C118" s="65">
        <v>8.5000000000000006E-2</v>
      </c>
      <c r="D118" s="32"/>
      <c r="E118" s="10">
        <v>10000</v>
      </c>
      <c r="F118" s="32">
        <f>($C118*F$76)*V116</f>
        <v>71516.875</v>
      </c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12">
        <f>SUM(D118:Q118)</f>
        <v>81516.875</v>
      </c>
      <c r="T118" s="11">
        <f t="shared" si="88"/>
        <v>8151.6875</v>
      </c>
      <c r="U118" s="134" t="s">
        <v>308</v>
      </c>
      <c r="V118" s="11">
        <f t="shared" si="89"/>
        <v>40758.4375</v>
      </c>
      <c r="W118" s="134" t="s">
        <v>339</v>
      </c>
    </row>
    <row r="119" spans="1:26" outlineLevel="1" x14ac:dyDescent="0.2">
      <c r="B119" s="163" t="s">
        <v>341</v>
      </c>
      <c r="C119" s="10">
        <v>20000</v>
      </c>
      <c r="D119" s="32"/>
      <c r="E119" s="32"/>
      <c r="F119" s="32"/>
      <c r="G119" s="32">
        <f>$C119*G7</f>
        <v>20000</v>
      </c>
      <c r="H119" s="32">
        <f t="shared" ref="H119:Q119" si="90">$C119*H7</f>
        <v>100000</v>
      </c>
      <c r="I119" s="32">
        <f t="shared" si="90"/>
        <v>60000</v>
      </c>
      <c r="J119" s="32">
        <f t="shared" si="90"/>
        <v>0</v>
      </c>
      <c r="K119" s="32">
        <f t="shared" si="90"/>
        <v>0</v>
      </c>
      <c r="L119" s="32">
        <f t="shared" si="90"/>
        <v>0</v>
      </c>
      <c r="M119" s="32">
        <f t="shared" si="90"/>
        <v>0</v>
      </c>
      <c r="N119" s="32">
        <f t="shared" si="90"/>
        <v>0</v>
      </c>
      <c r="O119" s="32">
        <f t="shared" si="90"/>
        <v>0</v>
      </c>
      <c r="P119" s="32">
        <f t="shared" si="90"/>
        <v>0</v>
      </c>
      <c r="Q119" s="32">
        <f t="shared" si="90"/>
        <v>0</v>
      </c>
      <c r="R119" s="12">
        <f>SUM(D119:Q119)</f>
        <v>180000</v>
      </c>
      <c r="T119" s="11">
        <f t="shared" ref="T119" si="91">R119/$R$7</f>
        <v>18000</v>
      </c>
      <c r="U119" s="134" t="s">
        <v>308</v>
      </c>
      <c r="V119" s="11">
        <f t="shared" ref="V119" si="92">R119/$V$116</f>
        <v>90000</v>
      </c>
      <c r="W119" s="134" t="s">
        <v>339</v>
      </c>
    </row>
    <row r="120" spans="1:26" outlineLevel="1" x14ac:dyDescent="0.2">
      <c r="B120" s="163" t="s">
        <v>342</v>
      </c>
      <c r="C120" s="10">
        <v>6500</v>
      </c>
      <c r="D120" s="10"/>
      <c r="E120" s="67"/>
      <c r="F120" s="67">
        <f t="shared" ref="F120:N120" si="93">SUM(F7)*$C120</f>
        <v>6500</v>
      </c>
      <c r="G120" s="67">
        <f t="shared" si="93"/>
        <v>6500</v>
      </c>
      <c r="H120" s="67">
        <f t="shared" si="93"/>
        <v>32500</v>
      </c>
      <c r="I120" s="67">
        <f t="shared" si="93"/>
        <v>19500</v>
      </c>
      <c r="J120" s="67">
        <f t="shared" si="93"/>
        <v>0</v>
      </c>
      <c r="K120" s="67">
        <f t="shared" si="93"/>
        <v>0</v>
      </c>
      <c r="L120" s="67">
        <f t="shared" si="93"/>
        <v>0</v>
      </c>
      <c r="M120" s="67">
        <f t="shared" si="93"/>
        <v>0</v>
      </c>
      <c r="N120" s="67">
        <f t="shared" si="93"/>
        <v>0</v>
      </c>
      <c r="O120" s="67">
        <f>SUM(O7:O8)*$C120</f>
        <v>0</v>
      </c>
      <c r="P120" s="67">
        <f>SUM(P7:P8)*$C120</f>
        <v>0</v>
      </c>
      <c r="Q120" s="67">
        <f>SUM(Q7:Q8)*$C120</f>
        <v>0</v>
      </c>
      <c r="R120" s="12">
        <f>SUM(D120:Q120)</f>
        <v>65000</v>
      </c>
      <c r="T120" s="11">
        <f t="shared" si="88"/>
        <v>6500</v>
      </c>
      <c r="U120" s="134" t="s">
        <v>308</v>
      </c>
      <c r="V120" s="11">
        <f t="shared" si="89"/>
        <v>32500</v>
      </c>
      <c r="W120" s="134" t="s">
        <v>339</v>
      </c>
    </row>
    <row r="121" spans="1:26" outlineLevel="1" x14ac:dyDescent="0.2">
      <c r="B121" s="163" t="s">
        <v>343</v>
      </c>
      <c r="C121" s="65">
        <v>0.05</v>
      </c>
      <c r="D121" s="32"/>
      <c r="E121" s="67">
        <f>$C121*G77*0.5</f>
        <v>1250</v>
      </c>
      <c r="F121" s="67">
        <f t="shared" ref="F121:P121" si="94">$C121*G77</f>
        <v>2500</v>
      </c>
      <c r="G121" s="67">
        <f t="shared" si="94"/>
        <v>2500</v>
      </c>
      <c r="H121" s="67">
        <f t="shared" si="94"/>
        <v>12500</v>
      </c>
      <c r="I121" s="67">
        <f t="shared" si="94"/>
        <v>7500</v>
      </c>
      <c r="J121" s="67">
        <f t="shared" si="94"/>
        <v>0</v>
      </c>
      <c r="K121" s="67">
        <f t="shared" si="94"/>
        <v>0</v>
      </c>
      <c r="L121" s="67">
        <f t="shared" si="94"/>
        <v>0</v>
      </c>
      <c r="M121" s="67">
        <f t="shared" si="94"/>
        <v>0</v>
      </c>
      <c r="N121" s="67">
        <f t="shared" si="94"/>
        <v>0</v>
      </c>
      <c r="O121" s="67">
        <f t="shared" si="94"/>
        <v>0</v>
      </c>
      <c r="P121" s="67">
        <f t="shared" si="94"/>
        <v>0</v>
      </c>
      <c r="Q121" s="32"/>
      <c r="R121" s="12">
        <f>SUM(D121:Q121)</f>
        <v>26250</v>
      </c>
      <c r="T121" s="11">
        <f t="shared" si="88"/>
        <v>2625</v>
      </c>
      <c r="U121" s="134" t="s">
        <v>308</v>
      </c>
      <c r="V121" s="11">
        <f t="shared" si="89"/>
        <v>13125</v>
      </c>
      <c r="W121" s="134" t="s">
        <v>339</v>
      </c>
    </row>
    <row r="122" spans="1:26" outlineLevel="1" x14ac:dyDescent="0.2">
      <c r="B122" s="163" t="s">
        <v>344</v>
      </c>
      <c r="C122" s="10">
        <v>3500</v>
      </c>
      <c r="D122" s="32"/>
      <c r="E122" s="67"/>
      <c r="F122" s="67">
        <f t="shared" ref="F122:N122" si="95">SUM(F7)*$C122</f>
        <v>3500</v>
      </c>
      <c r="G122" s="67">
        <f t="shared" si="95"/>
        <v>3500</v>
      </c>
      <c r="H122" s="67">
        <f t="shared" si="95"/>
        <v>17500</v>
      </c>
      <c r="I122" s="67">
        <f t="shared" si="95"/>
        <v>10500</v>
      </c>
      <c r="J122" s="67">
        <f t="shared" si="95"/>
        <v>0</v>
      </c>
      <c r="K122" s="67">
        <f t="shared" si="95"/>
        <v>0</v>
      </c>
      <c r="L122" s="67">
        <f t="shared" si="95"/>
        <v>0</v>
      </c>
      <c r="M122" s="67">
        <f t="shared" si="95"/>
        <v>0</v>
      </c>
      <c r="N122" s="67">
        <f t="shared" si="95"/>
        <v>0</v>
      </c>
      <c r="O122" s="67">
        <f>SUM(O7:O8)*$C122</f>
        <v>0</v>
      </c>
      <c r="P122" s="67">
        <f>SUM(P7:P8)*$C122</f>
        <v>0</v>
      </c>
      <c r="Q122" s="67">
        <f>SUM(Q7:Q8)*$C122</f>
        <v>0</v>
      </c>
      <c r="R122" s="12">
        <f>SUM(D122:P122)</f>
        <v>35000</v>
      </c>
      <c r="T122" s="11">
        <f t="shared" si="88"/>
        <v>3500</v>
      </c>
      <c r="U122" s="134" t="s">
        <v>308</v>
      </c>
      <c r="V122" s="11">
        <f t="shared" si="89"/>
        <v>17500</v>
      </c>
      <c r="W122" s="134" t="s">
        <v>339</v>
      </c>
    </row>
    <row r="123" spans="1:26" outlineLevel="1" x14ac:dyDescent="0.2">
      <c r="B123" s="163" t="s">
        <v>345</v>
      </c>
      <c r="C123" s="64">
        <v>3.5</v>
      </c>
      <c r="D123" s="10"/>
      <c r="E123" s="61"/>
      <c r="F123" s="61">
        <f t="shared" ref="F123:Q123" si="96">IFERROR((SUMPRODUCT($D$7,F7))*$C123,0)</f>
        <v>9275</v>
      </c>
      <c r="G123" s="61">
        <f t="shared" si="96"/>
        <v>9275</v>
      </c>
      <c r="H123" s="61">
        <f t="shared" si="96"/>
        <v>46375</v>
      </c>
      <c r="I123" s="61">
        <f t="shared" si="96"/>
        <v>27825</v>
      </c>
      <c r="J123" s="61">
        <f t="shared" si="96"/>
        <v>0</v>
      </c>
      <c r="K123" s="61">
        <f t="shared" si="96"/>
        <v>0</v>
      </c>
      <c r="L123" s="61">
        <f t="shared" si="96"/>
        <v>0</v>
      </c>
      <c r="M123" s="61">
        <f t="shared" si="96"/>
        <v>0</v>
      </c>
      <c r="N123" s="61">
        <f t="shared" si="96"/>
        <v>0</v>
      </c>
      <c r="O123" s="61">
        <f t="shared" si="96"/>
        <v>0</v>
      </c>
      <c r="P123" s="61">
        <f t="shared" si="96"/>
        <v>0</v>
      </c>
      <c r="Q123" s="61">
        <f t="shared" si="96"/>
        <v>0</v>
      </c>
      <c r="R123" s="12">
        <f>SUM(D123:P123)</f>
        <v>92750</v>
      </c>
      <c r="T123" s="11">
        <f t="shared" si="88"/>
        <v>9275</v>
      </c>
      <c r="U123" s="134" t="s">
        <v>308</v>
      </c>
      <c r="V123" s="11">
        <f t="shared" si="89"/>
        <v>46375</v>
      </c>
      <c r="W123" s="134" t="s">
        <v>339</v>
      </c>
      <c r="X123" s="226" t="e">
        <f>R123/#REF!</f>
        <v>#REF!</v>
      </c>
      <c r="Y123" s="226"/>
      <c r="Z123" s="226"/>
    </row>
    <row r="124" spans="1:26" outlineLevel="1" x14ac:dyDescent="0.2">
      <c r="B124" s="163" t="s">
        <v>346</v>
      </c>
      <c r="C124" s="102">
        <v>6.4999999999999997E-3</v>
      </c>
      <c r="D124" s="10"/>
      <c r="E124" s="32"/>
      <c r="F124" s="32">
        <f t="shared" ref="F124:N126" si="97">$C124*F$76</f>
        <v>2734.46875</v>
      </c>
      <c r="G124" s="32">
        <f t="shared" si="97"/>
        <v>10937.875</v>
      </c>
      <c r="H124" s="32">
        <f t="shared" si="97"/>
        <v>21875.75</v>
      </c>
      <c r="I124" s="32">
        <f t="shared" si="97"/>
        <v>49220.4375</v>
      </c>
      <c r="J124" s="32">
        <f t="shared" si="97"/>
        <v>24610.21875</v>
      </c>
      <c r="K124" s="32">
        <f t="shared" si="97"/>
        <v>0</v>
      </c>
      <c r="L124" s="32">
        <f t="shared" si="97"/>
        <v>0</v>
      </c>
      <c r="M124" s="32">
        <f t="shared" si="97"/>
        <v>0</v>
      </c>
      <c r="N124" s="32">
        <f t="shared" si="97"/>
        <v>0</v>
      </c>
      <c r="O124" s="32">
        <f t="shared" ref="O124:Q126" si="98">$C124*O$76</f>
        <v>0</v>
      </c>
      <c r="P124" s="32">
        <f t="shared" si="98"/>
        <v>0</v>
      </c>
      <c r="Q124" s="32">
        <f t="shared" si="98"/>
        <v>0</v>
      </c>
      <c r="R124" s="12">
        <f>SUM(D124:P124)</f>
        <v>109378.75</v>
      </c>
      <c r="T124" s="11">
        <f t="shared" si="88"/>
        <v>10937.875</v>
      </c>
      <c r="U124" s="134" t="s">
        <v>308</v>
      </c>
      <c r="V124" s="11">
        <f t="shared" si="89"/>
        <v>54689.375</v>
      </c>
      <c r="W124" s="134" t="s">
        <v>339</v>
      </c>
    </row>
    <row r="125" spans="1:26" outlineLevel="1" x14ac:dyDescent="0.2">
      <c r="B125" s="163" t="s">
        <v>347</v>
      </c>
      <c r="C125" s="102">
        <v>5.0000000000000001E-3</v>
      </c>
      <c r="D125" s="10"/>
      <c r="E125" s="32"/>
      <c r="F125" s="32">
        <f t="shared" si="97"/>
        <v>2103.4375</v>
      </c>
      <c r="G125" s="32">
        <f t="shared" si="97"/>
        <v>8413.75</v>
      </c>
      <c r="H125" s="32">
        <f t="shared" si="97"/>
        <v>16827.5</v>
      </c>
      <c r="I125" s="32">
        <f t="shared" si="97"/>
        <v>37861.875</v>
      </c>
      <c r="J125" s="32">
        <f t="shared" si="97"/>
        <v>18930.9375</v>
      </c>
      <c r="K125" s="32">
        <f t="shared" si="97"/>
        <v>0</v>
      </c>
      <c r="L125" s="32">
        <f t="shared" si="97"/>
        <v>0</v>
      </c>
      <c r="M125" s="32">
        <f t="shared" si="97"/>
        <v>0</v>
      </c>
      <c r="N125" s="32">
        <f t="shared" si="97"/>
        <v>0</v>
      </c>
      <c r="O125" s="32">
        <f t="shared" si="98"/>
        <v>0</v>
      </c>
      <c r="P125" s="32">
        <f t="shared" si="98"/>
        <v>0</v>
      </c>
      <c r="Q125" s="32">
        <f t="shared" si="98"/>
        <v>0</v>
      </c>
      <c r="R125" s="12">
        <f>SUM(D125:P125)</f>
        <v>84137.5</v>
      </c>
      <c r="T125" s="11">
        <f t="shared" si="88"/>
        <v>8413.75</v>
      </c>
      <c r="U125" s="134" t="s">
        <v>308</v>
      </c>
      <c r="V125" s="11">
        <f t="shared" si="89"/>
        <v>42068.75</v>
      </c>
      <c r="W125" s="134" t="s">
        <v>339</v>
      </c>
    </row>
    <row r="126" spans="1:26" outlineLevel="1" x14ac:dyDescent="0.2">
      <c r="B126" s="163" t="s">
        <v>348</v>
      </c>
      <c r="C126" s="102">
        <v>5.0000000000000001E-3</v>
      </c>
      <c r="D126" s="10"/>
      <c r="E126" s="32"/>
      <c r="F126" s="32">
        <f t="shared" si="97"/>
        <v>2103.4375</v>
      </c>
      <c r="G126" s="32">
        <f t="shared" si="97"/>
        <v>8413.75</v>
      </c>
      <c r="H126" s="32">
        <f t="shared" si="97"/>
        <v>16827.5</v>
      </c>
      <c r="I126" s="32">
        <f t="shared" si="97"/>
        <v>37861.875</v>
      </c>
      <c r="J126" s="32">
        <f t="shared" si="97"/>
        <v>18930.9375</v>
      </c>
      <c r="K126" s="32">
        <f t="shared" si="97"/>
        <v>0</v>
      </c>
      <c r="L126" s="32">
        <f t="shared" si="97"/>
        <v>0</v>
      </c>
      <c r="M126" s="32">
        <f t="shared" si="97"/>
        <v>0</v>
      </c>
      <c r="N126" s="32">
        <f t="shared" si="97"/>
        <v>0</v>
      </c>
      <c r="O126" s="32">
        <f t="shared" si="98"/>
        <v>0</v>
      </c>
      <c r="P126" s="32">
        <f t="shared" si="98"/>
        <v>0</v>
      </c>
      <c r="Q126" s="32">
        <f t="shared" si="98"/>
        <v>0</v>
      </c>
      <c r="R126" s="12">
        <f>SUM(D126:P126)</f>
        <v>84137.5</v>
      </c>
      <c r="T126" s="11">
        <f t="shared" si="88"/>
        <v>8413.75</v>
      </c>
      <c r="U126" s="134" t="s">
        <v>308</v>
      </c>
      <c r="V126" s="11">
        <f t="shared" si="89"/>
        <v>42068.75</v>
      </c>
      <c r="W126" s="134" t="s">
        <v>339</v>
      </c>
    </row>
    <row r="127" spans="1:26" outlineLevel="1" x14ac:dyDescent="0.2">
      <c r="B127" s="168" t="s">
        <v>333</v>
      </c>
      <c r="C127" s="54">
        <v>0.05</v>
      </c>
      <c r="D127" s="22"/>
      <c r="E127" s="22">
        <f t="shared" ref="E127:N127" si="99">SUM(E117:E126)*$C127</f>
        <v>609.375</v>
      </c>
      <c r="F127" s="22">
        <f t="shared" si="99"/>
        <v>5105.4109375000007</v>
      </c>
      <c r="G127" s="22">
        <f t="shared" si="99"/>
        <v>3602.0187500000002</v>
      </c>
      <c r="H127" s="22">
        <f t="shared" si="99"/>
        <v>13720.2875</v>
      </c>
      <c r="I127" s="22">
        <f t="shared" si="99"/>
        <v>12950.959375</v>
      </c>
      <c r="J127" s="22">
        <f t="shared" si="99"/>
        <v>3217.3546875000002</v>
      </c>
      <c r="K127" s="22">
        <f t="shared" si="99"/>
        <v>0</v>
      </c>
      <c r="L127" s="22">
        <f t="shared" si="99"/>
        <v>0</v>
      </c>
      <c r="M127" s="22">
        <f t="shared" si="99"/>
        <v>0</v>
      </c>
      <c r="N127" s="22">
        <f t="shared" si="99"/>
        <v>0</v>
      </c>
      <c r="O127" s="22">
        <f t="shared" ref="O127:Q127" si="100">SUM(O117:O126)*$C127</f>
        <v>0</v>
      </c>
      <c r="P127" s="22">
        <f t="shared" si="100"/>
        <v>0</v>
      </c>
      <c r="Q127" s="22">
        <f t="shared" si="100"/>
        <v>0</v>
      </c>
      <c r="R127" s="21">
        <f>SUM(D127:Q127)</f>
        <v>39205.40625</v>
      </c>
      <c r="T127" s="11">
        <f t="shared" si="88"/>
        <v>3920.5406250000001</v>
      </c>
      <c r="U127" s="134" t="s">
        <v>308</v>
      </c>
      <c r="V127" s="11">
        <f t="shared" si="89"/>
        <v>19602.703125</v>
      </c>
      <c r="W127" s="134" t="s">
        <v>339</v>
      </c>
    </row>
    <row r="128" spans="1:26" x14ac:dyDescent="0.2">
      <c r="B128" s="49" t="str">
        <f>B116</f>
        <v>SOFT COSTS PROFESSIONALS: Large SFR</v>
      </c>
      <c r="C128" s="164"/>
      <c r="D128" s="51"/>
      <c r="E128" s="51">
        <f t="shared" ref="E128:P128" si="101">SUM(E116:E127)</f>
        <v>12796.875</v>
      </c>
      <c r="F128" s="51">
        <f t="shared" si="101"/>
        <v>107213.6296875</v>
      </c>
      <c r="G128" s="51">
        <f t="shared" si="101"/>
        <v>75642.393750000003</v>
      </c>
      <c r="H128" s="51">
        <f t="shared" si="101"/>
        <v>288126.03749999998</v>
      </c>
      <c r="I128" s="51">
        <f t="shared" si="101"/>
        <v>271970.14687499998</v>
      </c>
      <c r="J128" s="51">
        <f t="shared" si="101"/>
        <v>67564.448437500003</v>
      </c>
      <c r="K128" s="51">
        <f t="shared" si="101"/>
        <v>0</v>
      </c>
      <c r="L128" s="51">
        <f t="shared" si="101"/>
        <v>0</v>
      </c>
      <c r="M128" s="51">
        <f t="shared" si="101"/>
        <v>0</v>
      </c>
      <c r="N128" s="51">
        <f t="shared" si="101"/>
        <v>0</v>
      </c>
      <c r="O128" s="51">
        <f t="shared" si="101"/>
        <v>0</v>
      </c>
      <c r="P128" s="51">
        <f t="shared" si="101"/>
        <v>0</v>
      </c>
      <c r="Q128" s="51"/>
      <c r="R128" s="107">
        <f>SUM(D128:Q128)</f>
        <v>823313.53125</v>
      </c>
      <c r="T128" s="133">
        <f t="shared" si="88"/>
        <v>82331.353124999994</v>
      </c>
      <c r="U128" s="134" t="s">
        <v>308</v>
      </c>
      <c r="V128" s="11">
        <f t="shared" si="89"/>
        <v>411656.765625</v>
      </c>
      <c r="W128" s="134" t="s">
        <v>339</v>
      </c>
    </row>
    <row r="129" spans="2:23" x14ac:dyDescent="0.2">
      <c r="T129" s="111" cm="1">
        <f t="array" ref="T129">R128/SUMPRODUCT(D7*F23:Q23*F$7:Q$7)</f>
        <v>2.0109446590760967E-2</v>
      </c>
      <c r="U129" t="s">
        <v>299</v>
      </c>
    </row>
    <row r="130" spans="2:23" outlineLevel="1" x14ac:dyDescent="0.2">
      <c r="B130" s="81" t="s">
        <v>349</v>
      </c>
      <c r="R130" s="12"/>
      <c r="T130" s="111"/>
      <c r="V130">
        <v>2</v>
      </c>
      <c r="W130" t="s">
        <v>336</v>
      </c>
    </row>
    <row r="131" spans="2:23" outlineLevel="1" x14ac:dyDescent="0.2">
      <c r="B131" s="163" t="s">
        <v>338</v>
      </c>
      <c r="C131" s="65">
        <v>0.05</v>
      </c>
      <c r="D131" s="32"/>
      <c r="E131" s="32">
        <f>$C131*F$83*0.5</f>
        <v>937.5</v>
      </c>
      <c r="F131" s="32">
        <f>$C131*F$83</f>
        <v>1875</v>
      </c>
      <c r="G131" s="32">
        <f t="shared" ref="G131:Q131" si="102">$C131*G83</f>
        <v>4375</v>
      </c>
      <c r="H131" s="32">
        <f t="shared" si="102"/>
        <v>1250</v>
      </c>
      <c r="I131" s="32">
        <f t="shared" si="102"/>
        <v>0</v>
      </c>
      <c r="J131" s="32">
        <f t="shared" si="102"/>
        <v>0</v>
      </c>
      <c r="K131" s="32">
        <f t="shared" si="102"/>
        <v>0</v>
      </c>
      <c r="L131" s="32">
        <f t="shared" si="102"/>
        <v>0</v>
      </c>
      <c r="M131" s="32">
        <f t="shared" si="102"/>
        <v>0</v>
      </c>
      <c r="N131" s="32">
        <f t="shared" si="102"/>
        <v>0</v>
      </c>
      <c r="O131" s="32">
        <f t="shared" si="102"/>
        <v>0</v>
      </c>
      <c r="P131" s="32">
        <f t="shared" si="102"/>
        <v>0</v>
      </c>
      <c r="Q131" s="32">
        <f t="shared" si="102"/>
        <v>0</v>
      </c>
      <c r="R131" s="12">
        <f>SUM(D131:Q131)</f>
        <v>8437.5</v>
      </c>
      <c r="T131" s="11">
        <f t="shared" ref="T131:T142" si="103">R131/$R$8</f>
        <v>2812.5</v>
      </c>
      <c r="U131" s="134" t="s">
        <v>308</v>
      </c>
      <c r="V131" s="11">
        <f t="shared" ref="V131:V141" si="104">R131/$V$130</f>
        <v>4218.75</v>
      </c>
      <c r="W131" s="134" t="s">
        <v>339</v>
      </c>
    </row>
    <row r="132" spans="2:23" outlineLevel="1" x14ac:dyDescent="0.2">
      <c r="B132" s="163" t="s">
        <v>340</v>
      </c>
      <c r="C132" s="65">
        <v>8.5000000000000006E-2</v>
      </c>
      <c r="D132" s="32"/>
      <c r="E132" s="10">
        <v>10000</v>
      </c>
      <c r="F132" s="32">
        <f>($C132*F$84)*V130</f>
        <v>66438.125</v>
      </c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12">
        <f>SUM(D132:Q132)</f>
        <v>76438.125</v>
      </c>
      <c r="T132" s="11">
        <f t="shared" si="103"/>
        <v>25479.375</v>
      </c>
      <c r="U132" s="134" t="s">
        <v>308</v>
      </c>
      <c r="V132" s="11">
        <f t="shared" si="104"/>
        <v>38219.0625</v>
      </c>
      <c r="W132" s="134" t="s">
        <v>339</v>
      </c>
    </row>
    <row r="133" spans="2:23" outlineLevel="1" x14ac:dyDescent="0.2">
      <c r="B133" s="163" t="s">
        <v>341</v>
      </c>
      <c r="C133" s="10">
        <v>20000</v>
      </c>
      <c r="D133" s="32"/>
      <c r="E133" s="32"/>
      <c r="F133" s="32"/>
      <c r="G133" s="32">
        <f>$C133*G8</f>
        <v>40000</v>
      </c>
      <c r="H133" s="32">
        <f t="shared" ref="H133:Q133" si="105">$C133*H8</f>
        <v>0</v>
      </c>
      <c r="I133" s="32">
        <f t="shared" si="105"/>
        <v>0</v>
      </c>
      <c r="J133" s="32">
        <f t="shared" si="105"/>
        <v>0</v>
      </c>
      <c r="K133" s="32">
        <f t="shared" si="105"/>
        <v>0</v>
      </c>
      <c r="L133" s="32">
        <f t="shared" si="105"/>
        <v>0</v>
      </c>
      <c r="M133" s="32">
        <f t="shared" si="105"/>
        <v>0</v>
      </c>
      <c r="N133" s="32">
        <f t="shared" si="105"/>
        <v>0</v>
      </c>
      <c r="O133" s="32">
        <f t="shared" si="105"/>
        <v>0</v>
      </c>
      <c r="P133" s="32">
        <f t="shared" si="105"/>
        <v>0</v>
      </c>
      <c r="Q133" s="32">
        <f t="shared" si="105"/>
        <v>0</v>
      </c>
      <c r="R133" s="12">
        <f>SUM(D133:Q133)</f>
        <v>40000</v>
      </c>
      <c r="T133" s="11">
        <f t="shared" ref="T133" si="106">R133/$R$7</f>
        <v>4000</v>
      </c>
      <c r="U133" s="134" t="s">
        <v>308</v>
      </c>
      <c r="V133" s="11">
        <f>R133/$V$130</f>
        <v>20000</v>
      </c>
      <c r="W133" s="134" t="s">
        <v>339</v>
      </c>
    </row>
    <row r="134" spans="2:23" outlineLevel="1" x14ac:dyDescent="0.2">
      <c r="B134" s="163" t="s">
        <v>342</v>
      </c>
      <c r="C134" s="10">
        <v>6500</v>
      </c>
      <c r="D134" s="10"/>
      <c r="E134" s="67"/>
      <c r="F134" s="67">
        <f>SUM(F$8)*$C134</f>
        <v>6500</v>
      </c>
      <c r="G134" s="67">
        <f>SUM(G8)*$C134</f>
        <v>13000</v>
      </c>
      <c r="H134" s="67">
        <f t="shared" ref="H134:Q134" si="107">SUM(H8)*$C134</f>
        <v>0</v>
      </c>
      <c r="I134" s="67">
        <f t="shared" si="107"/>
        <v>0</v>
      </c>
      <c r="J134" s="67">
        <f t="shared" si="107"/>
        <v>0</v>
      </c>
      <c r="K134" s="67">
        <f t="shared" si="107"/>
        <v>0</v>
      </c>
      <c r="L134" s="67">
        <f t="shared" si="107"/>
        <v>0</v>
      </c>
      <c r="M134" s="67">
        <f t="shared" si="107"/>
        <v>0</v>
      </c>
      <c r="N134" s="67">
        <f t="shared" si="107"/>
        <v>0</v>
      </c>
      <c r="O134" s="67">
        <f t="shared" si="107"/>
        <v>0</v>
      </c>
      <c r="P134" s="67">
        <f t="shared" si="107"/>
        <v>0</v>
      </c>
      <c r="Q134" s="67">
        <f t="shared" si="107"/>
        <v>0</v>
      </c>
      <c r="R134" s="12">
        <f>SUM(D134:Q134)</f>
        <v>19500</v>
      </c>
      <c r="T134" s="11">
        <f t="shared" si="103"/>
        <v>6500</v>
      </c>
      <c r="U134" s="134" t="s">
        <v>308</v>
      </c>
      <c r="V134" s="11">
        <f t="shared" si="104"/>
        <v>9750</v>
      </c>
      <c r="W134" s="134" t="s">
        <v>339</v>
      </c>
    </row>
    <row r="135" spans="2:23" outlineLevel="1" x14ac:dyDescent="0.2">
      <c r="B135" s="163" t="s">
        <v>343</v>
      </c>
      <c r="C135" s="65">
        <v>0.05</v>
      </c>
      <c r="D135" s="32"/>
      <c r="E135" s="67">
        <f>$C135*G$85*0.5</f>
        <v>1250</v>
      </c>
      <c r="F135" s="67">
        <f>$C135*G$85</f>
        <v>2500</v>
      </c>
      <c r="G135" s="67">
        <f t="shared" ref="G135:P135" si="108">$C135*H85</f>
        <v>5000</v>
      </c>
      <c r="H135" s="67">
        <f t="shared" si="108"/>
        <v>0</v>
      </c>
      <c r="I135" s="67">
        <f t="shared" si="108"/>
        <v>0</v>
      </c>
      <c r="J135" s="67">
        <f t="shared" si="108"/>
        <v>0</v>
      </c>
      <c r="K135" s="67">
        <f t="shared" si="108"/>
        <v>0</v>
      </c>
      <c r="L135" s="67">
        <f t="shared" si="108"/>
        <v>0</v>
      </c>
      <c r="M135" s="67">
        <f t="shared" si="108"/>
        <v>0</v>
      </c>
      <c r="N135" s="67">
        <f t="shared" si="108"/>
        <v>0</v>
      </c>
      <c r="O135" s="67">
        <f t="shared" si="108"/>
        <v>0</v>
      </c>
      <c r="P135" s="67">
        <f t="shared" si="108"/>
        <v>0</v>
      </c>
      <c r="Q135" s="67"/>
      <c r="R135" s="12">
        <f>SUM(D135:Q135)</f>
        <v>8750</v>
      </c>
      <c r="T135" s="11">
        <f t="shared" si="103"/>
        <v>2916.6666666666665</v>
      </c>
      <c r="U135" s="134" t="s">
        <v>308</v>
      </c>
      <c r="V135" s="11">
        <f t="shared" si="104"/>
        <v>4375</v>
      </c>
      <c r="W135" s="134" t="s">
        <v>339</v>
      </c>
    </row>
    <row r="136" spans="2:23" outlineLevel="1" x14ac:dyDescent="0.2">
      <c r="B136" s="163" t="s">
        <v>344</v>
      </c>
      <c r="C136" s="10">
        <v>3500</v>
      </c>
      <c r="D136" s="32"/>
      <c r="E136" s="67"/>
      <c r="F136" s="67">
        <f>SUM(F$8)*$C136</f>
        <v>3500</v>
      </c>
      <c r="G136" s="67">
        <f t="shared" ref="G136:Q136" si="109">SUM(G8)*$C136</f>
        <v>7000</v>
      </c>
      <c r="H136" s="67">
        <f t="shared" si="109"/>
        <v>0</v>
      </c>
      <c r="I136" s="67">
        <f t="shared" si="109"/>
        <v>0</v>
      </c>
      <c r="J136" s="67">
        <f t="shared" si="109"/>
        <v>0</v>
      </c>
      <c r="K136" s="67">
        <f t="shared" si="109"/>
        <v>0</v>
      </c>
      <c r="L136" s="67">
        <f t="shared" si="109"/>
        <v>0</v>
      </c>
      <c r="M136" s="67">
        <f t="shared" si="109"/>
        <v>0</v>
      </c>
      <c r="N136" s="67">
        <f t="shared" si="109"/>
        <v>0</v>
      </c>
      <c r="O136" s="67">
        <f t="shared" si="109"/>
        <v>0</v>
      </c>
      <c r="P136" s="67">
        <f t="shared" si="109"/>
        <v>0</v>
      </c>
      <c r="Q136" s="67">
        <f t="shared" si="109"/>
        <v>0</v>
      </c>
      <c r="R136" s="12">
        <f>SUM(D136:P136)</f>
        <v>10500</v>
      </c>
      <c r="T136" s="11">
        <f t="shared" si="103"/>
        <v>3500</v>
      </c>
      <c r="U136" s="134" t="s">
        <v>308</v>
      </c>
      <c r="V136" s="11">
        <f t="shared" si="104"/>
        <v>5250</v>
      </c>
      <c r="W136" s="134" t="s">
        <v>339</v>
      </c>
    </row>
    <row r="137" spans="2:23" outlineLevel="1" x14ac:dyDescent="0.2">
      <c r="B137" s="163" t="s">
        <v>345</v>
      </c>
      <c r="C137" s="64">
        <v>3.5</v>
      </c>
      <c r="D137" s="10"/>
      <c r="E137" s="61"/>
      <c r="F137" s="61">
        <f>IFERROR((SUMPRODUCT($D$8,F$8))*$C137,0)</f>
        <v>8417.5</v>
      </c>
      <c r="G137" s="61">
        <f t="shared" ref="G137:Q137" si="110">IFERROR((SUMPRODUCT($D$8,G8))*$C137,0)</f>
        <v>16835</v>
      </c>
      <c r="H137" s="61">
        <f t="shared" si="110"/>
        <v>0</v>
      </c>
      <c r="I137" s="61">
        <f t="shared" si="110"/>
        <v>0</v>
      </c>
      <c r="J137" s="61">
        <f t="shared" si="110"/>
        <v>0</v>
      </c>
      <c r="K137" s="61">
        <f t="shared" si="110"/>
        <v>0</v>
      </c>
      <c r="L137" s="61">
        <f t="shared" si="110"/>
        <v>0</v>
      </c>
      <c r="M137" s="61">
        <f t="shared" si="110"/>
        <v>0</v>
      </c>
      <c r="N137" s="61">
        <f t="shared" si="110"/>
        <v>0</v>
      </c>
      <c r="O137" s="61">
        <f t="shared" si="110"/>
        <v>0</v>
      </c>
      <c r="P137" s="61">
        <f t="shared" si="110"/>
        <v>0</v>
      </c>
      <c r="Q137" s="61">
        <f t="shared" si="110"/>
        <v>0</v>
      </c>
      <c r="R137" s="12">
        <f>SUM(D137:P137)</f>
        <v>25252.5</v>
      </c>
      <c r="T137" s="11">
        <f t="shared" si="103"/>
        <v>8417.5</v>
      </c>
      <c r="U137" s="134" t="s">
        <v>308</v>
      </c>
      <c r="V137" s="11">
        <f t="shared" si="104"/>
        <v>12626.25</v>
      </c>
      <c r="W137" s="134" t="s">
        <v>339</v>
      </c>
    </row>
    <row r="138" spans="2:23" outlineLevel="1" x14ac:dyDescent="0.2">
      <c r="B138" s="163" t="s">
        <v>346</v>
      </c>
      <c r="C138" s="102">
        <v>6.4999999999999997E-3</v>
      </c>
      <c r="D138" s="10"/>
      <c r="E138" s="32"/>
      <c r="F138" s="32">
        <f>$C138*F$84</f>
        <v>2540.28125</v>
      </c>
      <c r="G138" s="32">
        <f t="shared" ref="G138:Q140" si="111">$C138*G$84</f>
        <v>12701.40625</v>
      </c>
      <c r="H138" s="32">
        <f t="shared" si="111"/>
        <v>15241.6875</v>
      </c>
      <c r="I138" s="32">
        <f t="shared" si="111"/>
        <v>0</v>
      </c>
      <c r="J138" s="32">
        <f t="shared" si="111"/>
        <v>0</v>
      </c>
      <c r="K138" s="32">
        <f t="shared" si="111"/>
        <v>0</v>
      </c>
      <c r="L138" s="32">
        <f t="shared" si="111"/>
        <v>0</v>
      </c>
      <c r="M138" s="32">
        <f t="shared" si="111"/>
        <v>0</v>
      </c>
      <c r="N138" s="32">
        <f t="shared" si="111"/>
        <v>0</v>
      </c>
      <c r="O138" s="32">
        <f t="shared" si="111"/>
        <v>0</v>
      </c>
      <c r="P138" s="32">
        <f t="shared" si="111"/>
        <v>0</v>
      </c>
      <c r="Q138" s="32">
        <f t="shared" si="111"/>
        <v>0</v>
      </c>
      <c r="R138" s="12">
        <f>SUM(D138:P138)</f>
        <v>30483.375</v>
      </c>
      <c r="T138" s="11">
        <f t="shared" si="103"/>
        <v>10161.125</v>
      </c>
      <c r="U138" s="134" t="s">
        <v>308</v>
      </c>
      <c r="V138" s="11">
        <f t="shared" si="104"/>
        <v>15241.6875</v>
      </c>
      <c r="W138" s="134" t="s">
        <v>339</v>
      </c>
    </row>
    <row r="139" spans="2:23" outlineLevel="1" x14ac:dyDescent="0.2">
      <c r="B139" s="163" t="s">
        <v>347</v>
      </c>
      <c r="C139" s="102">
        <v>5.0000000000000001E-3</v>
      </c>
      <c r="D139" s="10"/>
      <c r="E139" s="32"/>
      <c r="F139" s="32">
        <f>$C139*F$84</f>
        <v>1954.0625</v>
      </c>
      <c r="G139" s="32">
        <f t="shared" si="111"/>
        <v>9770.3125</v>
      </c>
      <c r="H139" s="32">
        <f>$C139*H$84</f>
        <v>11724.375</v>
      </c>
      <c r="I139" s="32">
        <f t="shared" si="111"/>
        <v>0</v>
      </c>
      <c r="J139" s="32">
        <f t="shared" si="111"/>
        <v>0</v>
      </c>
      <c r="K139" s="32">
        <f t="shared" si="111"/>
        <v>0</v>
      </c>
      <c r="L139" s="32">
        <f t="shared" si="111"/>
        <v>0</v>
      </c>
      <c r="M139" s="32">
        <f t="shared" si="111"/>
        <v>0</v>
      </c>
      <c r="N139" s="32">
        <f t="shared" si="111"/>
        <v>0</v>
      </c>
      <c r="O139" s="32">
        <f t="shared" si="111"/>
        <v>0</v>
      </c>
      <c r="P139" s="32">
        <f t="shared" si="111"/>
        <v>0</v>
      </c>
      <c r="Q139" s="32">
        <f t="shared" si="111"/>
        <v>0</v>
      </c>
      <c r="R139" s="12">
        <f>SUM(D139:P139)</f>
        <v>23448.75</v>
      </c>
      <c r="T139" s="11">
        <f t="shared" si="103"/>
        <v>7816.25</v>
      </c>
      <c r="U139" s="134" t="s">
        <v>308</v>
      </c>
      <c r="V139" s="11">
        <f t="shared" si="104"/>
        <v>11724.375</v>
      </c>
      <c r="W139" s="134" t="s">
        <v>339</v>
      </c>
    </row>
    <row r="140" spans="2:23" outlineLevel="1" x14ac:dyDescent="0.2">
      <c r="B140" s="163" t="s">
        <v>348</v>
      </c>
      <c r="C140" s="102">
        <v>5.0000000000000001E-3</v>
      </c>
      <c r="D140" s="10"/>
      <c r="E140" s="32"/>
      <c r="F140" s="32">
        <f>$C140*F$84</f>
        <v>1954.0625</v>
      </c>
      <c r="G140" s="32">
        <f t="shared" si="111"/>
        <v>9770.3125</v>
      </c>
      <c r="H140" s="32">
        <f t="shared" si="111"/>
        <v>11724.375</v>
      </c>
      <c r="I140" s="32">
        <f t="shared" si="111"/>
        <v>0</v>
      </c>
      <c r="J140" s="32">
        <f t="shared" si="111"/>
        <v>0</v>
      </c>
      <c r="K140" s="32">
        <f t="shared" si="111"/>
        <v>0</v>
      </c>
      <c r="L140" s="32">
        <f t="shared" si="111"/>
        <v>0</v>
      </c>
      <c r="M140" s="32">
        <f t="shared" si="111"/>
        <v>0</v>
      </c>
      <c r="N140" s="32">
        <f t="shared" si="111"/>
        <v>0</v>
      </c>
      <c r="O140" s="32">
        <f t="shared" si="111"/>
        <v>0</v>
      </c>
      <c r="P140" s="32">
        <f t="shared" si="111"/>
        <v>0</v>
      </c>
      <c r="Q140" s="32">
        <f t="shared" si="111"/>
        <v>0</v>
      </c>
      <c r="R140" s="12">
        <f>SUM(D140:P140)</f>
        <v>23448.75</v>
      </c>
      <c r="T140" s="11">
        <f t="shared" si="103"/>
        <v>7816.25</v>
      </c>
      <c r="U140" s="134" t="s">
        <v>308</v>
      </c>
      <c r="V140" s="11">
        <f t="shared" si="104"/>
        <v>11724.375</v>
      </c>
      <c r="W140" s="134" t="s">
        <v>339</v>
      </c>
    </row>
    <row r="141" spans="2:23" outlineLevel="1" x14ac:dyDescent="0.2">
      <c r="B141" s="168" t="s">
        <v>333</v>
      </c>
      <c r="C141" s="54">
        <v>0.05</v>
      </c>
      <c r="D141" s="22"/>
      <c r="E141" s="22">
        <f>SUM(E131:E140)*$C141</f>
        <v>609.375</v>
      </c>
      <c r="F141" s="22">
        <f>SUM(F131:F140)*$C141</f>
        <v>4783.9515625000004</v>
      </c>
      <c r="G141" s="22">
        <f t="shared" ref="G141:Q141" si="112">SUM(G131:G140)*$C141</f>
        <v>5922.6015625</v>
      </c>
      <c r="H141" s="22">
        <f t="shared" si="112"/>
        <v>1997.0218750000001</v>
      </c>
      <c r="I141" s="22">
        <f t="shared" si="112"/>
        <v>0</v>
      </c>
      <c r="J141" s="22">
        <f t="shared" si="112"/>
        <v>0</v>
      </c>
      <c r="K141" s="22">
        <f t="shared" si="112"/>
        <v>0</v>
      </c>
      <c r="L141" s="22">
        <f t="shared" si="112"/>
        <v>0</v>
      </c>
      <c r="M141" s="22">
        <f t="shared" si="112"/>
        <v>0</v>
      </c>
      <c r="N141" s="22">
        <f t="shared" si="112"/>
        <v>0</v>
      </c>
      <c r="O141" s="22">
        <f t="shared" si="112"/>
        <v>0</v>
      </c>
      <c r="P141" s="22">
        <f t="shared" si="112"/>
        <v>0</v>
      </c>
      <c r="Q141" s="22">
        <f t="shared" si="112"/>
        <v>0</v>
      </c>
      <c r="R141" s="21">
        <f>SUM(D141:Q141)</f>
        <v>13312.95</v>
      </c>
      <c r="T141" s="11">
        <f t="shared" si="103"/>
        <v>4437.6500000000005</v>
      </c>
      <c r="U141" s="134" t="s">
        <v>308</v>
      </c>
      <c r="V141" s="11">
        <f t="shared" si="104"/>
        <v>6656.4750000000004</v>
      </c>
      <c r="W141" s="134" t="s">
        <v>339</v>
      </c>
    </row>
    <row r="142" spans="2:23" x14ac:dyDescent="0.2">
      <c r="B142" s="49" t="str">
        <f>B130</f>
        <v>SOFT COSTS PROFESSIONALS: Small SFR</v>
      </c>
      <c r="C142" s="164"/>
      <c r="D142" s="51"/>
      <c r="E142" s="51">
        <f t="shared" ref="E142:P142" si="113">SUM(E130:E141)</f>
        <v>12796.875</v>
      </c>
      <c r="F142" s="51">
        <f t="shared" si="113"/>
        <v>100462.98281250001</v>
      </c>
      <c r="G142" s="51">
        <f t="shared" si="113"/>
        <v>124374.6328125</v>
      </c>
      <c r="H142" s="51">
        <f t="shared" si="113"/>
        <v>41937.459374999999</v>
      </c>
      <c r="I142" s="51">
        <f t="shared" si="113"/>
        <v>0</v>
      </c>
      <c r="J142" s="51">
        <f t="shared" si="113"/>
        <v>0</v>
      </c>
      <c r="K142" s="51">
        <f t="shared" si="113"/>
        <v>0</v>
      </c>
      <c r="L142" s="51">
        <f t="shared" si="113"/>
        <v>0</v>
      </c>
      <c r="M142" s="51">
        <f t="shared" si="113"/>
        <v>0</v>
      </c>
      <c r="N142" s="51">
        <f t="shared" si="113"/>
        <v>0</v>
      </c>
      <c r="O142" s="51">
        <f t="shared" si="113"/>
        <v>0</v>
      </c>
      <c r="P142" s="51">
        <f t="shared" si="113"/>
        <v>0</v>
      </c>
      <c r="Q142" s="51"/>
      <c r="R142" s="107">
        <f>SUM(D142:Q142)</f>
        <v>279571.95</v>
      </c>
      <c r="T142" s="133">
        <f t="shared" si="103"/>
        <v>93190.650000000009</v>
      </c>
      <c r="U142" s="134" t="s">
        <v>308</v>
      </c>
      <c r="V142" s="11">
        <f>R142/$V$130</f>
        <v>139785.97500000001</v>
      </c>
      <c r="W142" s="134" t="s">
        <v>339</v>
      </c>
    </row>
    <row r="143" spans="2:23" x14ac:dyDescent="0.2">
      <c r="T143" s="111" cm="1">
        <f t="array" ref="T143">R169/SUMPRODUCT(D8*F24:Q24*F$8:Q$8)</f>
        <v>5.5148899562692665E-2</v>
      </c>
      <c r="U143" t="s">
        <v>299</v>
      </c>
    </row>
    <row r="144" spans="2:23" outlineLevel="1" x14ac:dyDescent="0.2">
      <c r="B144" s="81" t="s">
        <v>350</v>
      </c>
      <c r="R144" s="12"/>
      <c r="V144">
        <v>2</v>
      </c>
      <c r="W144" t="s">
        <v>336</v>
      </c>
    </row>
    <row r="145" spans="2:24" outlineLevel="1" x14ac:dyDescent="0.2">
      <c r="B145" s="163" t="s">
        <v>338</v>
      </c>
      <c r="C145" s="65">
        <v>0.05</v>
      </c>
      <c r="D145" s="32"/>
      <c r="E145" s="32">
        <f t="shared" ref="E145:F145" si="114">$C145*F$91</f>
        <v>2250</v>
      </c>
      <c r="F145" s="32">
        <f t="shared" si="114"/>
        <v>9750</v>
      </c>
      <c r="G145" s="32">
        <f>$C145*H$91</f>
        <v>7500</v>
      </c>
      <c r="H145" s="32">
        <f t="shared" ref="H145:P145" si="115">$C145*I$91</f>
        <v>10500</v>
      </c>
      <c r="I145" s="32">
        <f t="shared" si="115"/>
        <v>3000</v>
      </c>
      <c r="J145" s="32">
        <f t="shared" si="115"/>
        <v>0</v>
      </c>
      <c r="K145" s="32">
        <f t="shared" si="115"/>
        <v>0</v>
      </c>
      <c r="L145" s="32">
        <f t="shared" si="115"/>
        <v>0</v>
      </c>
      <c r="M145" s="32">
        <f t="shared" si="115"/>
        <v>0</v>
      </c>
      <c r="N145" s="32">
        <f t="shared" si="115"/>
        <v>0</v>
      </c>
      <c r="O145" s="32">
        <f t="shared" si="115"/>
        <v>0</v>
      </c>
      <c r="P145" s="32">
        <f t="shared" si="115"/>
        <v>0</v>
      </c>
      <c r="Q145" s="32"/>
      <c r="R145" s="12">
        <f>SUM(D145:Q145)</f>
        <v>33000</v>
      </c>
      <c r="T145" s="11">
        <f t="shared" ref="T145:T156" si="116">R145/$R$9</f>
        <v>1500</v>
      </c>
      <c r="U145" s="134" t="s">
        <v>308</v>
      </c>
      <c r="V145" s="11">
        <f t="shared" ref="V145:V155" si="117">R145/$V$144</f>
        <v>16500</v>
      </c>
      <c r="W145" s="134" t="s">
        <v>339</v>
      </c>
    </row>
    <row r="146" spans="2:24" outlineLevel="1" x14ac:dyDescent="0.2">
      <c r="B146" s="163" t="s">
        <v>340</v>
      </c>
      <c r="C146" s="90">
        <v>8.5000000000000006E-2</v>
      </c>
      <c r="D146" s="32"/>
      <c r="E146" s="10">
        <v>10000</v>
      </c>
      <c r="F146" s="32">
        <f>($C146*F$92)*V144</f>
        <v>93206.325000000012</v>
      </c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12">
        <f>SUM(D146:Q146)</f>
        <v>103206.32500000001</v>
      </c>
      <c r="T146" s="11">
        <f t="shared" si="116"/>
        <v>4691.1965909090914</v>
      </c>
      <c r="U146" s="134" t="s">
        <v>308</v>
      </c>
      <c r="V146" s="11">
        <f t="shared" si="117"/>
        <v>51603.162500000006</v>
      </c>
      <c r="W146" s="134" t="s">
        <v>339</v>
      </c>
    </row>
    <row r="147" spans="2:24" outlineLevel="1" x14ac:dyDescent="0.2">
      <c r="B147" s="163" t="s">
        <v>341</v>
      </c>
      <c r="C147" s="10">
        <v>10000</v>
      </c>
      <c r="D147" s="32"/>
      <c r="E147" s="32"/>
      <c r="F147" s="32"/>
      <c r="G147" s="32">
        <f>$C147*G9</f>
        <v>80000</v>
      </c>
      <c r="H147" s="32">
        <f t="shared" ref="H147:Q147" si="118">$C147*H9</f>
        <v>40000</v>
      </c>
      <c r="I147" s="32">
        <f t="shared" si="118"/>
        <v>80000</v>
      </c>
      <c r="J147" s="32">
        <f t="shared" si="118"/>
        <v>0</v>
      </c>
      <c r="K147" s="32">
        <f t="shared" si="118"/>
        <v>0</v>
      </c>
      <c r="L147" s="32">
        <f t="shared" si="118"/>
        <v>0</v>
      </c>
      <c r="M147" s="32">
        <f t="shared" si="118"/>
        <v>0</v>
      </c>
      <c r="N147" s="32">
        <f t="shared" si="118"/>
        <v>0</v>
      </c>
      <c r="O147" s="32">
        <f t="shared" si="118"/>
        <v>0</v>
      </c>
      <c r="P147" s="32">
        <f t="shared" si="118"/>
        <v>0</v>
      </c>
      <c r="Q147" s="32">
        <f t="shared" si="118"/>
        <v>0</v>
      </c>
      <c r="R147" s="12">
        <f>SUM(D147:Q147)</f>
        <v>200000</v>
      </c>
      <c r="T147" s="11">
        <f t="shared" ref="T147" si="119">R147/$R$7</f>
        <v>20000</v>
      </c>
      <c r="U147" s="134" t="s">
        <v>308</v>
      </c>
      <c r="V147" s="11">
        <f>R147/$V$144</f>
        <v>100000</v>
      </c>
      <c r="W147" s="134" t="s">
        <v>339</v>
      </c>
    </row>
    <row r="148" spans="2:24" outlineLevel="1" x14ac:dyDescent="0.2">
      <c r="B148" s="163" t="s">
        <v>342</v>
      </c>
      <c r="C148" s="25">
        <v>4500</v>
      </c>
      <c r="D148" s="10"/>
      <c r="E148" s="67"/>
      <c r="F148" s="67">
        <f>SUM(F$9)*$C148</f>
        <v>9000</v>
      </c>
      <c r="G148" s="67">
        <f>SUM(G$9)*$C148</f>
        <v>36000</v>
      </c>
      <c r="H148" s="67">
        <f t="shared" ref="H148:Q148" si="120">SUM(H$9)*$C148</f>
        <v>18000</v>
      </c>
      <c r="I148" s="67">
        <f t="shared" si="120"/>
        <v>36000</v>
      </c>
      <c r="J148" s="67">
        <f t="shared" si="120"/>
        <v>0</v>
      </c>
      <c r="K148" s="67">
        <f t="shared" si="120"/>
        <v>0</v>
      </c>
      <c r="L148" s="67">
        <f t="shared" si="120"/>
        <v>0</v>
      </c>
      <c r="M148" s="67">
        <f t="shared" si="120"/>
        <v>0</v>
      </c>
      <c r="N148" s="67">
        <f t="shared" si="120"/>
        <v>0</v>
      </c>
      <c r="O148" s="67">
        <f t="shared" si="120"/>
        <v>0</v>
      </c>
      <c r="P148" s="67">
        <f t="shared" si="120"/>
        <v>0</v>
      </c>
      <c r="Q148" s="67">
        <f t="shared" si="120"/>
        <v>0</v>
      </c>
      <c r="R148" s="12">
        <f>SUM(D148:Q148)</f>
        <v>99000</v>
      </c>
      <c r="T148" s="11">
        <f t="shared" si="116"/>
        <v>4500</v>
      </c>
      <c r="U148" s="134" t="s">
        <v>308</v>
      </c>
      <c r="V148" s="11">
        <f t="shared" si="117"/>
        <v>49500</v>
      </c>
      <c r="W148" s="134" t="s">
        <v>339</v>
      </c>
    </row>
    <row r="149" spans="2:24" outlineLevel="1" x14ac:dyDescent="0.2">
      <c r="B149" s="163" t="s">
        <v>343</v>
      </c>
      <c r="C149" s="65">
        <v>0.05</v>
      </c>
      <c r="D149" s="32"/>
      <c r="E149" s="67">
        <f>$C149*G$93*0.5</f>
        <v>2000</v>
      </c>
      <c r="F149" s="67">
        <f t="shared" ref="F149:P149" si="121">$C149*G$93</f>
        <v>4000</v>
      </c>
      <c r="G149" s="67">
        <f t="shared" si="121"/>
        <v>16000</v>
      </c>
      <c r="H149" s="67">
        <f t="shared" si="121"/>
        <v>8000</v>
      </c>
      <c r="I149" s="67">
        <f t="shared" si="121"/>
        <v>16000</v>
      </c>
      <c r="J149" s="67">
        <f t="shared" si="121"/>
        <v>0</v>
      </c>
      <c r="K149" s="67">
        <f t="shared" si="121"/>
        <v>0</v>
      </c>
      <c r="L149" s="67">
        <f t="shared" si="121"/>
        <v>0</v>
      </c>
      <c r="M149" s="67">
        <f t="shared" si="121"/>
        <v>0</v>
      </c>
      <c r="N149" s="67">
        <f t="shared" si="121"/>
        <v>0</v>
      </c>
      <c r="O149" s="67">
        <f t="shared" si="121"/>
        <v>0</v>
      </c>
      <c r="P149" s="67">
        <f t="shared" si="121"/>
        <v>0</v>
      </c>
      <c r="Q149" s="67"/>
      <c r="R149" s="12">
        <f>SUM(D149:Q149)</f>
        <v>46000</v>
      </c>
      <c r="T149" s="11">
        <f t="shared" si="116"/>
        <v>2090.909090909091</v>
      </c>
      <c r="U149" s="134" t="s">
        <v>308</v>
      </c>
      <c r="V149" s="11">
        <f t="shared" si="117"/>
        <v>23000</v>
      </c>
      <c r="W149" s="134" t="s">
        <v>339</v>
      </c>
    </row>
    <row r="150" spans="2:24" outlineLevel="1" x14ac:dyDescent="0.2">
      <c r="B150" s="163" t="s">
        <v>344</v>
      </c>
      <c r="C150" s="10">
        <v>3500</v>
      </c>
      <c r="D150" s="32"/>
      <c r="E150" s="67"/>
      <c r="F150" s="67">
        <f>SUM(E$9)*$C150</f>
        <v>0</v>
      </c>
      <c r="G150" s="67">
        <f t="shared" ref="G150:Q150" si="122">SUM(F$9)*$C150</f>
        <v>7000</v>
      </c>
      <c r="H150" s="67">
        <f t="shared" si="122"/>
        <v>28000</v>
      </c>
      <c r="I150" s="67">
        <f t="shared" si="122"/>
        <v>14000</v>
      </c>
      <c r="J150" s="67">
        <f t="shared" si="122"/>
        <v>28000</v>
      </c>
      <c r="K150" s="67">
        <f t="shared" si="122"/>
        <v>0</v>
      </c>
      <c r="L150" s="67">
        <f t="shared" si="122"/>
        <v>0</v>
      </c>
      <c r="M150" s="67">
        <f t="shared" si="122"/>
        <v>0</v>
      </c>
      <c r="N150" s="67">
        <f t="shared" si="122"/>
        <v>0</v>
      </c>
      <c r="O150" s="67">
        <f t="shared" si="122"/>
        <v>0</v>
      </c>
      <c r="P150" s="67">
        <f t="shared" si="122"/>
        <v>0</v>
      </c>
      <c r="Q150" s="67">
        <f t="shared" si="122"/>
        <v>0</v>
      </c>
      <c r="R150" s="12">
        <f>SUM(D150:P150)</f>
        <v>77000</v>
      </c>
      <c r="T150" s="11">
        <f t="shared" si="116"/>
        <v>3500</v>
      </c>
      <c r="U150" s="134" t="s">
        <v>308</v>
      </c>
      <c r="V150" s="11">
        <f t="shared" si="117"/>
        <v>38500</v>
      </c>
      <c r="W150" s="134" t="s">
        <v>339</v>
      </c>
    </row>
    <row r="151" spans="2:24" outlineLevel="1" x14ac:dyDescent="0.2">
      <c r="B151" s="163" t="s">
        <v>345</v>
      </c>
      <c r="C151" s="64">
        <v>2.75</v>
      </c>
      <c r="D151" s="10"/>
      <c r="E151" s="61"/>
      <c r="F151" s="61">
        <f>IFERROR((SUMPRODUCT($D$9,F$9))*$C151,0)</f>
        <v>9806.5</v>
      </c>
      <c r="G151" s="61">
        <f t="shared" ref="G151:Q151" si="123">IFERROR((SUMPRODUCT($D$9,G$9))*$C151,0)</f>
        <v>39226</v>
      </c>
      <c r="H151" s="61">
        <f t="shared" si="123"/>
        <v>19613</v>
      </c>
      <c r="I151" s="61">
        <f t="shared" si="123"/>
        <v>39226</v>
      </c>
      <c r="J151" s="61">
        <f t="shared" si="123"/>
        <v>0</v>
      </c>
      <c r="K151" s="61">
        <f t="shared" si="123"/>
        <v>0</v>
      </c>
      <c r="L151" s="61">
        <f t="shared" si="123"/>
        <v>0</v>
      </c>
      <c r="M151" s="61">
        <f t="shared" si="123"/>
        <v>0</v>
      </c>
      <c r="N151" s="61">
        <f t="shared" si="123"/>
        <v>0</v>
      </c>
      <c r="O151" s="61">
        <f t="shared" si="123"/>
        <v>0</v>
      </c>
      <c r="P151" s="61">
        <f t="shared" si="123"/>
        <v>0</v>
      </c>
      <c r="Q151" s="61">
        <f t="shared" si="123"/>
        <v>0</v>
      </c>
      <c r="R151" s="12">
        <f>SUM(D151:P151)</f>
        <v>107871.5</v>
      </c>
      <c r="T151" s="11">
        <f t="shared" si="116"/>
        <v>4903.25</v>
      </c>
      <c r="U151" s="134" t="s">
        <v>308</v>
      </c>
      <c r="V151" s="11">
        <f t="shared" si="117"/>
        <v>53935.75</v>
      </c>
      <c r="W151" s="134" t="s">
        <v>339</v>
      </c>
      <c r="X151" s="226" t="e">
        <f>R151/#REF!</f>
        <v>#REF!</v>
      </c>
    </row>
    <row r="152" spans="2:24" outlineLevel="1" x14ac:dyDescent="0.2">
      <c r="B152" s="163" t="s">
        <v>346</v>
      </c>
      <c r="C152" s="102">
        <v>6.4999999999999997E-3</v>
      </c>
      <c r="D152" s="10"/>
      <c r="E152" s="32"/>
      <c r="F152" s="32">
        <f>$C152*F$92</f>
        <v>3563.7712499999998</v>
      </c>
      <c r="G152" s="32">
        <f t="shared" ref="G152:Q154" si="124">$C152*G$92</f>
        <v>24946.39875</v>
      </c>
      <c r="H152" s="32">
        <f t="shared" si="124"/>
        <v>49892.797500000001</v>
      </c>
      <c r="I152" s="32">
        <f t="shared" si="124"/>
        <v>35637.712500000001</v>
      </c>
      <c r="J152" s="32">
        <f t="shared" si="124"/>
        <v>42765.254999999997</v>
      </c>
      <c r="K152" s="32">
        <f t="shared" si="124"/>
        <v>0</v>
      </c>
      <c r="L152" s="32">
        <f t="shared" si="124"/>
        <v>0</v>
      </c>
      <c r="M152" s="32">
        <f t="shared" si="124"/>
        <v>0</v>
      </c>
      <c r="N152" s="32">
        <f t="shared" si="124"/>
        <v>0</v>
      </c>
      <c r="O152" s="32">
        <f t="shared" si="124"/>
        <v>0</v>
      </c>
      <c r="P152" s="32">
        <f t="shared" si="124"/>
        <v>0</v>
      </c>
      <c r="Q152" s="32">
        <f t="shared" si="124"/>
        <v>0</v>
      </c>
      <c r="R152" s="12">
        <f>SUM(D152:P152)</f>
        <v>156805.935</v>
      </c>
      <c r="T152" s="11">
        <f t="shared" si="116"/>
        <v>7127.5424999999996</v>
      </c>
      <c r="U152" s="134" t="s">
        <v>308</v>
      </c>
      <c r="V152" s="11">
        <f t="shared" si="117"/>
        <v>78402.967499999999</v>
      </c>
      <c r="W152" s="134" t="s">
        <v>339</v>
      </c>
    </row>
    <row r="153" spans="2:24" outlineLevel="1" x14ac:dyDescent="0.2">
      <c r="B153" s="163" t="s">
        <v>347</v>
      </c>
      <c r="C153" s="102">
        <v>5.0000000000000001E-3</v>
      </c>
      <c r="D153" s="10"/>
      <c r="E153" s="32"/>
      <c r="F153" s="32">
        <f>$C153*F$92</f>
        <v>2741.3625000000002</v>
      </c>
      <c r="G153" s="32">
        <f t="shared" si="124"/>
        <v>19189.537500000002</v>
      </c>
      <c r="H153" s="32">
        <f t="shared" si="124"/>
        <v>38379.075000000004</v>
      </c>
      <c r="I153" s="32">
        <f t="shared" si="124"/>
        <v>27413.625</v>
      </c>
      <c r="J153" s="32">
        <f t="shared" si="124"/>
        <v>32896.35</v>
      </c>
      <c r="K153" s="32">
        <f t="shared" si="124"/>
        <v>0</v>
      </c>
      <c r="L153" s="32">
        <f t="shared" si="124"/>
        <v>0</v>
      </c>
      <c r="M153" s="32">
        <f t="shared" si="124"/>
        <v>0</v>
      </c>
      <c r="N153" s="32">
        <f t="shared" si="124"/>
        <v>0</v>
      </c>
      <c r="O153" s="32">
        <f t="shared" si="124"/>
        <v>0</v>
      </c>
      <c r="P153" s="32">
        <f t="shared" si="124"/>
        <v>0</v>
      </c>
      <c r="Q153" s="32">
        <f t="shared" si="124"/>
        <v>0</v>
      </c>
      <c r="R153" s="12">
        <f>SUM(D153:P153)</f>
        <v>120619.95000000001</v>
      </c>
      <c r="T153" s="11">
        <f t="shared" si="116"/>
        <v>5482.7250000000004</v>
      </c>
      <c r="U153" s="134" t="s">
        <v>308</v>
      </c>
      <c r="V153" s="11">
        <f t="shared" si="117"/>
        <v>60309.975000000006</v>
      </c>
      <c r="W153" s="134" t="s">
        <v>339</v>
      </c>
    </row>
    <row r="154" spans="2:24" outlineLevel="1" x14ac:dyDescent="0.2">
      <c r="B154" s="163" t="s">
        <v>348</v>
      </c>
      <c r="C154" s="102">
        <v>5.0000000000000001E-3</v>
      </c>
      <c r="D154" s="10"/>
      <c r="E154" s="32"/>
      <c r="F154" s="32">
        <f>$C154*F$92</f>
        <v>2741.3625000000002</v>
      </c>
      <c r="G154" s="32">
        <f t="shared" si="124"/>
        <v>19189.537500000002</v>
      </c>
      <c r="H154" s="32">
        <f t="shared" si="124"/>
        <v>38379.075000000004</v>
      </c>
      <c r="I154" s="32">
        <f t="shared" si="124"/>
        <v>27413.625</v>
      </c>
      <c r="J154" s="32">
        <f t="shared" si="124"/>
        <v>32896.35</v>
      </c>
      <c r="K154" s="32">
        <f t="shared" si="124"/>
        <v>0</v>
      </c>
      <c r="L154" s="32">
        <f t="shared" si="124"/>
        <v>0</v>
      </c>
      <c r="M154" s="32">
        <f t="shared" si="124"/>
        <v>0</v>
      </c>
      <c r="N154" s="32">
        <f t="shared" si="124"/>
        <v>0</v>
      </c>
      <c r="O154" s="32">
        <f t="shared" si="124"/>
        <v>0</v>
      </c>
      <c r="P154" s="32">
        <f t="shared" si="124"/>
        <v>0</v>
      </c>
      <c r="Q154" s="32">
        <f t="shared" si="124"/>
        <v>0</v>
      </c>
      <c r="R154" s="12">
        <f>SUM(D154:P154)</f>
        <v>120619.95000000001</v>
      </c>
      <c r="T154" s="11">
        <f t="shared" si="116"/>
        <v>5482.7250000000004</v>
      </c>
      <c r="U154" s="134" t="s">
        <v>308</v>
      </c>
      <c r="V154" s="11">
        <f t="shared" si="117"/>
        <v>60309.975000000006</v>
      </c>
      <c r="W154" s="134" t="s">
        <v>339</v>
      </c>
    </row>
    <row r="155" spans="2:24" outlineLevel="1" x14ac:dyDescent="0.2">
      <c r="B155" s="168" t="s">
        <v>333</v>
      </c>
      <c r="C155" s="54">
        <v>0.05</v>
      </c>
      <c r="D155" s="22"/>
      <c r="E155" s="22">
        <f>SUM(E145:E154)*$C155</f>
        <v>712.5</v>
      </c>
      <c r="F155" s="22">
        <f>SUM(F145:F154)*$C155</f>
        <v>6740.4660625000006</v>
      </c>
      <c r="G155" s="22">
        <f t="shared" ref="G155" si="125">SUM(G145:G154)*$C155</f>
        <v>12452.5736875</v>
      </c>
      <c r="H155" s="22">
        <f t="shared" ref="H155" si="126">SUM(H145:H154)*$C155</f>
        <v>12538.197375000002</v>
      </c>
      <c r="I155" s="22">
        <f t="shared" ref="I155" si="127">SUM(I145:I154)*$C155</f>
        <v>13934.548125000001</v>
      </c>
      <c r="J155" s="22">
        <f t="shared" ref="J155" si="128">SUM(J145:J154)*$C155</f>
        <v>6827.897750000001</v>
      </c>
      <c r="K155" s="22">
        <f t="shared" ref="K155" si="129">SUM(K145:K154)*$C155</f>
        <v>0</v>
      </c>
      <c r="L155" s="22">
        <f t="shared" ref="L155" si="130">SUM(L145:L154)*$C155</f>
        <v>0</v>
      </c>
      <c r="M155" s="22">
        <f t="shared" ref="M155" si="131">SUM(M145:M154)*$C155</f>
        <v>0</v>
      </c>
      <c r="N155" s="22">
        <f t="shared" ref="N155" si="132">SUM(N145:N154)*$C155</f>
        <v>0</v>
      </c>
      <c r="O155" s="22">
        <f t="shared" ref="O155" si="133">SUM(O145:O154)*$C155</f>
        <v>0</v>
      </c>
      <c r="P155" s="22">
        <f t="shared" ref="P155" si="134">SUM(P145:P154)*$C155</f>
        <v>0</v>
      </c>
      <c r="Q155" s="22">
        <f t="shared" ref="Q155" si="135">SUM(Q145:Q154)*$C155</f>
        <v>0</v>
      </c>
      <c r="R155" s="21">
        <f>SUM(D155:Q155)</f>
        <v>53206.183000000005</v>
      </c>
      <c r="T155" s="11">
        <f t="shared" si="116"/>
        <v>2418.4628636363636</v>
      </c>
      <c r="U155" s="134" t="s">
        <v>308</v>
      </c>
      <c r="V155" s="11">
        <f t="shared" si="117"/>
        <v>26603.091500000002</v>
      </c>
      <c r="W155" s="134" t="s">
        <v>339</v>
      </c>
    </row>
    <row r="156" spans="2:24" x14ac:dyDescent="0.2">
      <c r="B156" s="49" t="str">
        <f>B144</f>
        <v>SOFT COSTS PROFESSIONALS: Duplex Small</v>
      </c>
      <c r="C156" s="164"/>
      <c r="D156" s="51"/>
      <c r="E156" s="51">
        <f t="shared" ref="E156:P156" si="136">SUM(E144:E155)</f>
        <v>14962.5</v>
      </c>
      <c r="F156" s="51">
        <f t="shared" si="136"/>
        <v>141549.7873125</v>
      </c>
      <c r="G156" s="51">
        <f t="shared" si="136"/>
        <v>261504.0474375</v>
      </c>
      <c r="H156" s="51">
        <f t="shared" si="136"/>
        <v>263302.144875</v>
      </c>
      <c r="I156" s="51">
        <f t="shared" si="136"/>
        <v>292625.510625</v>
      </c>
      <c r="J156" s="51">
        <f t="shared" si="136"/>
        <v>143385.85275000002</v>
      </c>
      <c r="K156" s="51">
        <f t="shared" si="136"/>
        <v>0</v>
      </c>
      <c r="L156" s="51">
        <f t="shared" si="136"/>
        <v>0</v>
      </c>
      <c r="M156" s="51">
        <f t="shared" si="136"/>
        <v>0</v>
      </c>
      <c r="N156" s="51">
        <f t="shared" si="136"/>
        <v>0</v>
      </c>
      <c r="O156" s="51">
        <f t="shared" si="136"/>
        <v>0</v>
      </c>
      <c r="P156" s="51">
        <f t="shared" si="136"/>
        <v>0</v>
      </c>
      <c r="Q156" s="51"/>
      <c r="R156" s="107">
        <f>SUM(D156:Q156)</f>
        <v>1117329.8430000001</v>
      </c>
      <c r="T156" s="133">
        <f t="shared" si="116"/>
        <v>50787.720136363641</v>
      </c>
      <c r="U156" s="134" t="s">
        <v>308</v>
      </c>
      <c r="V156" s="11">
        <f>R156/$V$144</f>
        <v>558664.92150000005</v>
      </c>
      <c r="W156" s="134" t="s">
        <v>339</v>
      </c>
    </row>
    <row r="157" spans="2:24" x14ac:dyDescent="0.2">
      <c r="B157" s="3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106"/>
      <c r="T157" s="111" cm="1">
        <f t="array" ref="T157">R156/SUMPRODUCT(D9*F25:Q25*F$9:Q$9)</f>
        <v>1.935658158871726E-2</v>
      </c>
      <c r="U157" t="s">
        <v>299</v>
      </c>
    </row>
    <row r="158" spans="2:24" outlineLevel="1" x14ac:dyDescent="0.2">
      <c r="B158" s="81" t="s">
        <v>351</v>
      </c>
      <c r="R158" s="12"/>
      <c r="T158" s="111"/>
      <c r="V158">
        <v>1</v>
      </c>
      <c r="W158" t="s">
        <v>336</v>
      </c>
    </row>
    <row r="159" spans="2:24" outlineLevel="1" x14ac:dyDescent="0.2">
      <c r="B159" s="163" t="s">
        <v>338</v>
      </c>
      <c r="C159" s="65">
        <v>0.1</v>
      </c>
      <c r="D159" s="32"/>
      <c r="E159" s="32"/>
      <c r="F159" s="67">
        <f t="shared" ref="F159:G159" si="137">$C159*G$99</f>
        <v>5250</v>
      </c>
      <c r="G159" s="67">
        <f t="shared" si="137"/>
        <v>7000</v>
      </c>
      <c r="H159" s="67">
        <f>$C159*I$99</f>
        <v>1750</v>
      </c>
      <c r="I159" s="67">
        <f>$C159*J$99</f>
        <v>0</v>
      </c>
      <c r="J159" s="67">
        <f t="shared" ref="J159:P159" si="138">$C159*K$99</f>
        <v>0</v>
      </c>
      <c r="K159" s="67">
        <f t="shared" si="138"/>
        <v>0</v>
      </c>
      <c r="L159" s="67">
        <f t="shared" si="138"/>
        <v>0</v>
      </c>
      <c r="M159" s="67">
        <f t="shared" si="138"/>
        <v>0</v>
      </c>
      <c r="N159" s="67">
        <f t="shared" si="138"/>
        <v>0</v>
      </c>
      <c r="O159" s="67">
        <f t="shared" si="138"/>
        <v>0</v>
      </c>
      <c r="P159" s="67">
        <f t="shared" si="138"/>
        <v>0</v>
      </c>
      <c r="Q159" s="67"/>
      <c r="R159" s="12">
        <f>SUM(D159:Q159)</f>
        <v>14000</v>
      </c>
      <c r="T159" s="11">
        <f t="shared" ref="T159:T169" si="139">R159/$R$10</f>
        <v>1750</v>
      </c>
      <c r="U159" s="134" t="s">
        <v>308</v>
      </c>
      <c r="V159" s="11">
        <f t="shared" ref="V159:V168" si="140">R159/$V$158</f>
        <v>14000</v>
      </c>
      <c r="W159" s="134" t="s">
        <v>339</v>
      </c>
    </row>
    <row r="160" spans="2:24" outlineLevel="1" x14ac:dyDescent="0.2">
      <c r="B160" s="163" t="s">
        <v>340</v>
      </c>
      <c r="C160" s="65">
        <v>0.05</v>
      </c>
      <c r="D160" s="32"/>
      <c r="E160" s="32"/>
      <c r="F160" s="67">
        <f>$C160*H$101*0.5</f>
        <v>74250</v>
      </c>
      <c r="G160" s="67">
        <f>$C160*H$101</f>
        <v>148500</v>
      </c>
      <c r="H160" s="67">
        <f>$C160*I$101</f>
        <v>111375</v>
      </c>
      <c r="J160" s="67">
        <f t="shared" ref="J160:P160" si="141">$C160*J$101</f>
        <v>0</v>
      </c>
      <c r="K160" s="67">
        <f t="shared" si="141"/>
        <v>0</v>
      </c>
      <c r="L160" s="67">
        <f t="shared" si="141"/>
        <v>0</v>
      </c>
      <c r="M160" s="67">
        <f t="shared" si="141"/>
        <v>0</v>
      </c>
      <c r="N160" s="67">
        <f t="shared" si="141"/>
        <v>0</v>
      </c>
      <c r="O160" s="67">
        <f t="shared" si="141"/>
        <v>0</v>
      </c>
      <c r="P160" s="67">
        <f t="shared" si="141"/>
        <v>0</v>
      </c>
      <c r="Q160" s="67"/>
      <c r="R160" s="12">
        <f>SUM(D160:Q160)</f>
        <v>334125</v>
      </c>
      <c r="T160" s="11">
        <f t="shared" si="139"/>
        <v>41765.625</v>
      </c>
      <c r="U160" s="134" t="s">
        <v>308</v>
      </c>
      <c r="V160" s="11">
        <f t="shared" si="140"/>
        <v>334125</v>
      </c>
      <c r="W160" s="134" t="s">
        <v>339</v>
      </c>
    </row>
    <row r="161" spans="1:23" outlineLevel="1" x14ac:dyDescent="0.2">
      <c r="B161" s="163" t="s">
        <v>342</v>
      </c>
      <c r="C161" s="10">
        <v>5000</v>
      </c>
      <c r="D161" s="10"/>
      <c r="E161" s="32"/>
      <c r="F161" s="67">
        <f>SUM(F$10)*$C161</f>
        <v>0</v>
      </c>
      <c r="G161" s="67">
        <f t="shared" ref="G161:P161" si="142">SUM(G$10)*$C161</f>
        <v>20000</v>
      </c>
      <c r="H161" s="67">
        <f t="shared" si="142"/>
        <v>20000</v>
      </c>
      <c r="I161" s="67">
        <f>SUM(I$10)*$C161</f>
        <v>0</v>
      </c>
      <c r="J161" s="67">
        <f t="shared" si="142"/>
        <v>0</v>
      </c>
      <c r="K161" s="67">
        <f t="shared" si="142"/>
        <v>0</v>
      </c>
      <c r="L161" s="67">
        <f t="shared" si="142"/>
        <v>0</v>
      </c>
      <c r="M161" s="67">
        <f t="shared" si="142"/>
        <v>0</v>
      </c>
      <c r="N161" s="67">
        <f t="shared" si="142"/>
        <v>0</v>
      </c>
      <c r="O161" s="67">
        <f t="shared" si="142"/>
        <v>0</v>
      </c>
      <c r="P161" s="67">
        <f t="shared" si="142"/>
        <v>0</v>
      </c>
      <c r="Q161" s="67"/>
      <c r="R161" s="12">
        <f>SUM(D161:Q161)</f>
        <v>40000</v>
      </c>
      <c r="T161" s="11">
        <f t="shared" si="139"/>
        <v>5000</v>
      </c>
      <c r="U161" s="134" t="s">
        <v>308</v>
      </c>
      <c r="V161" s="11">
        <f t="shared" si="140"/>
        <v>40000</v>
      </c>
      <c r="W161" s="134" t="s">
        <v>339</v>
      </c>
    </row>
    <row r="162" spans="1:23" outlineLevel="1" x14ac:dyDescent="0.2">
      <c r="B162" s="163" t="s">
        <v>343</v>
      </c>
      <c r="C162" s="65">
        <v>0.1</v>
      </c>
      <c r="D162" s="32"/>
      <c r="E162" s="32"/>
      <c r="F162" s="67">
        <f>$C162*G$102</f>
        <v>0</v>
      </c>
      <c r="G162" s="67">
        <f>$C162*H$102</f>
        <v>6000</v>
      </c>
      <c r="H162" s="67">
        <f>$C162*$R102*0.5</f>
        <v>6000</v>
      </c>
      <c r="I162" s="67">
        <f>$C162*$R102*0.5</f>
        <v>6000</v>
      </c>
      <c r="J162" s="67"/>
      <c r="K162" s="67"/>
      <c r="L162" s="67"/>
      <c r="M162" s="67"/>
      <c r="N162" s="67"/>
      <c r="O162" s="67">
        <f t="shared" ref="O162:P162" si="143">$C162*P$102</f>
        <v>0</v>
      </c>
      <c r="P162" s="67">
        <f t="shared" si="143"/>
        <v>0</v>
      </c>
      <c r="Q162" s="67"/>
      <c r="R162" s="12">
        <f>SUM(D162:Q162)</f>
        <v>18000</v>
      </c>
      <c r="T162" s="11">
        <f t="shared" si="139"/>
        <v>2250</v>
      </c>
      <c r="U162" s="134" t="s">
        <v>308</v>
      </c>
      <c r="V162" s="11">
        <f t="shared" si="140"/>
        <v>18000</v>
      </c>
      <c r="W162" s="134" t="s">
        <v>339</v>
      </c>
    </row>
    <row r="163" spans="1:23" outlineLevel="1" x14ac:dyDescent="0.2">
      <c r="B163" s="163" t="s">
        <v>344</v>
      </c>
      <c r="C163" s="10">
        <v>1500</v>
      </c>
      <c r="D163" s="32"/>
      <c r="E163" s="32"/>
      <c r="F163" s="67">
        <f t="shared" ref="F163:H163" si="144">SUM(E$10)*$C163</f>
        <v>0</v>
      </c>
      <c r="G163" s="67">
        <f t="shared" si="144"/>
        <v>0</v>
      </c>
      <c r="H163" s="67">
        <f t="shared" si="144"/>
        <v>6000</v>
      </c>
      <c r="I163" s="67">
        <f>SUM(H$10)*$C163</f>
        <v>6000</v>
      </c>
      <c r="J163" s="67">
        <f>SUM(I$10)*$C163</f>
        <v>0</v>
      </c>
      <c r="K163" s="67">
        <f t="shared" ref="K163:P163" si="145">SUM(J$10)*$C163</f>
        <v>0</v>
      </c>
      <c r="L163" s="67">
        <f t="shared" si="145"/>
        <v>0</v>
      </c>
      <c r="M163" s="67">
        <f t="shared" si="145"/>
        <v>0</v>
      </c>
      <c r="N163" s="67">
        <f t="shared" si="145"/>
        <v>0</v>
      </c>
      <c r="O163" s="67">
        <f t="shared" si="145"/>
        <v>0</v>
      </c>
      <c r="P163" s="67">
        <f t="shared" si="145"/>
        <v>0</v>
      </c>
      <c r="Q163" s="67"/>
      <c r="R163" s="12">
        <f>SUM(D163:P163)</f>
        <v>12000</v>
      </c>
      <c r="T163" s="11">
        <f t="shared" si="139"/>
        <v>1500</v>
      </c>
      <c r="U163" s="134" t="s">
        <v>308</v>
      </c>
      <c r="V163" s="11">
        <f t="shared" si="140"/>
        <v>12000</v>
      </c>
      <c r="W163" s="134" t="s">
        <v>339</v>
      </c>
    </row>
    <row r="164" spans="1:23" outlineLevel="1" x14ac:dyDescent="0.2">
      <c r="B164" s="163" t="s">
        <v>345</v>
      </c>
      <c r="C164" s="64">
        <v>3.5</v>
      </c>
      <c r="D164" s="10"/>
      <c r="E164" s="12"/>
      <c r="F164" s="61">
        <f>IFERROR((SUMPRODUCT($D$10,G$10))*$C164,0)</f>
        <v>18900</v>
      </c>
      <c r="G164" s="61">
        <f>IFERROR((SUMPRODUCT($D$10,H$10))*$C164,0)</f>
        <v>18900</v>
      </c>
      <c r="H164" s="61">
        <f t="shared" ref="H164:P164" si="146">IFERROR((SUMPRODUCT($D$10,I$10))*$C164,0)</f>
        <v>0</v>
      </c>
      <c r="I164" s="61">
        <f t="shared" si="146"/>
        <v>0</v>
      </c>
      <c r="J164" s="61">
        <f t="shared" si="146"/>
        <v>0</v>
      </c>
      <c r="K164" s="61">
        <f t="shared" si="146"/>
        <v>0</v>
      </c>
      <c r="L164" s="61">
        <f t="shared" si="146"/>
        <v>0</v>
      </c>
      <c r="M164" s="61">
        <f t="shared" si="146"/>
        <v>0</v>
      </c>
      <c r="N164" s="61">
        <f t="shared" si="146"/>
        <v>0</v>
      </c>
      <c r="O164" s="61">
        <f t="shared" si="146"/>
        <v>0</v>
      </c>
      <c r="P164" s="61">
        <f t="shared" si="146"/>
        <v>0</v>
      </c>
      <c r="Q164" s="61"/>
      <c r="R164" s="12">
        <f>SUM(D164:P164)</f>
        <v>37800</v>
      </c>
      <c r="T164" s="11">
        <f t="shared" si="139"/>
        <v>4725</v>
      </c>
      <c r="U164" s="134" t="s">
        <v>308</v>
      </c>
      <c r="V164" s="11">
        <f t="shared" si="140"/>
        <v>37800</v>
      </c>
      <c r="W164" s="134" t="s">
        <v>339</v>
      </c>
    </row>
    <row r="165" spans="1:23" outlineLevel="1" x14ac:dyDescent="0.2">
      <c r="B165" s="163" t="s">
        <v>346</v>
      </c>
      <c r="C165" s="69">
        <v>7.0000000000000001E-3</v>
      </c>
      <c r="D165" s="10"/>
      <c r="E165" s="32"/>
      <c r="F165" s="67">
        <f t="shared" ref="F165:P165" si="147">$C165*G$101</f>
        <v>5197.5</v>
      </c>
      <c r="G165" s="67">
        <f t="shared" si="147"/>
        <v>20790</v>
      </c>
      <c r="H165" s="67">
        <f t="shared" si="147"/>
        <v>15592.5</v>
      </c>
      <c r="I165" s="67">
        <f t="shared" si="147"/>
        <v>0</v>
      </c>
      <c r="J165" s="67">
        <f t="shared" si="147"/>
        <v>0</v>
      </c>
      <c r="K165" s="67">
        <f t="shared" si="147"/>
        <v>0</v>
      </c>
      <c r="L165" s="67">
        <f t="shared" si="147"/>
        <v>0</v>
      </c>
      <c r="M165" s="67">
        <f t="shared" si="147"/>
        <v>0</v>
      </c>
      <c r="N165" s="67">
        <f t="shared" si="147"/>
        <v>0</v>
      </c>
      <c r="O165" s="67">
        <f t="shared" si="147"/>
        <v>0</v>
      </c>
      <c r="P165" s="67">
        <f t="shared" si="147"/>
        <v>0</v>
      </c>
      <c r="Q165" s="67"/>
      <c r="R165" s="12">
        <f>SUM(D165:P165)</f>
        <v>41580</v>
      </c>
      <c r="T165" s="11">
        <f t="shared" si="139"/>
        <v>5197.5</v>
      </c>
      <c r="U165" s="134" t="s">
        <v>308</v>
      </c>
      <c r="V165" s="11">
        <f t="shared" si="140"/>
        <v>41580</v>
      </c>
      <c r="W165" s="134" t="s">
        <v>339</v>
      </c>
    </row>
    <row r="166" spans="1:23" outlineLevel="1" x14ac:dyDescent="0.2">
      <c r="B166" s="163" t="s">
        <v>347</v>
      </c>
      <c r="C166" s="69">
        <v>5.0000000000000001E-3</v>
      </c>
      <c r="D166" s="10"/>
      <c r="E166" s="32"/>
      <c r="F166" s="67">
        <f t="shared" ref="F166:F167" si="148">$C166*F$101</f>
        <v>0</v>
      </c>
      <c r="G166" s="67">
        <f>$C166*H$101</f>
        <v>14850</v>
      </c>
      <c r="H166" s="67">
        <f t="shared" ref="H166:P166" si="149">$C166*I$101</f>
        <v>11137.5</v>
      </c>
      <c r="I166" s="67">
        <f t="shared" si="149"/>
        <v>0</v>
      </c>
      <c r="J166" s="67">
        <f t="shared" si="149"/>
        <v>0</v>
      </c>
      <c r="K166" s="67">
        <f t="shared" si="149"/>
        <v>0</v>
      </c>
      <c r="L166" s="67">
        <f t="shared" si="149"/>
        <v>0</v>
      </c>
      <c r="M166" s="67">
        <f t="shared" si="149"/>
        <v>0</v>
      </c>
      <c r="N166" s="67">
        <f t="shared" si="149"/>
        <v>0</v>
      </c>
      <c r="O166" s="67">
        <f t="shared" si="149"/>
        <v>0</v>
      </c>
      <c r="P166" s="67">
        <f t="shared" si="149"/>
        <v>0</v>
      </c>
      <c r="Q166" s="67"/>
      <c r="R166" s="12">
        <f>SUM(D166:P166)</f>
        <v>25987.5</v>
      </c>
      <c r="T166" s="11">
        <f t="shared" si="139"/>
        <v>3248.4375</v>
      </c>
      <c r="U166" s="134" t="s">
        <v>308</v>
      </c>
      <c r="V166" s="11">
        <f t="shared" si="140"/>
        <v>25987.5</v>
      </c>
      <c r="W166" s="134" t="s">
        <v>339</v>
      </c>
    </row>
    <row r="167" spans="1:23" outlineLevel="1" x14ac:dyDescent="0.2">
      <c r="B167" s="163" t="s">
        <v>348</v>
      </c>
      <c r="C167" s="69">
        <v>5.0000000000000001E-3</v>
      </c>
      <c r="D167" s="10"/>
      <c r="E167" s="32"/>
      <c r="F167" s="67">
        <f t="shared" si="148"/>
        <v>0</v>
      </c>
      <c r="G167" s="67">
        <f>$C167*H$101</f>
        <v>14850</v>
      </c>
      <c r="H167" s="67">
        <f t="shared" ref="H167:P167" si="150">$C167*I$101</f>
        <v>11137.5</v>
      </c>
      <c r="I167" s="67">
        <f t="shared" si="150"/>
        <v>0</v>
      </c>
      <c r="J167" s="67">
        <f t="shared" si="150"/>
        <v>0</v>
      </c>
      <c r="K167" s="67">
        <f t="shared" si="150"/>
        <v>0</v>
      </c>
      <c r="L167" s="67">
        <f t="shared" si="150"/>
        <v>0</v>
      </c>
      <c r="M167" s="67">
        <f t="shared" si="150"/>
        <v>0</v>
      </c>
      <c r="N167" s="67">
        <f t="shared" si="150"/>
        <v>0</v>
      </c>
      <c r="O167" s="67">
        <f t="shared" si="150"/>
        <v>0</v>
      </c>
      <c r="P167" s="67">
        <f t="shared" si="150"/>
        <v>0</v>
      </c>
      <c r="Q167" s="67"/>
      <c r="R167" s="12">
        <f>SUM(D167:P167)</f>
        <v>25987.5</v>
      </c>
      <c r="T167" s="11">
        <f t="shared" si="139"/>
        <v>3248.4375</v>
      </c>
      <c r="U167" s="134" t="s">
        <v>308</v>
      </c>
      <c r="V167" s="11">
        <f t="shared" si="140"/>
        <v>25987.5</v>
      </c>
      <c r="W167" s="134" t="s">
        <v>339</v>
      </c>
    </row>
    <row r="168" spans="1:23" outlineLevel="1" x14ac:dyDescent="0.2">
      <c r="B168" s="168" t="s">
        <v>333</v>
      </c>
      <c r="C168" s="54">
        <v>0.05</v>
      </c>
      <c r="D168" s="22"/>
      <c r="E168" s="22">
        <f t="shared" ref="E168:Q168" si="151">SUM(E159:E167)*$C168</f>
        <v>0</v>
      </c>
      <c r="F168" s="22">
        <f t="shared" si="151"/>
        <v>5179.875</v>
      </c>
      <c r="G168" s="22">
        <f>SUM(G159:G167)*$C168</f>
        <v>12544.5</v>
      </c>
      <c r="H168" s="22">
        <f t="shared" si="151"/>
        <v>9149.625</v>
      </c>
      <c r="I168" s="22">
        <f t="shared" si="151"/>
        <v>600</v>
      </c>
      <c r="J168" s="22">
        <f t="shared" si="151"/>
        <v>0</v>
      </c>
      <c r="K168" s="22">
        <f t="shared" si="151"/>
        <v>0</v>
      </c>
      <c r="L168" s="22">
        <f t="shared" si="151"/>
        <v>0</v>
      </c>
      <c r="M168" s="22">
        <f t="shared" si="151"/>
        <v>0</v>
      </c>
      <c r="N168" s="22">
        <f t="shared" si="151"/>
        <v>0</v>
      </c>
      <c r="O168" s="22">
        <f t="shared" si="151"/>
        <v>0</v>
      </c>
      <c r="P168" s="22">
        <f t="shared" si="151"/>
        <v>0</v>
      </c>
      <c r="Q168" s="22">
        <f t="shared" si="151"/>
        <v>0</v>
      </c>
      <c r="R168" s="21">
        <f>SUM(D168:Q168)</f>
        <v>27474</v>
      </c>
      <c r="T168" s="11">
        <f t="shared" si="139"/>
        <v>3434.25</v>
      </c>
      <c r="U168" s="134" t="s">
        <v>308</v>
      </c>
      <c r="V168" s="11">
        <f t="shared" si="140"/>
        <v>27474</v>
      </c>
      <c r="W168" s="134" t="s">
        <v>339</v>
      </c>
    </row>
    <row r="169" spans="1:23" x14ac:dyDescent="0.2">
      <c r="B169" s="49" t="str">
        <f>B158</f>
        <v>SOFT COSTS PROFESSIONALS: Multi-Unit</v>
      </c>
      <c r="C169" s="164"/>
      <c r="D169" s="51"/>
      <c r="E169" s="51">
        <f t="shared" ref="E169:P169" si="152">SUM(E158:E168)</f>
        <v>0</v>
      </c>
      <c r="F169" s="51">
        <f t="shared" si="152"/>
        <v>108777.375</v>
      </c>
      <c r="G169" s="51">
        <f t="shared" si="152"/>
        <v>263434.5</v>
      </c>
      <c r="H169" s="51">
        <f t="shared" si="152"/>
        <v>192142.125</v>
      </c>
      <c r="I169" s="51">
        <f t="shared" si="152"/>
        <v>12600</v>
      </c>
      <c r="J169" s="51">
        <f t="shared" si="152"/>
        <v>0</v>
      </c>
      <c r="K169" s="51">
        <f t="shared" si="152"/>
        <v>0</v>
      </c>
      <c r="L169" s="51">
        <f t="shared" si="152"/>
        <v>0</v>
      </c>
      <c r="M169" s="51">
        <f t="shared" si="152"/>
        <v>0</v>
      </c>
      <c r="N169" s="51">
        <f t="shared" si="152"/>
        <v>0</v>
      </c>
      <c r="O169" s="51">
        <f t="shared" si="152"/>
        <v>0</v>
      </c>
      <c r="P169" s="51">
        <f t="shared" si="152"/>
        <v>0</v>
      </c>
      <c r="Q169" s="51"/>
      <c r="R169" s="107">
        <f>SUM(D169:Q169)</f>
        <v>576954</v>
      </c>
      <c r="T169" s="133">
        <f t="shared" si="139"/>
        <v>72119.25</v>
      </c>
      <c r="U169" s="134" t="s">
        <v>308</v>
      </c>
      <c r="V169" s="11">
        <f>R169/$V$158</f>
        <v>576954</v>
      </c>
      <c r="W169" s="134" t="s">
        <v>339</v>
      </c>
    </row>
    <row r="170" spans="1:23" x14ac:dyDescent="0.2">
      <c r="T170" s="111" cm="1">
        <f t="array" ref="T170">R169/SUMPRODUCT(D10*F26:Q26*F$10:Q$10)</f>
        <v>3.6842528735632186E-2</v>
      </c>
      <c r="U170" t="s">
        <v>299</v>
      </c>
      <c r="V170" s="11"/>
      <c r="W170" s="134"/>
    </row>
    <row r="171" spans="1:23" outlineLevel="1" x14ac:dyDescent="0.2">
      <c r="A171" s="224" t="s">
        <v>352</v>
      </c>
      <c r="B171" s="81" t="s">
        <v>353</v>
      </c>
      <c r="T171" s="111"/>
    </row>
    <row r="172" spans="1:23" outlineLevel="1" x14ac:dyDescent="0.2">
      <c r="B172" s="163" t="s">
        <v>47</v>
      </c>
      <c r="C172" s="40">
        <f>'Proforma Resi'!C268</f>
        <v>0.05</v>
      </c>
      <c r="D172" s="43"/>
      <c r="E172" s="11">
        <f t="shared" ref="E172:G172" si="153">(E42+E44)*$C$172</f>
        <v>0</v>
      </c>
      <c r="F172" s="11">
        <f t="shared" si="153"/>
        <v>0</v>
      </c>
      <c r="G172" s="11">
        <f t="shared" si="153"/>
        <v>608337.5</v>
      </c>
      <c r="H172" s="11">
        <f>(H42+H44)*$C$172</f>
        <v>2023551.5625</v>
      </c>
      <c r="I172" s="11">
        <f t="shared" ref="I172:Q172" si="154">(I42+I44)*$C$172</f>
        <v>2049114.0546875</v>
      </c>
      <c r="J172" s="11">
        <f t="shared" si="154"/>
        <v>1921941.9666015627</v>
      </c>
      <c r="K172" s="11">
        <f t="shared" si="154"/>
        <v>0</v>
      </c>
      <c r="L172" s="11">
        <f t="shared" si="154"/>
        <v>0</v>
      </c>
      <c r="M172" s="11">
        <f t="shared" si="154"/>
        <v>0</v>
      </c>
      <c r="N172" s="11">
        <f t="shared" si="154"/>
        <v>0</v>
      </c>
      <c r="O172" s="11">
        <f t="shared" si="154"/>
        <v>0</v>
      </c>
      <c r="P172" s="11">
        <f t="shared" si="154"/>
        <v>0</v>
      </c>
      <c r="Q172" s="11">
        <f t="shared" si="154"/>
        <v>0</v>
      </c>
      <c r="R172" s="12">
        <f>SUM(E172:Q172)</f>
        <v>6602945.0837890627</v>
      </c>
    </row>
    <row r="173" spans="1:23" outlineLevel="1" x14ac:dyDescent="0.2">
      <c r="B173" s="163" t="s">
        <v>354</v>
      </c>
      <c r="C173" s="10">
        <v>0</v>
      </c>
      <c r="D173" s="10"/>
      <c r="E173" s="11"/>
      <c r="F173" s="11"/>
      <c r="G173" s="11"/>
      <c r="H173" s="11"/>
      <c r="I173" s="11">
        <f t="shared" ref="I173:P173" si="155">$C$173*I20</f>
        <v>0</v>
      </c>
      <c r="J173" s="11">
        <f t="shared" si="155"/>
        <v>0</v>
      </c>
      <c r="K173" s="11">
        <f t="shared" si="155"/>
        <v>0</v>
      </c>
      <c r="L173" s="11">
        <f t="shared" si="155"/>
        <v>0</v>
      </c>
      <c r="M173" s="11">
        <f t="shared" si="155"/>
        <v>0</v>
      </c>
      <c r="N173" s="11">
        <f t="shared" si="155"/>
        <v>0</v>
      </c>
      <c r="O173" s="11">
        <f t="shared" si="155"/>
        <v>0</v>
      </c>
      <c r="P173" s="11">
        <f t="shared" si="155"/>
        <v>0</v>
      </c>
      <c r="Q173" s="11"/>
      <c r="R173" s="12">
        <f>SUM(E173:P173)</f>
        <v>0</v>
      </c>
    </row>
    <row r="174" spans="1:23" outlineLevel="1" x14ac:dyDescent="0.2">
      <c r="B174" s="163" t="s">
        <v>355</v>
      </c>
      <c r="C174" s="10">
        <v>75000</v>
      </c>
      <c r="D174" s="88" t="s">
        <v>356</v>
      </c>
      <c r="E174" s="11"/>
      <c r="F174" s="11">
        <f>$C$174*3</f>
        <v>225000</v>
      </c>
      <c r="G174" s="11">
        <f>$C$174*2</f>
        <v>150000</v>
      </c>
      <c r="H174" s="11">
        <f>$C$174</f>
        <v>75000</v>
      </c>
      <c r="I174" s="11">
        <f>$C$174</f>
        <v>75000</v>
      </c>
      <c r="J174" s="11">
        <f>$C$174</f>
        <v>75000</v>
      </c>
      <c r="K174" s="11"/>
      <c r="L174" s="11"/>
      <c r="M174" s="11"/>
      <c r="N174" s="11"/>
      <c r="O174" s="11"/>
      <c r="P174" s="11"/>
      <c r="Q174" s="11"/>
      <c r="R174" s="12">
        <f>SUM(E174:Q174)</f>
        <v>600000</v>
      </c>
    </row>
    <row r="175" spans="1:23" outlineLevel="1" x14ac:dyDescent="0.2">
      <c r="B175" s="168" t="s">
        <v>357</v>
      </c>
      <c r="C175" s="222"/>
      <c r="D175" s="222"/>
      <c r="E175" s="222"/>
      <c r="F175" s="222"/>
      <c r="G175" s="222"/>
      <c r="H175" s="222"/>
      <c r="I175" s="222"/>
      <c r="J175" s="21"/>
      <c r="K175" s="21"/>
      <c r="L175" s="222"/>
      <c r="M175" s="222"/>
      <c r="N175" s="22">
        <f>J175/-5</f>
        <v>0</v>
      </c>
      <c r="O175" s="22"/>
      <c r="P175" s="222"/>
      <c r="Q175" s="222"/>
      <c r="R175" s="21">
        <f>SUM(E175:P175)</f>
        <v>0</v>
      </c>
      <c r="S175" s="11"/>
    </row>
    <row r="176" spans="1:23" x14ac:dyDescent="0.2">
      <c r="A176" s="224"/>
      <c r="B176" s="49" t="str">
        <f>B171</f>
        <v>SOFT COSTS - SALES</v>
      </c>
      <c r="C176" s="164"/>
      <c r="D176" s="164"/>
      <c r="E176" s="52">
        <f>SUM(E172:E175)</f>
        <v>0</v>
      </c>
      <c r="F176" s="52">
        <f t="shared" ref="F176:Q176" si="156">SUM(F172:F175)</f>
        <v>225000</v>
      </c>
      <c r="G176" s="52">
        <f t="shared" si="156"/>
        <v>758337.5</v>
      </c>
      <c r="H176" s="52">
        <f t="shared" si="156"/>
        <v>2098551.5625</v>
      </c>
      <c r="I176" s="52">
        <f t="shared" si="156"/>
        <v>2124114.0546875</v>
      </c>
      <c r="J176" s="52">
        <f t="shared" si="156"/>
        <v>1996941.9666015627</v>
      </c>
      <c r="K176" s="52">
        <f t="shared" si="156"/>
        <v>0</v>
      </c>
      <c r="L176" s="52">
        <f t="shared" si="156"/>
        <v>0</v>
      </c>
      <c r="M176" s="52">
        <f t="shared" si="156"/>
        <v>0</v>
      </c>
      <c r="N176" s="52">
        <f>SUM(N172:N175)</f>
        <v>0</v>
      </c>
      <c r="O176" s="52">
        <f t="shared" si="156"/>
        <v>0</v>
      </c>
      <c r="P176" s="52">
        <f t="shared" si="156"/>
        <v>0</v>
      </c>
      <c r="Q176" s="52">
        <f t="shared" si="156"/>
        <v>0</v>
      </c>
      <c r="R176" s="52">
        <f>SUM(E176:Q176)</f>
        <v>7202945.0837890627</v>
      </c>
      <c r="T176" s="111">
        <f>R176/$T$46</f>
        <v>5.454342715550569E-2</v>
      </c>
      <c r="U176" t="s">
        <v>299</v>
      </c>
    </row>
    <row r="178" spans="1:22" outlineLevel="1" x14ac:dyDescent="0.2">
      <c r="B178" s="81" t="s">
        <v>358</v>
      </c>
    </row>
    <row r="179" spans="1:22" outlineLevel="1" x14ac:dyDescent="0.2">
      <c r="B179" s="163" t="s">
        <v>359</v>
      </c>
      <c r="C179" s="427">
        <f>'Proforma Resi'!C269</f>
        <v>256</v>
      </c>
      <c r="D179" s="68" t="s">
        <v>360</v>
      </c>
      <c r="E179" s="60"/>
      <c r="F179" s="12">
        <f>$C$179*($C$20-SUM(E20:F20))</f>
        <v>11008</v>
      </c>
      <c r="G179" s="12">
        <f>$C$179*($C$20-SUM(F20:G20))</f>
        <v>9984</v>
      </c>
      <c r="H179" s="12">
        <f>$C$179*($C$20-SUM(F20:H20))</f>
        <v>6144</v>
      </c>
      <c r="I179" s="12">
        <f>$C$179*($C$20-SUM(F20:I20))</f>
        <v>2816</v>
      </c>
      <c r="J179" s="12">
        <f>$C$179*($C$20-SUM(F20:J20))</f>
        <v>0</v>
      </c>
      <c r="K179" s="12">
        <f>$C$179*($C$20-SUM(G20:K20))</f>
        <v>0</v>
      </c>
      <c r="L179" s="12">
        <f>$C$179*($C$20-SUM(G20:L20))</f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f>SUM(E179:Q179)</f>
        <v>29952</v>
      </c>
    </row>
    <row r="180" spans="1:22" outlineLevel="1" x14ac:dyDescent="0.2">
      <c r="B180" s="168" t="s">
        <v>361</v>
      </c>
      <c r="C180" s="58">
        <v>5.4999999999999997E-3</v>
      </c>
      <c r="D180" s="58"/>
      <c r="E180" s="21">
        <f t="shared" ref="E180:L180" si="157">$C$180*(E72+E80)</f>
        <v>0</v>
      </c>
      <c r="F180" s="21">
        <f t="shared" si="157"/>
        <v>4471.1439609374993</v>
      </c>
      <c r="G180" s="21">
        <f t="shared" si="157"/>
        <v>19812.865174609375</v>
      </c>
      <c r="H180" s="21">
        <f t="shared" si="157"/>
        <v>26141.867227480467</v>
      </c>
      <c r="I180" s="21">
        <f t="shared" si="157"/>
        <v>52329.672970749016</v>
      </c>
      <c r="J180" s="21">
        <f t="shared" si="157"/>
        <v>23867.676437599948</v>
      </c>
      <c r="K180" s="21">
        <f t="shared" si="157"/>
        <v>0</v>
      </c>
      <c r="L180" s="21">
        <f t="shared" si="157"/>
        <v>0</v>
      </c>
      <c r="M180" s="21">
        <f>$C$180*M72</f>
        <v>0</v>
      </c>
      <c r="N180" s="21">
        <f>$C$180*N72</f>
        <v>0</v>
      </c>
      <c r="O180" s="21">
        <f>$C$180*O72</f>
        <v>0</v>
      </c>
      <c r="P180" s="21">
        <f>$C$180*P72</f>
        <v>0</v>
      </c>
      <c r="Q180" s="21">
        <f>$C$180*Q72</f>
        <v>0</v>
      </c>
      <c r="R180" s="21">
        <f>SUM(E180:Q180)</f>
        <v>126623.22577137631</v>
      </c>
    </row>
    <row r="181" spans="1:22" x14ac:dyDescent="0.2">
      <c r="B181" s="49" t="s">
        <v>358</v>
      </c>
      <c r="C181" s="164"/>
      <c r="D181" s="164"/>
      <c r="E181" s="52">
        <f t="shared" ref="E181:Q181" si="158">SUM(E179:E180)</f>
        <v>0</v>
      </c>
      <c r="F181" s="52">
        <f t="shared" si="158"/>
        <v>15479.143960937499</v>
      </c>
      <c r="G181" s="52">
        <f t="shared" si="158"/>
        <v>29796.865174609375</v>
      </c>
      <c r="H181" s="52">
        <f t="shared" si="158"/>
        <v>32285.867227480467</v>
      </c>
      <c r="I181" s="52">
        <f t="shared" si="158"/>
        <v>55145.672970749016</v>
      </c>
      <c r="J181" s="52">
        <f t="shared" si="158"/>
        <v>23867.676437599948</v>
      </c>
      <c r="K181" s="52">
        <f t="shared" si="158"/>
        <v>0</v>
      </c>
      <c r="L181" s="52">
        <f t="shared" si="158"/>
        <v>0</v>
      </c>
      <c r="M181" s="52">
        <f t="shared" si="158"/>
        <v>0</v>
      </c>
      <c r="N181" s="52">
        <f t="shared" si="158"/>
        <v>0</v>
      </c>
      <c r="O181" s="52">
        <f t="shared" si="158"/>
        <v>0</v>
      </c>
      <c r="P181" s="52">
        <f t="shared" si="158"/>
        <v>0</v>
      </c>
      <c r="Q181" s="52">
        <f t="shared" si="158"/>
        <v>0</v>
      </c>
      <c r="R181" s="52">
        <f>SUM(E181:Q181)</f>
        <v>156575.22577137628</v>
      </c>
      <c r="T181" s="111">
        <f>R181/$T$46</f>
        <v>1.185646887748508E-3</v>
      </c>
      <c r="U181" t="s">
        <v>299</v>
      </c>
    </row>
    <row r="183" spans="1:22" outlineLevel="1" x14ac:dyDescent="0.2">
      <c r="A183" s="224" t="s">
        <v>362</v>
      </c>
      <c r="B183" s="81" t="s">
        <v>363</v>
      </c>
    </row>
    <row r="184" spans="1:22" outlineLevel="1" x14ac:dyDescent="0.2">
      <c r="B184" s="163" t="s">
        <v>364</v>
      </c>
      <c r="C184" s="46">
        <v>22800</v>
      </c>
      <c r="D184" s="46"/>
      <c r="E184" s="47">
        <f>E11*$C$184</f>
        <v>0</v>
      </c>
      <c r="F184" s="47">
        <f t="shared" ref="F184:Q184" si="159">F11*$C$184</f>
        <v>91200</v>
      </c>
      <c r="G184" s="47">
        <f t="shared" si="159"/>
        <v>342000</v>
      </c>
      <c r="H184" s="47">
        <f t="shared" si="159"/>
        <v>296400</v>
      </c>
      <c r="I184" s="47">
        <f t="shared" si="159"/>
        <v>250800</v>
      </c>
      <c r="J184" s="47">
        <f t="shared" si="159"/>
        <v>0</v>
      </c>
      <c r="K184" s="47">
        <f t="shared" si="159"/>
        <v>0</v>
      </c>
      <c r="L184" s="47">
        <f t="shared" si="159"/>
        <v>0</v>
      </c>
      <c r="M184" s="47">
        <f t="shared" si="159"/>
        <v>0</v>
      </c>
      <c r="N184" s="47">
        <f t="shared" si="159"/>
        <v>0</v>
      </c>
      <c r="O184" s="47">
        <f t="shared" si="159"/>
        <v>0</v>
      </c>
      <c r="P184" s="47">
        <f t="shared" si="159"/>
        <v>0</v>
      </c>
      <c r="Q184" s="47">
        <f t="shared" si="159"/>
        <v>0</v>
      </c>
      <c r="R184" s="47">
        <f>SUM(E184:Q184)</f>
        <v>980400</v>
      </c>
    </row>
    <row r="185" spans="1:22" outlineLevel="1" x14ac:dyDescent="0.2">
      <c r="B185" s="163" t="s">
        <v>365</v>
      </c>
      <c r="C185" s="68">
        <v>30000</v>
      </c>
      <c r="D185" s="68"/>
      <c r="E185" s="47">
        <v>0</v>
      </c>
      <c r="F185" s="47">
        <f>$C$185</f>
        <v>30000</v>
      </c>
      <c r="G185" s="47"/>
      <c r="H185" s="47"/>
      <c r="I185" s="47">
        <f>$C$185</f>
        <v>30000</v>
      </c>
      <c r="J185" s="47"/>
      <c r="K185" s="47"/>
      <c r="L185" s="47"/>
      <c r="M185" s="47"/>
      <c r="N185" s="47"/>
      <c r="O185" s="47"/>
      <c r="P185" s="47"/>
      <c r="Q185" s="47"/>
      <c r="R185" s="47">
        <f>SUM(F185:Q185)</f>
        <v>60000</v>
      </c>
    </row>
    <row r="186" spans="1:22" outlineLevel="1" x14ac:dyDescent="0.2">
      <c r="B186" s="163" t="s">
        <v>366</v>
      </c>
      <c r="C186" s="68">
        <v>25000</v>
      </c>
      <c r="D186" s="68"/>
      <c r="E186" s="47">
        <f t="shared" ref="E186:Q186" si="160">$C$186*E11</f>
        <v>0</v>
      </c>
      <c r="F186" s="47">
        <f t="shared" si="160"/>
        <v>100000</v>
      </c>
      <c r="G186" s="47">
        <f t="shared" si="160"/>
        <v>375000</v>
      </c>
      <c r="H186" s="47">
        <f t="shared" si="160"/>
        <v>325000</v>
      </c>
      <c r="I186" s="47">
        <f t="shared" si="160"/>
        <v>275000</v>
      </c>
      <c r="J186" s="47">
        <f t="shared" si="160"/>
        <v>0</v>
      </c>
      <c r="K186" s="47">
        <f t="shared" si="160"/>
        <v>0</v>
      </c>
      <c r="L186" s="47">
        <f t="shared" si="160"/>
        <v>0</v>
      </c>
      <c r="M186" s="47">
        <f t="shared" si="160"/>
        <v>0</v>
      </c>
      <c r="N186" s="47">
        <f t="shared" si="160"/>
        <v>0</v>
      </c>
      <c r="O186" s="47">
        <f t="shared" si="160"/>
        <v>0</v>
      </c>
      <c r="P186" s="47">
        <f t="shared" si="160"/>
        <v>0</v>
      </c>
      <c r="Q186" s="47">
        <f t="shared" si="160"/>
        <v>0</v>
      </c>
      <c r="R186" s="47">
        <f>SUM(E186:Q186)</f>
        <v>1075000</v>
      </c>
    </row>
    <row r="187" spans="1:22" outlineLevel="1" x14ac:dyDescent="0.2">
      <c r="B187" s="168" t="s">
        <v>367</v>
      </c>
      <c r="C187" s="27">
        <v>0</v>
      </c>
      <c r="D187" s="27"/>
      <c r="E187" s="21"/>
      <c r="F187" s="21">
        <f>C187</f>
        <v>0</v>
      </c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>
        <f>SUM(E187:Q187)</f>
        <v>0</v>
      </c>
    </row>
    <row r="188" spans="1:22" x14ac:dyDescent="0.2">
      <c r="A188" s="224"/>
      <c r="B188" s="49" t="s">
        <v>363</v>
      </c>
      <c r="C188" s="57"/>
      <c r="D188" s="57"/>
      <c r="E188" s="52">
        <f t="shared" ref="E188:Q188" si="161">SUM(E184:E187)</f>
        <v>0</v>
      </c>
      <c r="F188" s="52">
        <f t="shared" si="161"/>
        <v>221200</v>
      </c>
      <c r="G188" s="52">
        <f t="shared" si="161"/>
        <v>717000</v>
      </c>
      <c r="H188" s="52">
        <f t="shared" si="161"/>
        <v>621400</v>
      </c>
      <c r="I188" s="52">
        <f t="shared" si="161"/>
        <v>555800</v>
      </c>
      <c r="J188" s="52">
        <f t="shared" si="161"/>
        <v>0</v>
      </c>
      <c r="K188" s="52">
        <f t="shared" si="161"/>
        <v>0</v>
      </c>
      <c r="L188" s="52">
        <f t="shared" si="161"/>
        <v>0</v>
      </c>
      <c r="M188" s="52">
        <f t="shared" si="161"/>
        <v>0</v>
      </c>
      <c r="N188" s="52">
        <f t="shared" si="161"/>
        <v>0</v>
      </c>
      <c r="O188" s="52">
        <f t="shared" si="161"/>
        <v>0</v>
      </c>
      <c r="P188" s="52">
        <f t="shared" si="161"/>
        <v>0</v>
      </c>
      <c r="Q188" s="52">
        <f t="shared" si="161"/>
        <v>0</v>
      </c>
      <c r="R188" s="52">
        <f>SUM(E188:Q188)</f>
        <v>2115400</v>
      </c>
      <c r="T188" s="111">
        <f>R188/$T$46</f>
        <v>1.601860967459455E-2</v>
      </c>
      <c r="U188" t="s">
        <v>299</v>
      </c>
    </row>
    <row r="189" spans="1:22" x14ac:dyDescent="0.2">
      <c r="M189" s="254" t="s">
        <v>368</v>
      </c>
      <c r="Q189" s="254"/>
      <c r="R189" s="255" t="e">
        <f>R58+R64+R72+R80+R88+R96+R105+R128+R142+R169+R156+R174+R181+R188</f>
        <v>#REF!</v>
      </c>
    </row>
    <row r="190" spans="1:22" outlineLevel="1" x14ac:dyDescent="0.2">
      <c r="A190" s="224" t="s">
        <v>369</v>
      </c>
      <c r="B190" s="81" t="s">
        <v>370</v>
      </c>
      <c r="E190" s="11"/>
      <c r="F190" s="11"/>
      <c r="G190" s="11"/>
      <c r="H190" s="11"/>
      <c r="I190" s="11"/>
      <c r="J190" s="11"/>
      <c r="K190" s="11"/>
      <c r="L190" s="11"/>
    </row>
    <row r="191" spans="1:22" outlineLevel="1" x14ac:dyDescent="0.2">
      <c r="B191" s="163" t="s">
        <v>371</v>
      </c>
      <c r="C191" s="79">
        <v>0.05</v>
      </c>
      <c r="D191" s="256" t="e">
        <f>+R189*C191</f>
        <v>#REF!</v>
      </c>
      <c r="E191" s="11"/>
      <c r="F191" s="11" t="e">
        <f>$D$191/5</f>
        <v>#REF!</v>
      </c>
      <c r="G191" s="11" t="e">
        <f>$D$191/5</f>
        <v>#REF!</v>
      </c>
      <c r="H191" s="11" t="e">
        <f>$D$191/5</f>
        <v>#REF!</v>
      </c>
      <c r="I191" s="11" t="e">
        <f>$D$191/5</f>
        <v>#REF!</v>
      </c>
      <c r="J191" s="11" t="e">
        <f>$D$191/5</f>
        <v>#REF!</v>
      </c>
      <c r="K191" s="11"/>
      <c r="L191" s="11"/>
      <c r="M191" s="11"/>
      <c r="N191" s="11">
        <f>(N72+N114+N176+N181+N188)*$C$191</f>
        <v>0</v>
      </c>
      <c r="O191" s="11">
        <f>(O72+O114+O176+O181+O188)*$C$191</f>
        <v>0</v>
      </c>
      <c r="P191" s="11">
        <f>(P72+P114+P176+P181+P188)*$C$191</f>
        <v>0</v>
      </c>
      <c r="Q191" s="11">
        <f>(Q72+Q114+Q176+Q181+Q188)*$C$191</f>
        <v>0</v>
      </c>
      <c r="R191" s="12" t="e">
        <f>SUM(E191:Q191)</f>
        <v>#REF!</v>
      </c>
      <c r="V191" s="111" t="e">
        <f>R191/R189</f>
        <v>#REF!</v>
      </c>
    </row>
    <row r="192" spans="1:22" outlineLevel="1" x14ac:dyDescent="0.2">
      <c r="B192" s="163" t="s">
        <v>372</v>
      </c>
      <c r="C192" s="62">
        <v>0.02</v>
      </c>
      <c r="D192" s="53"/>
      <c r="E192" s="11">
        <f t="shared" ref="E192:M192" si="162">$C$192*(E42+E44)</f>
        <v>0</v>
      </c>
      <c r="F192" s="11">
        <f t="shared" si="162"/>
        <v>0</v>
      </c>
      <c r="G192" s="11">
        <f>$C$192*(G42+G44)</f>
        <v>243335</v>
      </c>
      <c r="H192" s="11">
        <f t="shared" si="162"/>
        <v>809420.625</v>
      </c>
      <c r="I192" s="11">
        <f t="shared" si="162"/>
        <v>819645.62187500007</v>
      </c>
      <c r="J192" s="11">
        <f t="shared" si="162"/>
        <v>768776.78664062498</v>
      </c>
      <c r="K192" s="11">
        <f t="shared" si="162"/>
        <v>0</v>
      </c>
      <c r="L192" s="11">
        <f t="shared" si="162"/>
        <v>0</v>
      </c>
      <c r="M192" s="11">
        <f t="shared" si="162"/>
        <v>0</v>
      </c>
      <c r="N192" s="12"/>
      <c r="O192" s="61"/>
      <c r="P192" s="12"/>
      <c r="Q192" s="12"/>
      <c r="R192" s="12">
        <f>SUM(E192:Q192)</f>
        <v>2641178.0335156252</v>
      </c>
    </row>
    <row r="193" spans="1:27" outlineLevel="1" x14ac:dyDescent="0.2">
      <c r="B193" s="163" t="s">
        <v>373</v>
      </c>
      <c r="C193" s="100">
        <v>1.7500000000000002E-2</v>
      </c>
      <c r="D193" s="98"/>
      <c r="E193" s="16"/>
      <c r="F193" s="16">
        <v>168534.63374734551</v>
      </c>
      <c r="G193" s="16">
        <v>168534.63374734551</v>
      </c>
      <c r="H193" s="16">
        <v>168534.63374734551</v>
      </c>
      <c r="I193" s="16">
        <v>129838.87769313539</v>
      </c>
      <c r="J193" s="16">
        <v>14961.263303426771</v>
      </c>
      <c r="K193" s="16">
        <v>0</v>
      </c>
      <c r="L193" s="16">
        <v>0</v>
      </c>
      <c r="M193" s="61"/>
      <c r="N193" s="12"/>
      <c r="O193" s="61"/>
      <c r="P193" s="12"/>
      <c r="Q193" s="12"/>
      <c r="R193" s="12">
        <f>SUM(E193:Q193)</f>
        <v>650404.04223859869</v>
      </c>
      <c r="Z193" s="131" t="s">
        <v>374</v>
      </c>
      <c r="AA193" s="97" t="e">
        <f>SUM(AC1:AJ1)-R193</f>
        <v>#REF!</v>
      </c>
    </row>
    <row r="194" spans="1:27" outlineLevel="1" x14ac:dyDescent="0.2">
      <c r="B194" s="163"/>
      <c r="C194" s="48"/>
      <c r="D194" s="48"/>
      <c r="E194" s="11"/>
      <c r="F194" s="11"/>
      <c r="G194" s="11"/>
      <c r="H194" s="11"/>
      <c r="I194" s="11"/>
      <c r="J194" s="11"/>
      <c r="K194" s="11"/>
      <c r="L194" s="11"/>
      <c r="M194" s="11">
        <f>$C$194</f>
        <v>0</v>
      </c>
      <c r="N194" s="11">
        <f>$C$194</f>
        <v>0</v>
      </c>
      <c r="O194" s="11">
        <f>$C$194</f>
        <v>0</v>
      </c>
      <c r="P194" s="11">
        <f>$C$194</f>
        <v>0</v>
      </c>
      <c r="Q194" s="11"/>
      <c r="R194" s="11">
        <f>SUM(E194:P194)</f>
        <v>0</v>
      </c>
    </row>
    <row r="195" spans="1:27" x14ac:dyDescent="0.2">
      <c r="B195" s="49" t="s">
        <v>375</v>
      </c>
      <c r="C195" s="50"/>
      <c r="D195" s="50"/>
      <c r="E195" s="51">
        <f t="shared" ref="E195:Q195" si="163">SUM(E191:E194)</f>
        <v>0</v>
      </c>
      <c r="F195" s="51" t="e">
        <f t="shared" si="163"/>
        <v>#REF!</v>
      </c>
      <c r="G195" s="51" t="e">
        <f t="shared" si="163"/>
        <v>#REF!</v>
      </c>
      <c r="H195" s="51" t="e">
        <f t="shared" si="163"/>
        <v>#REF!</v>
      </c>
      <c r="I195" s="51" t="e">
        <f t="shared" si="163"/>
        <v>#REF!</v>
      </c>
      <c r="J195" s="51" t="e">
        <f t="shared" si="163"/>
        <v>#REF!</v>
      </c>
      <c r="K195" s="51">
        <f t="shared" si="163"/>
        <v>0</v>
      </c>
      <c r="L195" s="51">
        <f t="shared" si="163"/>
        <v>0</v>
      </c>
      <c r="M195" s="51">
        <f t="shared" si="163"/>
        <v>0</v>
      </c>
      <c r="N195" s="51">
        <f t="shared" si="163"/>
        <v>0</v>
      </c>
      <c r="O195" s="51">
        <f t="shared" si="163"/>
        <v>0</v>
      </c>
      <c r="P195" s="51">
        <f t="shared" si="163"/>
        <v>0</v>
      </c>
      <c r="Q195" s="51">
        <f t="shared" si="163"/>
        <v>0</v>
      </c>
      <c r="R195" s="52" t="e">
        <f>SUM(E195:Q195)</f>
        <v>#REF!</v>
      </c>
      <c r="T195" s="111" t="e">
        <f>R195/$T$46</f>
        <v>#REF!</v>
      </c>
      <c r="U195" t="s">
        <v>299</v>
      </c>
    </row>
    <row r="196" spans="1:27" x14ac:dyDescent="0.2">
      <c r="B196" s="113"/>
      <c r="C196" s="125"/>
      <c r="D196" s="125"/>
      <c r="E196" s="126"/>
      <c r="F196" s="126"/>
      <c r="G196" s="126"/>
      <c r="H196" s="126"/>
      <c r="I196" s="126"/>
      <c r="J196" s="126"/>
      <c r="K196" s="126"/>
      <c r="L196" s="126"/>
      <c r="M196" s="126"/>
      <c r="N196" s="126"/>
      <c r="O196" s="126"/>
      <c r="P196" s="126"/>
      <c r="Q196" s="126"/>
      <c r="R196" s="127"/>
    </row>
    <row r="197" spans="1:27" x14ac:dyDescent="0.2">
      <c r="B197" s="3" t="s">
        <v>376</v>
      </c>
      <c r="C197" s="31"/>
      <c r="D197" s="31"/>
      <c r="E197" s="24">
        <f t="shared" ref="E197:Q197" si="164">SUM(E195,E188,E181,E176,E128,E114,E80,E72,E58,E88,E105,E96,E142,E169,E156,E64)</f>
        <v>40556.25</v>
      </c>
      <c r="F197" s="24" t="e">
        <f t="shared" si="164"/>
        <v>#REF!</v>
      </c>
      <c r="G197" s="24" t="e">
        <f t="shared" si="164"/>
        <v>#REF!</v>
      </c>
      <c r="H197" s="24" t="e">
        <f t="shared" si="164"/>
        <v>#REF!</v>
      </c>
      <c r="I197" s="24" t="e">
        <f t="shared" si="164"/>
        <v>#REF!</v>
      </c>
      <c r="J197" s="24" t="e">
        <f t="shared" si="164"/>
        <v>#REF!</v>
      </c>
      <c r="K197" s="24" t="e">
        <f t="shared" si="164"/>
        <v>#REF!</v>
      </c>
      <c r="L197" s="24" t="e">
        <f t="shared" si="164"/>
        <v>#REF!</v>
      </c>
      <c r="M197" s="24" t="e">
        <f t="shared" si="164"/>
        <v>#REF!</v>
      </c>
      <c r="N197" s="24" t="e">
        <f t="shared" si="164"/>
        <v>#REF!</v>
      </c>
      <c r="O197" s="24" t="e">
        <f t="shared" si="164"/>
        <v>#REF!</v>
      </c>
      <c r="P197" s="24" t="e">
        <f t="shared" si="164"/>
        <v>#REF!</v>
      </c>
      <c r="Q197" s="24" t="e">
        <f t="shared" si="164"/>
        <v>#REF!</v>
      </c>
      <c r="R197" s="52" t="e">
        <f>SUM(E197:Q197)</f>
        <v>#REF!</v>
      </c>
      <c r="T197" s="338" t="e">
        <f>(R197-R58-R64)/$T$46</f>
        <v>#REF!</v>
      </c>
      <c r="U197" t="s">
        <v>299</v>
      </c>
    </row>
    <row r="198" spans="1:27" x14ac:dyDescent="0.2">
      <c r="B198" s="3"/>
      <c r="C198" s="31"/>
      <c r="D198" s="31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3"/>
    </row>
    <row r="199" spans="1:27" outlineLevel="1" x14ac:dyDescent="0.2">
      <c r="A199" s="224" t="s">
        <v>377</v>
      </c>
      <c r="B199" s="81" t="s">
        <v>144</v>
      </c>
      <c r="C199" s="31"/>
      <c r="D199" s="31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3"/>
    </row>
    <row r="200" spans="1:27" outlineLevel="1" x14ac:dyDescent="0.2">
      <c r="B200" s="170" t="s">
        <v>378</v>
      </c>
      <c r="C200" s="147" t="e">
        <f>U33</f>
        <v>#REF!</v>
      </c>
      <c r="D200" s="438">
        <v>5</v>
      </c>
      <c r="E200" s="114">
        <f t="shared" ref="E200:Q200" si="165">D204+E35</f>
        <v>0</v>
      </c>
      <c r="F200" s="114" t="e">
        <f t="shared" si="165"/>
        <v>#REF!</v>
      </c>
      <c r="G200" s="114" t="e">
        <f t="shared" si="165"/>
        <v>#REF!</v>
      </c>
      <c r="H200" s="114" t="e">
        <f t="shared" si="165"/>
        <v>#REF!</v>
      </c>
      <c r="I200" s="114" t="e">
        <f t="shared" si="165"/>
        <v>#REF!</v>
      </c>
      <c r="J200" s="114" t="e">
        <f t="shared" si="165"/>
        <v>#REF!</v>
      </c>
      <c r="K200" s="114" t="e">
        <f t="shared" si="165"/>
        <v>#REF!</v>
      </c>
      <c r="L200" s="114" t="e">
        <f t="shared" si="165"/>
        <v>#REF!</v>
      </c>
      <c r="M200" s="114" t="e">
        <f t="shared" si="165"/>
        <v>#REF!</v>
      </c>
      <c r="N200" s="114" t="e">
        <f t="shared" si="165"/>
        <v>#REF!</v>
      </c>
      <c r="O200" s="114" t="e">
        <f t="shared" si="165"/>
        <v>#REF!</v>
      </c>
      <c r="P200" s="114" t="e">
        <f t="shared" si="165"/>
        <v>#REF!</v>
      </c>
      <c r="Q200" s="114" t="e">
        <f t="shared" si="165"/>
        <v>#REF!</v>
      </c>
      <c r="R200" s="32"/>
    </row>
    <row r="201" spans="1:27" outlineLevel="1" x14ac:dyDescent="0.2">
      <c r="B201" s="163" t="s">
        <v>379</v>
      </c>
      <c r="C201" s="428">
        <f>Assumptions!F8</f>
        <v>0.12</v>
      </c>
      <c r="D201" s="437">
        <f>C201-2.5%</f>
        <v>9.5000000000000001E-2</v>
      </c>
      <c r="E201" s="114">
        <f>E200*$C$201</f>
        <v>0</v>
      </c>
      <c r="F201" s="114" t="e">
        <f t="shared" ref="F201:I201" si="166">F200*$C$201</f>
        <v>#REF!</v>
      </c>
      <c r="G201" s="114" t="e">
        <f t="shared" si="166"/>
        <v>#REF!</v>
      </c>
      <c r="H201" s="114" t="e">
        <f t="shared" si="166"/>
        <v>#REF!</v>
      </c>
      <c r="I201" s="114" t="e">
        <f t="shared" si="166"/>
        <v>#REF!</v>
      </c>
      <c r="J201" s="114" t="e">
        <f>J200*$D$201</f>
        <v>#REF!</v>
      </c>
      <c r="K201" s="114" t="e">
        <f t="shared" ref="K201:Q201" si="167">K200*$D$201</f>
        <v>#REF!</v>
      </c>
      <c r="L201" s="114" t="e">
        <f t="shared" si="167"/>
        <v>#REF!</v>
      </c>
      <c r="M201" s="114" t="e">
        <f t="shared" si="167"/>
        <v>#REF!</v>
      </c>
      <c r="N201" s="114" t="e">
        <f t="shared" si="167"/>
        <v>#REF!</v>
      </c>
      <c r="O201" s="114" t="e">
        <f t="shared" si="167"/>
        <v>#REF!</v>
      </c>
      <c r="P201" s="114" t="e">
        <f t="shared" si="167"/>
        <v>#REF!</v>
      </c>
      <c r="Q201" s="114" t="e">
        <f t="shared" si="167"/>
        <v>#REF!</v>
      </c>
      <c r="R201" s="32" t="e">
        <f>SUM(E201:L201)</f>
        <v>#REF!</v>
      </c>
    </row>
    <row r="202" spans="1:27" outlineLevel="1" x14ac:dyDescent="0.2">
      <c r="B202" s="163" t="s">
        <v>380</v>
      </c>
      <c r="C202" s="428">
        <f>Assumptions!F9</f>
        <v>3.5000000000000003E-2</v>
      </c>
      <c r="D202" s="148"/>
      <c r="E202" s="128"/>
      <c r="F202" s="67" t="e">
        <f>IF(AND(F200&gt;0,SUM($E202:E202)=0),$C$200*$C$202,0)</f>
        <v>#REF!</v>
      </c>
      <c r="G202" s="67" t="e">
        <f>IF(AND(G200&gt;0,SUM($E202:F202)=0),$C$200*$C$202,0)</f>
        <v>#REF!</v>
      </c>
      <c r="H202" s="67" t="e">
        <f>IF(AND(H200&gt;0,SUM($E202:G202)=0),$C$200*$C$202,0)</f>
        <v>#REF!</v>
      </c>
      <c r="I202" s="67" t="e">
        <f>IF(AND(I200&gt;0,SUM($E202:H202)=0),$C$200*$C$202,0)</f>
        <v>#REF!</v>
      </c>
      <c r="J202" s="32" t="e">
        <f>IF(AND(J200&gt;0,SUM($E202:I202)=0),$C$200*$C$202,0)</f>
        <v>#REF!</v>
      </c>
      <c r="K202" s="32" t="e">
        <f>IF(AND(K200&gt;0,SUM($E202:J202)=0),$C$200*$C$202,0)</f>
        <v>#REF!</v>
      </c>
      <c r="L202" s="32" t="e">
        <f>IF(AND(L200&gt;0,SUM($E202:K202)=0),$C$200*$C$202,0)</f>
        <v>#REF!</v>
      </c>
      <c r="M202" s="32" t="e">
        <f>IF(AND(M200&gt;0,SUM($E202:L202)=0),$C$200*$C$202,0)</f>
        <v>#REF!</v>
      </c>
      <c r="N202" s="32" t="e">
        <f>IF(AND(N200&gt;0,SUM($E202:M202)=0),$C$200*$C$202,0)</f>
        <v>#REF!</v>
      </c>
      <c r="O202" s="32" t="e">
        <f>IF(AND(O200&gt;0,SUM($E202:N202)=0),$C$200*$C$202,0)</f>
        <v>#REF!</v>
      </c>
      <c r="P202" s="32" t="e">
        <f>IF(AND(P200&gt;0,SUM($E202:O202)=0),$C$200*$C$202,0)</f>
        <v>#REF!</v>
      </c>
      <c r="Q202" s="32" t="e">
        <f>IF(AND(Q200&gt;0,SUM($E202:P202)=0),$C$200*$C$202,0)</f>
        <v>#REF!</v>
      </c>
      <c r="R202" s="32" t="e">
        <f>SUM(F202:Q202)</f>
        <v>#REF!</v>
      </c>
    </row>
    <row r="203" spans="1:27" outlineLevel="1" x14ac:dyDescent="0.2">
      <c r="B203" s="163" t="s">
        <v>381</v>
      </c>
      <c r="C203" s="14"/>
      <c r="D203" s="148"/>
      <c r="E203" s="92">
        <f>IF(E3&gt;=Assumptions!$F$6,MAX(MIN(E45-E197,SUM(E200:E202)),0),0)</f>
        <v>0</v>
      </c>
      <c r="F203" s="92">
        <f>IF(F3&gt;=Assumptions!$F$6,MAX(MIN(F45-F197,SUM(F200:F202)),0),0)</f>
        <v>0</v>
      </c>
      <c r="G203" s="92">
        <f>IF(G3&gt;=Assumptions!$F$6,MAX(MIN(G45-G197,SUM(G200:G202)),0),0)</f>
        <v>0</v>
      </c>
      <c r="H203" s="92" t="e">
        <f>IF(H3&gt;=Assumptions!$F$6,MAX(MIN(H45-H197,SUM(H200:H202)),0),0)</f>
        <v>#REF!</v>
      </c>
      <c r="I203" s="92" t="e">
        <f>IF(I3&gt;=Assumptions!$F$6,MAX(MIN(I45-I197,SUM(I200:I202)),0),0)</f>
        <v>#REF!</v>
      </c>
      <c r="J203" s="92" t="e">
        <f>IF(J3&gt;=Assumptions!$F$6,MAX(MIN(J45-J197,SUM(J200:J202)),0),0)</f>
        <v>#REF!</v>
      </c>
      <c r="K203" s="92" t="e">
        <f>IF(K3&gt;=Assumptions!$F$6,MAX(MIN(K45-K197,SUM(K200:K202)),0),0)</f>
        <v>#REF!</v>
      </c>
      <c r="L203" s="92" t="e">
        <f>IF(L3&gt;=Assumptions!$F$6,MAX(MIN(L45-L197,SUM(L200:L202)),0),0)</f>
        <v>#REF!</v>
      </c>
      <c r="M203" s="92" t="e">
        <f>IF(M3&gt;=Assumptions!$F$6,MAX(MIN(M45-M197,SUM(M200:M202)),0),0)</f>
        <v>#REF!</v>
      </c>
      <c r="N203" s="92" t="e">
        <f>IF(N3&gt;=Assumptions!$F$6,MAX(MIN(N45-N197,SUM(N200:N202)),0),0)</f>
        <v>#REF!</v>
      </c>
      <c r="O203" s="92" t="e">
        <f>IF(O3&gt;=Assumptions!$F$6,MAX(MIN(O45-O197,SUM(O200:O202)),0),0)</f>
        <v>#REF!</v>
      </c>
      <c r="P203" s="92" t="e">
        <f>IF(P3&gt;=Assumptions!$F$6,MAX(MIN(P45-P197,SUM(P200:P202)),0),0)</f>
        <v>#REF!</v>
      </c>
      <c r="Q203" s="92" t="e">
        <f>IF(Q3&gt;=Assumptions!$F$6,MAX(MIN(Q45-Q197,SUM(Q200:Q202)),0),0)</f>
        <v>#REF!</v>
      </c>
      <c r="R203" s="114" t="e">
        <f>SUM(E203:L203)</f>
        <v>#REF!</v>
      </c>
    </row>
    <row r="204" spans="1:27" outlineLevel="1" x14ac:dyDescent="0.2">
      <c r="B204" s="170" t="s">
        <v>382</v>
      </c>
      <c r="C204" s="14"/>
      <c r="D204" s="148"/>
      <c r="E204" s="92">
        <f>SUM(E200:E202)-E203</f>
        <v>0</v>
      </c>
      <c r="F204" s="92" t="e">
        <f t="shared" ref="F204:Q204" si="168">SUM(F200:F202)-F203</f>
        <v>#REF!</v>
      </c>
      <c r="G204" s="92" t="e">
        <f t="shared" si="168"/>
        <v>#REF!</v>
      </c>
      <c r="H204" s="92" t="e">
        <f t="shared" si="168"/>
        <v>#REF!</v>
      </c>
      <c r="I204" s="92" t="e">
        <f t="shared" si="168"/>
        <v>#REF!</v>
      </c>
      <c r="J204" s="92" t="e">
        <f t="shared" si="168"/>
        <v>#REF!</v>
      </c>
      <c r="K204" s="92" t="e">
        <f t="shared" si="168"/>
        <v>#REF!</v>
      </c>
      <c r="L204" s="92" t="e">
        <f t="shared" si="168"/>
        <v>#REF!</v>
      </c>
      <c r="M204" s="92" t="e">
        <f t="shared" si="168"/>
        <v>#REF!</v>
      </c>
      <c r="N204" s="92" t="e">
        <f t="shared" si="168"/>
        <v>#REF!</v>
      </c>
      <c r="O204" s="92" t="e">
        <f t="shared" si="168"/>
        <v>#REF!</v>
      </c>
      <c r="P204" s="92" t="e">
        <f t="shared" si="168"/>
        <v>#REF!</v>
      </c>
      <c r="Q204" s="92" t="e">
        <f t="shared" si="168"/>
        <v>#REF!</v>
      </c>
      <c r="R204" s="114"/>
    </row>
    <row r="205" spans="1:27" outlineLevel="1" x14ac:dyDescent="0.2">
      <c r="B205" s="163"/>
      <c r="C205" s="14"/>
      <c r="D205" s="148"/>
      <c r="E205" s="92"/>
      <c r="F205" s="92"/>
      <c r="G205" s="92"/>
      <c r="H205" s="92"/>
      <c r="I205" s="92"/>
      <c r="J205" s="92"/>
      <c r="K205" s="92"/>
      <c r="L205" s="92"/>
      <c r="M205" s="114"/>
      <c r="N205" s="114"/>
      <c r="O205" s="114"/>
      <c r="P205" s="114"/>
      <c r="Q205" s="114"/>
      <c r="R205" s="114"/>
    </row>
    <row r="206" spans="1:27" x14ac:dyDescent="0.2">
      <c r="B206" s="49" t="s">
        <v>383</v>
      </c>
      <c r="C206" s="50"/>
      <c r="D206" s="50"/>
      <c r="E206" s="51">
        <f>E203</f>
        <v>0</v>
      </c>
      <c r="F206" s="51">
        <f t="shared" ref="F206:Q206" si="169">F203</f>
        <v>0</v>
      </c>
      <c r="G206" s="51">
        <f t="shared" si="169"/>
        <v>0</v>
      </c>
      <c r="H206" s="51" t="e">
        <f t="shared" si="169"/>
        <v>#REF!</v>
      </c>
      <c r="I206" s="51" t="e">
        <f t="shared" si="169"/>
        <v>#REF!</v>
      </c>
      <c r="J206" s="51" t="e">
        <f t="shared" si="169"/>
        <v>#REF!</v>
      </c>
      <c r="K206" s="51" t="e">
        <f t="shared" si="169"/>
        <v>#REF!</v>
      </c>
      <c r="L206" s="51" t="e">
        <f t="shared" si="169"/>
        <v>#REF!</v>
      </c>
      <c r="M206" s="51" t="e">
        <f t="shared" si="169"/>
        <v>#REF!</v>
      </c>
      <c r="N206" s="51" t="e">
        <f t="shared" si="169"/>
        <v>#REF!</v>
      </c>
      <c r="O206" s="51" t="e">
        <f t="shared" si="169"/>
        <v>#REF!</v>
      </c>
      <c r="P206" s="51" t="e">
        <f t="shared" si="169"/>
        <v>#REF!</v>
      </c>
      <c r="Q206" s="51" t="e">
        <f t="shared" si="169"/>
        <v>#REF!</v>
      </c>
      <c r="R206" s="52" t="e">
        <f>SUM(E206:Q206)</f>
        <v>#REF!</v>
      </c>
      <c r="Z206" s="131" t="s">
        <v>384</v>
      </c>
      <c r="AA206" s="140">
        <v>500000</v>
      </c>
    </row>
    <row r="207" spans="1:27" x14ac:dyDescent="0.2">
      <c r="B207" s="3"/>
      <c r="C207" s="31"/>
      <c r="D207" s="31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3"/>
    </row>
    <row r="208" spans="1:27" outlineLevel="1" x14ac:dyDescent="0.2">
      <c r="B208" s="81" t="s">
        <v>385</v>
      </c>
      <c r="C208" s="31"/>
      <c r="D208" s="31"/>
      <c r="E208" s="234"/>
      <c r="F208" s="234"/>
      <c r="G208" s="234"/>
      <c r="H208" s="234"/>
      <c r="I208" s="234"/>
      <c r="J208" s="234"/>
      <c r="K208" s="234"/>
      <c r="L208" s="234"/>
      <c r="M208" s="234"/>
      <c r="N208" s="234"/>
      <c r="O208" s="234"/>
      <c r="P208" s="234"/>
      <c r="Q208" s="234"/>
      <c r="R208" s="235"/>
    </row>
    <row r="209" spans="1:37" outlineLevel="1" x14ac:dyDescent="0.2">
      <c r="B209" s="227" t="s">
        <v>386</v>
      </c>
      <c r="C209" s="148"/>
      <c r="D209" s="148"/>
      <c r="E209" s="92">
        <f>IF(E3&gt;Assumptions!$G$6,MAX(E45-E197-E203,0),0)</f>
        <v>0</v>
      </c>
      <c r="F209" s="92">
        <f>IF(F3&gt;Assumptions!$G$6,MAX(F45-F197-F203,0),0)</f>
        <v>0</v>
      </c>
      <c r="G209" s="92">
        <f>IF(G3&gt;Assumptions!$G$6,MAX(G45-G197-G203,0),0)</f>
        <v>0</v>
      </c>
      <c r="H209" s="92">
        <f>IF(H3&gt;Assumptions!$G$6,MAX(H45-H197-H203,0),0)</f>
        <v>0</v>
      </c>
      <c r="I209" s="92" t="e">
        <f>IF(I3&gt;Assumptions!$G$6,MAX(I45-I197-I203,0),0)</f>
        <v>#REF!</v>
      </c>
      <c r="J209" s="92" t="e">
        <f>IF(J3&gt;Assumptions!$G$6,MAX(J45-J197-J203,0),0)</f>
        <v>#REF!</v>
      </c>
      <c r="K209" s="92" t="e">
        <f>IF(K3&gt;Assumptions!$G$6,MAX(K45-K197-K203,0),0)</f>
        <v>#REF!</v>
      </c>
      <c r="L209" s="92" t="e">
        <f>IF(L3&gt;Assumptions!$G$6,MAX(L45-L197-L203,0),0)</f>
        <v>#REF!</v>
      </c>
      <c r="M209" s="92" t="e">
        <f>IF(M3&gt;Assumptions!$G$6,MAX(M45-M197-M203,0),0)</f>
        <v>#REF!</v>
      </c>
      <c r="N209" s="92" t="e">
        <f>IF(N3&gt;Assumptions!$G$6,MAX(N45-N197-N203,0),0)</f>
        <v>#REF!</v>
      </c>
      <c r="O209" s="92" t="e">
        <f>IF(O3&gt;Assumptions!$G$6,MAX(O45-O197-O203,0),0)</f>
        <v>#REF!</v>
      </c>
      <c r="P209" s="92" t="e">
        <f>IF(P3&gt;Assumptions!$G$6,MAX(P45-P197-P203,0),0)</f>
        <v>#REF!</v>
      </c>
      <c r="Q209" s="92" t="e">
        <f>IF(Q3&gt;Assumptions!$G$6,MAX(Q45-Q197-Q203,0),0)</f>
        <v>#REF!</v>
      </c>
      <c r="R209" s="92" t="e">
        <f>SUM(E209:Q209)</f>
        <v>#REF!</v>
      </c>
    </row>
    <row r="210" spans="1:37" outlineLevel="1" x14ac:dyDescent="0.2">
      <c r="B210" s="81"/>
      <c r="C210" s="31"/>
      <c r="D210" s="31"/>
      <c r="E210" s="234"/>
      <c r="F210" s="234"/>
      <c r="G210" s="234"/>
      <c r="H210" s="234"/>
      <c r="I210" s="234"/>
      <c r="J210" s="234"/>
      <c r="K210" s="234"/>
      <c r="L210" s="234"/>
      <c r="M210" s="234"/>
      <c r="N210" s="234"/>
      <c r="O210" s="234"/>
      <c r="P210" s="234"/>
      <c r="Q210" s="234"/>
      <c r="R210" s="235"/>
    </row>
    <row r="211" spans="1:37" s="128" customFormat="1" outlineLevel="1" x14ac:dyDescent="0.2">
      <c r="A211" s="184"/>
      <c r="B211" s="227" t="s">
        <v>387</v>
      </c>
      <c r="C211" s="147">
        <f>Assumptions!Q7</f>
        <v>15000000</v>
      </c>
      <c r="D211" s="148"/>
      <c r="E211" s="92">
        <f t="shared" ref="E211:Q211" si="170">E56</f>
        <v>0</v>
      </c>
      <c r="F211" s="92">
        <f t="shared" si="170"/>
        <v>12000000</v>
      </c>
      <c r="G211" s="92">
        <f t="shared" si="170"/>
        <v>10296655</v>
      </c>
      <c r="H211" s="92">
        <f t="shared" si="170"/>
        <v>4630710.625</v>
      </c>
      <c r="I211" s="92">
        <f t="shared" si="170"/>
        <v>0</v>
      </c>
      <c r="J211" s="92">
        <f t="shared" si="170"/>
        <v>0</v>
      </c>
      <c r="K211" s="92">
        <f t="shared" si="170"/>
        <v>0</v>
      </c>
      <c r="L211" s="92">
        <f t="shared" si="170"/>
        <v>0</v>
      </c>
      <c r="M211" s="92">
        <f t="shared" si="170"/>
        <v>0</v>
      </c>
      <c r="N211" s="92">
        <f t="shared" si="170"/>
        <v>0</v>
      </c>
      <c r="O211" s="92">
        <f t="shared" si="170"/>
        <v>0</v>
      </c>
      <c r="P211" s="92">
        <f t="shared" si="170"/>
        <v>0</v>
      </c>
      <c r="Q211" s="92">
        <f t="shared" si="170"/>
        <v>0</v>
      </c>
      <c r="R211" s="92"/>
      <c r="AC211"/>
      <c r="AD211"/>
      <c r="AE211"/>
      <c r="AF211"/>
      <c r="AG211"/>
      <c r="AH211"/>
      <c r="AI211"/>
      <c r="AJ211"/>
      <c r="AK211"/>
    </row>
    <row r="212" spans="1:37" s="128" customFormat="1" outlineLevel="1" x14ac:dyDescent="0.2">
      <c r="A212" s="184"/>
      <c r="B212" s="227" t="s">
        <v>388</v>
      </c>
      <c r="C212" s="148"/>
      <c r="D212" s="148"/>
      <c r="E212" s="92">
        <f t="shared" ref="E212:Q212" si="171">MAX(D212+E31-E224,0)</f>
        <v>0</v>
      </c>
      <c r="F212" s="92" t="e">
        <f t="shared" si="171"/>
        <v>#REF!</v>
      </c>
      <c r="G212" s="92" t="e">
        <f t="shared" si="171"/>
        <v>#REF!</v>
      </c>
      <c r="H212" s="92" t="e">
        <f t="shared" si="171"/>
        <v>#REF!</v>
      </c>
      <c r="I212" s="92" t="e">
        <f t="shared" si="171"/>
        <v>#REF!</v>
      </c>
      <c r="J212" s="92" t="e">
        <f t="shared" si="171"/>
        <v>#REF!</v>
      </c>
      <c r="K212" s="92" t="e">
        <f t="shared" si="171"/>
        <v>#REF!</v>
      </c>
      <c r="L212" s="92" t="e">
        <f t="shared" si="171"/>
        <v>#REF!</v>
      </c>
      <c r="M212" s="92" t="e">
        <f t="shared" si="171"/>
        <v>#REF!</v>
      </c>
      <c r="N212" s="92" t="e">
        <f t="shared" si="171"/>
        <v>#REF!</v>
      </c>
      <c r="O212" s="92" t="e">
        <f t="shared" si="171"/>
        <v>#REF!</v>
      </c>
      <c r="P212" s="92" t="e">
        <f t="shared" si="171"/>
        <v>#REF!</v>
      </c>
      <c r="Q212" s="92" t="e">
        <f t="shared" si="171"/>
        <v>#REF!</v>
      </c>
      <c r="R212" s="92"/>
      <c r="AC212"/>
      <c r="AD212"/>
      <c r="AE212"/>
      <c r="AF212"/>
      <c r="AG212"/>
      <c r="AH212"/>
      <c r="AI212"/>
      <c r="AJ212"/>
      <c r="AK212"/>
    </row>
    <row r="213" spans="1:37" s="128" customFormat="1" outlineLevel="1" x14ac:dyDescent="0.2">
      <c r="A213" s="184"/>
      <c r="B213" s="227" t="s">
        <v>389</v>
      </c>
      <c r="C213" s="148"/>
      <c r="D213" s="148"/>
      <c r="E213" s="92">
        <f t="shared" ref="E213:Q213" si="172">MAX(D213+E29-E225,0)</f>
        <v>75000</v>
      </c>
      <c r="F213" s="92" t="e">
        <f t="shared" si="172"/>
        <v>#REF!</v>
      </c>
      <c r="G213" s="92" t="e">
        <f t="shared" si="172"/>
        <v>#REF!</v>
      </c>
      <c r="H213" s="92" t="e">
        <f t="shared" si="172"/>
        <v>#REF!</v>
      </c>
      <c r="I213" s="92" t="e">
        <f t="shared" si="172"/>
        <v>#REF!</v>
      </c>
      <c r="J213" s="92" t="e">
        <f t="shared" si="172"/>
        <v>#REF!</v>
      </c>
      <c r="K213" s="92" t="e">
        <f t="shared" si="172"/>
        <v>#REF!</v>
      </c>
      <c r="L213" s="92" t="e">
        <f t="shared" si="172"/>
        <v>#REF!</v>
      </c>
      <c r="M213" s="92" t="e">
        <f t="shared" si="172"/>
        <v>#REF!</v>
      </c>
      <c r="N213" s="92" t="e">
        <f t="shared" si="172"/>
        <v>#REF!</v>
      </c>
      <c r="O213" s="92" t="e">
        <f t="shared" si="172"/>
        <v>#REF!</v>
      </c>
      <c r="P213" s="92" t="e">
        <f t="shared" si="172"/>
        <v>#REF!</v>
      </c>
      <c r="Q213" s="92" t="e">
        <f t="shared" si="172"/>
        <v>#REF!</v>
      </c>
      <c r="R213" s="92"/>
    </row>
    <row r="214" spans="1:37" s="128" customFormat="1" outlineLevel="1" x14ac:dyDescent="0.2">
      <c r="A214" s="184"/>
      <c r="B214" s="227"/>
      <c r="C214" s="148"/>
      <c r="D214" s="148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</row>
    <row r="215" spans="1:37" s="128" customFormat="1" hidden="1" outlineLevel="1" x14ac:dyDescent="0.2">
      <c r="A215" s="184"/>
      <c r="B215" s="449" t="s">
        <v>390</v>
      </c>
      <c r="C215" s="450">
        <f>Assumptions!K7</f>
        <v>0.01</v>
      </c>
      <c r="D215" s="451"/>
      <c r="E215" s="417"/>
      <c r="F215" s="417"/>
      <c r="G215" s="417"/>
      <c r="H215" s="417"/>
      <c r="I215" s="417"/>
      <c r="J215" s="417"/>
      <c r="K215" s="417"/>
      <c r="L215" s="417"/>
      <c r="M215" s="417"/>
      <c r="N215" s="417"/>
      <c r="O215" s="417"/>
      <c r="P215" s="417"/>
      <c r="Q215" s="92"/>
      <c r="R215" s="92"/>
    </row>
    <row r="216" spans="1:37" s="128" customFormat="1" hidden="1" outlineLevel="1" x14ac:dyDescent="0.2">
      <c r="A216" s="184"/>
      <c r="B216" s="449" t="s">
        <v>391</v>
      </c>
      <c r="C216" s="451"/>
      <c r="D216" s="451"/>
      <c r="E216" s="417"/>
      <c r="F216" s="417"/>
      <c r="G216" s="417"/>
      <c r="H216" s="417"/>
      <c r="I216" s="417"/>
      <c r="J216" s="417"/>
      <c r="K216" s="417"/>
      <c r="L216" s="417"/>
      <c r="M216" s="417"/>
      <c r="N216" s="417"/>
      <c r="O216" s="417"/>
      <c r="P216" s="417"/>
      <c r="Q216" s="92"/>
      <c r="R216" s="92"/>
    </row>
    <row r="217" spans="1:37" s="128" customFormat="1" hidden="1" outlineLevel="1" x14ac:dyDescent="0.2">
      <c r="A217" s="184"/>
      <c r="B217" s="449" t="s">
        <v>392</v>
      </c>
      <c r="C217" s="451"/>
      <c r="D217" s="451"/>
      <c r="E217" s="417"/>
      <c r="F217" s="417"/>
      <c r="G217" s="417"/>
      <c r="H217" s="417"/>
      <c r="I217" s="417"/>
      <c r="J217" s="417"/>
      <c r="K217" s="417"/>
      <c r="L217" s="417"/>
      <c r="M217" s="417"/>
      <c r="N217" s="417"/>
      <c r="O217" s="417"/>
      <c r="P217" s="417"/>
      <c r="Q217" s="92"/>
      <c r="R217" s="92">
        <f>SUM(E217:Q217)</f>
        <v>0</v>
      </c>
    </row>
    <row r="218" spans="1:37" s="128" customFormat="1" hidden="1" outlineLevel="1" x14ac:dyDescent="0.2">
      <c r="A218" s="184"/>
      <c r="B218" s="227"/>
      <c r="C218" s="148"/>
      <c r="D218" s="148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</row>
    <row r="219" spans="1:37" s="128" customFormat="1" outlineLevel="1" x14ac:dyDescent="0.2">
      <c r="A219" s="184"/>
      <c r="B219" s="227" t="s">
        <v>393</v>
      </c>
      <c r="C219" s="40">
        <f>Assumptions!K10</f>
        <v>0.15</v>
      </c>
      <c r="D219" s="148"/>
      <c r="E219" s="92">
        <f>D212*$C$219</f>
        <v>0</v>
      </c>
      <c r="F219" s="92">
        <f t="shared" ref="F219:Q219" si="173">E212*$C$219</f>
        <v>0</v>
      </c>
      <c r="G219" s="92" t="e">
        <f t="shared" si="173"/>
        <v>#REF!</v>
      </c>
      <c r="H219" s="92" t="e">
        <f t="shared" si="173"/>
        <v>#REF!</v>
      </c>
      <c r="I219" s="92" t="e">
        <f t="shared" si="173"/>
        <v>#REF!</v>
      </c>
      <c r="J219" s="92" t="e">
        <f t="shared" si="173"/>
        <v>#REF!</v>
      </c>
      <c r="K219" s="92" t="e">
        <f t="shared" si="173"/>
        <v>#REF!</v>
      </c>
      <c r="L219" s="92" t="e">
        <f t="shared" si="173"/>
        <v>#REF!</v>
      </c>
      <c r="M219" s="92" t="e">
        <f t="shared" si="173"/>
        <v>#REF!</v>
      </c>
      <c r="N219" s="92" t="e">
        <f t="shared" si="173"/>
        <v>#REF!</v>
      </c>
      <c r="O219" s="92" t="e">
        <f t="shared" si="173"/>
        <v>#REF!</v>
      </c>
      <c r="P219" s="92" t="e">
        <f t="shared" si="173"/>
        <v>#REF!</v>
      </c>
      <c r="Q219" s="92" t="e">
        <f t="shared" si="173"/>
        <v>#REF!</v>
      </c>
      <c r="R219" s="92"/>
    </row>
    <row r="220" spans="1:37" s="128" customFormat="1" outlineLevel="1" x14ac:dyDescent="0.2">
      <c r="A220" s="184"/>
      <c r="B220" s="227" t="s">
        <v>394</v>
      </c>
      <c r="C220" s="148"/>
      <c r="D220" s="148"/>
      <c r="E220" s="92">
        <f>D220-D221+E219</f>
        <v>0</v>
      </c>
      <c r="F220" s="92">
        <f t="shared" ref="F220:Q220" si="174">E220-E221+F219</f>
        <v>0</v>
      </c>
      <c r="G220" s="92" t="e">
        <f t="shared" si="174"/>
        <v>#REF!</v>
      </c>
      <c r="H220" s="92" t="e">
        <f t="shared" si="174"/>
        <v>#REF!</v>
      </c>
      <c r="I220" s="92" t="e">
        <f t="shared" si="174"/>
        <v>#REF!</v>
      </c>
      <c r="J220" s="92" t="e">
        <f t="shared" si="174"/>
        <v>#REF!</v>
      </c>
      <c r="K220" s="92" t="e">
        <f t="shared" si="174"/>
        <v>#REF!</v>
      </c>
      <c r="L220" s="92" t="e">
        <f t="shared" si="174"/>
        <v>#REF!</v>
      </c>
      <c r="M220" s="92" t="e">
        <f t="shared" si="174"/>
        <v>#REF!</v>
      </c>
      <c r="N220" s="92" t="e">
        <f t="shared" si="174"/>
        <v>#REF!</v>
      </c>
      <c r="O220" s="92" t="e">
        <f t="shared" si="174"/>
        <v>#REF!</v>
      </c>
      <c r="P220" s="92" t="e">
        <f t="shared" si="174"/>
        <v>#REF!</v>
      </c>
      <c r="Q220" s="92" t="e">
        <f t="shared" si="174"/>
        <v>#REF!</v>
      </c>
      <c r="R220" s="92"/>
    </row>
    <row r="221" spans="1:37" s="128" customFormat="1" outlineLevel="1" x14ac:dyDescent="0.2">
      <c r="A221" s="184"/>
      <c r="B221" s="227" t="s">
        <v>395</v>
      </c>
      <c r="C221" s="148"/>
      <c r="D221" s="148"/>
      <c r="E221" s="92">
        <f>IFERROR(MIN(E216+E220,E209)*E220/(E216+E220),0)</f>
        <v>0</v>
      </c>
      <c r="F221" s="92">
        <f t="shared" ref="F221:Q221" si="175">IFERROR(MIN(F216+F220,F209)*F220/(F216+F220),0)</f>
        <v>0</v>
      </c>
      <c r="G221" s="92">
        <f t="shared" si="175"/>
        <v>0</v>
      </c>
      <c r="H221" s="92">
        <f t="shared" si="175"/>
        <v>0</v>
      </c>
      <c r="I221" s="92">
        <f t="shared" si="175"/>
        <v>0</v>
      </c>
      <c r="J221" s="92">
        <f t="shared" si="175"/>
        <v>0</v>
      </c>
      <c r="K221" s="92">
        <f t="shared" si="175"/>
        <v>0</v>
      </c>
      <c r="L221" s="92">
        <f t="shared" si="175"/>
        <v>0</v>
      </c>
      <c r="M221" s="92">
        <f t="shared" si="175"/>
        <v>0</v>
      </c>
      <c r="N221" s="92">
        <f t="shared" si="175"/>
        <v>0</v>
      </c>
      <c r="O221" s="92">
        <f t="shared" si="175"/>
        <v>0</v>
      </c>
      <c r="P221" s="92">
        <f t="shared" si="175"/>
        <v>0</v>
      </c>
      <c r="Q221" s="92">
        <f t="shared" si="175"/>
        <v>0</v>
      </c>
      <c r="R221" s="92">
        <f>SUM(E221:Q221)</f>
        <v>0</v>
      </c>
    </row>
    <row r="222" spans="1:37" s="128" customFormat="1" outlineLevel="1" x14ac:dyDescent="0.2">
      <c r="A222" s="184"/>
      <c r="C222" s="148"/>
      <c r="D222" s="148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</row>
    <row r="223" spans="1:37" s="128" customFormat="1" outlineLevel="1" x14ac:dyDescent="0.2">
      <c r="A223" s="184"/>
      <c r="B223" s="227" t="s">
        <v>396</v>
      </c>
      <c r="C223" s="425" t="e">
        <f>Assumptions!#REF!</f>
        <v>#REF!</v>
      </c>
      <c r="D223" s="148"/>
      <c r="E223" s="92"/>
      <c r="F223" s="92" t="e">
        <f>MAX((F209-F217-F221-E212)*$C223,0)</f>
        <v>#REF!</v>
      </c>
      <c r="G223" s="92" t="e">
        <f t="shared" ref="G223:Q223" si="176">MAX((G209-G217-G221-F212)*$C223,0)</f>
        <v>#REF!</v>
      </c>
      <c r="H223" s="92" t="e">
        <f t="shared" si="176"/>
        <v>#REF!</v>
      </c>
      <c r="I223" s="92" t="e">
        <f t="shared" si="176"/>
        <v>#REF!</v>
      </c>
      <c r="J223" s="92" t="e">
        <f t="shared" si="176"/>
        <v>#REF!</v>
      </c>
      <c r="K223" s="92" t="e">
        <f t="shared" si="176"/>
        <v>#REF!</v>
      </c>
      <c r="L223" s="92" t="e">
        <f t="shared" si="176"/>
        <v>#REF!</v>
      </c>
      <c r="M223" s="92" t="e">
        <f t="shared" si="176"/>
        <v>#REF!</v>
      </c>
      <c r="N223" s="92" t="e">
        <f t="shared" si="176"/>
        <v>#REF!</v>
      </c>
      <c r="O223" s="92" t="e">
        <f t="shared" si="176"/>
        <v>#REF!</v>
      </c>
      <c r="P223" s="92" t="e">
        <f t="shared" si="176"/>
        <v>#REF!</v>
      </c>
      <c r="Q223" s="92" t="e">
        <f t="shared" si="176"/>
        <v>#REF!</v>
      </c>
      <c r="R223" s="92" t="e">
        <f t="shared" ref="R223:R225" si="177">SUM(E223:Q223)</f>
        <v>#REF!</v>
      </c>
    </row>
    <row r="224" spans="1:37" s="128" customFormat="1" outlineLevel="1" x14ac:dyDescent="0.2">
      <c r="A224" s="184"/>
      <c r="B224" s="227" t="s">
        <v>397</v>
      </c>
      <c r="C224" s="425" t="e">
        <f>Assumptions!#REF!</f>
        <v>#REF!</v>
      </c>
      <c r="D224" s="148"/>
      <c r="E224" s="92"/>
      <c r="F224" s="92" t="e">
        <f>MAX((F209-F217-F221-E212)*$C224,0)+MIN(F209-F217-F221,E212)</f>
        <v>#REF!</v>
      </c>
      <c r="G224" s="92" t="e">
        <f t="shared" ref="G224:M224" si="178">MAX((G209-G217-G221-F212)*$C224,0)+MIN(G209-G217-G221,F212)</f>
        <v>#REF!</v>
      </c>
      <c r="H224" s="92" t="e">
        <f t="shared" si="178"/>
        <v>#REF!</v>
      </c>
      <c r="I224" s="92" t="e">
        <f t="shared" si="178"/>
        <v>#REF!</v>
      </c>
      <c r="J224" s="92" t="e">
        <f t="shared" si="178"/>
        <v>#REF!</v>
      </c>
      <c r="K224" s="92" t="e">
        <f t="shared" si="178"/>
        <v>#REF!</v>
      </c>
      <c r="L224" s="92" t="e">
        <f t="shared" si="178"/>
        <v>#REF!</v>
      </c>
      <c r="M224" s="92" t="e">
        <f t="shared" si="178"/>
        <v>#REF!</v>
      </c>
      <c r="N224" s="92" t="e">
        <f t="shared" ref="N224:Q224" si="179">MAX((N209-N217-N221-M212)*$C224,0)</f>
        <v>#REF!</v>
      </c>
      <c r="O224" s="92" t="e">
        <f t="shared" si="179"/>
        <v>#REF!</v>
      </c>
      <c r="P224" s="92" t="e">
        <f t="shared" si="179"/>
        <v>#REF!</v>
      </c>
      <c r="Q224" s="92" t="e">
        <f t="shared" si="179"/>
        <v>#REF!</v>
      </c>
      <c r="R224" s="92" t="e">
        <f t="shared" si="177"/>
        <v>#REF!</v>
      </c>
      <c r="S224" s="186"/>
      <c r="T224" s="186"/>
      <c r="U224" s="186"/>
      <c r="V224" s="186"/>
      <c r="W224" s="186"/>
      <c r="X224" s="186"/>
      <c r="Y224" s="186"/>
      <c r="Z224" s="186"/>
      <c r="AA224" s="186"/>
      <c r="AB224" s="186"/>
    </row>
    <row r="225" spans="1:37" s="128" customFormat="1" outlineLevel="1" x14ac:dyDescent="0.2">
      <c r="A225" s="184"/>
      <c r="B225" s="227" t="s">
        <v>398</v>
      </c>
      <c r="C225" s="425" t="e">
        <f>Assumptions!#REF!</f>
        <v>#REF!</v>
      </c>
      <c r="D225" s="148"/>
      <c r="E225" s="92"/>
      <c r="F225" s="92" t="e">
        <f>MAX((F209-F217-F221-E212)*$C225,0)</f>
        <v>#REF!</v>
      </c>
      <c r="G225" s="92" t="e">
        <f t="shared" ref="G225:Q225" si="180">MAX((G209-G217-G221-F212)*$C225,0)</f>
        <v>#REF!</v>
      </c>
      <c r="H225" s="92" t="e">
        <f t="shared" si="180"/>
        <v>#REF!</v>
      </c>
      <c r="I225" s="92" t="e">
        <f t="shared" si="180"/>
        <v>#REF!</v>
      </c>
      <c r="J225" s="92" t="e">
        <f t="shared" si="180"/>
        <v>#REF!</v>
      </c>
      <c r="K225" s="92" t="e">
        <f t="shared" si="180"/>
        <v>#REF!</v>
      </c>
      <c r="L225" s="92" t="e">
        <f t="shared" si="180"/>
        <v>#REF!</v>
      </c>
      <c r="M225" s="92" t="e">
        <f t="shared" si="180"/>
        <v>#REF!</v>
      </c>
      <c r="N225" s="92" t="e">
        <f t="shared" si="180"/>
        <v>#REF!</v>
      </c>
      <c r="O225" s="92" t="e">
        <f t="shared" si="180"/>
        <v>#REF!</v>
      </c>
      <c r="P225" s="92" t="e">
        <f t="shared" si="180"/>
        <v>#REF!</v>
      </c>
      <c r="Q225" s="92" t="e">
        <f t="shared" si="180"/>
        <v>#REF!</v>
      </c>
      <c r="R225" s="92" t="e">
        <f t="shared" si="177"/>
        <v>#REF!</v>
      </c>
    </row>
    <row r="226" spans="1:37" s="186" customFormat="1" x14ac:dyDescent="0.2">
      <c r="A226" s="185"/>
      <c r="B226" s="232" t="s">
        <v>399</v>
      </c>
      <c r="C226" s="232"/>
      <c r="D226" s="232"/>
      <c r="E226" s="249">
        <f t="shared" ref="E226:Q226" si="181">E217+E221+SUM(E223:E225)</f>
        <v>0</v>
      </c>
      <c r="F226" s="249" t="e">
        <f t="shared" si="181"/>
        <v>#REF!</v>
      </c>
      <c r="G226" s="249" t="e">
        <f t="shared" si="181"/>
        <v>#REF!</v>
      </c>
      <c r="H226" s="249" t="e">
        <f t="shared" si="181"/>
        <v>#REF!</v>
      </c>
      <c r="I226" s="249" t="e">
        <f t="shared" si="181"/>
        <v>#REF!</v>
      </c>
      <c r="J226" s="249" t="e">
        <f t="shared" si="181"/>
        <v>#REF!</v>
      </c>
      <c r="K226" s="249" t="e">
        <f t="shared" si="181"/>
        <v>#REF!</v>
      </c>
      <c r="L226" s="249" t="e">
        <f t="shared" si="181"/>
        <v>#REF!</v>
      </c>
      <c r="M226" s="249" t="e">
        <f>M217+M221+SUM(M223:M225)</f>
        <v>#REF!</v>
      </c>
      <c r="N226" s="249" t="e">
        <f t="shared" si="181"/>
        <v>#REF!</v>
      </c>
      <c r="O226" s="249" t="e">
        <f t="shared" si="181"/>
        <v>#REF!</v>
      </c>
      <c r="P226" s="249" t="e">
        <f t="shared" si="181"/>
        <v>#REF!</v>
      </c>
      <c r="Q226" s="249" t="e">
        <f t="shared" si="181"/>
        <v>#REF!</v>
      </c>
      <c r="R226" s="233" t="e">
        <f>SUM(E226:Q226)</f>
        <v>#REF!</v>
      </c>
      <c r="S226" s="128"/>
      <c r="T226" s="114"/>
      <c r="U226" s="114"/>
      <c r="V226" s="114"/>
      <c r="W226" s="114"/>
      <c r="X226" s="114"/>
      <c r="Y226" s="114"/>
      <c r="Z226" s="114"/>
      <c r="AA226" s="114"/>
      <c r="AB226" s="128"/>
    </row>
    <row r="227" spans="1:37" ht="17" thickBot="1" x14ac:dyDescent="0.25">
      <c r="B227" s="228"/>
      <c r="C227" s="28"/>
      <c r="D227" s="28"/>
      <c r="E227" s="2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T227" s="11"/>
      <c r="U227" s="11"/>
      <c r="V227" s="11"/>
      <c r="W227" s="11"/>
      <c r="X227" s="11"/>
      <c r="Y227" s="11"/>
      <c r="Z227" s="11"/>
      <c r="AA227" s="11"/>
      <c r="AC227" s="128"/>
      <c r="AD227" s="128"/>
      <c r="AE227" s="128"/>
      <c r="AF227" s="128"/>
      <c r="AG227" s="128"/>
      <c r="AH227" s="128"/>
      <c r="AI227" s="128"/>
      <c r="AJ227" s="128"/>
      <c r="AK227" s="128"/>
    </row>
    <row r="228" spans="1:37" ht="17" thickTop="1" x14ac:dyDescent="0.2">
      <c r="B228" s="30" t="s">
        <v>150</v>
      </c>
      <c r="C228" s="3"/>
      <c r="D228" s="3"/>
      <c r="E228" s="24">
        <f>E197+E206+E226</f>
        <v>40556.25</v>
      </c>
      <c r="F228" s="24" t="e">
        <f>F197+F206+F226</f>
        <v>#REF!</v>
      </c>
      <c r="G228" s="24" t="e">
        <f t="shared" ref="G228:Q228" si="182">G197+G206+G226</f>
        <v>#REF!</v>
      </c>
      <c r="H228" s="24" t="e">
        <f t="shared" si="182"/>
        <v>#REF!</v>
      </c>
      <c r="I228" s="24" t="e">
        <f t="shared" si="182"/>
        <v>#REF!</v>
      </c>
      <c r="J228" s="24" t="e">
        <f t="shared" si="182"/>
        <v>#REF!</v>
      </c>
      <c r="K228" s="24" t="e">
        <f t="shared" si="182"/>
        <v>#REF!</v>
      </c>
      <c r="L228" s="24" t="e">
        <f t="shared" si="182"/>
        <v>#REF!</v>
      </c>
      <c r="M228" s="24" t="e">
        <f t="shared" si="182"/>
        <v>#REF!</v>
      </c>
      <c r="N228" s="24" t="e">
        <f t="shared" si="182"/>
        <v>#REF!</v>
      </c>
      <c r="O228" s="24" t="e">
        <f t="shared" si="182"/>
        <v>#REF!</v>
      </c>
      <c r="P228" s="24" t="e">
        <f t="shared" si="182"/>
        <v>#REF!</v>
      </c>
      <c r="Q228" s="24" t="e">
        <f t="shared" si="182"/>
        <v>#REF!</v>
      </c>
      <c r="R228" s="24" t="e">
        <f>SUM(E228:Q228)</f>
        <v>#REF!</v>
      </c>
      <c r="U228" s="11"/>
      <c r="V228" s="11"/>
      <c r="W228" s="11"/>
      <c r="X228" s="11"/>
      <c r="Y228" s="11"/>
      <c r="Z228" s="11"/>
      <c r="AA228" s="11"/>
      <c r="AC228" s="128"/>
      <c r="AD228" s="128"/>
      <c r="AE228" s="128"/>
      <c r="AF228" s="128"/>
      <c r="AG228" s="128"/>
      <c r="AH228" s="128"/>
      <c r="AI228" s="128"/>
      <c r="AJ228" s="128"/>
      <c r="AK228" s="128"/>
    </row>
    <row r="229" spans="1:37" x14ac:dyDescent="0.2"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1"/>
    </row>
    <row r="230" spans="1:37" x14ac:dyDescent="0.2">
      <c r="B230" s="4" t="s">
        <v>400</v>
      </c>
      <c r="C230" s="147"/>
      <c r="D230" s="147"/>
      <c r="E230" s="95">
        <f>E45-E228</f>
        <v>34443.75</v>
      </c>
      <c r="F230" s="95" t="e">
        <f t="shared" ref="F230:Q230" si="183">F45-F228+E230</f>
        <v>#REF!</v>
      </c>
      <c r="G230" s="95" t="e">
        <f t="shared" si="183"/>
        <v>#REF!</v>
      </c>
      <c r="H230" s="95" t="e">
        <f t="shared" si="183"/>
        <v>#REF!</v>
      </c>
      <c r="I230" s="95" t="e">
        <f t="shared" si="183"/>
        <v>#REF!</v>
      </c>
      <c r="J230" s="95" t="e">
        <f t="shared" si="183"/>
        <v>#REF!</v>
      </c>
      <c r="K230" s="95" t="e">
        <f t="shared" si="183"/>
        <v>#REF!</v>
      </c>
      <c r="L230" s="95" t="e">
        <f t="shared" si="183"/>
        <v>#REF!</v>
      </c>
      <c r="M230" s="95" t="e">
        <f t="shared" si="183"/>
        <v>#REF!</v>
      </c>
      <c r="N230" s="95" t="e">
        <f t="shared" si="183"/>
        <v>#REF!</v>
      </c>
      <c r="O230" s="95" t="e">
        <f t="shared" si="183"/>
        <v>#REF!</v>
      </c>
      <c r="P230" s="95" t="e">
        <f t="shared" si="183"/>
        <v>#REF!</v>
      </c>
      <c r="Q230" s="95" t="e">
        <f t="shared" si="183"/>
        <v>#REF!</v>
      </c>
      <c r="R230" s="11"/>
    </row>
    <row r="231" spans="1:37" x14ac:dyDescent="0.2">
      <c r="B231" s="4"/>
      <c r="H231" s="11"/>
      <c r="I231" s="11"/>
      <c r="J231" s="11"/>
      <c r="K231" s="11"/>
      <c r="L231" s="11"/>
      <c r="M231" s="11"/>
    </row>
    <row r="232" spans="1:37" x14ac:dyDescent="0.2">
      <c r="B232" s="4" t="s">
        <v>401</v>
      </c>
      <c r="E232" s="24">
        <f>-SUM(E29:E31)+E226</f>
        <v>-75000</v>
      </c>
      <c r="F232" s="24" t="e">
        <f>-SUM(F29:F31)-C56+F226+F58</f>
        <v>#REF!</v>
      </c>
      <c r="G232" s="24" t="e">
        <f t="shared" ref="G232:Q232" si="184">-SUM(G29:G31)+G226+G58</f>
        <v>#REF!</v>
      </c>
      <c r="H232" s="24" t="e">
        <f t="shared" si="184"/>
        <v>#REF!</v>
      </c>
      <c r="I232" s="24" t="e">
        <f t="shared" si="184"/>
        <v>#REF!</v>
      </c>
      <c r="J232" s="24" t="e">
        <f t="shared" si="184"/>
        <v>#REF!</v>
      </c>
      <c r="K232" s="24" t="e">
        <f t="shared" si="184"/>
        <v>#REF!</v>
      </c>
      <c r="L232" s="24" t="e">
        <f t="shared" si="184"/>
        <v>#REF!</v>
      </c>
      <c r="M232" s="24" t="e">
        <f t="shared" si="184"/>
        <v>#REF!</v>
      </c>
      <c r="N232" s="24" t="e">
        <f t="shared" si="184"/>
        <v>#REF!</v>
      </c>
      <c r="O232" s="24" t="e">
        <f t="shared" si="184"/>
        <v>#REF!</v>
      </c>
      <c r="P232" s="24" t="e">
        <f t="shared" si="184"/>
        <v>#REF!</v>
      </c>
      <c r="Q232" s="24" t="e">
        <f t="shared" si="184"/>
        <v>#REF!</v>
      </c>
      <c r="R232" s="24" t="e">
        <f>SUM(E232:Q232)</f>
        <v>#REF!</v>
      </c>
      <c r="Z232" s="131" t="s">
        <v>402</v>
      </c>
      <c r="AA232" s="97" t="e">
        <f>+ROUND(R228-R45,0)</f>
        <v>#REF!</v>
      </c>
    </row>
    <row r="233" spans="1:37" x14ac:dyDescent="0.2">
      <c r="Z233" s="131" t="s">
        <v>403</v>
      </c>
      <c r="AA233" s="97" t="e">
        <f>ROUND(L230-0,0)</f>
        <v>#REF!</v>
      </c>
    </row>
    <row r="234" spans="1:37" x14ac:dyDescent="0.2">
      <c r="F234" s="11"/>
      <c r="L234" s="11"/>
      <c r="M234" s="11"/>
      <c r="N234" s="11"/>
      <c r="O234" s="11"/>
      <c r="P234" s="11"/>
      <c r="Q234" s="11"/>
      <c r="Z234" s="131"/>
      <c r="AA234" s="124"/>
    </row>
    <row r="235" spans="1:37" x14ac:dyDescent="0.2">
      <c r="F235" s="11"/>
      <c r="L235" s="11"/>
      <c r="M235" s="11"/>
      <c r="N235" s="11"/>
      <c r="O235" s="11"/>
      <c r="P235" s="11"/>
      <c r="Q235" s="11"/>
      <c r="Z235" s="131"/>
      <c r="AA235" s="124"/>
    </row>
    <row r="236" spans="1:37" outlineLevel="1" x14ac:dyDescent="0.2">
      <c r="B236" s="3" t="str">
        <f>B1</f>
        <v>BRUNDAGE - RESI DEVELOPMENT: PROFORMA</v>
      </c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7"/>
    </row>
    <row r="237" spans="1:37" outlineLevel="1" x14ac:dyDescent="0.2">
      <c r="B237" s="3" t="s">
        <v>404</v>
      </c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7"/>
    </row>
    <row r="238" spans="1:37" outlineLevel="1" x14ac:dyDescent="0.2">
      <c r="B238" s="123" t="str">
        <f>B28</f>
        <v>SOURCES</v>
      </c>
      <c r="C238" s="123"/>
      <c r="D238" s="123"/>
      <c r="E238" s="173">
        <f t="shared" ref="E238:Q238" si="185">E5</f>
        <v>44927</v>
      </c>
      <c r="F238" s="173">
        <f t="shared" si="185"/>
        <v>45292</v>
      </c>
      <c r="G238" s="173">
        <f t="shared" si="185"/>
        <v>45658</v>
      </c>
      <c r="H238" s="173">
        <f t="shared" si="185"/>
        <v>46023</v>
      </c>
      <c r="I238" s="173">
        <f t="shared" si="185"/>
        <v>46388</v>
      </c>
      <c r="J238" s="173">
        <f t="shared" si="185"/>
        <v>46753</v>
      </c>
      <c r="K238" s="173">
        <f t="shared" si="185"/>
        <v>47119</v>
      </c>
      <c r="L238" s="173">
        <f t="shared" si="185"/>
        <v>47484</v>
      </c>
      <c r="M238" s="173">
        <f t="shared" si="185"/>
        <v>47849</v>
      </c>
      <c r="N238" s="173">
        <f t="shared" si="185"/>
        <v>48214</v>
      </c>
      <c r="O238" s="173">
        <f t="shared" si="185"/>
        <v>48579</v>
      </c>
      <c r="P238" s="173">
        <f t="shared" si="185"/>
        <v>48945</v>
      </c>
      <c r="Q238" s="173">
        <f t="shared" si="185"/>
        <v>49310</v>
      </c>
      <c r="R238" s="173" t="s">
        <v>228</v>
      </c>
    </row>
    <row r="239" spans="1:37" outlineLevel="1" x14ac:dyDescent="0.2">
      <c r="B239" t="str">
        <f>B29</f>
        <v>CM - PURSUIT CAPITAL</v>
      </c>
      <c r="C239" s="12"/>
      <c r="D239" s="12"/>
      <c r="E239" s="174">
        <f t="shared" ref="E239:R239" si="186">E29</f>
        <v>75000</v>
      </c>
      <c r="F239" s="174">
        <f t="shared" si="186"/>
        <v>0</v>
      </c>
      <c r="G239" s="174">
        <f t="shared" si="186"/>
        <v>0</v>
      </c>
      <c r="H239" s="174">
        <f t="shared" si="186"/>
        <v>0</v>
      </c>
      <c r="I239" s="174">
        <f t="shared" si="186"/>
        <v>0</v>
      </c>
      <c r="J239" s="174">
        <f t="shared" si="186"/>
        <v>0</v>
      </c>
      <c r="K239" s="174">
        <f t="shared" si="186"/>
        <v>0</v>
      </c>
      <c r="L239" s="174">
        <f t="shared" si="186"/>
        <v>0</v>
      </c>
      <c r="M239" s="174">
        <f t="shared" si="186"/>
        <v>0</v>
      </c>
      <c r="N239" s="174">
        <f t="shared" si="186"/>
        <v>0</v>
      </c>
      <c r="O239" s="174">
        <f t="shared" si="186"/>
        <v>0</v>
      </c>
      <c r="P239" s="174">
        <f t="shared" si="186"/>
        <v>0</v>
      </c>
      <c r="Q239" s="174">
        <f t="shared" si="186"/>
        <v>0</v>
      </c>
      <c r="R239" s="174">
        <f t="shared" si="186"/>
        <v>75000</v>
      </c>
    </row>
    <row r="240" spans="1:37" outlineLevel="1" x14ac:dyDescent="0.2">
      <c r="B240" s="222" t="str">
        <f>B31</f>
        <v>PM2 - EQUITY (CASH)</v>
      </c>
      <c r="C240" s="21"/>
      <c r="D240" s="21"/>
      <c r="E240" s="436">
        <f t="shared" ref="E240:R240" si="187">E31</f>
        <v>0</v>
      </c>
      <c r="F240" s="436" t="e">
        <f t="shared" si="187"/>
        <v>#REF!</v>
      </c>
      <c r="G240" s="436">
        <f t="shared" si="187"/>
        <v>0</v>
      </c>
      <c r="H240" s="436">
        <f t="shared" si="187"/>
        <v>0</v>
      </c>
      <c r="I240" s="436">
        <f t="shared" si="187"/>
        <v>0</v>
      </c>
      <c r="J240" s="436">
        <f t="shared" si="187"/>
        <v>0</v>
      </c>
      <c r="K240" s="436">
        <f t="shared" si="187"/>
        <v>0</v>
      </c>
      <c r="L240" s="436">
        <f t="shared" si="187"/>
        <v>0</v>
      </c>
      <c r="M240" s="436">
        <f t="shared" si="187"/>
        <v>0</v>
      </c>
      <c r="N240" s="436">
        <f t="shared" si="187"/>
        <v>0</v>
      </c>
      <c r="O240" s="436">
        <f t="shared" si="187"/>
        <v>0</v>
      </c>
      <c r="P240" s="436">
        <f t="shared" si="187"/>
        <v>0</v>
      </c>
      <c r="Q240" s="436">
        <f t="shared" si="187"/>
        <v>0</v>
      </c>
      <c r="R240" s="436" t="e">
        <f t="shared" si="187"/>
        <v>#REF!</v>
      </c>
    </row>
    <row r="241" spans="2:23" outlineLevel="1" x14ac:dyDescent="0.2">
      <c r="B241" t="str">
        <f>B32</f>
        <v>EQUITY / PROJECT ACQUISITION + ENTITLEMENT</v>
      </c>
      <c r="C241" s="12"/>
      <c r="D241" s="12"/>
      <c r="E241" s="174">
        <f t="shared" ref="E241:R241" si="188">E32</f>
        <v>75000</v>
      </c>
      <c r="F241" s="174" t="e">
        <f t="shared" si="188"/>
        <v>#REF!</v>
      </c>
      <c r="G241" s="174">
        <f t="shared" si="188"/>
        <v>0</v>
      </c>
      <c r="H241" s="174">
        <f t="shared" si="188"/>
        <v>0</v>
      </c>
      <c r="I241" s="174">
        <f t="shared" si="188"/>
        <v>0</v>
      </c>
      <c r="J241" s="174">
        <f t="shared" si="188"/>
        <v>0</v>
      </c>
      <c r="K241" s="174">
        <f t="shared" si="188"/>
        <v>0</v>
      </c>
      <c r="L241" s="174">
        <f t="shared" si="188"/>
        <v>0</v>
      </c>
      <c r="M241" s="174">
        <f t="shared" si="188"/>
        <v>0</v>
      </c>
      <c r="N241" s="174">
        <f t="shared" si="188"/>
        <v>0</v>
      </c>
      <c r="O241" s="174">
        <f t="shared" si="188"/>
        <v>0</v>
      </c>
      <c r="P241" s="174">
        <f t="shared" si="188"/>
        <v>0</v>
      </c>
      <c r="Q241" s="174">
        <f t="shared" si="188"/>
        <v>0</v>
      </c>
      <c r="R241" s="174" t="e">
        <f t="shared" si="188"/>
        <v>#REF!</v>
      </c>
    </row>
    <row r="242" spans="2:23" outlineLevel="1" x14ac:dyDescent="0.2">
      <c r="B242" t="str">
        <f>B35</f>
        <v>DEBT</v>
      </c>
      <c r="C242" s="12"/>
      <c r="D242" s="12"/>
      <c r="E242" s="174">
        <f t="shared" ref="E242:R242" si="189">E35</f>
        <v>0</v>
      </c>
      <c r="F242" s="174" t="e">
        <f t="shared" si="189"/>
        <v>#REF!</v>
      </c>
      <c r="G242" s="174" t="e">
        <f t="shared" si="189"/>
        <v>#REF!</v>
      </c>
      <c r="H242" s="174" t="e">
        <f t="shared" si="189"/>
        <v>#REF!</v>
      </c>
      <c r="I242" s="174" t="e">
        <f t="shared" si="189"/>
        <v>#REF!</v>
      </c>
      <c r="J242" s="174" t="e">
        <f t="shared" si="189"/>
        <v>#REF!</v>
      </c>
      <c r="K242" s="174" t="e">
        <f t="shared" si="189"/>
        <v>#REF!</v>
      </c>
      <c r="L242" s="174" t="e">
        <f t="shared" si="189"/>
        <v>#REF!</v>
      </c>
      <c r="M242" s="174" t="e">
        <f t="shared" si="189"/>
        <v>#REF!</v>
      </c>
      <c r="N242" s="174">
        <f t="shared" si="189"/>
        <v>0</v>
      </c>
      <c r="O242" s="174" t="e">
        <f t="shared" si="189"/>
        <v>#REF!</v>
      </c>
      <c r="P242" s="174" t="e">
        <f t="shared" si="189"/>
        <v>#REF!</v>
      </c>
      <c r="Q242" s="174" t="e">
        <f t="shared" si="189"/>
        <v>#REF!</v>
      </c>
      <c r="R242" s="174" t="e">
        <f t="shared" si="189"/>
        <v>#REF!</v>
      </c>
      <c r="U242" s="130"/>
      <c r="V242" s="130"/>
    </row>
    <row r="243" spans="2:23" outlineLevel="1" x14ac:dyDescent="0.2">
      <c r="B243" t="str">
        <f>B42</f>
        <v>PRESALE REVENUES</v>
      </c>
      <c r="C243" s="12"/>
      <c r="D243" s="12"/>
      <c r="E243" s="174">
        <f t="shared" ref="E243:R243" si="190">E42</f>
        <v>0</v>
      </c>
      <c r="F243" s="174">
        <f t="shared" si="190"/>
        <v>0</v>
      </c>
      <c r="G243" s="174">
        <f t="shared" si="190"/>
        <v>0</v>
      </c>
      <c r="H243" s="174">
        <f t="shared" si="190"/>
        <v>0</v>
      </c>
      <c r="I243" s="174">
        <f t="shared" si="190"/>
        <v>0</v>
      </c>
      <c r="J243" s="174">
        <f t="shared" si="190"/>
        <v>0</v>
      </c>
      <c r="K243" s="174">
        <f t="shared" si="190"/>
        <v>0</v>
      </c>
      <c r="L243" s="174">
        <f t="shared" si="190"/>
        <v>0</v>
      </c>
      <c r="M243" s="174">
        <f t="shared" si="190"/>
        <v>0</v>
      </c>
      <c r="N243" s="174">
        <f t="shared" si="190"/>
        <v>0</v>
      </c>
      <c r="O243" s="174">
        <f t="shared" si="190"/>
        <v>0</v>
      </c>
      <c r="P243" s="174">
        <f t="shared" si="190"/>
        <v>0</v>
      </c>
      <c r="Q243" s="174">
        <f t="shared" si="190"/>
        <v>0</v>
      </c>
      <c r="R243" s="174">
        <f t="shared" si="190"/>
        <v>0</v>
      </c>
    </row>
    <row r="244" spans="2:23" outlineLevel="1" x14ac:dyDescent="0.2">
      <c r="B244" t="str">
        <f>B44</f>
        <v>UNIT SALES</v>
      </c>
      <c r="C244" s="12"/>
      <c r="D244" s="12"/>
      <c r="E244" s="174">
        <f t="shared" ref="E244:R244" si="191">E44</f>
        <v>0</v>
      </c>
      <c r="F244" s="174">
        <f t="shared" si="191"/>
        <v>0</v>
      </c>
      <c r="G244" s="174">
        <f t="shared" si="191"/>
        <v>12166750</v>
      </c>
      <c r="H244" s="174">
        <f t="shared" si="191"/>
        <v>40471031.25</v>
      </c>
      <c r="I244" s="174">
        <f t="shared" si="191"/>
        <v>40982281.09375</v>
      </c>
      <c r="J244" s="174">
        <f t="shared" si="191"/>
        <v>38438839.33203125</v>
      </c>
      <c r="K244" s="174">
        <f t="shared" si="191"/>
        <v>0</v>
      </c>
      <c r="L244" s="174">
        <f t="shared" si="191"/>
        <v>0</v>
      </c>
      <c r="M244" s="174">
        <f t="shared" si="191"/>
        <v>0</v>
      </c>
      <c r="N244" s="174">
        <f t="shared" si="191"/>
        <v>0</v>
      </c>
      <c r="O244" s="174">
        <f t="shared" si="191"/>
        <v>0</v>
      </c>
      <c r="P244" s="174">
        <f t="shared" si="191"/>
        <v>0</v>
      </c>
      <c r="Q244" s="174">
        <f t="shared" si="191"/>
        <v>0</v>
      </c>
      <c r="R244" s="174">
        <f t="shared" si="191"/>
        <v>132058901.67578125</v>
      </c>
    </row>
    <row r="245" spans="2:23" outlineLevel="1" x14ac:dyDescent="0.2">
      <c r="B245" s="49" t="str">
        <f>B45</f>
        <v>TOTAL SOURCES</v>
      </c>
      <c r="C245" s="52"/>
      <c r="D245" s="52"/>
      <c r="E245" s="230">
        <f t="shared" ref="E245:R245" si="192">E45</f>
        <v>75000</v>
      </c>
      <c r="F245" s="230" t="e">
        <f t="shared" si="192"/>
        <v>#REF!</v>
      </c>
      <c r="G245" s="230" t="e">
        <f t="shared" si="192"/>
        <v>#REF!</v>
      </c>
      <c r="H245" s="230" t="e">
        <f t="shared" si="192"/>
        <v>#REF!</v>
      </c>
      <c r="I245" s="230" t="e">
        <f t="shared" si="192"/>
        <v>#REF!</v>
      </c>
      <c r="J245" s="230" t="e">
        <f t="shared" si="192"/>
        <v>#REF!</v>
      </c>
      <c r="K245" s="230" t="e">
        <f t="shared" si="192"/>
        <v>#REF!</v>
      </c>
      <c r="L245" s="230" t="e">
        <f t="shared" si="192"/>
        <v>#REF!</v>
      </c>
      <c r="M245" s="230" t="e">
        <f t="shared" si="192"/>
        <v>#REF!</v>
      </c>
      <c r="N245" s="230">
        <f t="shared" si="192"/>
        <v>0</v>
      </c>
      <c r="O245" s="230" t="e">
        <f t="shared" si="192"/>
        <v>#REF!</v>
      </c>
      <c r="P245" s="230" t="e">
        <f t="shared" si="192"/>
        <v>#REF!</v>
      </c>
      <c r="Q245" s="230" t="e">
        <f t="shared" si="192"/>
        <v>#REF!</v>
      </c>
      <c r="R245" s="497" t="e">
        <f t="shared" si="192"/>
        <v>#REF!</v>
      </c>
      <c r="T245" s="11" t="s">
        <v>405</v>
      </c>
    </row>
    <row r="246" spans="2:23" ht="22.25" customHeight="1" outlineLevel="1" x14ac:dyDescent="0.2">
      <c r="C246" s="12"/>
      <c r="D246" s="12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</row>
    <row r="247" spans="2:23" outlineLevel="1" x14ac:dyDescent="0.2">
      <c r="B247" s="123" t="str">
        <f>B47</f>
        <v>USES</v>
      </c>
      <c r="C247" s="36"/>
      <c r="D247" s="36"/>
      <c r="E247" s="180">
        <f t="shared" ref="E247:Q247" si="193">E5</f>
        <v>44927</v>
      </c>
      <c r="F247" s="180">
        <f t="shared" si="193"/>
        <v>45292</v>
      </c>
      <c r="G247" s="180">
        <f t="shared" si="193"/>
        <v>45658</v>
      </c>
      <c r="H247" s="180">
        <f t="shared" si="193"/>
        <v>46023</v>
      </c>
      <c r="I247" s="180">
        <f t="shared" si="193"/>
        <v>46388</v>
      </c>
      <c r="J247" s="180">
        <f t="shared" si="193"/>
        <v>46753</v>
      </c>
      <c r="K247" s="180">
        <f t="shared" si="193"/>
        <v>47119</v>
      </c>
      <c r="L247" s="180">
        <f t="shared" si="193"/>
        <v>47484</v>
      </c>
      <c r="M247" s="180">
        <f t="shared" si="193"/>
        <v>47849</v>
      </c>
      <c r="N247" s="180">
        <f t="shared" si="193"/>
        <v>48214</v>
      </c>
      <c r="O247" s="180">
        <f t="shared" si="193"/>
        <v>48579</v>
      </c>
      <c r="P247" s="180">
        <f t="shared" si="193"/>
        <v>48945</v>
      </c>
      <c r="Q247" s="180">
        <f t="shared" si="193"/>
        <v>49310</v>
      </c>
      <c r="R247" s="180" t="s">
        <v>228</v>
      </c>
    </row>
    <row r="248" spans="2:23" outlineLevel="1" x14ac:dyDescent="0.2">
      <c r="B248" t="s">
        <v>281</v>
      </c>
      <c r="C248" s="12"/>
      <c r="D248" s="12"/>
      <c r="E248" s="174">
        <f t="shared" ref="E248:R248" si="194">E58</f>
        <v>0</v>
      </c>
      <c r="F248" s="174" t="e">
        <f t="shared" si="194"/>
        <v>#REF!</v>
      </c>
      <c r="G248" s="174" t="e">
        <f t="shared" si="194"/>
        <v>#REF!</v>
      </c>
      <c r="H248" s="174" t="e">
        <f t="shared" si="194"/>
        <v>#REF!</v>
      </c>
      <c r="I248" s="174" t="e">
        <f t="shared" si="194"/>
        <v>#REF!</v>
      </c>
      <c r="J248" s="174" t="e">
        <f t="shared" si="194"/>
        <v>#REF!</v>
      </c>
      <c r="K248" s="174" t="e">
        <f t="shared" si="194"/>
        <v>#REF!</v>
      </c>
      <c r="L248" s="174" t="e">
        <f t="shared" si="194"/>
        <v>#REF!</v>
      </c>
      <c r="M248" s="174" t="e">
        <f t="shared" si="194"/>
        <v>#REF!</v>
      </c>
      <c r="N248" s="174" t="e">
        <f t="shared" si="194"/>
        <v>#REF!</v>
      </c>
      <c r="O248" s="174" t="e">
        <f t="shared" si="194"/>
        <v>#REF!</v>
      </c>
      <c r="P248" s="174" t="e">
        <f t="shared" si="194"/>
        <v>#REF!</v>
      </c>
      <c r="Q248" s="174" t="e">
        <f t="shared" si="194"/>
        <v>#REF!</v>
      </c>
      <c r="R248" s="174" t="e">
        <f t="shared" si="194"/>
        <v>#REF!</v>
      </c>
    </row>
    <row r="249" spans="2:23" outlineLevel="1" x14ac:dyDescent="0.2">
      <c r="B249" t="s">
        <v>406</v>
      </c>
      <c r="C249" s="12"/>
      <c r="D249" s="12"/>
      <c r="E249" s="174">
        <f t="shared" ref="E249:R249" si="195">+E64+E72</f>
        <v>0</v>
      </c>
      <c r="F249" s="174">
        <f t="shared" si="195"/>
        <v>7815000</v>
      </c>
      <c r="G249" s="174">
        <f t="shared" si="195"/>
        <v>9163750</v>
      </c>
      <c r="H249" s="174">
        <f t="shared" si="195"/>
        <v>819250</v>
      </c>
      <c r="I249" s="174">
        <f t="shared" si="195"/>
        <v>813750</v>
      </c>
      <c r="J249" s="174">
        <f t="shared" si="195"/>
        <v>0</v>
      </c>
      <c r="K249" s="174">
        <f t="shared" si="195"/>
        <v>0</v>
      </c>
      <c r="L249" s="174">
        <f t="shared" si="195"/>
        <v>0</v>
      </c>
      <c r="M249" s="174">
        <f t="shared" si="195"/>
        <v>0</v>
      </c>
      <c r="N249" s="174">
        <f t="shared" si="195"/>
        <v>0</v>
      </c>
      <c r="O249" s="174">
        <f t="shared" si="195"/>
        <v>0</v>
      </c>
      <c r="P249" s="174">
        <f t="shared" si="195"/>
        <v>0</v>
      </c>
      <c r="Q249" s="174">
        <f t="shared" si="195"/>
        <v>0</v>
      </c>
      <c r="R249" s="174">
        <f t="shared" si="195"/>
        <v>18611750</v>
      </c>
    </row>
    <row r="250" spans="2:23" outlineLevel="1" x14ac:dyDescent="0.2">
      <c r="B250" t="s">
        <v>407</v>
      </c>
      <c r="C250" s="12"/>
      <c r="D250" s="12"/>
      <c r="E250" s="174">
        <f t="shared" ref="E250:R250" si="196">+E80+E88+E105+E96</f>
        <v>0</v>
      </c>
      <c r="F250" s="174">
        <f t="shared" si="196"/>
        <v>1608142.764375</v>
      </c>
      <c r="G250" s="174">
        <f t="shared" si="196"/>
        <v>9982606.4963437505</v>
      </c>
      <c r="H250" s="174">
        <f t="shared" si="196"/>
        <v>19293321.172317188</v>
      </c>
      <c r="I250" s="174">
        <f t="shared" si="196"/>
        <v>17603631.901115857</v>
      </c>
      <c r="J250" s="174">
        <f t="shared" si="196"/>
        <v>11925546.733180793</v>
      </c>
      <c r="K250" s="174">
        <f t="shared" si="196"/>
        <v>0</v>
      </c>
      <c r="L250" s="174">
        <f t="shared" si="196"/>
        <v>0</v>
      </c>
      <c r="M250" s="174">
        <f t="shared" si="196"/>
        <v>0</v>
      </c>
      <c r="N250" s="174">
        <f t="shared" si="196"/>
        <v>0</v>
      </c>
      <c r="O250" s="174">
        <f t="shared" si="196"/>
        <v>0</v>
      </c>
      <c r="P250" s="174">
        <f t="shared" si="196"/>
        <v>0</v>
      </c>
      <c r="Q250" s="174">
        <f t="shared" si="196"/>
        <v>0</v>
      </c>
      <c r="R250" s="174">
        <f t="shared" si="196"/>
        <v>60413249.067332596</v>
      </c>
      <c r="V250" s="231"/>
      <c r="W250" s="40" t="e">
        <f>XIRR(E232:Q232,E5:Q5)</f>
        <v>#REF!</v>
      </c>
    </row>
    <row r="251" spans="2:23" outlineLevel="1" x14ac:dyDescent="0.2">
      <c r="B251" t="s">
        <v>326</v>
      </c>
      <c r="C251" s="12"/>
      <c r="D251" s="12"/>
      <c r="E251" s="174">
        <f t="shared" ref="E251:R251" si="197">E114</f>
        <v>0</v>
      </c>
      <c r="F251" s="174">
        <f t="shared" si="197"/>
        <v>124146.75</v>
      </c>
      <c r="G251" s="174">
        <f t="shared" si="197"/>
        <v>218569.3125</v>
      </c>
      <c r="H251" s="174">
        <f t="shared" si="197"/>
        <v>124146.75</v>
      </c>
      <c r="I251" s="174">
        <f t="shared" si="197"/>
        <v>111021.75</v>
      </c>
      <c r="J251" s="174">
        <f t="shared" si="197"/>
        <v>29724.1875</v>
      </c>
      <c r="K251" s="174">
        <f t="shared" si="197"/>
        <v>0</v>
      </c>
      <c r="L251" s="174">
        <f t="shared" si="197"/>
        <v>0</v>
      </c>
      <c r="M251" s="174">
        <f t="shared" si="197"/>
        <v>0</v>
      </c>
      <c r="N251" s="174">
        <f t="shared" si="197"/>
        <v>0</v>
      </c>
      <c r="O251" s="174">
        <f t="shared" si="197"/>
        <v>0</v>
      </c>
      <c r="P251" s="174">
        <f t="shared" si="197"/>
        <v>0</v>
      </c>
      <c r="Q251" s="174">
        <f t="shared" si="197"/>
        <v>0</v>
      </c>
      <c r="R251" s="174">
        <f t="shared" si="197"/>
        <v>607608.75</v>
      </c>
      <c r="V251" s="11">
        <v>150000</v>
      </c>
      <c r="W251" s="141" t="e">
        <f t="dataTable" ref="W251:W255" dt2D="0" dtr="0" r1="C54"/>
        <v>#REF!</v>
      </c>
    </row>
    <row r="252" spans="2:23" outlineLevel="1" x14ac:dyDescent="0.2">
      <c r="B252" t="s">
        <v>408</v>
      </c>
      <c r="C252" s="12"/>
      <c r="D252" s="12"/>
      <c r="E252" s="174">
        <f t="shared" ref="E252:R252" si="198">E128+E142+E169+E156</f>
        <v>40556.25</v>
      </c>
      <c r="F252" s="174">
        <f t="shared" si="198"/>
        <v>458003.77481249999</v>
      </c>
      <c r="G252" s="174">
        <f t="shared" si="198"/>
        <v>724955.57400000002</v>
      </c>
      <c r="H252" s="174">
        <f t="shared" si="198"/>
        <v>785507.76674999995</v>
      </c>
      <c r="I252" s="174">
        <f t="shared" si="198"/>
        <v>577195.65749999997</v>
      </c>
      <c r="J252" s="174">
        <f t="shared" si="198"/>
        <v>210950.30118750001</v>
      </c>
      <c r="K252" s="174">
        <f t="shared" si="198"/>
        <v>0</v>
      </c>
      <c r="L252" s="174">
        <f t="shared" si="198"/>
        <v>0</v>
      </c>
      <c r="M252" s="174">
        <f t="shared" si="198"/>
        <v>0</v>
      </c>
      <c r="N252" s="174">
        <f t="shared" si="198"/>
        <v>0</v>
      </c>
      <c r="O252" s="174">
        <f t="shared" si="198"/>
        <v>0</v>
      </c>
      <c r="P252" s="174">
        <f t="shared" si="198"/>
        <v>0</v>
      </c>
      <c r="Q252" s="174">
        <f t="shared" si="198"/>
        <v>0</v>
      </c>
      <c r="R252" s="174">
        <f t="shared" si="198"/>
        <v>2797169.3242500001</v>
      </c>
      <c r="V252" s="11">
        <v>175000</v>
      </c>
      <c r="W252" s="141" t="e">
        <v>#REF!</v>
      </c>
    </row>
    <row r="253" spans="2:23" outlineLevel="1" x14ac:dyDescent="0.2">
      <c r="B253" t="s">
        <v>353</v>
      </c>
      <c r="C253" s="12"/>
      <c r="D253" s="12"/>
      <c r="E253" s="174">
        <f t="shared" ref="E253:R253" si="199">E176</f>
        <v>0</v>
      </c>
      <c r="F253" s="174">
        <f t="shared" si="199"/>
        <v>225000</v>
      </c>
      <c r="G253" s="174">
        <f t="shared" si="199"/>
        <v>758337.5</v>
      </c>
      <c r="H253" s="174">
        <f t="shared" si="199"/>
        <v>2098551.5625</v>
      </c>
      <c r="I253" s="174">
        <f t="shared" si="199"/>
        <v>2124114.0546875</v>
      </c>
      <c r="J253" s="174">
        <f t="shared" si="199"/>
        <v>1996941.9666015627</v>
      </c>
      <c r="K253" s="174">
        <f t="shared" si="199"/>
        <v>0</v>
      </c>
      <c r="L253" s="174">
        <f t="shared" si="199"/>
        <v>0</v>
      </c>
      <c r="M253" s="174">
        <f t="shared" si="199"/>
        <v>0</v>
      </c>
      <c r="N253" s="174">
        <f t="shared" si="199"/>
        <v>0</v>
      </c>
      <c r="O253" s="174">
        <f t="shared" si="199"/>
        <v>0</v>
      </c>
      <c r="P253" s="174">
        <f t="shared" si="199"/>
        <v>0</v>
      </c>
      <c r="Q253" s="174">
        <f t="shared" si="199"/>
        <v>0</v>
      </c>
      <c r="R253" s="174">
        <f t="shared" si="199"/>
        <v>7202945.0837890627</v>
      </c>
      <c r="V253" s="11">
        <v>200000</v>
      </c>
      <c r="W253" s="141" t="e">
        <v>#REF!</v>
      </c>
    </row>
    <row r="254" spans="2:23" outlineLevel="1" x14ac:dyDescent="0.2">
      <c r="B254" t="s">
        <v>358</v>
      </c>
      <c r="C254" s="12"/>
      <c r="D254" s="12"/>
      <c r="E254" s="174">
        <f t="shared" ref="E254:R254" si="200">E181</f>
        <v>0</v>
      </c>
      <c r="F254" s="174">
        <f t="shared" si="200"/>
        <v>15479.143960937499</v>
      </c>
      <c r="G254" s="174">
        <f t="shared" si="200"/>
        <v>29796.865174609375</v>
      </c>
      <c r="H254" s="174">
        <f t="shared" si="200"/>
        <v>32285.867227480467</v>
      </c>
      <c r="I254" s="174">
        <f t="shared" si="200"/>
        <v>55145.672970749016</v>
      </c>
      <c r="J254" s="174">
        <f t="shared" si="200"/>
        <v>23867.676437599948</v>
      </c>
      <c r="K254" s="174">
        <f t="shared" si="200"/>
        <v>0</v>
      </c>
      <c r="L254" s="174">
        <f t="shared" si="200"/>
        <v>0</v>
      </c>
      <c r="M254" s="174">
        <f t="shared" si="200"/>
        <v>0</v>
      </c>
      <c r="N254" s="174">
        <f t="shared" si="200"/>
        <v>0</v>
      </c>
      <c r="O254" s="174">
        <f t="shared" si="200"/>
        <v>0</v>
      </c>
      <c r="P254" s="174">
        <f t="shared" si="200"/>
        <v>0</v>
      </c>
      <c r="Q254" s="174">
        <f t="shared" si="200"/>
        <v>0</v>
      </c>
      <c r="R254" s="174">
        <f t="shared" si="200"/>
        <v>156575.22577137628</v>
      </c>
      <c r="V254" s="11">
        <v>225000</v>
      </c>
      <c r="W254" s="141" t="e">
        <v>#REF!</v>
      </c>
    </row>
    <row r="255" spans="2:23" outlineLevel="1" x14ac:dyDescent="0.2">
      <c r="B255" t="s">
        <v>363</v>
      </c>
      <c r="C255" s="12"/>
      <c r="D255" s="12"/>
      <c r="E255" s="174">
        <f t="shared" ref="E255:R255" si="201">E188</f>
        <v>0</v>
      </c>
      <c r="F255" s="174">
        <f t="shared" si="201"/>
        <v>221200</v>
      </c>
      <c r="G255" s="174">
        <f t="shared" si="201"/>
        <v>717000</v>
      </c>
      <c r="H255" s="174">
        <f t="shared" si="201"/>
        <v>621400</v>
      </c>
      <c r="I255" s="174">
        <f t="shared" si="201"/>
        <v>555800</v>
      </c>
      <c r="J255" s="174">
        <f t="shared" si="201"/>
        <v>0</v>
      </c>
      <c r="K255" s="174">
        <f t="shared" si="201"/>
        <v>0</v>
      </c>
      <c r="L255" s="174">
        <f t="shared" si="201"/>
        <v>0</v>
      </c>
      <c r="M255" s="174">
        <f t="shared" si="201"/>
        <v>0</v>
      </c>
      <c r="N255" s="174">
        <f t="shared" si="201"/>
        <v>0</v>
      </c>
      <c r="O255" s="174">
        <f t="shared" si="201"/>
        <v>0</v>
      </c>
      <c r="P255" s="174">
        <f t="shared" si="201"/>
        <v>0</v>
      </c>
      <c r="Q255" s="174">
        <f t="shared" si="201"/>
        <v>0</v>
      </c>
      <c r="R255" s="174">
        <f t="shared" si="201"/>
        <v>2115400</v>
      </c>
      <c r="V255" s="11">
        <v>250000</v>
      </c>
      <c r="W255" s="141" t="e">
        <v>#REF!</v>
      </c>
    </row>
    <row r="256" spans="2:23" outlineLevel="1" x14ac:dyDescent="0.2">
      <c r="B256" t="s">
        <v>375</v>
      </c>
      <c r="C256" s="12"/>
      <c r="D256" s="12"/>
      <c r="E256" s="174">
        <f t="shared" ref="E256:R256" si="202">E195</f>
        <v>0</v>
      </c>
      <c r="F256" s="174" t="e">
        <f t="shared" si="202"/>
        <v>#REF!</v>
      </c>
      <c r="G256" s="174" t="e">
        <f t="shared" si="202"/>
        <v>#REF!</v>
      </c>
      <c r="H256" s="174" t="e">
        <f t="shared" si="202"/>
        <v>#REF!</v>
      </c>
      <c r="I256" s="174" t="e">
        <f t="shared" si="202"/>
        <v>#REF!</v>
      </c>
      <c r="J256" s="174" t="e">
        <f t="shared" si="202"/>
        <v>#REF!</v>
      </c>
      <c r="K256" s="174">
        <f t="shared" si="202"/>
        <v>0</v>
      </c>
      <c r="L256" s="174">
        <f t="shared" si="202"/>
        <v>0</v>
      </c>
      <c r="M256" s="174">
        <f t="shared" si="202"/>
        <v>0</v>
      </c>
      <c r="N256" s="174">
        <f t="shared" si="202"/>
        <v>0</v>
      </c>
      <c r="O256" s="174">
        <f t="shared" si="202"/>
        <v>0</v>
      </c>
      <c r="P256" s="174">
        <f t="shared" si="202"/>
        <v>0</v>
      </c>
      <c r="Q256" s="174">
        <f t="shared" si="202"/>
        <v>0</v>
      </c>
      <c r="R256" s="174" t="e">
        <f t="shared" si="202"/>
        <v>#REF!</v>
      </c>
    </row>
    <row r="257" spans="2:20" outlineLevel="1" x14ac:dyDescent="0.2">
      <c r="B257" t="s">
        <v>383</v>
      </c>
      <c r="C257" s="12"/>
      <c r="D257" s="12"/>
      <c r="E257" s="174">
        <f t="shared" ref="E257:R257" si="203">E206</f>
        <v>0</v>
      </c>
      <c r="F257" s="174">
        <f t="shared" si="203"/>
        <v>0</v>
      </c>
      <c r="G257" s="174">
        <f t="shared" si="203"/>
        <v>0</v>
      </c>
      <c r="H257" s="174" t="e">
        <f t="shared" si="203"/>
        <v>#REF!</v>
      </c>
      <c r="I257" s="174" t="e">
        <f t="shared" si="203"/>
        <v>#REF!</v>
      </c>
      <c r="J257" s="174" t="e">
        <f t="shared" si="203"/>
        <v>#REF!</v>
      </c>
      <c r="K257" s="174" t="e">
        <f t="shared" si="203"/>
        <v>#REF!</v>
      </c>
      <c r="L257" s="174" t="e">
        <f t="shared" si="203"/>
        <v>#REF!</v>
      </c>
      <c r="M257" s="174" t="e">
        <f t="shared" si="203"/>
        <v>#REF!</v>
      </c>
      <c r="N257" s="174" t="e">
        <f t="shared" si="203"/>
        <v>#REF!</v>
      </c>
      <c r="O257" s="174" t="e">
        <f t="shared" si="203"/>
        <v>#REF!</v>
      </c>
      <c r="P257" s="174" t="e">
        <f t="shared" si="203"/>
        <v>#REF!</v>
      </c>
      <c r="Q257" s="174" t="e">
        <f t="shared" si="203"/>
        <v>#REF!</v>
      </c>
      <c r="R257" s="174" t="e">
        <f t="shared" si="203"/>
        <v>#REF!</v>
      </c>
    </row>
    <row r="258" spans="2:20" outlineLevel="1" x14ac:dyDescent="0.2">
      <c r="B258" t="s">
        <v>399</v>
      </c>
      <c r="C258" s="12"/>
      <c r="D258" s="12"/>
      <c r="E258" s="174">
        <f t="shared" ref="E258:R258" si="204">E226</f>
        <v>0</v>
      </c>
      <c r="F258" s="174" t="e">
        <f t="shared" si="204"/>
        <v>#REF!</v>
      </c>
      <c r="G258" s="174" t="e">
        <f t="shared" si="204"/>
        <v>#REF!</v>
      </c>
      <c r="H258" s="174" t="e">
        <f t="shared" si="204"/>
        <v>#REF!</v>
      </c>
      <c r="I258" s="174" t="e">
        <f t="shared" si="204"/>
        <v>#REF!</v>
      </c>
      <c r="J258" s="174" t="e">
        <f t="shared" si="204"/>
        <v>#REF!</v>
      </c>
      <c r="K258" s="174" t="e">
        <f t="shared" si="204"/>
        <v>#REF!</v>
      </c>
      <c r="L258" s="174" t="e">
        <f t="shared" si="204"/>
        <v>#REF!</v>
      </c>
      <c r="M258" s="174" t="e">
        <f t="shared" si="204"/>
        <v>#REF!</v>
      </c>
      <c r="N258" s="174" t="e">
        <f t="shared" si="204"/>
        <v>#REF!</v>
      </c>
      <c r="O258" s="174" t="e">
        <f t="shared" si="204"/>
        <v>#REF!</v>
      </c>
      <c r="P258" s="174" t="e">
        <f t="shared" si="204"/>
        <v>#REF!</v>
      </c>
      <c r="Q258" s="174" t="e">
        <f t="shared" si="204"/>
        <v>#REF!</v>
      </c>
      <c r="R258" s="174" t="e">
        <f t="shared" si="204"/>
        <v>#REF!</v>
      </c>
    </row>
    <row r="259" spans="2:20" outlineLevel="1" x14ac:dyDescent="0.2">
      <c r="B259" s="49" t="str">
        <f>B228</f>
        <v>TOTAL USES</v>
      </c>
      <c r="C259" s="52"/>
      <c r="D259" s="52"/>
      <c r="E259" s="230">
        <f t="shared" ref="E259:R259" si="205">E228</f>
        <v>40556.25</v>
      </c>
      <c r="F259" s="230" t="e">
        <f t="shared" si="205"/>
        <v>#REF!</v>
      </c>
      <c r="G259" s="230" t="e">
        <f t="shared" si="205"/>
        <v>#REF!</v>
      </c>
      <c r="H259" s="230" t="e">
        <f t="shared" si="205"/>
        <v>#REF!</v>
      </c>
      <c r="I259" s="230" t="e">
        <f t="shared" si="205"/>
        <v>#REF!</v>
      </c>
      <c r="J259" s="230" t="e">
        <f t="shared" si="205"/>
        <v>#REF!</v>
      </c>
      <c r="K259" s="230" t="e">
        <f t="shared" si="205"/>
        <v>#REF!</v>
      </c>
      <c r="L259" s="230" t="e">
        <f t="shared" si="205"/>
        <v>#REF!</v>
      </c>
      <c r="M259" s="230" t="e">
        <f t="shared" si="205"/>
        <v>#REF!</v>
      </c>
      <c r="N259" s="230" t="e">
        <f t="shared" si="205"/>
        <v>#REF!</v>
      </c>
      <c r="O259" s="230" t="e">
        <f t="shared" si="205"/>
        <v>#REF!</v>
      </c>
      <c r="P259" s="230" t="e">
        <f t="shared" si="205"/>
        <v>#REF!</v>
      </c>
      <c r="Q259" s="230" t="e">
        <f t="shared" si="205"/>
        <v>#REF!</v>
      </c>
      <c r="R259" s="497" t="e">
        <f t="shared" si="205"/>
        <v>#REF!</v>
      </c>
      <c r="T259" s="11" t="s">
        <v>405</v>
      </c>
    </row>
    <row r="260" spans="2:20" x14ac:dyDescent="0.2">
      <c r="B260" s="3"/>
      <c r="C260" s="23"/>
      <c r="D260" s="23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</row>
    <row r="263" spans="2:20" x14ac:dyDescent="0.2">
      <c r="B263" s="240" t="s">
        <v>55</v>
      </c>
      <c r="C263" s="240"/>
      <c r="D263" s="187"/>
      <c r="E263" s="240" t="s">
        <v>37</v>
      </c>
      <c r="F263" s="243"/>
      <c r="G263" s="243"/>
      <c r="H263" s="243"/>
      <c r="I263" s="187"/>
      <c r="J263" s="240" t="s">
        <v>38</v>
      </c>
      <c r="K263" s="240"/>
      <c r="L263" s="243"/>
      <c r="M263" s="240"/>
    </row>
    <row r="264" spans="2:20" x14ac:dyDescent="0.2">
      <c r="B264" s="440" t="s">
        <v>310</v>
      </c>
      <c r="C264" s="625">
        <v>600</v>
      </c>
      <c r="D264" s="153"/>
      <c r="E264" s="153"/>
      <c r="F264" s="626" t="s">
        <v>409</v>
      </c>
      <c r="G264" s="626" t="s">
        <v>40</v>
      </c>
      <c r="H264" s="626" t="s">
        <v>41</v>
      </c>
      <c r="I264" s="153"/>
      <c r="J264" s="128" t="s">
        <v>410</v>
      </c>
      <c r="K264" s="153"/>
      <c r="L264" s="153"/>
      <c r="M264" s="238">
        <v>7.4999999999999997E-2</v>
      </c>
    </row>
    <row r="265" spans="2:20" x14ac:dyDescent="0.2">
      <c r="B265" s="440" t="s">
        <v>318</v>
      </c>
      <c r="C265" s="625">
        <v>575</v>
      </c>
      <c r="D265" s="153"/>
      <c r="E265" s="440" t="s">
        <v>411</v>
      </c>
      <c r="F265" s="346">
        <v>3</v>
      </c>
      <c r="G265" s="208">
        <v>2650</v>
      </c>
      <c r="H265" s="208">
        <v>1425</v>
      </c>
      <c r="I265" s="153"/>
      <c r="J265" s="128" t="s">
        <v>412</v>
      </c>
      <c r="K265" s="153"/>
      <c r="L265" s="153"/>
      <c r="M265" s="238">
        <v>7.4999999999999997E-2</v>
      </c>
    </row>
    <row r="266" spans="2:20" x14ac:dyDescent="0.2">
      <c r="B266" s="440" t="s">
        <v>413</v>
      </c>
      <c r="C266" s="625">
        <v>475</v>
      </c>
      <c r="D266" s="153"/>
      <c r="E266" s="440" t="s">
        <v>414</v>
      </c>
      <c r="F266" s="346">
        <v>10</v>
      </c>
      <c r="G266" s="208">
        <f>2180+225</f>
        <v>2405</v>
      </c>
      <c r="H266" s="208">
        <v>1450</v>
      </c>
      <c r="I266" s="153"/>
      <c r="J266" s="153" t="s">
        <v>43</v>
      </c>
      <c r="K266" s="153"/>
      <c r="L266" s="153"/>
      <c r="M266" s="209">
        <v>1</v>
      </c>
    </row>
    <row r="267" spans="2:20" x14ac:dyDescent="0.2">
      <c r="B267" s="153" t="s">
        <v>44</v>
      </c>
      <c r="C267" s="209">
        <v>1</v>
      </c>
      <c r="D267" s="153"/>
      <c r="E267" s="440" t="s">
        <v>415</v>
      </c>
      <c r="F267" s="346">
        <v>22</v>
      </c>
      <c r="G267" s="208">
        <f>1533+250</f>
        <v>1783</v>
      </c>
      <c r="H267" s="208">
        <v>1375</v>
      </c>
      <c r="I267" s="153"/>
      <c r="J267" s="153" t="s">
        <v>46</v>
      </c>
      <c r="K267" s="153"/>
      <c r="L267" s="153"/>
      <c r="M267" s="209">
        <v>0.2</v>
      </c>
    </row>
    <row r="268" spans="2:20" x14ac:dyDescent="0.2">
      <c r="B268" s="153" t="s">
        <v>47</v>
      </c>
      <c r="C268" s="627">
        <v>0.05</v>
      </c>
      <c r="D268" s="153"/>
      <c r="E268" s="440" t="s">
        <v>246</v>
      </c>
      <c r="F268" s="346">
        <v>8</v>
      </c>
      <c r="G268" s="208">
        <v>1350</v>
      </c>
      <c r="H268" s="208">
        <v>1450</v>
      </c>
      <c r="I268" s="153"/>
      <c r="J268" s="153" t="s">
        <v>49</v>
      </c>
      <c r="K268" s="153"/>
      <c r="L268" s="153"/>
      <c r="M268" s="209">
        <v>0.3</v>
      </c>
    </row>
    <row r="269" spans="2:20" x14ac:dyDescent="0.2">
      <c r="B269" s="440" t="s">
        <v>50</v>
      </c>
      <c r="C269" s="625">
        <v>256</v>
      </c>
      <c r="D269" s="153"/>
      <c r="E269" s="440"/>
      <c r="F269" s="346"/>
      <c r="G269" s="208"/>
      <c r="H269" s="208"/>
      <c r="I269" s="153"/>
      <c r="J269" s="153"/>
      <c r="K269" s="153"/>
      <c r="L269" s="153"/>
      <c r="M269" s="209"/>
    </row>
  </sheetData>
  <mergeCells count="6">
    <mergeCell ref="H61:M62"/>
    <mergeCell ref="T28:U28"/>
    <mergeCell ref="W28:Y28"/>
    <mergeCell ref="C5:C6"/>
    <mergeCell ref="D5:D6"/>
    <mergeCell ref="S5:S6"/>
  </mergeCells>
  <phoneticPr fontId="20" type="noConversion"/>
  <conditionalFormatting sqref="F16:Q19">
    <cfRule type="cellIs" dxfId="14" priority="5" operator="equal">
      <formula>0</formula>
    </cfRule>
  </conditionalFormatting>
  <pageMargins left="0.7" right="0.7" top="0.5" bottom="0.5" header="0.3" footer="0.3"/>
  <pageSetup scale="48" fitToHeight="4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189" max="18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093D-2FD0-474B-B7EB-59438CEB0AF7}">
  <sheetPr codeName="Sheet2">
    <tabColor theme="9" tint="0.59999389629810485"/>
  </sheetPr>
  <dimension ref="A1:V62"/>
  <sheetViews>
    <sheetView topLeftCell="A14" zoomScale="80" zoomScaleNormal="80" workbookViewId="0">
      <selection activeCell="I89" sqref="I89"/>
    </sheetView>
  </sheetViews>
  <sheetFormatPr baseColWidth="10" defaultColWidth="11" defaultRowHeight="16" outlineLevelCol="1" x14ac:dyDescent="0.2"/>
  <cols>
    <col min="1" max="1" width="1.6640625" style="2" customWidth="1"/>
    <col min="2" max="2" width="37.1640625" bestFit="1" customWidth="1"/>
    <col min="3" max="3" width="11.1640625" bestFit="1" customWidth="1"/>
    <col min="4" max="4" width="13" bestFit="1" customWidth="1"/>
    <col min="5" max="5" width="11.1640625" customWidth="1"/>
    <col min="6" max="9" width="14.1640625" customWidth="1"/>
    <col min="10" max="10" width="12" customWidth="1"/>
    <col min="11" max="11" width="13.5" customWidth="1"/>
    <col min="12" max="12" width="14.1640625" customWidth="1"/>
    <col min="13" max="13" width="13.6640625" customWidth="1"/>
    <col min="14" max="19" width="12.1640625" customWidth="1" outlineLevel="1"/>
    <col min="20" max="20" width="3.6640625" customWidth="1"/>
    <col min="21" max="21" width="14" bestFit="1" customWidth="1"/>
    <col min="22" max="22" width="13.1640625" bestFit="1" customWidth="1"/>
  </cols>
  <sheetData>
    <row r="1" spans="1:20" s="2" customFormat="1" ht="21" x14ac:dyDescent="0.25">
      <c r="A1" s="75"/>
      <c r="B1" s="313" t="s">
        <v>416</v>
      </c>
      <c r="C1" s="314"/>
      <c r="D1" s="314"/>
      <c r="E1" s="314"/>
    </row>
    <row r="2" spans="1:20" x14ac:dyDescent="0.2">
      <c r="A2" s="257"/>
      <c r="B2" s="1" t="s">
        <v>156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  <c r="T2" s="96"/>
    </row>
    <row r="3" spans="1:20" x14ac:dyDescent="0.2">
      <c r="A3" s="257"/>
      <c r="H3" s="137"/>
    </row>
    <row r="4" spans="1:20" x14ac:dyDescent="0.2">
      <c r="A4" s="257"/>
      <c r="B4" s="191" t="s">
        <v>157</v>
      </c>
      <c r="C4" s="191"/>
      <c r="D4" s="191"/>
      <c r="E4" s="3"/>
      <c r="F4" s="191" t="s">
        <v>170</v>
      </c>
      <c r="G4" s="191"/>
      <c r="H4" s="191"/>
      <c r="J4" s="191" t="s">
        <v>417</v>
      </c>
      <c r="K4" s="191"/>
      <c r="L4" s="191"/>
      <c r="M4" s="271"/>
      <c r="N4" s="271"/>
      <c r="O4" s="271"/>
      <c r="P4" s="271"/>
      <c r="Q4" s="2"/>
      <c r="R4" s="2"/>
      <c r="T4" s="2"/>
    </row>
    <row r="5" spans="1:20" x14ac:dyDescent="0.2">
      <c r="A5" s="257"/>
      <c r="B5" s="239" t="s">
        <v>418</v>
      </c>
      <c r="D5" s="302" t="e">
        <f>SUM('Proforma Resi'!R32,'Proforma Resi'!R35)</f>
        <v>#REF!</v>
      </c>
      <c r="F5" t="s">
        <v>419</v>
      </c>
      <c r="H5" s="302" t="e">
        <f>D54</f>
        <v>#REF!</v>
      </c>
      <c r="Q5" s="2"/>
      <c r="R5" s="2"/>
      <c r="T5" s="2"/>
    </row>
    <row r="6" spans="1:20" x14ac:dyDescent="0.2">
      <c r="A6" s="257"/>
      <c r="B6" s="239" t="s">
        <v>420</v>
      </c>
      <c r="D6" s="302">
        <f>'Proforma Resi'!T11</f>
        <v>117820000</v>
      </c>
      <c r="F6" t="s">
        <v>421</v>
      </c>
      <c r="H6" s="272" t="e">
        <f>D55</f>
        <v>#REF!</v>
      </c>
      <c r="J6" s="273" t="s">
        <v>422</v>
      </c>
      <c r="K6" s="274" t="s">
        <v>188</v>
      </c>
      <c r="L6" s="817" t="s">
        <v>43</v>
      </c>
      <c r="M6" s="817"/>
      <c r="N6" s="817"/>
      <c r="O6" s="817"/>
      <c r="P6" s="818"/>
    </row>
    <row r="7" spans="1:20" x14ac:dyDescent="0.2">
      <c r="A7" s="257"/>
      <c r="B7" s="239" t="s">
        <v>423</v>
      </c>
      <c r="D7" s="258">
        <f>'Proforma Resi'!G44+'Proforma Resi'!F42</f>
        <v>12166750</v>
      </c>
      <c r="F7" s="239" t="s">
        <v>147</v>
      </c>
      <c r="H7" s="303" t="e">
        <f>D56</f>
        <v>#REF!</v>
      </c>
      <c r="J7" s="815" t="s">
        <v>424</v>
      </c>
      <c r="K7" s="275" t="e">
        <f>SUMIF(F5:F10,K6,H5:H10)</f>
        <v>#REF!</v>
      </c>
      <c r="L7" s="276">
        <f>M7-10%</f>
        <v>0.8</v>
      </c>
      <c r="M7" s="276">
        <f>N7-10%</f>
        <v>0.9</v>
      </c>
      <c r="N7" s="277">
        <v>1</v>
      </c>
      <c r="O7" s="276">
        <f>N7+10%</f>
        <v>1.1000000000000001</v>
      </c>
      <c r="P7" s="278">
        <f>O7+10%</f>
        <v>1.2000000000000002</v>
      </c>
    </row>
    <row r="8" spans="1:20" ht="15.5" customHeight="1" x14ac:dyDescent="0.2">
      <c r="A8" s="257"/>
      <c r="B8" s="239" t="s">
        <v>425</v>
      </c>
      <c r="D8" s="259" t="e">
        <f>'Proforma Resi'!Y30</f>
        <v>#REF!</v>
      </c>
      <c r="F8" s="239" t="s">
        <v>426</v>
      </c>
      <c r="H8" s="304" t="e">
        <f>H5/H6</f>
        <v>#REF!</v>
      </c>
      <c r="J8" s="815"/>
      <c r="K8" s="287">
        <f>K9-10%</f>
        <v>0.8</v>
      </c>
      <c r="L8" s="279" t="e">
        <f t="dataTable" ref="L8:P12" dt2D="1" dtr="1" r1="L15" r2="L14"/>
        <v>#REF!</v>
      </c>
      <c r="M8" s="280" t="e">
        <v>#REF!</v>
      </c>
      <c r="N8" s="280" t="e">
        <v>#REF!</v>
      </c>
      <c r="O8" s="280" t="e">
        <v>#REF!</v>
      </c>
      <c r="P8" s="281" t="e">
        <v>#REF!</v>
      </c>
    </row>
    <row r="9" spans="1:20" x14ac:dyDescent="0.2">
      <c r="A9" s="257"/>
      <c r="B9" s="239" t="s">
        <v>427</v>
      </c>
      <c r="D9" s="260" t="e">
        <f>'Proforma Resi'!Y32</f>
        <v>#REF!</v>
      </c>
      <c r="F9" s="239" t="s">
        <v>428</v>
      </c>
      <c r="H9" s="305" t="e">
        <f>H7/H6</f>
        <v>#REF!</v>
      </c>
      <c r="I9" s="11"/>
      <c r="J9" s="815"/>
      <c r="K9" s="287">
        <f>K10-10%</f>
        <v>0.9</v>
      </c>
      <c r="L9" s="279" t="e">
        <v>#REF!</v>
      </c>
      <c r="M9" s="282" t="e">
        <v>#REF!</v>
      </c>
      <c r="N9" s="282" t="e">
        <v>#REF!</v>
      </c>
      <c r="O9" s="282" t="e">
        <v>#REF!</v>
      </c>
      <c r="P9" s="281" t="e">
        <v>#REF!</v>
      </c>
    </row>
    <row r="10" spans="1:20" x14ac:dyDescent="0.2">
      <c r="A10" s="257"/>
      <c r="B10" s="239" t="s">
        <v>429</v>
      </c>
      <c r="D10" s="260" t="e">
        <f>'Proforma Resi'!Y31</f>
        <v>#REF!</v>
      </c>
      <c r="F10" s="239" t="s">
        <v>188</v>
      </c>
      <c r="H10" s="305" t="e">
        <f>XIRR(F56:N56,F20:N20)</f>
        <v>#REF!</v>
      </c>
      <c r="J10" s="815"/>
      <c r="K10" s="288">
        <v>1</v>
      </c>
      <c r="L10" s="279" t="e">
        <v>#REF!</v>
      </c>
      <c r="M10" s="282" t="e">
        <v>#REF!</v>
      </c>
      <c r="N10" s="283" t="e">
        <v>#REF!</v>
      </c>
      <c r="O10" s="282" t="e">
        <v>#REF!</v>
      </c>
      <c r="P10" s="281" t="e">
        <v>#REF!</v>
      </c>
    </row>
    <row r="11" spans="1:20" x14ac:dyDescent="0.2">
      <c r="A11" s="257"/>
      <c r="B11" s="128"/>
      <c r="C11" s="63"/>
      <c r="D11" s="11"/>
      <c r="I11" s="306"/>
      <c r="J11" s="815"/>
      <c r="K11" s="287">
        <f>K10+10%</f>
        <v>1.1000000000000001</v>
      </c>
      <c r="L11" s="279" t="e">
        <v>#REF!</v>
      </c>
      <c r="M11" s="282" t="e">
        <v>#REF!</v>
      </c>
      <c r="N11" s="282" t="e">
        <v>#REF!</v>
      </c>
      <c r="O11" s="282" t="e">
        <v>#REF!</v>
      </c>
      <c r="P11" s="281" t="e">
        <v>#REF!</v>
      </c>
    </row>
    <row r="12" spans="1:20" x14ac:dyDescent="0.2">
      <c r="A12" s="257"/>
      <c r="B12" s="3" t="s">
        <v>158</v>
      </c>
      <c r="C12" s="3"/>
      <c r="D12" s="3"/>
      <c r="I12" s="306"/>
      <c r="J12" s="816"/>
      <c r="K12" s="289">
        <f>K11+10%</f>
        <v>1.2000000000000002</v>
      </c>
      <c r="L12" s="284" t="e">
        <v>#REF!</v>
      </c>
      <c r="M12" s="285" t="e">
        <v>#REF!</v>
      </c>
      <c r="N12" s="285" t="e">
        <v>#REF!</v>
      </c>
      <c r="O12" s="285" t="e">
        <v>#REF!</v>
      </c>
      <c r="P12" s="286" t="e">
        <v>#REF!</v>
      </c>
    </row>
    <row r="13" spans="1:20" x14ac:dyDescent="0.2">
      <c r="A13" s="257"/>
      <c r="B13" s="239" t="s">
        <v>160</v>
      </c>
      <c r="D13" s="302">
        <f>('Proforma Resi'!R44+'Proforma Resi'!R42)-'Proforma Resi'!R172</f>
        <v>125455956.59199218</v>
      </c>
      <c r="I13" s="306"/>
      <c r="J13" s="293" t="s">
        <v>430</v>
      </c>
    </row>
    <row r="14" spans="1:20" x14ac:dyDescent="0.2">
      <c r="A14" s="257"/>
      <c r="B14" s="307" t="s">
        <v>431</v>
      </c>
      <c r="D14" s="308" t="e">
        <f>'Proforma Resi'!R197-'Proforma Resi'!R172+'Proforma Resi'!R202+'Proforma Resi'!R201</f>
        <v>#REF!</v>
      </c>
      <c r="I14" s="306"/>
      <c r="J14" s="290" t="s">
        <v>424</v>
      </c>
      <c r="K14" s="291"/>
      <c r="L14" s="292">
        <v>1</v>
      </c>
    </row>
    <row r="15" spans="1:20" x14ac:dyDescent="0.2">
      <c r="A15" s="257"/>
      <c r="B15" s="307" t="s">
        <v>164</v>
      </c>
      <c r="D15" s="302" t="e">
        <f>D13-D14</f>
        <v>#REF!</v>
      </c>
      <c r="E15" s="144"/>
      <c r="I15" s="306"/>
      <c r="J15" s="290" t="s">
        <v>43</v>
      </c>
      <c r="L15" s="292">
        <v>1</v>
      </c>
      <c r="M15" s="11"/>
      <c r="N15" s="11"/>
    </row>
    <row r="16" spans="1:20" x14ac:dyDescent="0.2">
      <c r="A16" s="257"/>
      <c r="B16" s="239" t="s">
        <v>166</v>
      </c>
      <c r="D16" s="260" t="e">
        <f>D15/D13</f>
        <v>#REF!</v>
      </c>
      <c r="I16" s="246"/>
      <c r="J16" s="11"/>
      <c r="K16" s="11"/>
      <c r="L16" s="11"/>
      <c r="M16" s="11"/>
      <c r="N16" s="11"/>
    </row>
    <row r="17" spans="1:22" x14ac:dyDescent="0.2">
      <c r="A17" s="257"/>
      <c r="B17" s="239" t="s">
        <v>168</v>
      </c>
      <c r="D17" s="309" t="e">
        <f>D15/H6</f>
        <v>#REF!</v>
      </c>
      <c r="I17" s="246"/>
      <c r="J17" s="11"/>
      <c r="K17" s="11"/>
      <c r="L17" s="11"/>
      <c r="M17" s="11"/>
      <c r="N17" s="11"/>
    </row>
    <row r="18" spans="1:22" x14ac:dyDescent="0.2">
      <c r="A18" s="257"/>
      <c r="F18" s="247">
        <f>'Proforma Resi'!E3</f>
        <v>0</v>
      </c>
      <c r="G18" s="247">
        <f>'Proforma Resi'!F3</f>
        <v>1</v>
      </c>
      <c r="H18" s="247">
        <f>'Proforma Resi'!G3</f>
        <v>2</v>
      </c>
      <c r="I18" s="247">
        <f>'Proforma Resi'!H3</f>
        <v>3</v>
      </c>
      <c r="J18" s="247">
        <f>'Proforma Resi'!I3</f>
        <v>4</v>
      </c>
      <c r="K18" s="247">
        <f>'Proforma Resi'!J3</f>
        <v>5</v>
      </c>
      <c r="L18" s="247">
        <f>'Proforma Resi'!K3</f>
        <v>6</v>
      </c>
      <c r="M18" s="247">
        <f>'Proforma Resi'!L3</f>
        <v>7</v>
      </c>
      <c r="N18" s="247">
        <f>'Proforma Resi'!M3</f>
        <v>8</v>
      </c>
      <c r="O18" s="247">
        <f>'Proforma Resi'!N3</f>
        <v>9</v>
      </c>
      <c r="P18" s="247">
        <f>'Proforma Resi'!O3</f>
        <v>10</v>
      </c>
      <c r="Q18" s="247">
        <f>'Proforma Resi'!P3</f>
        <v>11</v>
      </c>
      <c r="R18" s="247">
        <f>'Proforma Resi'!Q3</f>
        <v>12</v>
      </c>
    </row>
    <row r="19" spans="1:22" s="3" customFormat="1" x14ac:dyDescent="0.2">
      <c r="A19" s="257"/>
      <c r="F19" s="248">
        <f>Assumptions!C6</f>
        <v>2025</v>
      </c>
      <c r="G19" s="248">
        <f>F19+1</f>
        <v>2026</v>
      </c>
      <c r="H19" s="248">
        <f t="shared" ref="H19:R19" si="0">G19+1</f>
        <v>2027</v>
      </c>
      <c r="I19" s="248">
        <f t="shared" si="0"/>
        <v>2028</v>
      </c>
      <c r="J19" s="248">
        <f t="shared" si="0"/>
        <v>2029</v>
      </c>
      <c r="K19" s="248">
        <f t="shared" si="0"/>
        <v>2030</v>
      </c>
      <c r="L19" s="248">
        <f t="shared" si="0"/>
        <v>2031</v>
      </c>
      <c r="M19" s="248">
        <f t="shared" si="0"/>
        <v>2032</v>
      </c>
      <c r="N19" s="248">
        <f t="shared" si="0"/>
        <v>2033</v>
      </c>
      <c r="O19" s="248">
        <f t="shared" si="0"/>
        <v>2034</v>
      </c>
      <c r="P19" s="248">
        <f t="shared" si="0"/>
        <v>2035</v>
      </c>
      <c r="Q19" s="248">
        <f t="shared" si="0"/>
        <v>2036</v>
      </c>
      <c r="R19" s="248">
        <f t="shared" si="0"/>
        <v>2037</v>
      </c>
      <c r="T19"/>
      <c r="U19"/>
      <c r="V19"/>
    </row>
    <row r="20" spans="1:22" x14ac:dyDescent="0.2">
      <c r="A20" s="257"/>
      <c r="B20" s="3" t="s">
        <v>175</v>
      </c>
      <c r="F20" s="253">
        <f>DATE(F19,12,31)</f>
        <v>46022</v>
      </c>
      <c r="G20" s="253">
        <f>EDATE(F20,12)</f>
        <v>46387</v>
      </c>
      <c r="H20" s="253">
        <f t="shared" ref="H20:R20" si="1">EDATE(G20,12)</f>
        <v>46752</v>
      </c>
      <c r="I20" s="253">
        <f t="shared" si="1"/>
        <v>47118</v>
      </c>
      <c r="J20" s="253">
        <f t="shared" si="1"/>
        <v>47483</v>
      </c>
      <c r="K20" s="253">
        <f t="shared" si="1"/>
        <v>47848</v>
      </c>
      <c r="L20" s="253">
        <f t="shared" si="1"/>
        <v>48213</v>
      </c>
      <c r="M20" s="253">
        <f t="shared" si="1"/>
        <v>48579</v>
      </c>
      <c r="N20" s="253">
        <f t="shared" si="1"/>
        <v>48944</v>
      </c>
      <c r="O20" s="253">
        <f t="shared" si="1"/>
        <v>49309</v>
      </c>
      <c r="P20" s="253">
        <f t="shared" si="1"/>
        <v>49674</v>
      </c>
      <c r="Q20" s="253">
        <f t="shared" si="1"/>
        <v>50040</v>
      </c>
      <c r="R20" s="253">
        <f t="shared" si="1"/>
        <v>50405</v>
      </c>
      <c r="T20" s="2"/>
      <c r="U20" s="262"/>
      <c r="V20" s="262"/>
    </row>
    <row r="21" spans="1:22" x14ac:dyDescent="0.2">
      <c r="A21" s="257"/>
      <c r="B21" s="34" t="s">
        <v>432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4"/>
      <c r="T21" s="262"/>
      <c r="U21" s="262"/>
      <c r="V21" s="262"/>
    </row>
    <row r="22" spans="1:22" x14ac:dyDescent="0.2">
      <c r="A22" s="257"/>
      <c r="B22" s="170" t="s">
        <v>286</v>
      </c>
      <c r="D22" s="147">
        <f t="shared" ref="D22:D27" si="2">SUM(F22:R22)</f>
        <v>15000000</v>
      </c>
      <c r="F22" s="92">
        <f>'Proforma Resi'!E50+'Proforma Resi'!E54</f>
        <v>0</v>
      </c>
      <c r="G22" s="92">
        <f>'Proforma Resi'!F50+'Proforma Resi'!F54</f>
        <v>3000000</v>
      </c>
      <c r="H22" s="92">
        <f>'Proforma Resi'!G50+'Proforma Resi'!G54</f>
        <v>1703345</v>
      </c>
      <c r="I22" s="92">
        <f>'Proforma Resi'!H50+'Proforma Resi'!H54</f>
        <v>5665944.375</v>
      </c>
      <c r="J22" s="92">
        <f>'Proforma Resi'!I50+'Proforma Resi'!I54</f>
        <v>4630710.625</v>
      </c>
      <c r="K22" s="92">
        <f>'Proforma Resi'!J50+'Proforma Resi'!J54</f>
        <v>0</v>
      </c>
      <c r="L22" s="92">
        <f>'Proforma Resi'!K50+'Proforma Resi'!K54</f>
        <v>0</v>
      </c>
      <c r="M22" s="92">
        <f>'Proforma Resi'!L50+'Proforma Resi'!L54</f>
        <v>0</v>
      </c>
      <c r="N22" s="92">
        <f>'Proforma Resi'!M50+'Proforma Resi'!M54</f>
        <v>0</v>
      </c>
      <c r="O22" s="92">
        <f>'Proforma Resi'!N50+'Proforma Resi'!N54</f>
        <v>0</v>
      </c>
      <c r="P22" s="92">
        <f>'Proforma Resi'!O50+'Proforma Resi'!O54</f>
        <v>0</v>
      </c>
      <c r="Q22" s="92">
        <f>'Proforma Resi'!P50+'Proforma Resi'!P54</f>
        <v>0</v>
      </c>
      <c r="R22" s="92">
        <f>'Proforma Resi'!Q50+'Proforma Resi'!Q54</f>
        <v>0</v>
      </c>
      <c r="S22" s="262"/>
      <c r="T22" s="262"/>
      <c r="U22" s="262"/>
      <c r="V22" s="262"/>
    </row>
    <row r="23" spans="1:22" x14ac:dyDescent="0.2">
      <c r="A23" s="257"/>
      <c r="B23" s="170" t="s">
        <v>433</v>
      </c>
      <c r="D23" s="147" t="e">
        <f t="shared" si="2"/>
        <v>#REF!</v>
      </c>
      <c r="F23" s="92">
        <f>'Proforma Resi'!E57</f>
        <v>0</v>
      </c>
      <c r="G23" s="92" t="e">
        <f>'Proforma Resi'!F57</f>
        <v>#REF!</v>
      </c>
      <c r="H23" s="92" t="e">
        <f>'Proforma Resi'!G57</f>
        <v>#REF!</v>
      </c>
      <c r="I23" s="92" t="e">
        <f>'Proforma Resi'!H57</f>
        <v>#REF!</v>
      </c>
      <c r="J23" s="92" t="e">
        <f>'Proforma Resi'!I57</f>
        <v>#REF!</v>
      </c>
      <c r="K23" s="92" t="e">
        <f>'Proforma Resi'!J57</f>
        <v>#REF!</v>
      </c>
      <c r="L23" s="92" t="e">
        <f>'Proforma Resi'!K57</f>
        <v>#REF!</v>
      </c>
      <c r="M23" s="92" t="e">
        <f>'Proforma Resi'!L57</f>
        <v>#REF!</v>
      </c>
      <c r="N23" s="92" t="e">
        <f>'Proforma Resi'!M57</f>
        <v>#REF!</v>
      </c>
      <c r="O23" s="92" t="e">
        <f>'Proforma Resi'!N57</f>
        <v>#REF!</v>
      </c>
      <c r="P23" s="92" t="e">
        <f>'Proforma Resi'!O57</f>
        <v>#REF!</v>
      </c>
      <c r="Q23" s="92" t="e">
        <f>'Proforma Resi'!P57</f>
        <v>#REF!</v>
      </c>
      <c r="R23" s="92" t="e">
        <f>'Proforma Resi'!Q57</f>
        <v>#REF!</v>
      </c>
      <c r="S23" s="262"/>
      <c r="T23" s="262"/>
      <c r="U23" s="262"/>
      <c r="V23" s="262"/>
    </row>
    <row r="24" spans="1:22" x14ac:dyDescent="0.2">
      <c r="A24" s="257"/>
      <c r="B24" s="268" t="e">
        <f>"Additional Profit Split ("&amp;TEXT(Assumptions!#REF!,"0%")&amp;")"</f>
        <v>#REF!</v>
      </c>
      <c r="C24" s="222"/>
      <c r="D24" s="267" t="e">
        <f t="shared" si="2"/>
        <v>#REF!</v>
      </c>
      <c r="E24" s="222"/>
      <c r="F24" s="77">
        <f>'Proforma Resi'!E223</f>
        <v>0</v>
      </c>
      <c r="G24" s="77" t="e">
        <f>'Proforma Resi'!F223</f>
        <v>#REF!</v>
      </c>
      <c r="H24" s="77" t="e">
        <f>'Proforma Resi'!G223</f>
        <v>#REF!</v>
      </c>
      <c r="I24" s="77" t="e">
        <f>'Proforma Resi'!H223</f>
        <v>#REF!</v>
      </c>
      <c r="J24" s="77" t="e">
        <f>'Proforma Resi'!I223</f>
        <v>#REF!</v>
      </c>
      <c r="K24" s="77" t="e">
        <f>'Proforma Resi'!J223</f>
        <v>#REF!</v>
      </c>
      <c r="L24" s="77" t="e">
        <f>'Proforma Resi'!K223</f>
        <v>#REF!</v>
      </c>
      <c r="M24" s="77" t="e">
        <f>'Proforma Resi'!L223</f>
        <v>#REF!</v>
      </c>
      <c r="N24" s="77" t="e">
        <f>'Proforma Resi'!M223</f>
        <v>#REF!</v>
      </c>
      <c r="O24" s="77" t="e">
        <f>'Proforma Resi'!N223</f>
        <v>#REF!</v>
      </c>
      <c r="P24" s="77" t="e">
        <f>'Proforma Resi'!O223</f>
        <v>#REF!</v>
      </c>
      <c r="Q24" s="77" t="e">
        <f>'Proforma Resi'!P223</f>
        <v>#REF!</v>
      </c>
      <c r="R24" s="77" t="e">
        <f>'Proforma Resi'!Q223</f>
        <v>#REF!</v>
      </c>
      <c r="S24" s="262"/>
      <c r="T24" s="262"/>
      <c r="U24" s="262"/>
      <c r="V24" s="262"/>
    </row>
    <row r="25" spans="1:22" x14ac:dyDescent="0.2">
      <c r="A25" s="257"/>
      <c r="B25" t="s">
        <v>434</v>
      </c>
      <c r="D25" s="109" t="e">
        <f t="shared" si="2"/>
        <v>#REF!</v>
      </c>
      <c r="F25" s="92">
        <f t="shared" ref="F25:R25" si="3">SUM(F22:F24)</f>
        <v>0</v>
      </c>
      <c r="G25" s="92" t="e">
        <f t="shared" si="3"/>
        <v>#REF!</v>
      </c>
      <c r="H25" s="92" t="e">
        <f t="shared" si="3"/>
        <v>#REF!</v>
      </c>
      <c r="I25" s="92" t="e">
        <f t="shared" si="3"/>
        <v>#REF!</v>
      </c>
      <c r="J25" s="92" t="e">
        <f t="shared" si="3"/>
        <v>#REF!</v>
      </c>
      <c r="K25" s="92" t="e">
        <f t="shared" si="3"/>
        <v>#REF!</v>
      </c>
      <c r="L25" s="92" t="e">
        <f t="shared" si="3"/>
        <v>#REF!</v>
      </c>
      <c r="M25" s="92" t="e">
        <f t="shared" si="3"/>
        <v>#REF!</v>
      </c>
      <c r="N25" s="92" t="e">
        <f t="shared" si="3"/>
        <v>#REF!</v>
      </c>
      <c r="O25" s="92" t="e">
        <f t="shared" si="3"/>
        <v>#REF!</v>
      </c>
      <c r="P25" s="92" t="e">
        <f t="shared" si="3"/>
        <v>#REF!</v>
      </c>
      <c r="Q25" s="92" t="e">
        <f t="shared" si="3"/>
        <v>#REF!</v>
      </c>
      <c r="R25" s="92" t="e">
        <f t="shared" si="3"/>
        <v>#REF!</v>
      </c>
      <c r="S25" s="262"/>
      <c r="T25" s="262"/>
      <c r="U25" s="262"/>
      <c r="V25" s="262"/>
    </row>
    <row r="26" spans="1:22" x14ac:dyDescent="0.2">
      <c r="A26" s="257"/>
      <c r="B26" t="s">
        <v>435</v>
      </c>
      <c r="D26" s="109">
        <f>SUM(F26:R26)</f>
        <v>15000000</v>
      </c>
      <c r="F26" s="92"/>
      <c r="G26" s="92">
        <f>'Proforma Resi'!C56</f>
        <v>15000000</v>
      </c>
      <c r="H26" s="92">
        <v>0</v>
      </c>
      <c r="I26" s="92">
        <v>0</v>
      </c>
      <c r="J26" s="92">
        <v>0</v>
      </c>
      <c r="K26" s="92">
        <v>0</v>
      </c>
      <c r="L26" s="92">
        <v>0</v>
      </c>
      <c r="M26" s="92">
        <v>0</v>
      </c>
      <c r="N26" s="92">
        <v>0</v>
      </c>
      <c r="O26" s="92">
        <v>0</v>
      </c>
      <c r="P26" s="92">
        <v>0</v>
      </c>
      <c r="Q26" s="92">
        <v>0</v>
      </c>
      <c r="R26" s="92">
        <v>0</v>
      </c>
      <c r="S26" s="262"/>
      <c r="T26" s="262"/>
      <c r="U26" s="262"/>
      <c r="V26" s="262"/>
    </row>
    <row r="27" spans="1:22" ht="17" thickBot="1" x14ac:dyDescent="0.25">
      <c r="A27" s="257"/>
      <c r="B27" t="s">
        <v>436</v>
      </c>
      <c r="D27" s="110" t="e">
        <f t="shared" si="2"/>
        <v>#REF!</v>
      </c>
      <c r="F27" s="92">
        <f>F25-F26</f>
        <v>0</v>
      </c>
      <c r="G27" s="92" t="e">
        <f>G25-G26</f>
        <v>#REF!</v>
      </c>
      <c r="H27" s="92" t="e">
        <f t="shared" ref="H27:R27" si="4">H25-H26</f>
        <v>#REF!</v>
      </c>
      <c r="I27" s="92" t="e">
        <f t="shared" si="4"/>
        <v>#REF!</v>
      </c>
      <c r="J27" s="92" t="e">
        <f t="shared" si="4"/>
        <v>#REF!</v>
      </c>
      <c r="K27" s="92" t="e">
        <f t="shared" si="4"/>
        <v>#REF!</v>
      </c>
      <c r="L27" s="92" t="e">
        <f t="shared" si="4"/>
        <v>#REF!</v>
      </c>
      <c r="M27" s="92" t="e">
        <f t="shared" si="4"/>
        <v>#REF!</v>
      </c>
      <c r="N27" s="92" t="e">
        <f t="shared" si="4"/>
        <v>#REF!</v>
      </c>
      <c r="O27" s="92" t="e">
        <f t="shared" si="4"/>
        <v>#REF!</v>
      </c>
      <c r="P27" s="92" t="e">
        <f t="shared" si="4"/>
        <v>#REF!</v>
      </c>
      <c r="Q27" s="92" t="e">
        <f t="shared" si="4"/>
        <v>#REF!</v>
      </c>
      <c r="R27" s="92" t="e">
        <f t="shared" si="4"/>
        <v>#REF!</v>
      </c>
      <c r="S27" s="262"/>
      <c r="T27" s="262"/>
      <c r="U27" s="262"/>
      <c r="V27" s="262"/>
    </row>
    <row r="28" spans="1:22" ht="17" thickTop="1" x14ac:dyDescent="0.2">
      <c r="A28" s="257"/>
      <c r="B28" t="s">
        <v>437</v>
      </c>
      <c r="F28" s="263" t="e">
        <f>XIRR(G27:R27,G20:R20)</f>
        <v>#REF!</v>
      </c>
    </row>
    <row r="29" spans="1:22" x14ac:dyDescent="0.2">
      <c r="A29" s="257"/>
      <c r="B29" t="s">
        <v>438</v>
      </c>
      <c r="F29" s="264" t="e">
        <f>SUMIF(F27:R27,"&gt;0")/-SUMIF(F27:R27,"&lt;0")</f>
        <v>#DIV/0!</v>
      </c>
    </row>
    <row r="30" spans="1:22" x14ac:dyDescent="0.2">
      <c r="A30" s="257"/>
      <c r="B30" t="s">
        <v>219</v>
      </c>
      <c r="F30" s="92">
        <f t="shared" ref="F30:O30" si="5">F27+E30</f>
        <v>0</v>
      </c>
      <c r="G30" s="92" t="e">
        <f t="shared" si="5"/>
        <v>#REF!</v>
      </c>
      <c r="H30" s="92" t="e">
        <f t="shared" si="5"/>
        <v>#REF!</v>
      </c>
      <c r="I30" s="92" t="e">
        <f t="shared" si="5"/>
        <v>#REF!</v>
      </c>
      <c r="J30" s="92" t="e">
        <f t="shared" si="5"/>
        <v>#REF!</v>
      </c>
      <c r="K30" s="92" t="e">
        <f t="shared" si="5"/>
        <v>#REF!</v>
      </c>
      <c r="L30" s="92" t="e">
        <f t="shared" si="5"/>
        <v>#REF!</v>
      </c>
      <c r="M30" s="92" t="e">
        <f t="shared" si="5"/>
        <v>#REF!</v>
      </c>
      <c r="N30" s="92" t="e">
        <f t="shared" si="5"/>
        <v>#REF!</v>
      </c>
      <c r="O30" s="92" t="e">
        <f t="shared" si="5"/>
        <v>#REF!</v>
      </c>
      <c r="P30" s="92" t="e">
        <f t="shared" ref="P30:R30" si="6">P27+O30</f>
        <v>#REF!</v>
      </c>
      <c r="Q30" s="92" t="e">
        <f t="shared" si="6"/>
        <v>#REF!</v>
      </c>
      <c r="R30" s="92" t="e">
        <f t="shared" si="6"/>
        <v>#REF!</v>
      </c>
    </row>
    <row r="31" spans="1:22" x14ac:dyDescent="0.2">
      <c r="A31" s="257"/>
      <c r="B31" s="13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</row>
    <row r="32" spans="1:22" x14ac:dyDescent="0.2">
      <c r="A32" s="257"/>
      <c r="B32" s="34" t="s">
        <v>439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4"/>
      <c r="T32" s="262"/>
      <c r="U32" s="262"/>
      <c r="V32" s="262"/>
    </row>
    <row r="33" spans="1:22" x14ac:dyDescent="0.2">
      <c r="A33" s="257"/>
      <c r="B33" s="170" t="s">
        <v>440</v>
      </c>
      <c r="D33" s="147">
        <f t="shared" ref="D33:D34" si="7">SUM(F33:R33)</f>
        <v>0</v>
      </c>
      <c r="F33" s="92">
        <f>'Proforma Resi'!E221</f>
        <v>0</v>
      </c>
      <c r="G33" s="92">
        <f>'Proforma Resi'!F221</f>
        <v>0</v>
      </c>
      <c r="H33" s="92">
        <f>'Proforma Resi'!G221</f>
        <v>0</v>
      </c>
      <c r="I33" s="92">
        <f>'Proforma Resi'!H221</f>
        <v>0</v>
      </c>
      <c r="J33" s="92">
        <f>'Proforma Resi'!I221</f>
        <v>0</v>
      </c>
      <c r="K33" s="92">
        <f>'Proforma Resi'!J221</f>
        <v>0</v>
      </c>
      <c r="L33" s="92">
        <f>'Proforma Resi'!K221</f>
        <v>0</v>
      </c>
      <c r="M33" s="92">
        <f>'Proforma Resi'!L221</f>
        <v>0</v>
      </c>
      <c r="N33" s="92">
        <f>'Proforma Resi'!M221</f>
        <v>0</v>
      </c>
      <c r="O33" s="92">
        <f>'Proforma Resi'!N221</f>
        <v>0</v>
      </c>
      <c r="P33" s="92">
        <f>'Proforma Resi'!O221</f>
        <v>0</v>
      </c>
      <c r="Q33" s="92">
        <f>'Proforma Resi'!P221</f>
        <v>0</v>
      </c>
      <c r="R33" s="92">
        <f>'Proforma Resi'!Q221</f>
        <v>0</v>
      </c>
      <c r="S33" s="262"/>
      <c r="T33" s="262"/>
      <c r="U33" s="262"/>
      <c r="V33" s="262"/>
    </row>
    <row r="34" spans="1:22" x14ac:dyDescent="0.2">
      <c r="A34" s="257"/>
      <c r="B34" s="268" t="e">
        <f>"Additional Profit Split ("&amp;TEXT(Assumptions!#REF!,"0%")&amp;")"</f>
        <v>#REF!</v>
      </c>
      <c r="C34" s="222"/>
      <c r="D34" s="267" t="e">
        <f t="shared" si="7"/>
        <v>#REF!</v>
      </c>
      <c r="E34" s="222"/>
      <c r="F34" s="77">
        <f>'Proforma Resi'!E224</f>
        <v>0</v>
      </c>
      <c r="G34" s="77" t="e">
        <f>'Proforma Resi'!F224</f>
        <v>#REF!</v>
      </c>
      <c r="H34" s="77" t="e">
        <f>'Proforma Resi'!G224</f>
        <v>#REF!</v>
      </c>
      <c r="I34" s="77" t="e">
        <f>'Proforma Resi'!H224</f>
        <v>#REF!</v>
      </c>
      <c r="J34" s="77" t="e">
        <f>'Proforma Resi'!I224</f>
        <v>#REF!</v>
      </c>
      <c r="K34" s="77" t="e">
        <f>'Proforma Resi'!J224</f>
        <v>#REF!</v>
      </c>
      <c r="L34" s="77" t="e">
        <f>'Proforma Resi'!K224</f>
        <v>#REF!</v>
      </c>
      <c r="M34" s="77" t="e">
        <f>'Proforma Resi'!L224</f>
        <v>#REF!</v>
      </c>
      <c r="N34" s="77" t="e">
        <f>'Proforma Resi'!M224</f>
        <v>#REF!</v>
      </c>
      <c r="O34" s="77" t="e">
        <f>'Proforma Resi'!N224</f>
        <v>#REF!</v>
      </c>
      <c r="P34" s="77" t="e">
        <f>'Proforma Resi'!O224</f>
        <v>#REF!</v>
      </c>
      <c r="Q34" s="77" t="e">
        <f>'Proforma Resi'!P224</f>
        <v>#REF!</v>
      </c>
      <c r="R34" s="77" t="e">
        <f>'Proforma Resi'!Q224</f>
        <v>#REF!</v>
      </c>
      <c r="S34" s="262"/>
      <c r="T34" s="262"/>
      <c r="U34" s="262"/>
      <c r="V34" s="262"/>
    </row>
    <row r="35" spans="1:22" x14ac:dyDescent="0.2">
      <c r="A35" s="257"/>
      <c r="B35" s="132" t="s">
        <v>434</v>
      </c>
      <c r="D35" s="109" t="e">
        <f>SUM(F35:R35)</f>
        <v>#REF!</v>
      </c>
      <c r="F35" s="92">
        <f>SUM(F33:F34)</f>
        <v>0</v>
      </c>
      <c r="G35" s="92" t="e">
        <f t="shared" ref="G35:R35" si="8">SUM(G33:G34)</f>
        <v>#REF!</v>
      </c>
      <c r="H35" s="92" t="e">
        <f t="shared" si="8"/>
        <v>#REF!</v>
      </c>
      <c r="I35" s="92" t="e">
        <f t="shared" si="8"/>
        <v>#REF!</v>
      </c>
      <c r="J35" s="92" t="e">
        <f t="shared" si="8"/>
        <v>#REF!</v>
      </c>
      <c r="K35" s="92" t="e">
        <f t="shared" si="8"/>
        <v>#REF!</v>
      </c>
      <c r="L35" s="92" t="e">
        <f t="shared" si="8"/>
        <v>#REF!</v>
      </c>
      <c r="M35" s="92" t="e">
        <f t="shared" si="8"/>
        <v>#REF!</v>
      </c>
      <c r="N35" s="92" t="e">
        <f t="shared" si="8"/>
        <v>#REF!</v>
      </c>
      <c r="O35" s="92" t="e">
        <f t="shared" si="8"/>
        <v>#REF!</v>
      </c>
      <c r="P35" s="92" t="e">
        <f t="shared" si="8"/>
        <v>#REF!</v>
      </c>
      <c r="Q35" s="92" t="e">
        <f t="shared" si="8"/>
        <v>#REF!</v>
      </c>
      <c r="R35" s="92" t="e">
        <f t="shared" si="8"/>
        <v>#REF!</v>
      </c>
      <c r="S35" s="262"/>
      <c r="T35" s="262"/>
      <c r="U35" s="262"/>
      <c r="V35" s="262"/>
    </row>
    <row r="36" spans="1:22" x14ac:dyDescent="0.2">
      <c r="A36" s="257"/>
      <c r="B36" s="132" t="s">
        <v>435</v>
      </c>
      <c r="D36" s="109" t="e">
        <f>SUM(F36:R36)</f>
        <v>#REF!</v>
      </c>
      <c r="F36" s="92">
        <f>'Proforma Resi'!E31</f>
        <v>0</v>
      </c>
      <c r="G36" s="92" t="e">
        <f>'Proforma Resi'!F31</f>
        <v>#REF!</v>
      </c>
      <c r="H36" s="92">
        <f>'Proforma Resi'!G31</f>
        <v>0</v>
      </c>
      <c r="I36" s="92">
        <f>'Proforma Resi'!H31</f>
        <v>0</v>
      </c>
      <c r="J36" s="92">
        <f>'Proforma Resi'!I31</f>
        <v>0</v>
      </c>
      <c r="K36" s="92">
        <f>'Proforma Resi'!J31</f>
        <v>0</v>
      </c>
      <c r="L36" s="92">
        <f>'Proforma Resi'!K31</f>
        <v>0</v>
      </c>
      <c r="M36" s="92">
        <f>'Proforma Resi'!L31</f>
        <v>0</v>
      </c>
      <c r="N36" s="92">
        <f>'Proforma Resi'!M31</f>
        <v>0</v>
      </c>
      <c r="O36" s="92">
        <f>'Proforma Resi'!N31</f>
        <v>0</v>
      </c>
      <c r="P36" s="92">
        <f>'Proforma Resi'!O31</f>
        <v>0</v>
      </c>
      <c r="Q36" s="92">
        <f>'Proforma Resi'!P31</f>
        <v>0</v>
      </c>
      <c r="R36" s="92">
        <f>'Proforma Resi'!Q31</f>
        <v>0</v>
      </c>
      <c r="S36" s="262"/>
      <c r="T36" s="262"/>
      <c r="U36" s="262"/>
      <c r="V36" s="262"/>
    </row>
    <row r="37" spans="1:22" ht="17" thickBot="1" x14ac:dyDescent="0.25">
      <c r="A37" s="257"/>
      <c r="B37" s="132" t="s">
        <v>436</v>
      </c>
      <c r="D37" s="110" t="e">
        <f>SUM(F37:R37)</f>
        <v>#REF!</v>
      </c>
      <c r="F37" s="92">
        <f>F35-F36</f>
        <v>0</v>
      </c>
      <c r="G37" s="92" t="e">
        <f t="shared" ref="G37:R37" si="9">G35-G36</f>
        <v>#REF!</v>
      </c>
      <c r="H37" s="92" t="e">
        <f>H35-H36</f>
        <v>#REF!</v>
      </c>
      <c r="I37" s="92" t="e">
        <f t="shared" si="9"/>
        <v>#REF!</v>
      </c>
      <c r="J37" s="92" t="e">
        <f t="shared" si="9"/>
        <v>#REF!</v>
      </c>
      <c r="K37" s="92" t="e">
        <f t="shared" si="9"/>
        <v>#REF!</v>
      </c>
      <c r="L37" s="92" t="e">
        <f t="shared" si="9"/>
        <v>#REF!</v>
      </c>
      <c r="M37" s="92" t="e">
        <f t="shared" si="9"/>
        <v>#REF!</v>
      </c>
      <c r="N37" s="92" t="e">
        <f t="shared" si="9"/>
        <v>#REF!</v>
      </c>
      <c r="O37" s="92" t="e">
        <f t="shared" si="9"/>
        <v>#REF!</v>
      </c>
      <c r="P37" s="92" t="e">
        <f t="shared" si="9"/>
        <v>#REF!</v>
      </c>
      <c r="Q37" s="92" t="e">
        <f t="shared" si="9"/>
        <v>#REF!</v>
      </c>
      <c r="R37" s="92" t="e">
        <f t="shared" si="9"/>
        <v>#REF!</v>
      </c>
      <c r="S37" s="262"/>
      <c r="T37" s="262"/>
      <c r="U37" s="262"/>
      <c r="V37" s="262"/>
    </row>
    <row r="38" spans="1:22" ht="17" thickTop="1" x14ac:dyDescent="0.2">
      <c r="A38" s="257"/>
      <c r="B38" s="132" t="s">
        <v>437</v>
      </c>
      <c r="F38" s="263" t="e">
        <f>XIRR(G37:R37,G20:R20)</f>
        <v>#REF!</v>
      </c>
    </row>
    <row r="39" spans="1:22" x14ac:dyDescent="0.2">
      <c r="A39" s="257"/>
      <c r="B39" s="132" t="s">
        <v>438</v>
      </c>
      <c r="F39" s="264" t="e">
        <f>SUMIF(F37:R37,"&gt;0")/-SUMIF(F37:R37,"&lt;0")</f>
        <v>#DIV/0!</v>
      </c>
    </row>
    <row r="40" spans="1:22" x14ac:dyDescent="0.2">
      <c r="A40" s="257"/>
      <c r="B40" s="132" t="s">
        <v>219</v>
      </c>
      <c r="F40" s="92">
        <f>F37+E40</f>
        <v>0</v>
      </c>
      <c r="G40" s="92" t="e">
        <f t="shared" ref="G40" si="10">G37+F40</f>
        <v>#REF!</v>
      </c>
      <c r="H40" s="92" t="e">
        <f t="shared" ref="H40" si="11">H37+G40</f>
        <v>#REF!</v>
      </c>
      <c r="I40" s="92" t="e">
        <f t="shared" ref="I40" si="12">I37+H40</f>
        <v>#REF!</v>
      </c>
      <c r="J40" s="92" t="e">
        <f t="shared" ref="J40" si="13">J37+I40</f>
        <v>#REF!</v>
      </c>
      <c r="K40" s="92" t="e">
        <f t="shared" ref="K40" si="14">K37+J40</f>
        <v>#REF!</v>
      </c>
      <c r="L40" s="92" t="e">
        <f t="shared" ref="L40" si="15">L37+K40</f>
        <v>#REF!</v>
      </c>
      <c r="M40" s="92" t="e">
        <f t="shared" ref="M40" si="16">M37+L40</f>
        <v>#REF!</v>
      </c>
      <c r="N40" s="92" t="e">
        <f t="shared" ref="N40" si="17">N37+M40</f>
        <v>#REF!</v>
      </c>
      <c r="O40" s="92" t="e">
        <f t="shared" ref="O40" si="18">O37+N40</f>
        <v>#REF!</v>
      </c>
      <c r="P40" s="92" t="e">
        <f t="shared" ref="P40" si="19">P37+O40</f>
        <v>#REF!</v>
      </c>
      <c r="Q40" s="92" t="e">
        <f t="shared" ref="Q40" si="20">Q37+P40</f>
        <v>#REF!</v>
      </c>
      <c r="R40" s="92" t="e">
        <f t="shared" ref="R40" si="21">R37+Q40</f>
        <v>#REF!</v>
      </c>
    </row>
    <row r="41" spans="1:22" x14ac:dyDescent="0.2">
      <c r="A41" s="257"/>
      <c r="B41" s="13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</row>
    <row r="42" spans="1:22" x14ac:dyDescent="0.2">
      <c r="A42" s="257"/>
      <c r="B42" s="34" t="s">
        <v>441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4"/>
    </row>
    <row r="43" spans="1:22" x14ac:dyDescent="0.2">
      <c r="A43" s="257"/>
      <c r="B43" s="132" t="e">
        <f>"CM Profit Split ("&amp;TEXT(Assumptions!#REF!,"0%")&amp;")"</f>
        <v>#REF!</v>
      </c>
      <c r="D43" s="109" t="e">
        <f t="shared" ref="D43:D50" si="22">SUM(F43:R43)</f>
        <v>#REF!</v>
      </c>
      <c r="F43" s="92">
        <f>'Proforma Resi'!E225</f>
        <v>0</v>
      </c>
      <c r="G43" s="92" t="e">
        <f>'Proforma Resi'!F225</f>
        <v>#REF!</v>
      </c>
      <c r="H43" s="92" t="e">
        <f>'Proforma Resi'!G225</f>
        <v>#REF!</v>
      </c>
      <c r="I43" s="92" t="e">
        <f>'Proforma Resi'!H225</f>
        <v>#REF!</v>
      </c>
      <c r="J43" s="92" t="e">
        <f>'Proforma Resi'!I225</f>
        <v>#REF!</v>
      </c>
      <c r="K43" s="92" t="e">
        <f>'Proforma Resi'!J225</f>
        <v>#REF!</v>
      </c>
      <c r="L43" s="92" t="e">
        <f>'Proforma Resi'!K225</f>
        <v>#REF!</v>
      </c>
      <c r="M43" s="92" t="e">
        <f>'Proforma Resi'!L225</f>
        <v>#REF!</v>
      </c>
      <c r="N43" s="92" t="e">
        <f>'Proforma Resi'!M225</f>
        <v>#REF!</v>
      </c>
      <c r="O43" s="92" t="e">
        <f>'Proforma Resi'!N225</f>
        <v>#REF!</v>
      </c>
      <c r="P43" s="92" t="e">
        <f>'Proforma Resi'!O225</f>
        <v>#REF!</v>
      </c>
      <c r="Q43" s="92" t="e">
        <f>'Proforma Resi'!P225</f>
        <v>#REF!</v>
      </c>
      <c r="R43" s="92" t="e">
        <f>'Proforma Resi'!Q225</f>
        <v>#REF!</v>
      </c>
    </row>
    <row r="44" spans="1:22" x14ac:dyDescent="0.2">
      <c r="A44" s="257"/>
      <c r="B44" s="132" t="s">
        <v>442</v>
      </c>
      <c r="D44" s="109">
        <f t="shared" si="22"/>
        <v>75000</v>
      </c>
      <c r="F44" s="92">
        <f>'Proforma Resi'!E29</f>
        <v>75000</v>
      </c>
      <c r="G44" s="92">
        <f>'Proforma Resi'!F29</f>
        <v>0</v>
      </c>
      <c r="H44" s="92">
        <f>'Proforma Resi'!G29</f>
        <v>0</v>
      </c>
      <c r="I44" s="92">
        <f>'Proforma Resi'!H29</f>
        <v>0</v>
      </c>
      <c r="J44" s="92">
        <f>'Proforma Resi'!I29</f>
        <v>0</v>
      </c>
      <c r="K44" s="92">
        <f>'Proforma Resi'!J29</f>
        <v>0</v>
      </c>
      <c r="L44" s="92">
        <f>'Proforma Resi'!K29</f>
        <v>0</v>
      </c>
      <c r="M44" s="92">
        <f>'Proforma Resi'!L29</f>
        <v>0</v>
      </c>
      <c r="N44" s="92">
        <f>'Proforma Resi'!M29</f>
        <v>0</v>
      </c>
      <c r="O44" s="92">
        <f>'Proforma Resi'!N29</f>
        <v>0</v>
      </c>
      <c r="P44" s="92">
        <f>'Proforma Resi'!O29</f>
        <v>0</v>
      </c>
      <c r="Q44" s="92">
        <f>'Proforma Resi'!P29</f>
        <v>0</v>
      </c>
      <c r="R44" s="92">
        <f>'Proforma Resi'!Q29</f>
        <v>0</v>
      </c>
    </row>
    <row r="45" spans="1:22" ht="17" thickBot="1" x14ac:dyDescent="0.25">
      <c r="A45" s="257"/>
      <c r="B45" s="132" t="s">
        <v>443</v>
      </c>
      <c r="D45" s="110" t="e">
        <f t="shared" si="22"/>
        <v>#REF!</v>
      </c>
      <c r="F45" s="92">
        <f>F43-F44</f>
        <v>-75000</v>
      </c>
      <c r="G45" s="92" t="e">
        <f t="shared" ref="G45:R45" si="23">G43-G44</f>
        <v>#REF!</v>
      </c>
      <c r="H45" s="92" t="e">
        <f t="shared" si="23"/>
        <v>#REF!</v>
      </c>
      <c r="I45" s="92" t="e">
        <f t="shared" si="23"/>
        <v>#REF!</v>
      </c>
      <c r="J45" s="92" t="e">
        <f t="shared" si="23"/>
        <v>#REF!</v>
      </c>
      <c r="K45" s="92" t="e">
        <f t="shared" si="23"/>
        <v>#REF!</v>
      </c>
      <c r="L45" s="92" t="e">
        <f t="shared" si="23"/>
        <v>#REF!</v>
      </c>
      <c r="M45" s="92" t="e">
        <f t="shared" si="23"/>
        <v>#REF!</v>
      </c>
      <c r="N45" s="92" t="e">
        <f t="shared" si="23"/>
        <v>#REF!</v>
      </c>
      <c r="O45" s="92" t="e">
        <f t="shared" si="23"/>
        <v>#REF!</v>
      </c>
      <c r="P45" s="92" t="e">
        <f t="shared" si="23"/>
        <v>#REF!</v>
      </c>
      <c r="Q45" s="92" t="e">
        <f t="shared" si="23"/>
        <v>#REF!</v>
      </c>
      <c r="R45" s="92" t="e">
        <f t="shared" si="23"/>
        <v>#REF!</v>
      </c>
    </row>
    <row r="46" spans="1:22" ht="17" thickTop="1" x14ac:dyDescent="0.2">
      <c r="A46" s="257"/>
      <c r="B46" s="132" t="str">
        <f>'Proforma Resi'!B49</f>
        <v>Asset Acquisition Fee</v>
      </c>
      <c r="D46" s="109"/>
      <c r="F46" s="92">
        <f>'Proforma Resi'!E49</f>
        <v>0</v>
      </c>
      <c r="G46" s="92">
        <f>'Proforma Resi'!F49</f>
        <v>300000</v>
      </c>
      <c r="H46" s="92">
        <f>'Proforma Resi'!G49</f>
        <v>0</v>
      </c>
      <c r="I46" s="92">
        <f>'Proforma Resi'!H49</f>
        <v>0</v>
      </c>
      <c r="J46" s="92">
        <f>'Proforma Resi'!I49</f>
        <v>0</v>
      </c>
      <c r="K46" s="92">
        <f>'Proforma Resi'!J49</f>
        <v>0</v>
      </c>
      <c r="L46" s="92">
        <f>'Proforma Resi'!K49</f>
        <v>0</v>
      </c>
      <c r="M46" s="92">
        <f>'Proforma Resi'!L49</f>
        <v>0</v>
      </c>
      <c r="N46" s="92">
        <f>'Proforma Resi'!M49</f>
        <v>0</v>
      </c>
      <c r="O46" s="92">
        <f>'Proforma Resi'!N49</f>
        <v>0</v>
      </c>
      <c r="P46" s="92">
        <f>'Proforma Resi'!O49</f>
        <v>0</v>
      </c>
      <c r="Q46" s="92">
        <f>'Proforma Resi'!P49</f>
        <v>0</v>
      </c>
      <c r="R46" s="92">
        <f>'Proforma Resi'!Q49</f>
        <v>0</v>
      </c>
    </row>
    <row r="47" spans="1:22" x14ac:dyDescent="0.2">
      <c r="A47" s="257"/>
      <c r="B47" s="132" t="str">
        <f>'Proforma Resi'!B191</f>
        <v>Developer Overhead (% of COSTS less LAND &amp; RE Fees)</v>
      </c>
      <c r="D47" s="109" t="e">
        <f t="shared" si="22"/>
        <v>#REF!</v>
      </c>
      <c r="F47" s="92">
        <f>'Proforma Resi'!E191</f>
        <v>0</v>
      </c>
      <c r="G47" s="92" t="e">
        <f>'Proforma Resi'!F191</f>
        <v>#REF!</v>
      </c>
      <c r="H47" s="92" t="e">
        <f>'Proforma Resi'!G191</f>
        <v>#REF!</v>
      </c>
      <c r="I47" s="92" t="e">
        <f>'Proforma Resi'!H191</f>
        <v>#REF!</v>
      </c>
      <c r="J47" s="92" t="e">
        <f>'Proforma Resi'!I191</f>
        <v>#REF!</v>
      </c>
      <c r="K47" s="92" t="e">
        <f>'Proforma Resi'!J191</f>
        <v>#REF!</v>
      </c>
      <c r="L47" s="92">
        <f>'Proforma Resi'!K191</f>
        <v>0</v>
      </c>
      <c r="M47" s="92">
        <f>'Proforma Resi'!L191</f>
        <v>0</v>
      </c>
      <c r="N47" s="92">
        <f>'Proforma Resi'!M191</f>
        <v>0</v>
      </c>
      <c r="O47" s="92">
        <f>'Proforma Resi'!N191</f>
        <v>0</v>
      </c>
      <c r="P47" s="92">
        <f>'Proforma Resi'!O191</f>
        <v>0</v>
      </c>
      <c r="Q47" s="92">
        <f>'Proforma Resi'!P191</f>
        <v>0</v>
      </c>
      <c r="R47" s="92">
        <f>'Proforma Resi'!Q191</f>
        <v>0</v>
      </c>
    </row>
    <row r="48" spans="1:22" x14ac:dyDescent="0.2">
      <c r="A48" s="257"/>
      <c r="B48" s="132" t="str">
        <f>'Proforma Resi'!B192</f>
        <v>Disposition Fees</v>
      </c>
      <c r="D48" s="109">
        <f t="shared" si="22"/>
        <v>2641178.0335156252</v>
      </c>
      <c r="F48" s="92">
        <f>'Proforma Resi'!E192</f>
        <v>0</v>
      </c>
      <c r="G48" s="92">
        <f>'Proforma Resi'!F192</f>
        <v>0</v>
      </c>
      <c r="H48" s="92">
        <f>'Proforma Resi'!G192</f>
        <v>243335</v>
      </c>
      <c r="I48" s="92">
        <f>'Proforma Resi'!H192</f>
        <v>809420.625</v>
      </c>
      <c r="J48" s="92">
        <f>'Proforma Resi'!I192</f>
        <v>819645.62187500007</v>
      </c>
      <c r="K48" s="92">
        <f>'Proforma Resi'!J192</f>
        <v>768776.78664062498</v>
      </c>
      <c r="L48" s="92">
        <f>'Proforma Resi'!K192</f>
        <v>0</v>
      </c>
      <c r="M48" s="92">
        <f>'Proforma Resi'!L192</f>
        <v>0</v>
      </c>
      <c r="N48" s="92">
        <f>'Proforma Resi'!M192</f>
        <v>0</v>
      </c>
      <c r="O48" s="92">
        <f>'Proforma Resi'!N192</f>
        <v>0</v>
      </c>
      <c r="P48" s="92">
        <f>'Proforma Resi'!O192</f>
        <v>0</v>
      </c>
      <c r="Q48" s="92">
        <f>'Proforma Resi'!P192</f>
        <v>0</v>
      </c>
      <c r="R48" s="92">
        <f>'Proforma Resi'!Q192</f>
        <v>0</v>
      </c>
    </row>
    <row r="49" spans="1:22" x14ac:dyDescent="0.2">
      <c r="A49" s="257"/>
      <c r="B49" s="132" t="str">
        <f>'Proforma Resi'!B193</f>
        <v>Asset Management Fees</v>
      </c>
      <c r="D49" s="109">
        <f t="shared" si="22"/>
        <v>650404.04223859869</v>
      </c>
      <c r="F49" s="92">
        <f>'Proforma Resi'!E193</f>
        <v>0</v>
      </c>
      <c r="G49" s="92">
        <f>'Proforma Resi'!F193</f>
        <v>168534.63374734551</v>
      </c>
      <c r="H49" s="92">
        <f>'Proforma Resi'!G193</f>
        <v>168534.63374734551</v>
      </c>
      <c r="I49" s="92">
        <f>'Proforma Resi'!H193</f>
        <v>168534.63374734551</v>
      </c>
      <c r="J49" s="92">
        <f>'Proforma Resi'!I193</f>
        <v>129838.87769313539</v>
      </c>
      <c r="K49" s="92">
        <f>'Proforma Resi'!J193</f>
        <v>14961.263303426771</v>
      </c>
      <c r="L49" s="92">
        <f>'Proforma Resi'!K193</f>
        <v>0</v>
      </c>
      <c r="M49" s="92">
        <f>'Proforma Resi'!L193</f>
        <v>0</v>
      </c>
      <c r="N49" s="92">
        <f>'Proforma Resi'!M193</f>
        <v>0</v>
      </c>
      <c r="O49" s="92">
        <f>'Proforma Resi'!N193</f>
        <v>0</v>
      </c>
      <c r="P49" s="92">
        <f>'Proforma Resi'!O193</f>
        <v>0</v>
      </c>
      <c r="Q49" s="92">
        <f>'Proforma Resi'!P193</f>
        <v>0</v>
      </c>
      <c r="R49" s="92">
        <f>'Proforma Resi'!Q193</f>
        <v>0</v>
      </c>
    </row>
    <row r="50" spans="1:22" ht="17" thickBot="1" x14ac:dyDescent="0.25">
      <c r="A50" s="257"/>
      <c r="B50" s="132" t="s">
        <v>444</v>
      </c>
      <c r="D50" s="110" t="e">
        <f t="shared" si="22"/>
        <v>#REF!</v>
      </c>
      <c r="F50" s="92">
        <f>SUM(F45:F49)</f>
        <v>-75000</v>
      </c>
      <c r="G50" s="92" t="e">
        <f t="shared" ref="G50:R50" si="24">SUM(G45:G49)</f>
        <v>#REF!</v>
      </c>
      <c r="H50" s="92" t="e">
        <f t="shared" si="24"/>
        <v>#REF!</v>
      </c>
      <c r="I50" s="92" t="e">
        <f t="shared" si="24"/>
        <v>#REF!</v>
      </c>
      <c r="J50" s="92" t="e">
        <f t="shared" si="24"/>
        <v>#REF!</v>
      </c>
      <c r="K50" s="92" t="e">
        <f t="shared" si="24"/>
        <v>#REF!</v>
      </c>
      <c r="L50" s="92" t="e">
        <f t="shared" si="24"/>
        <v>#REF!</v>
      </c>
      <c r="M50" s="92" t="e">
        <f t="shared" si="24"/>
        <v>#REF!</v>
      </c>
      <c r="N50" s="92" t="e">
        <f t="shared" si="24"/>
        <v>#REF!</v>
      </c>
      <c r="O50" s="92" t="e">
        <f t="shared" si="24"/>
        <v>#REF!</v>
      </c>
      <c r="P50" s="92" t="e">
        <f t="shared" si="24"/>
        <v>#REF!</v>
      </c>
      <c r="Q50" s="92" t="e">
        <f t="shared" si="24"/>
        <v>#REF!</v>
      </c>
      <c r="R50" s="92" t="e">
        <f t="shared" si="24"/>
        <v>#REF!</v>
      </c>
      <c r="S50" s="262"/>
      <c r="T50" s="262"/>
      <c r="U50" s="262"/>
      <c r="V50" s="262"/>
    </row>
    <row r="51" spans="1:22" ht="16.25" customHeight="1" thickTop="1" x14ac:dyDescent="0.2">
      <c r="A51" s="257"/>
      <c r="B51" s="132"/>
      <c r="D51" s="109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</row>
    <row r="52" spans="1:22" x14ac:dyDescent="0.2">
      <c r="A52" s="257"/>
      <c r="B52" s="3"/>
      <c r="C52" s="4"/>
      <c r="D52" s="4"/>
      <c r="E52" s="4"/>
      <c r="F52" s="20">
        <f t="shared" ref="F52:R52" si="25">F20</f>
        <v>46022</v>
      </c>
      <c r="G52" s="20">
        <f t="shared" si="25"/>
        <v>46387</v>
      </c>
      <c r="H52" s="20">
        <f t="shared" si="25"/>
        <v>46752</v>
      </c>
      <c r="I52" s="20">
        <f t="shared" si="25"/>
        <v>47118</v>
      </c>
      <c r="J52" s="20">
        <f t="shared" si="25"/>
        <v>47483</v>
      </c>
      <c r="K52" s="20">
        <f t="shared" si="25"/>
        <v>47848</v>
      </c>
      <c r="L52" s="20">
        <f t="shared" si="25"/>
        <v>48213</v>
      </c>
      <c r="M52" s="20">
        <f t="shared" si="25"/>
        <v>48579</v>
      </c>
      <c r="N52" s="20">
        <f t="shared" si="25"/>
        <v>48944</v>
      </c>
      <c r="O52" s="20">
        <f t="shared" si="25"/>
        <v>49309</v>
      </c>
      <c r="P52" s="20">
        <f t="shared" si="25"/>
        <v>49674</v>
      </c>
      <c r="Q52" s="20">
        <f t="shared" si="25"/>
        <v>50040</v>
      </c>
      <c r="R52" s="20">
        <f t="shared" si="25"/>
        <v>50405</v>
      </c>
      <c r="S52" s="265"/>
      <c r="T52" s="265"/>
    </row>
    <row r="53" spans="1:22" x14ac:dyDescent="0.2">
      <c r="A53" s="257"/>
      <c r="B53" s="34" t="s">
        <v>193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4"/>
      <c r="T53" s="266"/>
    </row>
    <row r="54" spans="1:22" x14ac:dyDescent="0.2">
      <c r="A54" s="257"/>
      <c r="B54" s="261" t="s">
        <v>445</v>
      </c>
      <c r="D54" s="109" t="e">
        <f>SUM(F54:R54)</f>
        <v>#REF!</v>
      </c>
      <c r="F54" s="61">
        <f t="shared" ref="F54:R54" si="26">F25+F35+F43</f>
        <v>0</v>
      </c>
      <c r="G54" s="61" t="e">
        <f t="shared" si="26"/>
        <v>#REF!</v>
      </c>
      <c r="H54" s="61" t="e">
        <f t="shared" si="26"/>
        <v>#REF!</v>
      </c>
      <c r="I54" s="61" t="e">
        <f t="shared" si="26"/>
        <v>#REF!</v>
      </c>
      <c r="J54" s="61" t="e">
        <f t="shared" si="26"/>
        <v>#REF!</v>
      </c>
      <c r="K54" s="61" t="e">
        <f t="shared" si="26"/>
        <v>#REF!</v>
      </c>
      <c r="L54" s="61" t="e">
        <f t="shared" si="26"/>
        <v>#REF!</v>
      </c>
      <c r="M54" s="61" t="e">
        <f t="shared" si="26"/>
        <v>#REF!</v>
      </c>
      <c r="N54" s="61" t="e">
        <f t="shared" si="26"/>
        <v>#REF!</v>
      </c>
      <c r="O54" s="61" t="e">
        <f t="shared" si="26"/>
        <v>#REF!</v>
      </c>
      <c r="P54" s="61" t="e">
        <f t="shared" si="26"/>
        <v>#REF!</v>
      </c>
      <c r="Q54" s="61" t="e">
        <f t="shared" si="26"/>
        <v>#REF!</v>
      </c>
      <c r="R54" s="61" t="e">
        <f t="shared" si="26"/>
        <v>#REF!</v>
      </c>
    </row>
    <row r="55" spans="1:22" x14ac:dyDescent="0.2">
      <c r="A55" s="257"/>
      <c r="B55" s="261" t="s">
        <v>446</v>
      </c>
      <c r="D55" s="109" t="e">
        <f>SUM(F55:R55)</f>
        <v>#REF!</v>
      </c>
      <c r="F55" s="61">
        <f>F26+F36+F44</f>
        <v>75000</v>
      </c>
      <c r="G55" s="61" t="e">
        <f>G26+G36+G44</f>
        <v>#REF!</v>
      </c>
      <c r="H55" s="61">
        <f t="shared" ref="H55:R55" si="27">H26+H36+H44</f>
        <v>0</v>
      </c>
      <c r="I55" s="61">
        <f t="shared" si="27"/>
        <v>0</v>
      </c>
      <c r="J55" s="61">
        <f t="shared" si="27"/>
        <v>0</v>
      </c>
      <c r="K55" s="61">
        <f t="shared" si="27"/>
        <v>0</v>
      </c>
      <c r="L55" s="61">
        <f t="shared" si="27"/>
        <v>0</v>
      </c>
      <c r="M55" s="61">
        <f t="shared" si="27"/>
        <v>0</v>
      </c>
      <c r="N55" s="61">
        <f t="shared" si="27"/>
        <v>0</v>
      </c>
      <c r="O55" s="61">
        <f t="shared" si="27"/>
        <v>0</v>
      </c>
      <c r="P55" s="61">
        <f t="shared" si="27"/>
        <v>0</v>
      </c>
      <c r="Q55" s="61">
        <f t="shared" si="27"/>
        <v>0</v>
      </c>
      <c r="R55" s="61">
        <f t="shared" si="27"/>
        <v>0</v>
      </c>
    </row>
    <row r="56" spans="1:22" x14ac:dyDescent="0.2">
      <c r="A56" s="257"/>
      <c r="B56" s="261" t="s">
        <v>194</v>
      </c>
      <c r="D56" s="109" t="e">
        <f>SUM(F56:R56)</f>
        <v>#REF!</v>
      </c>
      <c r="F56" s="61">
        <f t="shared" ref="F56:R56" si="28">F27+F37+F45</f>
        <v>-75000</v>
      </c>
      <c r="G56" s="61" t="e">
        <f t="shared" si="28"/>
        <v>#REF!</v>
      </c>
      <c r="H56" s="61" t="e">
        <f t="shared" si="28"/>
        <v>#REF!</v>
      </c>
      <c r="I56" s="61" t="e">
        <f t="shared" si="28"/>
        <v>#REF!</v>
      </c>
      <c r="J56" s="61" t="e">
        <f t="shared" si="28"/>
        <v>#REF!</v>
      </c>
      <c r="K56" s="61" t="e">
        <f t="shared" si="28"/>
        <v>#REF!</v>
      </c>
      <c r="L56" s="61" t="e">
        <f t="shared" si="28"/>
        <v>#REF!</v>
      </c>
      <c r="M56" s="61" t="e">
        <f t="shared" si="28"/>
        <v>#REF!</v>
      </c>
      <c r="N56" s="61" t="e">
        <f t="shared" si="28"/>
        <v>#REF!</v>
      </c>
      <c r="O56" s="61" t="e">
        <f t="shared" si="28"/>
        <v>#REF!</v>
      </c>
      <c r="P56" s="61" t="e">
        <f t="shared" si="28"/>
        <v>#REF!</v>
      </c>
      <c r="Q56" s="61" t="e">
        <f t="shared" si="28"/>
        <v>#REF!</v>
      </c>
      <c r="R56" s="61" t="e">
        <f t="shared" si="28"/>
        <v>#REF!</v>
      </c>
    </row>
    <row r="57" spans="1:22" s="270" customFormat="1" x14ac:dyDescent="0.2">
      <c r="A57" s="269"/>
      <c r="B57" s="310" t="s">
        <v>447</v>
      </c>
      <c r="F57" s="311">
        <f>'Proforma Resi'!E232-F56</f>
        <v>0</v>
      </c>
      <c r="G57" s="311" t="e">
        <f>'Proforma Resi'!F232-G56</f>
        <v>#REF!</v>
      </c>
      <c r="H57" s="311" t="e">
        <f>'Proforma Resi'!G232-H56</f>
        <v>#REF!</v>
      </c>
      <c r="I57" s="311" t="e">
        <f>'Proforma Resi'!H232-I56</f>
        <v>#REF!</v>
      </c>
      <c r="J57" s="311" t="e">
        <f>'Proforma Resi'!I232-J56</f>
        <v>#REF!</v>
      </c>
      <c r="K57" s="311" t="e">
        <f>'Proforma Resi'!J232-K56</f>
        <v>#REF!</v>
      </c>
      <c r="L57" s="311" t="e">
        <f>'Proforma Resi'!K232-L56</f>
        <v>#REF!</v>
      </c>
      <c r="M57" s="311" t="e">
        <f>'Proforma Resi'!L232-M56</f>
        <v>#REF!</v>
      </c>
      <c r="N57" s="311" t="e">
        <f>'Proforma Resi'!M232-N56</f>
        <v>#REF!</v>
      </c>
      <c r="O57" s="311" t="e">
        <f>'Proforma Resi'!N232-O56</f>
        <v>#REF!</v>
      </c>
      <c r="P57" s="311" t="e">
        <f>'Proforma Resi'!O232-P56</f>
        <v>#REF!</v>
      </c>
      <c r="Q57" s="311" t="e">
        <f>'Proforma Resi'!P232-Q56</f>
        <v>#REF!</v>
      </c>
      <c r="R57" s="311" t="e">
        <f>'Proforma Resi'!Q232-R56</f>
        <v>#REF!</v>
      </c>
    </row>
    <row r="58" spans="1:22" x14ac:dyDescent="0.2">
      <c r="A58" s="257"/>
      <c r="B58" s="132" t="s">
        <v>195</v>
      </c>
      <c r="F58" s="263" t="e">
        <f>XIRR(F56:R56,F52:R52)</f>
        <v>#REF!</v>
      </c>
      <c r="G58" s="61"/>
      <c r="H58" s="61"/>
      <c r="I58" s="61"/>
      <c r="J58" s="61"/>
      <c r="K58" s="61"/>
      <c r="L58" s="61"/>
      <c r="M58" s="61"/>
      <c r="N58" s="61"/>
    </row>
    <row r="59" spans="1:22" x14ac:dyDescent="0.2">
      <c r="A59" s="257"/>
      <c r="B59" s="132" t="s">
        <v>189</v>
      </c>
      <c r="F59" s="312">
        <f>SUMIF(F56:R56,"&gt;0")/-SUMIF(F56:R56,"&lt;0")</f>
        <v>0</v>
      </c>
      <c r="M59" s="111"/>
    </row>
    <row r="60" spans="1:22" x14ac:dyDescent="0.2">
      <c r="A60" s="257"/>
      <c r="B60" s="132"/>
      <c r="F60" s="312"/>
      <c r="M60" s="111"/>
    </row>
    <row r="61" spans="1:22" x14ac:dyDescent="0.2">
      <c r="U61" s="137"/>
      <c r="V61" s="105"/>
    </row>
    <row r="62" spans="1:22" x14ac:dyDescent="0.2">
      <c r="U62" s="137"/>
      <c r="V62" s="105"/>
    </row>
  </sheetData>
  <mergeCells count="2">
    <mergeCell ref="J7:J12"/>
    <mergeCell ref="L6:P6"/>
  </mergeCells>
  <conditionalFormatting sqref="D5:D6 H7 D13:D15">
    <cfRule type="cellIs" dxfId="13" priority="10" operator="lessThan">
      <formula>$C$224</formula>
    </cfRule>
  </conditionalFormatting>
  <conditionalFormatting sqref="H5">
    <cfRule type="cellIs" dxfId="12" priority="11" operator="lessThan">
      <formula>$C$224</formula>
    </cfRule>
  </conditionalFormatting>
  <conditionalFormatting sqref="K7 L8:P12">
    <cfRule type="expression" dxfId="11" priority="2">
      <formula>$K$6="Equity Multiple"</formula>
    </cfRule>
    <cfRule type="expression" dxfId="10" priority="3">
      <formula>OR($K$6="IRR",$K$6="ROI")</formula>
    </cfRule>
    <cfRule type="expression" dxfId="9" priority="4">
      <formula>OR($K$6="Total Return",$K$6="Invested Capital", $K$6="Net Profit")</formula>
    </cfRule>
  </conditionalFormatting>
  <conditionalFormatting sqref="K7">
    <cfRule type="expression" dxfId="8" priority="1">
      <formula>K7&lt;&gt;N10</formula>
    </cfRule>
  </conditionalFormatting>
  <dataValidations disablePrompts="1" count="1">
    <dataValidation type="list" allowBlank="1" showInputMessage="1" showErrorMessage="1" sqref="K6" xr:uid="{CA20867A-AEC5-4F86-AD95-EE83630C405E}">
      <formula1>$F$5:$F$10</formula1>
    </dataValidation>
  </dataValidations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D619-50C1-4F7D-B984-FFE1DEF5255D}">
  <sheetPr>
    <tabColor theme="9" tint="0.59999389629810485"/>
    <pageSetUpPr fitToPage="1"/>
  </sheetPr>
  <dimension ref="A1:AJ271"/>
  <sheetViews>
    <sheetView tabSelected="1" zoomScaleNormal="100" zoomScaleSheetLayoutView="90" zoomScalePageLayoutView="50" workbookViewId="0">
      <pane ySplit="4" topLeftCell="A5" activePane="bottomLeft" state="frozen"/>
      <selection pane="bottomLeft" activeCell="C203" sqref="C203"/>
    </sheetView>
  </sheetViews>
  <sheetFormatPr baseColWidth="10" defaultColWidth="11" defaultRowHeight="16" outlineLevelRow="1" outlineLevelCol="1" x14ac:dyDescent="0.2"/>
  <cols>
    <col min="1" max="1" width="4.1640625" style="2" customWidth="1"/>
    <col min="2" max="2" width="55.6640625" customWidth="1"/>
    <col min="3" max="3" width="18.1640625" customWidth="1"/>
    <col min="4" max="4" width="11.6640625" customWidth="1"/>
    <col min="5" max="12" width="15" customWidth="1"/>
    <col min="13" max="17" width="15" hidden="1" customWidth="1" outlineLevel="1"/>
    <col min="18" max="18" width="15" customWidth="1" collapsed="1"/>
    <col min="19" max="19" width="13.6640625" customWidth="1"/>
    <col min="20" max="20" width="22.1640625" customWidth="1"/>
    <col min="21" max="21" width="13.6640625" customWidth="1"/>
    <col min="22" max="22" width="17.1640625" customWidth="1"/>
    <col min="23" max="23" width="11.5" bestFit="1" customWidth="1"/>
    <col min="24" max="24" width="12.1640625" bestFit="1" customWidth="1"/>
    <col min="25" max="25" width="15.1640625" customWidth="1"/>
    <col min="26" max="26" width="16" bestFit="1" customWidth="1"/>
    <col min="27" max="27" width="16.5" bestFit="1" customWidth="1"/>
    <col min="28" max="28" width="17.1640625" customWidth="1"/>
    <col min="29" max="30" width="16.5" bestFit="1" customWidth="1"/>
    <col min="31" max="31" width="16.6640625" bestFit="1" customWidth="1"/>
    <col min="32" max="32" width="16.5" bestFit="1" customWidth="1"/>
    <col min="33" max="33" width="16.6640625" bestFit="1" customWidth="1"/>
    <col min="34" max="34" width="17" bestFit="1" customWidth="1"/>
    <col min="35" max="35" width="16.6640625" bestFit="1" customWidth="1"/>
    <col min="36" max="36" width="17" bestFit="1" customWidth="1"/>
  </cols>
  <sheetData>
    <row r="1" spans="1:36" ht="21" x14ac:dyDescent="0.25">
      <c r="B1" s="511" t="s">
        <v>448</v>
      </c>
      <c r="C1" s="584"/>
      <c r="D1" s="584"/>
      <c r="AB1" s="515"/>
      <c r="AC1" s="583" t="s">
        <v>220</v>
      </c>
      <c r="AD1" s="583" t="s">
        <v>221</v>
      </c>
      <c r="AE1" s="583" t="s">
        <v>222</v>
      </c>
      <c r="AF1" s="583" t="s">
        <v>223</v>
      </c>
      <c r="AG1" s="583" t="s">
        <v>224</v>
      </c>
      <c r="AH1" s="583" t="s">
        <v>225</v>
      </c>
      <c r="AI1" s="583" t="s">
        <v>226</v>
      </c>
      <c r="AJ1" s="583" t="s">
        <v>227</v>
      </c>
    </row>
    <row r="2" spans="1:36" ht="21" x14ac:dyDescent="0.25">
      <c r="B2" s="582" t="s">
        <v>217</v>
      </c>
      <c r="C2" s="582"/>
      <c r="D2" s="58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  <c r="AB2" s="515"/>
      <c r="AC2" s="515"/>
      <c r="AD2" s="515"/>
      <c r="AE2" s="515"/>
      <c r="AF2" s="515"/>
      <c r="AG2" s="515"/>
      <c r="AH2" s="515"/>
      <c r="AI2" s="515"/>
      <c r="AJ2" s="515"/>
    </row>
    <row r="3" spans="1:36" s="515" customFormat="1" x14ac:dyDescent="0.2">
      <c r="A3" s="2"/>
      <c r="B3" s="191"/>
      <c r="C3" s="191"/>
      <c r="D3" s="191"/>
      <c r="E3" s="247">
        <v>0</v>
      </c>
      <c r="F3" s="247">
        <f>E3+1</f>
        <v>1</v>
      </c>
      <c r="G3" s="247">
        <f t="shared" ref="G3:Q3" si="0">F3+1</f>
        <v>2</v>
      </c>
      <c r="H3" s="247">
        <f t="shared" si="0"/>
        <v>3</v>
      </c>
      <c r="I3" s="247">
        <f t="shared" si="0"/>
        <v>4</v>
      </c>
      <c r="J3" s="247">
        <f t="shared" si="0"/>
        <v>5</v>
      </c>
      <c r="K3" s="247">
        <f t="shared" si="0"/>
        <v>6</v>
      </c>
      <c r="L3" s="247">
        <f t="shared" si="0"/>
        <v>7</v>
      </c>
      <c r="M3" s="247">
        <f t="shared" si="0"/>
        <v>8</v>
      </c>
      <c r="N3" s="247">
        <f t="shared" si="0"/>
        <v>9</v>
      </c>
      <c r="O3" s="247">
        <f t="shared" si="0"/>
        <v>10</v>
      </c>
      <c r="P3" s="247">
        <f t="shared" si="0"/>
        <v>11</v>
      </c>
      <c r="Q3" s="247">
        <f t="shared" si="0"/>
        <v>12</v>
      </c>
      <c r="R3" s="191"/>
      <c r="S3" s="3"/>
      <c r="T3"/>
      <c r="U3"/>
      <c r="V3" s="3"/>
      <c r="W3"/>
      <c r="X3"/>
      <c r="Y3"/>
      <c r="Z3" s="131" t="s">
        <v>449</v>
      </c>
      <c r="AA3" s="581" t="e">
        <f>SUM(AA4:AA223)</f>
        <v>#REF!</v>
      </c>
    </row>
    <row r="4" spans="1:36" s="457" customFormat="1" ht="15.5" customHeight="1" outlineLevel="1" x14ac:dyDescent="0.2">
      <c r="A4" s="529"/>
      <c r="D4" s="254" t="s">
        <v>450</v>
      </c>
      <c r="E4" s="738">
        <f>Assumptions!C5</f>
        <v>45658</v>
      </c>
      <c r="F4" s="738">
        <f>EDATE(E4,12)</f>
        <v>46023</v>
      </c>
      <c r="G4" s="738">
        <f t="shared" ref="G4:Q4" si="1">EDATE(F4,12)</f>
        <v>46388</v>
      </c>
      <c r="H4" s="738">
        <f t="shared" si="1"/>
        <v>46753</v>
      </c>
      <c r="I4" s="738">
        <f t="shared" si="1"/>
        <v>47119</v>
      </c>
      <c r="J4" s="738">
        <f t="shared" si="1"/>
        <v>47484</v>
      </c>
      <c r="K4" s="738">
        <f t="shared" si="1"/>
        <v>47849</v>
      </c>
      <c r="L4" s="738">
        <f t="shared" si="1"/>
        <v>48214</v>
      </c>
      <c r="M4" s="738">
        <f t="shared" si="1"/>
        <v>48580</v>
      </c>
      <c r="N4" s="738">
        <f t="shared" si="1"/>
        <v>48945</v>
      </c>
      <c r="O4" s="738">
        <f t="shared" si="1"/>
        <v>49310</v>
      </c>
      <c r="P4" s="738">
        <f t="shared" si="1"/>
        <v>49675</v>
      </c>
      <c r="Q4" s="738">
        <f t="shared" si="1"/>
        <v>50041</v>
      </c>
      <c r="R4" s="739"/>
      <c r="S4" s="813" t="s">
        <v>231</v>
      </c>
    </row>
    <row r="5" spans="1:36" ht="34" outlineLevel="1" x14ac:dyDescent="0.2">
      <c r="A5" s="74" t="s">
        <v>232</v>
      </c>
      <c r="B5" s="573" t="s">
        <v>233</v>
      </c>
      <c r="C5" s="637"/>
      <c r="D5" s="143" t="s">
        <v>451</v>
      </c>
      <c r="S5" s="814"/>
    </row>
    <row r="6" spans="1:36" hidden="1" outlineLevel="1" x14ac:dyDescent="0.2">
      <c r="A6" s="74" t="s">
        <v>452</v>
      </c>
      <c r="B6" s="572" t="s">
        <v>453</v>
      </c>
      <c r="C6" s="78"/>
      <c r="D6" s="574">
        <v>1500</v>
      </c>
      <c r="E6" s="440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>
        <f>SUM(F6:Q6)</f>
        <v>0</v>
      </c>
      <c r="S6" s="11">
        <f>D6*$E$33</f>
        <v>2850000</v>
      </c>
      <c r="T6" s="11">
        <f t="shared" ref="T6:T15" si="2">R6*S6</f>
        <v>0</v>
      </c>
      <c r="V6" s="11" t="e">
        <f>#REF!*#REF!</f>
        <v>#REF!</v>
      </c>
    </row>
    <row r="7" spans="1:36" hidden="1" outlineLevel="1" x14ac:dyDescent="0.2">
      <c r="A7" s="74" t="s">
        <v>454</v>
      </c>
      <c r="B7" s="572" t="s">
        <v>455</v>
      </c>
      <c r="C7" s="78"/>
      <c r="D7" s="574">
        <v>2000</v>
      </c>
      <c r="E7" s="440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>
        <f>SUM(F7:Q7)</f>
        <v>0</v>
      </c>
      <c r="S7" s="11">
        <f>D7*$E$33</f>
        <v>3800000</v>
      </c>
      <c r="T7" s="11">
        <f t="shared" si="2"/>
        <v>0</v>
      </c>
      <c r="V7" s="11"/>
    </row>
    <row r="8" spans="1:36" hidden="1" outlineLevel="1" x14ac:dyDescent="0.2">
      <c r="A8" s="74" t="s">
        <v>456</v>
      </c>
      <c r="B8" s="5" t="s">
        <v>457</v>
      </c>
      <c r="C8" s="72"/>
      <c r="D8" s="574">
        <v>2500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>
        <f>SUM(F8:Q8)</f>
        <v>0</v>
      </c>
      <c r="S8" s="11">
        <f>D8*$E$33</f>
        <v>4750000</v>
      </c>
      <c r="T8" s="11">
        <f t="shared" si="2"/>
        <v>0</v>
      </c>
    </row>
    <row r="9" spans="1:36" hidden="1" outlineLevel="1" x14ac:dyDescent="0.2">
      <c r="A9" s="74" t="s">
        <v>458</v>
      </c>
      <c r="B9" s="572" t="s">
        <v>459</v>
      </c>
      <c r="C9" s="78"/>
      <c r="D9" s="574">
        <v>2500</v>
      </c>
      <c r="E9" s="440"/>
      <c r="F9" s="580"/>
      <c r="G9" s="8"/>
      <c r="H9" s="8"/>
      <c r="I9" s="8"/>
      <c r="J9" s="8"/>
      <c r="K9" s="8"/>
      <c r="M9" s="8"/>
      <c r="N9" s="8"/>
      <c r="O9" s="8"/>
      <c r="P9" s="8"/>
      <c r="Q9" s="8"/>
      <c r="R9">
        <f>SUM(F9:Q9)</f>
        <v>0</v>
      </c>
      <c r="S9" s="11">
        <f>D9*$E$33</f>
        <v>4750000</v>
      </c>
      <c r="T9" s="11">
        <f t="shared" si="2"/>
        <v>0</v>
      </c>
    </row>
    <row r="10" spans="1:36" outlineLevel="1" x14ac:dyDescent="0.2">
      <c r="A10" s="74" t="s">
        <v>460</v>
      </c>
      <c r="B10" s="579" t="s">
        <v>461</v>
      </c>
      <c r="C10" s="72"/>
      <c r="D10" s="578">
        <v>3500</v>
      </c>
      <c r="E10" s="8"/>
      <c r="F10" s="8">
        <v>4</v>
      </c>
      <c r="G10" s="8"/>
      <c r="H10" s="8"/>
      <c r="I10" s="8"/>
      <c r="J10" s="8"/>
      <c r="M10" s="8"/>
      <c r="N10" s="8"/>
      <c r="O10" s="8"/>
      <c r="P10" s="8"/>
      <c r="Q10" s="8"/>
      <c r="R10">
        <f t="shared" ref="R10:R15" si="3">SUM(E10:Q10)</f>
        <v>4</v>
      </c>
      <c r="S10" s="11">
        <f>D10*$E$31</f>
        <v>6300000</v>
      </c>
      <c r="T10" s="11">
        <f t="shared" si="2"/>
        <v>25200000</v>
      </c>
    </row>
    <row r="11" spans="1:36" outlineLevel="1" x14ac:dyDescent="0.2">
      <c r="A11" s="74" t="s">
        <v>462</v>
      </c>
      <c r="B11" s="579" t="s">
        <v>463</v>
      </c>
      <c r="C11" s="72"/>
      <c r="D11" s="578">
        <v>3250</v>
      </c>
      <c r="E11" s="8"/>
      <c r="F11" s="8"/>
      <c r="G11" s="8">
        <v>10</v>
      </c>
      <c r="H11" s="8">
        <v>5</v>
      </c>
      <c r="I11" s="8"/>
      <c r="J11" s="8"/>
      <c r="L11" s="8"/>
      <c r="M11" s="8"/>
      <c r="N11" s="8"/>
      <c r="O11" s="8"/>
      <c r="P11" s="8"/>
      <c r="Q11" s="8"/>
      <c r="R11">
        <f t="shared" si="3"/>
        <v>15</v>
      </c>
      <c r="S11" s="11">
        <f>D11*$E$31</f>
        <v>5850000</v>
      </c>
      <c r="T11" s="11">
        <f t="shared" si="2"/>
        <v>87750000</v>
      </c>
    </row>
    <row r="12" spans="1:36" ht="16.25" customHeight="1" outlineLevel="1" x14ac:dyDescent="0.2">
      <c r="A12" s="74" t="s">
        <v>464</v>
      </c>
      <c r="B12" s="579" t="s">
        <v>465</v>
      </c>
      <c r="C12" s="72"/>
      <c r="D12" s="578">
        <v>3750</v>
      </c>
      <c r="E12" s="8"/>
      <c r="F12" s="8"/>
      <c r="G12" s="8"/>
      <c r="H12" s="8">
        <v>10</v>
      </c>
      <c r="I12" s="8"/>
      <c r="J12" s="8"/>
      <c r="M12" s="8"/>
      <c r="N12" s="8"/>
      <c r="O12" s="8"/>
      <c r="P12" s="8"/>
      <c r="Q12" s="8"/>
      <c r="R12">
        <f t="shared" si="3"/>
        <v>10</v>
      </c>
      <c r="S12" s="11">
        <f>D12*$E$31</f>
        <v>6750000</v>
      </c>
      <c r="T12" s="11">
        <f t="shared" si="2"/>
        <v>67500000</v>
      </c>
      <c r="U12" s="112" t="s">
        <v>466</v>
      </c>
    </row>
    <row r="13" spans="1:36" ht="16.25" customHeight="1" outlineLevel="1" x14ac:dyDescent="0.2">
      <c r="A13" s="74" t="s">
        <v>467</v>
      </c>
      <c r="B13" s="579" t="s">
        <v>468</v>
      </c>
      <c r="C13" s="72"/>
      <c r="D13" s="578">
        <v>3750</v>
      </c>
      <c r="E13" s="8"/>
      <c r="F13" s="8"/>
      <c r="G13" s="8"/>
      <c r="H13" s="8"/>
      <c r="I13" s="8">
        <v>10</v>
      </c>
      <c r="J13" s="8"/>
      <c r="M13" s="8"/>
      <c r="N13" s="8"/>
      <c r="O13" s="8"/>
      <c r="P13" s="8"/>
      <c r="Q13" s="8"/>
      <c r="R13">
        <f t="shared" si="3"/>
        <v>10</v>
      </c>
      <c r="S13" s="11">
        <f>D13*$E$31</f>
        <v>6750000</v>
      </c>
      <c r="T13" s="11">
        <f t="shared" si="2"/>
        <v>67500000</v>
      </c>
      <c r="U13" s="112"/>
    </row>
    <row r="14" spans="1:36" outlineLevel="1" x14ac:dyDescent="0.2">
      <c r="A14" s="74" t="s">
        <v>469</v>
      </c>
      <c r="B14" s="5" t="s">
        <v>470</v>
      </c>
      <c r="C14" s="72"/>
      <c r="D14" s="577">
        <v>4500</v>
      </c>
      <c r="E14" s="8"/>
      <c r="F14" s="8"/>
      <c r="G14" s="8"/>
      <c r="H14" s="8"/>
      <c r="I14" s="618"/>
      <c r="J14" s="618"/>
      <c r="M14" s="8"/>
      <c r="N14" s="8"/>
      <c r="O14" s="8"/>
      <c r="P14" s="8"/>
      <c r="Q14" s="8"/>
      <c r="R14">
        <f t="shared" si="3"/>
        <v>0</v>
      </c>
      <c r="S14" s="11">
        <f>D14*$E$32</f>
        <v>7425000</v>
      </c>
      <c r="T14" s="11">
        <f t="shared" si="2"/>
        <v>0</v>
      </c>
    </row>
    <row r="15" spans="1:36" ht="16.25" customHeight="1" outlineLevel="1" x14ac:dyDescent="0.2">
      <c r="A15" s="74" t="s">
        <v>471</v>
      </c>
      <c r="B15" s="576" t="s">
        <v>472</v>
      </c>
      <c r="C15" s="575"/>
      <c r="D15" s="574">
        <v>3500</v>
      </c>
      <c r="E15" s="8"/>
      <c r="F15" s="8">
        <v>1</v>
      </c>
      <c r="G15" s="8"/>
      <c r="H15" s="8"/>
      <c r="I15" s="8">
        <v>5</v>
      </c>
      <c r="J15" s="8"/>
      <c r="K15" s="8"/>
      <c r="L15" s="8"/>
      <c r="M15" s="8"/>
      <c r="N15" s="8"/>
      <c r="O15" s="8"/>
      <c r="P15" s="8"/>
      <c r="Q15" s="8"/>
      <c r="R15">
        <f t="shared" si="3"/>
        <v>6</v>
      </c>
      <c r="S15" s="11">
        <f>D15*$E$33</f>
        <v>6650000</v>
      </c>
      <c r="T15" s="11">
        <f t="shared" si="2"/>
        <v>39900000</v>
      </c>
      <c r="U15" s="112"/>
    </row>
    <row r="16" spans="1:36" outlineLevel="1" x14ac:dyDescent="0.2">
      <c r="B16" s="49" t="s">
        <v>235</v>
      </c>
      <c r="C16" s="49"/>
      <c r="D16" s="3"/>
      <c r="E16" s="56">
        <f t="shared" ref="E16:R16" si="4">SUM(E6:E15)</f>
        <v>0</v>
      </c>
      <c r="F16" s="56">
        <f t="shared" si="4"/>
        <v>5</v>
      </c>
      <c r="G16" s="56">
        <f t="shared" si="4"/>
        <v>10</v>
      </c>
      <c r="H16" s="56">
        <f t="shared" si="4"/>
        <v>15</v>
      </c>
      <c r="I16" s="56">
        <f t="shared" si="4"/>
        <v>15</v>
      </c>
      <c r="J16" s="56">
        <f t="shared" si="4"/>
        <v>0</v>
      </c>
      <c r="K16" s="56">
        <f t="shared" si="4"/>
        <v>0</v>
      </c>
      <c r="L16" s="56">
        <f t="shared" si="4"/>
        <v>0</v>
      </c>
      <c r="M16" s="56">
        <f t="shared" si="4"/>
        <v>0</v>
      </c>
      <c r="N16" s="56">
        <f t="shared" si="4"/>
        <v>0</v>
      </c>
      <c r="O16" s="56">
        <f t="shared" si="4"/>
        <v>0</v>
      </c>
      <c r="P16" s="56">
        <f t="shared" si="4"/>
        <v>0</v>
      </c>
      <c r="Q16" s="56">
        <f t="shared" si="4"/>
        <v>0</v>
      </c>
      <c r="R16" s="49">
        <f t="shared" si="4"/>
        <v>45</v>
      </c>
      <c r="S16" s="99" t="s">
        <v>236</v>
      </c>
      <c r="T16" s="133">
        <f>SUM(T6:T15)</f>
        <v>287850000</v>
      </c>
      <c r="U16" s="112"/>
      <c r="V16" s="61">
        <f>SUMPRODUCT(D6:D15,R6:R15)</f>
        <v>158750</v>
      </c>
      <c r="W16" s="134" t="s">
        <v>473</v>
      </c>
      <c r="X16">
        <f>SUM(T6:T15)/V16</f>
        <v>1813.2283464566929</v>
      </c>
      <c r="Y16" t="s">
        <v>237</v>
      </c>
      <c r="Z16" t="s">
        <v>237</v>
      </c>
    </row>
    <row r="17" spans="2:31" outlineLevel="1" x14ac:dyDescent="0.2">
      <c r="B17" t="s">
        <v>238</v>
      </c>
      <c r="C17" s="12"/>
      <c r="D17" s="82">
        <f>SUMPRODUCT(D6:D15,R6:R15)</f>
        <v>158750</v>
      </c>
      <c r="E17" s="83"/>
      <c r="G17" s="8"/>
      <c r="H17" s="8"/>
      <c r="I17" s="8"/>
      <c r="J17" s="8"/>
      <c r="K17" s="8"/>
      <c r="L17" s="8"/>
      <c r="M17" s="8"/>
      <c r="N17" s="8"/>
      <c r="O17" s="8"/>
      <c r="P17" s="8"/>
      <c r="S17" s="7"/>
      <c r="T17" s="11">
        <f>T16/R16</f>
        <v>6396666.666666667</v>
      </c>
      <c r="U17" t="s">
        <v>239</v>
      </c>
      <c r="V17" s="11">
        <f>D17/R16</f>
        <v>3527.7777777777778</v>
      </c>
    </row>
    <row r="18" spans="2:31" ht="8" customHeight="1" outlineLevel="1" x14ac:dyDescent="0.2">
      <c r="C18" s="73"/>
      <c r="D18" s="7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</row>
    <row r="19" spans="2:31" outlineLevel="1" x14ac:dyDescent="0.2">
      <c r="B19" s="573" t="s">
        <v>241</v>
      </c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U19" s="137" t="s">
        <v>221</v>
      </c>
      <c r="V19" s="137" t="s">
        <v>222</v>
      </c>
      <c r="W19" s="137" t="s">
        <v>223</v>
      </c>
      <c r="X19" s="137" t="s">
        <v>224</v>
      </c>
      <c r="Y19" s="137" t="s">
        <v>225</v>
      </c>
      <c r="Z19" s="137" t="s">
        <v>226</v>
      </c>
      <c r="AA19" s="137" t="s">
        <v>227</v>
      </c>
    </row>
    <row r="20" spans="2:31" hidden="1" outlineLevel="1" x14ac:dyDescent="0.2">
      <c r="B20" s="572" t="str">
        <f t="shared" ref="B20:B28" si="5">B6</f>
        <v>Pondside Cabins @ Event Barn (13ea)</v>
      </c>
      <c r="C20" s="5">
        <f t="shared" ref="C20:C28" si="6">R6</f>
        <v>0</v>
      </c>
      <c r="D20" t="str">
        <f t="shared" ref="D20:D29" si="7">T20</f>
        <v>Cottages</v>
      </c>
      <c r="E20" s="8"/>
      <c r="F20" s="7"/>
      <c r="G20" s="7">
        <f t="shared" ref="G20:Q20" si="8">F6</f>
        <v>0</v>
      </c>
      <c r="H20" s="7">
        <f t="shared" si="8"/>
        <v>0</v>
      </c>
      <c r="I20" s="7">
        <f t="shared" si="8"/>
        <v>0</v>
      </c>
      <c r="J20" s="7">
        <f t="shared" si="8"/>
        <v>0</v>
      </c>
      <c r="K20" s="7">
        <f t="shared" si="8"/>
        <v>0</v>
      </c>
      <c r="L20" s="7">
        <f t="shared" si="8"/>
        <v>0</v>
      </c>
      <c r="M20" s="7">
        <f t="shared" si="8"/>
        <v>0</v>
      </c>
      <c r="N20" s="7">
        <f t="shared" si="8"/>
        <v>0</v>
      </c>
      <c r="O20" s="7">
        <f t="shared" si="8"/>
        <v>0</v>
      </c>
      <c r="P20" s="7">
        <f t="shared" si="8"/>
        <v>0</v>
      </c>
      <c r="Q20" s="7">
        <f t="shared" si="8"/>
        <v>0</v>
      </c>
      <c r="R20">
        <f t="shared" ref="R20:R29" si="9">SUM(F20:Q20)</f>
        <v>0</v>
      </c>
      <c r="T20" t="s">
        <v>51</v>
      </c>
      <c r="U20" s="138">
        <f t="shared" ref="U20:Z20" si="10">+F33</f>
        <v>1900</v>
      </c>
      <c r="V20" s="138">
        <f t="shared" si="10"/>
        <v>1900</v>
      </c>
      <c r="W20" s="138">
        <f t="shared" si="10"/>
        <v>2090</v>
      </c>
      <c r="X20" s="138">
        <f t="shared" si="10"/>
        <v>2299</v>
      </c>
      <c r="Y20" s="138">
        <f t="shared" si="10"/>
        <v>2528.9</v>
      </c>
      <c r="Z20" s="138">
        <f t="shared" si="10"/>
        <v>2781.7900000000004</v>
      </c>
      <c r="AA20" s="138" cm="1">
        <f t="array" ref="AA20:AE20">+L33:P33</f>
        <v>3059.9690000000005</v>
      </c>
      <c r="AB20">
        <v>3365.9659000000006</v>
      </c>
      <c r="AC20">
        <v>3702.5624900000012</v>
      </c>
      <c r="AD20">
        <v>4072.8187390000016</v>
      </c>
      <c r="AE20">
        <v>4480.1006129000025</v>
      </c>
    </row>
    <row r="21" spans="2:31" hidden="1" outlineLevel="1" x14ac:dyDescent="0.2">
      <c r="B21" s="572" t="str">
        <f t="shared" si="5"/>
        <v xml:space="preserve">Village Cabins (13ea) </v>
      </c>
      <c r="C21" s="5">
        <f t="shared" si="6"/>
        <v>0</v>
      </c>
      <c r="D21" t="str">
        <f t="shared" si="7"/>
        <v>Cottages</v>
      </c>
      <c r="E21" s="8"/>
      <c r="F21" s="7"/>
      <c r="G21" s="7">
        <f t="shared" ref="G21:Q21" si="11">F7</f>
        <v>0</v>
      </c>
      <c r="H21" s="7">
        <f t="shared" si="11"/>
        <v>0</v>
      </c>
      <c r="I21" s="7">
        <f t="shared" si="11"/>
        <v>0</v>
      </c>
      <c r="J21" s="7">
        <f t="shared" si="11"/>
        <v>0</v>
      </c>
      <c r="K21" s="7">
        <f t="shared" si="11"/>
        <v>0</v>
      </c>
      <c r="L21" s="7">
        <f t="shared" si="11"/>
        <v>0</v>
      </c>
      <c r="M21" s="7">
        <f t="shared" si="11"/>
        <v>0</v>
      </c>
      <c r="N21" s="7">
        <f t="shared" si="11"/>
        <v>0</v>
      </c>
      <c r="O21" s="7">
        <f t="shared" si="11"/>
        <v>0</v>
      </c>
      <c r="P21" s="7">
        <f t="shared" si="11"/>
        <v>0</v>
      </c>
      <c r="Q21" s="7">
        <f t="shared" si="11"/>
        <v>0</v>
      </c>
      <c r="R21">
        <f t="shared" si="9"/>
        <v>0</v>
      </c>
      <c r="T21" t="s">
        <v>51</v>
      </c>
      <c r="U21" s="138">
        <f t="shared" ref="U21:AA23" si="12">+U20</f>
        <v>1900</v>
      </c>
      <c r="V21" s="138">
        <f t="shared" si="12"/>
        <v>1900</v>
      </c>
      <c r="W21" s="138">
        <f t="shared" si="12"/>
        <v>2090</v>
      </c>
      <c r="X21" s="138">
        <f t="shared" si="12"/>
        <v>2299</v>
      </c>
      <c r="Y21" s="138">
        <f t="shared" si="12"/>
        <v>2528.9</v>
      </c>
      <c r="Z21" s="138">
        <f t="shared" si="12"/>
        <v>2781.7900000000004</v>
      </c>
      <c r="AA21" s="138">
        <f t="shared" si="12"/>
        <v>3059.9690000000005</v>
      </c>
    </row>
    <row r="22" spans="2:31" hidden="1" outlineLevel="1" x14ac:dyDescent="0.2">
      <c r="B22" s="5" t="str">
        <f t="shared" si="5"/>
        <v>Village Cottages (13ea)</v>
      </c>
      <c r="C22" s="5">
        <f t="shared" si="6"/>
        <v>0</v>
      </c>
      <c r="D22" t="str">
        <f t="shared" si="7"/>
        <v>Cottages</v>
      </c>
      <c r="E22" s="8"/>
      <c r="F22" s="7"/>
      <c r="G22" s="7">
        <f t="shared" ref="G22:Q22" si="13">F8</f>
        <v>0</v>
      </c>
      <c r="H22" s="7">
        <f t="shared" si="13"/>
        <v>0</v>
      </c>
      <c r="I22" s="7">
        <f t="shared" si="13"/>
        <v>0</v>
      </c>
      <c r="J22" s="7">
        <f t="shared" si="13"/>
        <v>0</v>
      </c>
      <c r="K22" s="7">
        <f t="shared" si="13"/>
        <v>0</v>
      </c>
      <c r="L22" s="7">
        <f t="shared" si="13"/>
        <v>0</v>
      </c>
      <c r="M22" s="7">
        <f t="shared" si="13"/>
        <v>0</v>
      </c>
      <c r="N22" s="7">
        <f t="shared" si="13"/>
        <v>0</v>
      </c>
      <c r="O22" s="7">
        <f t="shared" si="13"/>
        <v>0</v>
      </c>
      <c r="P22" s="7">
        <f t="shared" si="13"/>
        <v>0</v>
      </c>
      <c r="Q22" s="7">
        <f t="shared" si="13"/>
        <v>0</v>
      </c>
      <c r="R22">
        <f t="shared" si="9"/>
        <v>0</v>
      </c>
      <c r="T22" t="s">
        <v>51</v>
      </c>
      <c r="U22" s="138">
        <f t="shared" si="12"/>
        <v>1900</v>
      </c>
      <c r="V22" s="138">
        <f t="shared" si="12"/>
        <v>1900</v>
      </c>
      <c r="W22" s="138">
        <f t="shared" si="12"/>
        <v>2090</v>
      </c>
      <c r="X22" s="138">
        <f t="shared" si="12"/>
        <v>2299</v>
      </c>
      <c r="Y22" s="138">
        <f t="shared" si="12"/>
        <v>2528.9</v>
      </c>
      <c r="Z22" s="138">
        <f t="shared" si="12"/>
        <v>2781.7900000000004</v>
      </c>
      <c r="AA22" s="138">
        <f t="shared" si="12"/>
        <v>3059.9690000000005</v>
      </c>
    </row>
    <row r="23" spans="2:31" hidden="1" outlineLevel="1" x14ac:dyDescent="0.2">
      <c r="B23" s="572" t="str">
        <f t="shared" si="5"/>
        <v xml:space="preserve">Guest Cabins @ Fitness Spa (13ea) </v>
      </c>
      <c r="C23" s="5">
        <f t="shared" si="6"/>
        <v>0</v>
      </c>
      <c r="D23" t="str">
        <f t="shared" si="7"/>
        <v>Cottages</v>
      </c>
      <c r="E23" s="8"/>
      <c r="F23" s="7"/>
      <c r="G23" s="7">
        <f t="shared" ref="G23:Q23" si="14">F9</f>
        <v>0</v>
      </c>
      <c r="H23" s="7">
        <f t="shared" si="14"/>
        <v>0</v>
      </c>
      <c r="I23" s="7">
        <f t="shared" si="14"/>
        <v>0</v>
      </c>
      <c r="J23" s="7">
        <f t="shared" si="14"/>
        <v>0</v>
      </c>
      <c r="K23" s="7">
        <f t="shared" si="14"/>
        <v>0</v>
      </c>
      <c r="L23" s="7">
        <f t="shared" si="14"/>
        <v>0</v>
      </c>
      <c r="M23" s="7">
        <f t="shared" si="14"/>
        <v>0</v>
      </c>
      <c r="N23" s="7">
        <f t="shared" si="14"/>
        <v>0</v>
      </c>
      <c r="O23" s="7">
        <f t="shared" si="14"/>
        <v>0</v>
      </c>
      <c r="P23" s="7">
        <f t="shared" si="14"/>
        <v>0</v>
      </c>
      <c r="Q23" s="7">
        <f t="shared" si="14"/>
        <v>0</v>
      </c>
      <c r="R23">
        <f t="shared" si="9"/>
        <v>0</v>
      </c>
      <c r="T23" t="s">
        <v>51</v>
      </c>
      <c r="U23" s="138">
        <f t="shared" si="12"/>
        <v>1900</v>
      </c>
      <c r="V23" s="138">
        <f t="shared" si="12"/>
        <v>1900</v>
      </c>
      <c r="W23" s="138">
        <f t="shared" si="12"/>
        <v>2090</v>
      </c>
      <c r="X23" s="138">
        <f t="shared" si="12"/>
        <v>2299</v>
      </c>
      <c r="Y23" s="138">
        <f t="shared" si="12"/>
        <v>2528.9</v>
      </c>
      <c r="Z23" s="138">
        <f t="shared" si="12"/>
        <v>2781.7900000000004</v>
      </c>
      <c r="AA23" s="138">
        <f t="shared" si="12"/>
        <v>3059.9690000000005</v>
      </c>
    </row>
    <row r="24" spans="2:31" outlineLevel="1" x14ac:dyDescent="0.2">
      <c r="B24" s="5" t="str">
        <f t="shared" si="5"/>
        <v>Jimmy Creek Homes (4ea)</v>
      </c>
      <c r="C24" s="5">
        <f t="shared" si="6"/>
        <v>4</v>
      </c>
      <c r="D24" t="str">
        <f t="shared" si="7"/>
        <v>Village</v>
      </c>
      <c r="E24" s="8"/>
      <c r="F24" s="7">
        <f t="shared" ref="F24:L28" si="15">E10</f>
        <v>0</v>
      </c>
      <c r="G24" s="7">
        <f t="shared" si="15"/>
        <v>4</v>
      </c>
      <c r="H24" s="7">
        <f t="shared" si="15"/>
        <v>0</v>
      </c>
      <c r="I24" s="7">
        <f t="shared" si="15"/>
        <v>0</v>
      </c>
      <c r="J24" s="7">
        <f t="shared" si="15"/>
        <v>0</v>
      </c>
      <c r="K24" s="7">
        <f t="shared" si="15"/>
        <v>0</v>
      </c>
      <c r="L24" s="7">
        <f t="shared" si="15"/>
        <v>0</v>
      </c>
      <c r="M24" s="7">
        <f>L14</f>
        <v>0</v>
      </c>
      <c r="N24" s="7">
        <f>M14</f>
        <v>0</v>
      </c>
      <c r="O24" s="7">
        <f>N14</f>
        <v>0</v>
      </c>
      <c r="P24" s="7">
        <f>O14</f>
        <v>0</v>
      </c>
      <c r="Q24" s="7">
        <f>P14</f>
        <v>0</v>
      </c>
      <c r="R24">
        <f t="shared" si="9"/>
        <v>4</v>
      </c>
      <c r="T24" t="s">
        <v>48</v>
      </c>
      <c r="U24" s="138">
        <f>+F31</f>
        <v>1800</v>
      </c>
      <c r="V24" s="138">
        <f t="shared" ref="V24:AA24" si="16">+G32</f>
        <v>1773.75</v>
      </c>
      <c r="W24" s="138">
        <f t="shared" si="16"/>
        <v>1906.78125</v>
      </c>
      <c r="X24" s="138">
        <f t="shared" si="16"/>
        <v>2049.7898437499998</v>
      </c>
      <c r="Y24" s="138">
        <f t="shared" si="16"/>
        <v>2203.5240820312497</v>
      </c>
      <c r="Z24" s="138">
        <f t="shared" si="16"/>
        <v>2368.7883881835933</v>
      </c>
      <c r="AA24" s="138">
        <f t="shared" si="16"/>
        <v>2546.4475172973625</v>
      </c>
    </row>
    <row r="25" spans="2:31" outlineLevel="1" x14ac:dyDescent="0.2">
      <c r="B25" s="5" t="str">
        <f t="shared" si="5"/>
        <v>Bench Homesites (15ea)</v>
      </c>
      <c r="C25" s="5">
        <f t="shared" si="6"/>
        <v>15</v>
      </c>
      <c r="D25" t="str">
        <f t="shared" si="7"/>
        <v>Homesites</v>
      </c>
      <c r="E25" s="8"/>
      <c r="F25" s="7">
        <f t="shared" si="15"/>
        <v>0</v>
      </c>
      <c r="G25" s="7">
        <f t="shared" si="15"/>
        <v>0</v>
      </c>
      <c r="H25" s="7">
        <f t="shared" si="15"/>
        <v>10</v>
      </c>
      <c r="I25" s="7">
        <f t="shared" si="15"/>
        <v>5</v>
      </c>
      <c r="J25" s="7">
        <f t="shared" si="15"/>
        <v>0</v>
      </c>
      <c r="K25" s="7">
        <f t="shared" si="15"/>
        <v>0</v>
      </c>
      <c r="L25" s="7">
        <f t="shared" si="15"/>
        <v>0</v>
      </c>
      <c r="M25" s="7">
        <f t="shared" ref="M25:Q26" si="17">L10</f>
        <v>0</v>
      </c>
      <c r="N25" s="7">
        <f t="shared" si="17"/>
        <v>0</v>
      </c>
      <c r="O25" s="7">
        <f t="shared" si="17"/>
        <v>0</v>
      </c>
      <c r="P25" s="7">
        <f t="shared" si="17"/>
        <v>0</v>
      </c>
      <c r="Q25" s="7">
        <f t="shared" si="17"/>
        <v>0</v>
      </c>
      <c r="R25">
        <f t="shared" si="9"/>
        <v>15</v>
      </c>
      <c r="S25" t="s">
        <v>218</v>
      </c>
      <c r="T25" t="s">
        <v>45</v>
      </c>
      <c r="U25" s="138">
        <f t="shared" ref="U25:AA25" si="18">+F31</f>
        <v>1800</v>
      </c>
      <c r="V25" s="138">
        <f t="shared" si="18"/>
        <v>1800</v>
      </c>
      <c r="W25" s="138">
        <f t="shared" si="18"/>
        <v>1980.0000000000002</v>
      </c>
      <c r="X25" s="138">
        <f t="shared" si="18"/>
        <v>2178.0000000000005</v>
      </c>
      <c r="Y25" s="138">
        <f t="shared" si="18"/>
        <v>2395.8000000000006</v>
      </c>
      <c r="Z25" s="138">
        <f t="shared" si="18"/>
        <v>2635.380000000001</v>
      </c>
      <c r="AA25" s="138">
        <f t="shared" si="18"/>
        <v>2898.9180000000015</v>
      </c>
    </row>
    <row r="26" spans="2:31" outlineLevel="1" x14ac:dyDescent="0.2">
      <c r="B26" s="5" t="str">
        <f t="shared" si="5"/>
        <v>Forest Homesites (10ea)</v>
      </c>
      <c r="C26" s="5">
        <f t="shared" si="6"/>
        <v>10</v>
      </c>
      <c r="D26" t="str">
        <f t="shared" si="7"/>
        <v>Homesites</v>
      </c>
      <c r="E26" s="8"/>
      <c r="F26" s="7">
        <f t="shared" si="15"/>
        <v>0</v>
      </c>
      <c r="G26" s="7">
        <f t="shared" si="15"/>
        <v>0</v>
      </c>
      <c r="H26" s="7">
        <f t="shared" si="15"/>
        <v>0</v>
      </c>
      <c r="I26" s="7">
        <f t="shared" si="15"/>
        <v>10</v>
      </c>
      <c r="J26" s="7">
        <f t="shared" si="15"/>
        <v>0</v>
      </c>
      <c r="K26" s="7">
        <f t="shared" si="15"/>
        <v>0</v>
      </c>
      <c r="L26" s="7">
        <f t="shared" si="15"/>
        <v>0</v>
      </c>
      <c r="M26" s="7">
        <f t="shared" si="17"/>
        <v>0</v>
      </c>
      <c r="N26" s="7">
        <f t="shared" si="17"/>
        <v>0</v>
      </c>
      <c r="O26" s="7">
        <f t="shared" si="17"/>
        <v>0</v>
      </c>
      <c r="P26" s="7">
        <f t="shared" si="17"/>
        <v>0</v>
      </c>
      <c r="Q26" s="7">
        <f t="shared" si="17"/>
        <v>0</v>
      </c>
      <c r="R26">
        <f t="shared" si="9"/>
        <v>10</v>
      </c>
      <c r="T26" t="s">
        <v>45</v>
      </c>
      <c r="U26" s="138">
        <f t="shared" ref="U26:AA28" si="19">+U25</f>
        <v>1800</v>
      </c>
      <c r="V26" s="138">
        <f t="shared" si="19"/>
        <v>1800</v>
      </c>
      <c r="W26" s="138">
        <f t="shared" si="19"/>
        <v>1980.0000000000002</v>
      </c>
      <c r="X26" s="138">
        <f t="shared" si="19"/>
        <v>2178.0000000000005</v>
      </c>
      <c r="Y26" s="138">
        <f t="shared" si="19"/>
        <v>2395.8000000000006</v>
      </c>
      <c r="Z26" s="138">
        <f t="shared" si="19"/>
        <v>2635.380000000001</v>
      </c>
      <c r="AA26" s="138">
        <f t="shared" si="19"/>
        <v>2898.9180000000015</v>
      </c>
    </row>
    <row r="27" spans="2:31" outlineLevel="1" x14ac:dyDescent="0.2">
      <c r="B27" s="5" t="str">
        <f t="shared" si="5"/>
        <v>Hillside Homesites (10ea)</v>
      </c>
      <c r="C27" s="5">
        <f t="shared" si="6"/>
        <v>10</v>
      </c>
      <c r="D27" t="str">
        <f t="shared" si="7"/>
        <v>Homesites</v>
      </c>
      <c r="E27" s="8"/>
      <c r="F27" s="7">
        <f t="shared" si="15"/>
        <v>0</v>
      </c>
      <c r="G27" s="7">
        <f t="shared" si="15"/>
        <v>0</v>
      </c>
      <c r="H27" s="7">
        <f t="shared" si="15"/>
        <v>0</v>
      </c>
      <c r="I27" s="7">
        <f t="shared" si="15"/>
        <v>0</v>
      </c>
      <c r="J27" s="7">
        <f t="shared" si="15"/>
        <v>10</v>
      </c>
      <c r="K27" s="7">
        <f t="shared" si="15"/>
        <v>0</v>
      </c>
      <c r="L27" s="7">
        <f t="shared" si="15"/>
        <v>0</v>
      </c>
      <c r="M27" s="7">
        <f>L13</f>
        <v>0</v>
      </c>
      <c r="N27" s="7">
        <f>M13</f>
        <v>0</v>
      </c>
      <c r="O27" s="7">
        <f>N13</f>
        <v>0</v>
      </c>
      <c r="P27" s="7">
        <f>O13</f>
        <v>0</v>
      </c>
      <c r="Q27" s="7">
        <f>P12</f>
        <v>0</v>
      </c>
      <c r="R27">
        <f t="shared" si="9"/>
        <v>10</v>
      </c>
      <c r="T27" t="s">
        <v>45</v>
      </c>
      <c r="U27" s="138">
        <f t="shared" si="19"/>
        <v>1800</v>
      </c>
      <c r="V27" s="138">
        <f t="shared" si="19"/>
        <v>1800</v>
      </c>
      <c r="W27" s="138">
        <f t="shared" si="19"/>
        <v>1980.0000000000002</v>
      </c>
      <c r="X27" s="138">
        <f t="shared" si="19"/>
        <v>2178.0000000000005</v>
      </c>
      <c r="Y27" s="138">
        <f t="shared" si="19"/>
        <v>2395.8000000000006</v>
      </c>
      <c r="Z27" s="138">
        <f t="shared" si="19"/>
        <v>2635.380000000001</v>
      </c>
      <c r="AA27" s="138">
        <f t="shared" si="19"/>
        <v>2898.9180000000015</v>
      </c>
    </row>
    <row r="28" spans="2:31" outlineLevel="1" x14ac:dyDescent="0.2">
      <c r="B28" s="5" t="str">
        <f t="shared" si="5"/>
        <v>Village Homesites (6ea)</v>
      </c>
      <c r="C28" s="5">
        <f t="shared" si="6"/>
        <v>0</v>
      </c>
      <c r="D28" t="str">
        <f t="shared" si="7"/>
        <v>Homesites</v>
      </c>
      <c r="E28" s="8"/>
      <c r="F28" s="7">
        <f t="shared" si="15"/>
        <v>0</v>
      </c>
      <c r="G28" s="7">
        <f t="shared" si="15"/>
        <v>0</v>
      </c>
      <c r="H28" s="7">
        <f t="shared" si="15"/>
        <v>0</v>
      </c>
      <c r="I28" s="7">
        <f t="shared" si="15"/>
        <v>0</v>
      </c>
      <c r="J28" s="7">
        <f t="shared" si="15"/>
        <v>0</v>
      </c>
      <c r="K28" s="7">
        <f t="shared" si="15"/>
        <v>0</v>
      </c>
      <c r="L28" s="7">
        <f t="shared" si="15"/>
        <v>0</v>
      </c>
      <c r="M28" s="7">
        <f>L13</f>
        <v>0</v>
      </c>
      <c r="N28" s="7">
        <f>M13</f>
        <v>0</v>
      </c>
      <c r="O28" s="7">
        <f>N13</f>
        <v>0</v>
      </c>
      <c r="P28" s="7">
        <f>O13</f>
        <v>0</v>
      </c>
      <c r="Q28" s="7">
        <f>P13</f>
        <v>0</v>
      </c>
      <c r="R28">
        <f t="shared" si="9"/>
        <v>0</v>
      </c>
      <c r="T28" t="s">
        <v>45</v>
      </c>
      <c r="U28" s="138">
        <f t="shared" si="19"/>
        <v>1800</v>
      </c>
      <c r="V28" s="138">
        <f t="shared" si="19"/>
        <v>1800</v>
      </c>
      <c r="W28" s="138">
        <f t="shared" si="19"/>
        <v>1980.0000000000002</v>
      </c>
      <c r="X28" s="138">
        <f t="shared" si="19"/>
        <v>2178.0000000000005</v>
      </c>
      <c r="Y28" s="138">
        <f t="shared" si="19"/>
        <v>2395.8000000000006</v>
      </c>
      <c r="Z28" s="138">
        <f t="shared" si="19"/>
        <v>2635.380000000001</v>
      </c>
      <c r="AA28" s="138">
        <f t="shared" si="19"/>
        <v>2898.9180000000015</v>
      </c>
    </row>
    <row r="29" spans="2:31" outlineLevel="1" x14ac:dyDescent="0.2">
      <c r="B29" s="5" t="str">
        <f>B15</f>
        <v>Deer Creek Homesites (5ea + 1 lot used for Clubhouse)</v>
      </c>
      <c r="C29">
        <f>R15</f>
        <v>6</v>
      </c>
      <c r="D29" t="str">
        <f t="shared" si="7"/>
        <v>Cottages</v>
      </c>
      <c r="E29" s="8"/>
      <c r="F29" s="7">
        <f t="shared" ref="F29:Q29" si="20">E15</f>
        <v>0</v>
      </c>
      <c r="G29" s="7">
        <f t="shared" si="20"/>
        <v>1</v>
      </c>
      <c r="H29" s="7">
        <f t="shared" si="20"/>
        <v>0</v>
      </c>
      <c r="I29" s="7">
        <f t="shared" si="20"/>
        <v>0</v>
      </c>
      <c r="J29" s="7">
        <f t="shared" si="20"/>
        <v>5</v>
      </c>
      <c r="K29" s="7">
        <f t="shared" si="20"/>
        <v>0</v>
      </c>
      <c r="L29" s="7">
        <f t="shared" si="20"/>
        <v>0</v>
      </c>
      <c r="M29" s="7">
        <f t="shared" si="20"/>
        <v>0</v>
      </c>
      <c r="N29" s="7">
        <f t="shared" si="20"/>
        <v>0</v>
      </c>
      <c r="O29" s="7">
        <f t="shared" si="20"/>
        <v>0</v>
      </c>
      <c r="P29" s="7">
        <f t="shared" si="20"/>
        <v>0</v>
      </c>
      <c r="Q29" s="7">
        <f t="shared" si="20"/>
        <v>0</v>
      </c>
      <c r="R29">
        <f t="shared" si="9"/>
        <v>6</v>
      </c>
      <c r="T29" t="s">
        <v>51</v>
      </c>
      <c r="U29" s="138">
        <f t="shared" ref="U29:AA29" si="21">+U23</f>
        <v>1900</v>
      </c>
      <c r="V29" s="138">
        <f t="shared" si="21"/>
        <v>1900</v>
      </c>
      <c r="W29" s="138">
        <f t="shared" si="21"/>
        <v>2090</v>
      </c>
      <c r="X29" s="138">
        <f t="shared" si="21"/>
        <v>2299</v>
      </c>
      <c r="Y29" s="138">
        <f t="shared" si="21"/>
        <v>2528.9</v>
      </c>
      <c r="Z29" s="138">
        <f t="shared" si="21"/>
        <v>2781.7900000000004</v>
      </c>
      <c r="AA29" s="138">
        <f t="shared" si="21"/>
        <v>3059.9690000000005</v>
      </c>
    </row>
    <row r="30" spans="2:31" outlineLevel="1" x14ac:dyDescent="0.2">
      <c r="B30" s="49" t="s">
        <v>242</v>
      </c>
      <c r="C30" s="49">
        <f>SUM(C20:C29)</f>
        <v>45</v>
      </c>
      <c r="D30" s="3"/>
      <c r="E30" s="9"/>
      <c r="F30" s="56">
        <f t="shared" ref="F30:R30" si="22">SUM(F20:F29)</f>
        <v>0</v>
      </c>
      <c r="G30" s="56">
        <f t="shared" si="22"/>
        <v>5</v>
      </c>
      <c r="H30" s="56">
        <f t="shared" si="22"/>
        <v>10</v>
      </c>
      <c r="I30" s="56">
        <f t="shared" si="22"/>
        <v>15</v>
      </c>
      <c r="J30" s="56">
        <f t="shared" si="22"/>
        <v>15</v>
      </c>
      <c r="K30" s="56">
        <f t="shared" si="22"/>
        <v>0</v>
      </c>
      <c r="L30" s="56">
        <f t="shared" si="22"/>
        <v>0</v>
      </c>
      <c r="M30" s="56">
        <f t="shared" si="22"/>
        <v>0</v>
      </c>
      <c r="N30" s="56">
        <f t="shared" si="22"/>
        <v>0</v>
      </c>
      <c r="O30" s="56">
        <f t="shared" si="22"/>
        <v>0</v>
      </c>
      <c r="P30" s="56">
        <f t="shared" si="22"/>
        <v>0</v>
      </c>
      <c r="Q30" s="56">
        <f t="shared" si="22"/>
        <v>0</v>
      </c>
      <c r="R30" s="49">
        <f t="shared" si="22"/>
        <v>45</v>
      </c>
      <c r="Z30" s="131" t="s">
        <v>474</v>
      </c>
      <c r="AA30" s="571">
        <f>+R16-R30</f>
        <v>0</v>
      </c>
    </row>
    <row r="31" spans="2:31" outlineLevel="1" x14ac:dyDescent="0.2">
      <c r="B31" s="570" t="s">
        <v>475</v>
      </c>
      <c r="C31" s="569">
        <f>Assumptions!H18</f>
        <v>0.1</v>
      </c>
      <c r="D31" s="568" t="s">
        <v>45</v>
      </c>
      <c r="E31" s="567">
        <v>1800</v>
      </c>
      <c r="F31" s="772">
        <f>E31</f>
        <v>1800</v>
      </c>
      <c r="G31" s="772">
        <f>F31</f>
        <v>1800</v>
      </c>
      <c r="H31" s="772">
        <f t="shared" ref="H31:Q31" si="23">G31*(1+$C$31)</f>
        <v>1980.0000000000002</v>
      </c>
      <c r="I31" s="772">
        <f t="shared" si="23"/>
        <v>2178.0000000000005</v>
      </c>
      <c r="J31" s="772">
        <f t="shared" si="23"/>
        <v>2395.8000000000006</v>
      </c>
      <c r="K31" s="772">
        <f t="shared" si="23"/>
        <v>2635.380000000001</v>
      </c>
      <c r="L31" s="772">
        <f t="shared" si="23"/>
        <v>2898.9180000000015</v>
      </c>
      <c r="M31" s="567">
        <f t="shared" si="23"/>
        <v>3188.8098000000018</v>
      </c>
      <c r="N31" s="567">
        <f t="shared" si="23"/>
        <v>3507.6907800000022</v>
      </c>
      <c r="O31" s="567">
        <f t="shared" si="23"/>
        <v>3858.4598580000029</v>
      </c>
      <c r="P31" s="567">
        <f t="shared" si="23"/>
        <v>4244.3058438000035</v>
      </c>
      <c r="Q31" s="567">
        <f t="shared" si="23"/>
        <v>4668.7364281800046</v>
      </c>
      <c r="R31" s="567"/>
      <c r="U31" s="143"/>
    </row>
    <row r="32" spans="2:31" hidden="1" outlineLevel="1" x14ac:dyDescent="0.2">
      <c r="B32" s="566" t="s">
        <v>475</v>
      </c>
      <c r="C32" s="565">
        <f>Assumptions!H19</f>
        <v>7.4999999999999997E-2</v>
      </c>
      <c r="D32" s="564" t="s">
        <v>48</v>
      </c>
      <c r="E32" s="563">
        <f>Assumptions!G19</f>
        <v>1650</v>
      </c>
      <c r="F32" s="773">
        <f>E32</f>
        <v>1650</v>
      </c>
      <c r="G32" s="773">
        <f t="shared" ref="G32:Q32" si="24">F32*(1+$C$32)</f>
        <v>1773.75</v>
      </c>
      <c r="H32" s="773">
        <f t="shared" si="24"/>
        <v>1906.78125</v>
      </c>
      <c r="I32" s="773">
        <f t="shared" si="24"/>
        <v>2049.7898437499998</v>
      </c>
      <c r="J32" s="773">
        <f t="shared" si="24"/>
        <v>2203.5240820312497</v>
      </c>
      <c r="K32" s="773">
        <f t="shared" si="24"/>
        <v>2368.7883881835933</v>
      </c>
      <c r="L32" s="773">
        <f t="shared" si="24"/>
        <v>2546.4475172973625</v>
      </c>
      <c r="M32" s="563">
        <f t="shared" si="24"/>
        <v>2737.4310810946645</v>
      </c>
      <c r="N32" s="563">
        <f t="shared" si="24"/>
        <v>2942.7384121767641</v>
      </c>
      <c r="O32" s="563">
        <f t="shared" si="24"/>
        <v>3163.4437930900212</v>
      </c>
      <c r="P32" s="563">
        <f t="shared" si="24"/>
        <v>3400.7020775717729</v>
      </c>
      <c r="Q32" s="563">
        <f t="shared" si="24"/>
        <v>3655.7547333896555</v>
      </c>
      <c r="R32" s="563"/>
      <c r="U32" s="143"/>
    </row>
    <row r="33" spans="1:27" outlineLevel="1" x14ac:dyDescent="0.2">
      <c r="B33" s="558" t="s">
        <v>475</v>
      </c>
      <c r="C33" s="562">
        <v>0.1</v>
      </c>
      <c r="D33" s="561" t="s">
        <v>51</v>
      </c>
      <c r="E33" s="560">
        <v>1900</v>
      </c>
      <c r="F33" s="559">
        <f>E33</f>
        <v>1900</v>
      </c>
      <c r="G33" s="559">
        <f>F33</f>
        <v>1900</v>
      </c>
      <c r="H33" s="559">
        <f t="shared" ref="H33:Q33" si="25">G33*(1+$C$33)</f>
        <v>2090</v>
      </c>
      <c r="I33" s="559">
        <f t="shared" si="25"/>
        <v>2299</v>
      </c>
      <c r="J33" s="559">
        <f t="shared" si="25"/>
        <v>2528.9</v>
      </c>
      <c r="K33" s="559">
        <f t="shared" si="25"/>
        <v>2781.7900000000004</v>
      </c>
      <c r="L33" s="559">
        <f t="shared" si="25"/>
        <v>3059.9690000000005</v>
      </c>
      <c r="M33" s="559">
        <f t="shared" si="25"/>
        <v>3365.9659000000006</v>
      </c>
      <c r="N33" s="559">
        <f t="shared" si="25"/>
        <v>3702.5624900000012</v>
      </c>
      <c r="O33" s="559">
        <f t="shared" si="25"/>
        <v>4072.8187390000016</v>
      </c>
      <c r="P33" s="559">
        <f t="shared" si="25"/>
        <v>4480.1006129000025</v>
      </c>
      <c r="Q33" s="559">
        <f t="shared" si="25"/>
        <v>4928.110674190003</v>
      </c>
      <c r="R33" s="558"/>
      <c r="U33" s="239" t="s">
        <v>476</v>
      </c>
    </row>
    <row r="34" spans="1:27" outlineLevel="1" x14ac:dyDescent="0.2">
      <c r="C34" s="17"/>
      <c r="D34" s="17"/>
      <c r="E34" s="59"/>
      <c r="F34" s="137" t="s">
        <v>247</v>
      </c>
      <c r="G34" s="160"/>
      <c r="H34" s="160">
        <f>SUM(G56+H57)/H30</f>
        <v>6435000.0000000009</v>
      </c>
      <c r="I34" s="160">
        <f>SUM(H56+I57)/I30</f>
        <v>7804500.0000000019</v>
      </c>
      <c r="J34" s="160">
        <f>SUM(I56+J57)/J30</f>
        <v>8939883.3333333358</v>
      </c>
      <c r="K34" s="160"/>
      <c r="L34" s="160"/>
      <c r="M34" s="160"/>
      <c r="N34" s="160"/>
      <c r="O34" s="160"/>
      <c r="P34" s="160"/>
      <c r="Q34" s="160"/>
      <c r="R34" s="137" t="s">
        <v>228</v>
      </c>
      <c r="T34" s="216">
        <f>(R56+R57)/R16</f>
        <v>7934569.3055555569</v>
      </c>
      <c r="U34" s="143"/>
      <c r="W34" s="105">
        <f>T34/T17</f>
        <v>1.2404225073823174</v>
      </c>
    </row>
    <row r="35" spans="1:27" x14ac:dyDescent="0.2">
      <c r="B35" s="34" t="s">
        <v>134</v>
      </c>
      <c r="C35" s="161"/>
      <c r="D35" s="161"/>
      <c r="E35" s="161"/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</row>
    <row r="36" spans="1:27" x14ac:dyDescent="0.2">
      <c r="E36" s="10"/>
      <c r="F36" s="169"/>
      <c r="G36" s="10"/>
      <c r="H36" s="10"/>
      <c r="I36" s="10"/>
      <c r="J36" s="10"/>
      <c r="K36" s="10"/>
      <c r="L36" s="10">
        <v>0</v>
      </c>
      <c r="M36" s="10"/>
      <c r="N36" s="10"/>
      <c r="O36" s="10"/>
      <c r="P36" s="10"/>
      <c r="Q36" s="10"/>
      <c r="R36" s="12">
        <f t="shared" ref="R36:R40" si="26">SUM(E36:Q36)</f>
        <v>0</v>
      </c>
    </row>
    <row r="37" spans="1:27" ht="17" customHeight="1" x14ac:dyDescent="0.2">
      <c r="B37" s="517" t="s">
        <v>477</v>
      </c>
      <c r="E37" s="10"/>
      <c r="F37" s="10"/>
      <c r="G37" s="10"/>
      <c r="H37" s="10"/>
      <c r="I37" s="10"/>
      <c r="J37" s="10"/>
      <c r="K37" s="10"/>
      <c r="L37" s="10">
        <v>0</v>
      </c>
      <c r="M37" s="10"/>
      <c r="N37" s="10"/>
      <c r="O37" s="10"/>
      <c r="P37" s="10"/>
      <c r="Q37" s="10"/>
      <c r="R37" s="12">
        <f t="shared" si="26"/>
        <v>0</v>
      </c>
      <c r="T37" s="11" cm="1">
        <f t="array" ref="T37">SUMPRODUCT(E10:E15*S10:S15)</f>
        <v>0</v>
      </c>
      <c r="U37" t="s">
        <v>253</v>
      </c>
    </row>
    <row r="38" spans="1:27" x14ac:dyDescent="0.2">
      <c r="B38" s="132" t="s">
        <v>478</v>
      </c>
      <c r="E38" s="10">
        <v>1500000</v>
      </c>
      <c r="F38" s="10"/>
      <c r="G38" s="557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2">
        <f t="shared" si="26"/>
        <v>1500000</v>
      </c>
      <c r="T38" s="11"/>
    </row>
    <row r="39" spans="1:27" ht="17" customHeight="1" x14ac:dyDescent="0.2">
      <c r="B39" s="132" t="s">
        <v>479</v>
      </c>
      <c r="D39" s="217"/>
      <c r="E39" s="10">
        <v>10000000</v>
      </c>
      <c r="F39" s="10"/>
      <c r="G39" s="12"/>
      <c r="H39" s="12"/>
      <c r="I39" s="12"/>
      <c r="J39" s="217"/>
      <c r="K39" s="217"/>
      <c r="L39" s="217"/>
      <c r="M39" s="10"/>
      <c r="N39" s="10"/>
      <c r="O39" s="10"/>
      <c r="P39" s="10"/>
      <c r="Q39" s="10"/>
      <c r="R39" s="12">
        <f t="shared" si="26"/>
        <v>10000000</v>
      </c>
      <c r="T39" s="11"/>
    </row>
    <row r="40" spans="1:27" ht="17" customHeight="1" x14ac:dyDescent="0.2">
      <c r="B40" s="164" t="s">
        <v>477</v>
      </c>
      <c r="C40" s="164"/>
      <c r="D40" s="164"/>
      <c r="E40" s="530">
        <f t="shared" ref="E40:L40" si="27">SUM(E38:E39)</f>
        <v>11500000</v>
      </c>
      <c r="F40" s="530">
        <f t="shared" si="27"/>
        <v>0</v>
      </c>
      <c r="G40" s="530">
        <f t="shared" si="27"/>
        <v>0</v>
      </c>
      <c r="H40" s="530">
        <f t="shared" si="27"/>
        <v>0</v>
      </c>
      <c r="I40" s="530">
        <f t="shared" si="27"/>
        <v>0</v>
      </c>
      <c r="J40" s="530">
        <f t="shared" si="27"/>
        <v>0</v>
      </c>
      <c r="K40" s="530">
        <f t="shared" si="27"/>
        <v>0</v>
      </c>
      <c r="L40" s="530">
        <f t="shared" si="27"/>
        <v>0</v>
      </c>
      <c r="M40" s="556"/>
      <c r="N40" s="556"/>
      <c r="O40" s="556"/>
      <c r="P40" s="556"/>
      <c r="Q40" s="556"/>
      <c r="R40" s="57">
        <f t="shared" si="26"/>
        <v>11500000</v>
      </c>
      <c r="T40" s="111" t="e">
        <f>(C184+E40)/T37</f>
        <v>#DIV/0!</v>
      </c>
      <c r="U40" t="s">
        <v>257</v>
      </c>
      <c r="V40" s="11">
        <f>25000000-E40</f>
        <v>13500000</v>
      </c>
      <c r="W40" s="11">
        <f>25000000-F40</f>
        <v>25000000</v>
      </c>
      <c r="Z40" s="131" t="s">
        <v>480</v>
      </c>
      <c r="AA40" s="97">
        <f>ROUND(40000000-R40,0)</f>
        <v>28500000</v>
      </c>
    </row>
    <row r="41" spans="1:27" ht="8" customHeight="1" x14ac:dyDescent="0.2">
      <c r="B41" s="132"/>
      <c r="D41" s="217"/>
      <c r="E41" s="12"/>
      <c r="F41" s="12"/>
      <c r="G41" s="12"/>
      <c r="H41" s="218"/>
      <c r="I41" s="218"/>
      <c r="J41" s="217"/>
      <c r="K41" s="217"/>
      <c r="L41" s="219"/>
      <c r="M41" s="10"/>
      <c r="N41" s="10"/>
      <c r="O41" s="10"/>
      <c r="P41" s="10"/>
      <c r="Q41" s="10"/>
      <c r="R41" s="220"/>
      <c r="T41" s="111"/>
    </row>
    <row r="42" spans="1:27" x14ac:dyDescent="0.2">
      <c r="B42" s="517" t="s">
        <v>267</v>
      </c>
      <c r="C42" s="147">
        <f>U158</f>
        <v>49035729.493554473</v>
      </c>
      <c r="D42" s="217"/>
      <c r="E42" s="33"/>
      <c r="F42" s="33"/>
      <c r="G42" s="12"/>
      <c r="H42" s="218"/>
      <c r="I42" s="218"/>
      <c r="J42" s="217"/>
      <c r="K42" s="217"/>
      <c r="L42" s="219"/>
      <c r="M42" s="10"/>
      <c r="N42" s="10"/>
      <c r="O42" s="10"/>
      <c r="P42" s="10"/>
      <c r="Q42" s="10"/>
      <c r="R42" s="220"/>
      <c r="T42" s="111">
        <f>(E48+F48)/(E40+F40+E48+F48)</f>
        <v>0.83846603047442003</v>
      </c>
      <c r="U42" t="s">
        <v>481</v>
      </c>
    </row>
    <row r="43" spans="1:27" x14ac:dyDescent="0.2">
      <c r="B43" s="132" t="s">
        <v>482</v>
      </c>
      <c r="C43" s="147"/>
      <c r="D43" s="217"/>
      <c r="E43" s="10">
        <v>15000000</v>
      </c>
      <c r="F43" s="736"/>
      <c r="G43" s="12"/>
      <c r="H43" s="218"/>
      <c r="I43" s="218"/>
      <c r="J43" s="217"/>
      <c r="K43" s="217"/>
      <c r="L43" s="219"/>
      <c r="M43" s="10"/>
      <c r="N43" s="10"/>
      <c r="O43" s="10"/>
      <c r="P43" s="10"/>
      <c r="Q43" s="10"/>
      <c r="R43" s="12">
        <f t="shared" ref="R43:R48" si="28">SUM(E43:Q43)</f>
        <v>15000000</v>
      </c>
      <c r="T43" s="111"/>
    </row>
    <row r="44" spans="1:27" x14ac:dyDescent="0.2">
      <c r="B44" s="132" t="s">
        <v>483</v>
      </c>
      <c r="C44" s="147"/>
      <c r="D44" s="217"/>
      <c r="E44" s="10"/>
      <c r="F44" s="770"/>
      <c r="G44" s="12"/>
      <c r="H44" s="218"/>
      <c r="I44" s="218"/>
      <c r="J44" s="217"/>
      <c r="K44" s="217"/>
      <c r="L44" s="219"/>
      <c r="M44" s="10"/>
      <c r="N44" s="10"/>
      <c r="O44" s="10"/>
      <c r="P44" s="10"/>
      <c r="Q44" s="10"/>
      <c r="R44" s="12">
        <f t="shared" si="28"/>
        <v>0</v>
      </c>
      <c r="T44" s="111"/>
    </row>
    <row r="45" spans="1:27" ht="17" customHeight="1" x14ac:dyDescent="0.2">
      <c r="B45" s="132" t="s">
        <v>484</v>
      </c>
      <c r="C45" s="11">
        <f>F159-F39+SUM(E157:F157)</f>
        <v>17250000</v>
      </c>
      <c r="D45" s="217"/>
      <c r="E45" s="12"/>
      <c r="F45" s="25">
        <f>800000*26</f>
        <v>20800000</v>
      </c>
      <c r="G45" s="25"/>
      <c r="H45" s="12"/>
      <c r="I45" s="12"/>
      <c r="J45" s="217"/>
      <c r="K45" s="217"/>
      <c r="L45" s="217"/>
      <c r="M45" s="10"/>
      <c r="N45" s="10"/>
      <c r="O45" s="10"/>
      <c r="P45" s="10"/>
      <c r="Q45" s="10"/>
      <c r="R45" s="12">
        <f t="shared" si="28"/>
        <v>20800000</v>
      </c>
      <c r="T45" s="11"/>
    </row>
    <row r="46" spans="1:27" s="128" customFormat="1" x14ac:dyDescent="0.2">
      <c r="A46" s="184"/>
      <c r="B46" s="261" t="s">
        <v>485</v>
      </c>
      <c r="C46" s="129">
        <f>U157</f>
        <v>0.70215819107438771</v>
      </c>
      <c r="D46" s="555" t="s">
        <v>262</v>
      </c>
      <c r="E46" s="32"/>
      <c r="F46" s="32">
        <f>MAX(F143+F149+SUM(F157:F159)+SUM(F163:F166)+F178-F40-SUM(F43:F45)-F51-SUM(F56:F57)-E221,0)</f>
        <v>19800183.354081526</v>
      </c>
      <c r="G46" s="764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>
        <f t="shared" si="28"/>
        <v>19800183.354081526</v>
      </c>
      <c r="S46" s="114"/>
      <c r="T46" s="554">
        <f>(R48)/(R48+R40)</f>
        <v>0.88062580664041756</v>
      </c>
      <c r="U46" s="128" t="s">
        <v>486</v>
      </c>
    </row>
    <row r="47" spans="1:27" ht="17" customHeight="1" x14ac:dyDescent="0.2">
      <c r="B47" s="132" t="s">
        <v>487</v>
      </c>
      <c r="D47" s="217"/>
      <c r="E47" s="12"/>
      <c r="F47" s="12">
        <f>F152+F153</f>
        <v>4092272.5347641893</v>
      </c>
      <c r="G47" s="12">
        <f>G152+G153</f>
        <v>2867094.7066614856</v>
      </c>
      <c r="H47" s="12">
        <f>H152+H153</f>
        <v>3746337.0833710078</v>
      </c>
      <c r="I47" s="12">
        <f>C42-SUM(F46:H47)</f>
        <v>18529841.814676262</v>
      </c>
      <c r="J47" s="12"/>
      <c r="K47" s="12"/>
      <c r="L47" s="12"/>
      <c r="M47" s="10"/>
      <c r="N47" s="10"/>
      <c r="O47" s="10"/>
      <c r="P47" s="10"/>
      <c r="Q47" s="10"/>
      <c r="R47" s="12">
        <f t="shared" si="28"/>
        <v>29235546.139472947</v>
      </c>
      <c r="T47" s="11"/>
    </row>
    <row r="48" spans="1:27" ht="17" customHeight="1" x14ac:dyDescent="0.2">
      <c r="B48" s="164" t="s">
        <v>267</v>
      </c>
      <c r="C48" s="553"/>
      <c r="D48" s="553"/>
      <c r="E48" s="57">
        <f t="shared" ref="E48:L48" si="29">SUM(E43:E47)</f>
        <v>15000000</v>
      </c>
      <c r="F48" s="57">
        <f t="shared" si="29"/>
        <v>44692455.888845712</v>
      </c>
      <c r="G48" s="57">
        <f t="shared" si="29"/>
        <v>2867094.7066614856</v>
      </c>
      <c r="H48" s="57">
        <f t="shared" si="29"/>
        <v>3746337.0833710078</v>
      </c>
      <c r="I48" s="57">
        <f t="shared" si="29"/>
        <v>18529841.814676262</v>
      </c>
      <c r="J48" s="57">
        <f t="shared" si="29"/>
        <v>0</v>
      </c>
      <c r="K48" s="57">
        <f t="shared" si="29"/>
        <v>0</v>
      </c>
      <c r="L48" s="57">
        <f t="shared" si="29"/>
        <v>0</v>
      </c>
      <c r="M48" s="57">
        <f>M46</f>
        <v>0</v>
      </c>
      <c r="N48" s="57">
        <f>N46</f>
        <v>0</v>
      </c>
      <c r="O48" s="57">
        <f>O46</f>
        <v>0</v>
      </c>
      <c r="P48" s="57">
        <f>P46</f>
        <v>0</v>
      </c>
      <c r="Q48" s="57">
        <f>Q46</f>
        <v>0</v>
      </c>
      <c r="R48" s="57">
        <f t="shared" si="28"/>
        <v>84835729.493554473</v>
      </c>
      <c r="T48" s="111">
        <f>R46/SUM(R51,R56,R57)</f>
        <v>5.5454059015788905E-2</v>
      </c>
      <c r="U48" t="s">
        <v>260</v>
      </c>
    </row>
    <row r="49" spans="2:30" x14ac:dyDescent="0.2">
      <c r="B49" s="132"/>
      <c r="C49" s="15"/>
      <c r="D49" s="217"/>
      <c r="E49" s="217"/>
      <c r="F49" s="217"/>
      <c r="G49" s="217"/>
      <c r="H49" s="217"/>
      <c r="I49" s="217"/>
      <c r="J49" s="217"/>
      <c r="K49" s="217"/>
      <c r="L49" s="217"/>
      <c r="M49" s="10"/>
      <c r="N49" s="10"/>
      <c r="O49" s="10"/>
      <c r="P49" s="10"/>
      <c r="Q49" s="10"/>
      <c r="R49" s="12"/>
    </row>
    <row r="50" spans="2:30" x14ac:dyDescent="0.2">
      <c r="B50" s="239" t="s">
        <v>488</v>
      </c>
      <c r="E50" s="32"/>
      <c r="F50" s="32"/>
      <c r="G50" s="10">
        <v>15000000</v>
      </c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12">
        <f>SUM(E50:Q50)</f>
        <v>15000000</v>
      </c>
    </row>
    <row r="51" spans="2:30" x14ac:dyDescent="0.2">
      <c r="B51" s="239" t="s">
        <v>489</v>
      </c>
      <c r="E51" s="32"/>
      <c r="F51" s="32"/>
      <c r="G51" s="10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12">
        <f>SUM(E51:Q51)</f>
        <v>0</v>
      </c>
    </row>
    <row r="52" spans="2:30" hidden="1" outlineLevel="1" x14ac:dyDescent="0.2">
      <c r="B52" s="132" t="s">
        <v>490</v>
      </c>
      <c r="C52" s="169">
        <v>0.2</v>
      </c>
      <c r="D52" s="169"/>
      <c r="E52" s="12"/>
      <c r="F52" s="12">
        <f>((SUMPRODUCT(G20:G29,$D$6:$D$15,U20:U29))*$C52)</f>
        <v>6370000</v>
      </c>
      <c r="G52" s="12">
        <f t="shared" ref="G52:L52" si="30">((SUMPRODUCT(H20:H29,$D$6:$D$15,V20:V29))*$C52)</f>
        <v>11700000</v>
      </c>
      <c r="H52" s="12">
        <f t="shared" si="30"/>
        <v>21285000.000000004</v>
      </c>
      <c r="I52" s="12">
        <f t="shared" si="30"/>
        <v>24381500.000000004</v>
      </c>
      <c r="J52" s="12">
        <f t="shared" si="30"/>
        <v>0</v>
      </c>
      <c r="K52" s="12">
        <f t="shared" si="30"/>
        <v>0</v>
      </c>
      <c r="L52" s="12">
        <f t="shared" si="30"/>
        <v>0</v>
      </c>
      <c r="M52" s="217"/>
      <c r="N52" s="217"/>
      <c r="O52" s="217"/>
      <c r="P52" s="217"/>
      <c r="Q52" s="217"/>
      <c r="R52" s="12"/>
      <c r="T52" s="111"/>
    </row>
    <row r="53" spans="2:30" hidden="1" outlineLevel="1" x14ac:dyDescent="0.2">
      <c r="B53" s="132" t="s">
        <v>270</v>
      </c>
      <c r="C53" s="169">
        <v>0.15</v>
      </c>
      <c r="D53" s="169"/>
      <c r="E53" s="12"/>
      <c r="F53" s="12">
        <f>((SUMPRODUCT(G20:G29,$D$6:$D$15,U20:U29))*$C53)</f>
        <v>4777500</v>
      </c>
      <c r="G53" s="12">
        <f t="shared" ref="G53:L53" si="31">((SUMPRODUCT(H20:H29,$D$6:$D$15,V20:V29))*$C53)</f>
        <v>8775000</v>
      </c>
      <c r="H53" s="12">
        <f t="shared" si="31"/>
        <v>15963750.000000002</v>
      </c>
      <c r="I53" s="12">
        <f t="shared" si="31"/>
        <v>18286125</v>
      </c>
      <c r="J53" s="12">
        <f t="shared" si="31"/>
        <v>0</v>
      </c>
      <c r="K53" s="12">
        <f t="shared" si="31"/>
        <v>0</v>
      </c>
      <c r="L53" s="12">
        <f t="shared" si="31"/>
        <v>0</v>
      </c>
      <c r="M53" s="217"/>
      <c r="N53" s="217"/>
      <c r="O53" s="217"/>
      <c r="P53" s="217"/>
      <c r="Q53" s="217"/>
      <c r="R53" s="12"/>
      <c r="T53" s="111"/>
    </row>
    <row r="54" spans="2:30" hidden="1" outlineLevel="1" x14ac:dyDescent="0.2">
      <c r="B54" s="132" t="s">
        <v>491</v>
      </c>
      <c r="C54" s="169">
        <v>0.15</v>
      </c>
      <c r="D54" s="169"/>
      <c r="E54" s="12"/>
      <c r="F54" s="12">
        <f>((SUMPRODUCT(F20:F29,$D$6:$D$15,U20:U29))*$C54)</f>
        <v>0</v>
      </c>
      <c r="G54" s="12">
        <f t="shared" ref="G54:L54" si="32">((SUMPRODUCT(G20:G29,$D$6:$D$15,V20:V29))*$C54)</f>
        <v>4722375</v>
      </c>
      <c r="H54" s="12">
        <f t="shared" si="32"/>
        <v>9652500</v>
      </c>
      <c r="I54" s="12">
        <f t="shared" si="32"/>
        <v>17560125.000000004</v>
      </c>
      <c r="J54" s="12">
        <f t="shared" si="32"/>
        <v>20114737.500000004</v>
      </c>
      <c r="K54" s="12">
        <f t="shared" si="32"/>
        <v>0</v>
      </c>
      <c r="L54" s="12">
        <f t="shared" si="32"/>
        <v>0</v>
      </c>
      <c r="M54" s="73">
        <f>((SUMPRODUCT(M$20:M$29,$D$6:$D$15)*M$33)*$C54)</f>
        <v>0</v>
      </c>
      <c r="N54" s="73">
        <f>((SUMPRODUCT(N$20:N$29,$D$6:$D$15)*N$33)*$C54)</f>
        <v>0</v>
      </c>
      <c r="O54" s="73">
        <f>((SUMPRODUCT(O$20:O$29,$D$6:$D$15)*O$33)*$C54)</f>
        <v>0</v>
      </c>
      <c r="P54" s="73">
        <f>((SUMPRODUCT(P$20:P$29,$D$6:$D$15)*P$33)*$C54)</f>
        <v>0</v>
      </c>
      <c r="Q54" s="73">
        <f>((SUMPRODUCT(Q$20:Q$29,$D$6:$D$15)*Q$33)*$C54)</f>
        <v>0</v>
      </c>
      <c r="R54" s="12"/>
      <c r="T54" s="111"/>
    </row>
    <row r="55" spans="2:30" hidden="1" outlineLevel="1" x14ac:dyDescent="0.2">
      <c r="B55" s="132" t="s">
        <v>492</v>
      </c>
      <c r="C55" s="90">
        <v>0</v>
      </c>
      <c r="D55" s="169"/>
      <c r="E55" s="45"/>
      <c r="F55" s="45">
        <f t="shared" ref="F55:Q55" si="33">+$C55*SUMPRODUCT(G6:G15,$D$6:$D$15,U$20:U$29)</f>
        <v>0</v>
      </c>
      <c r="G55" s="45">
        <f t="shared" ref="G55" si="34">+$C55*SUMPRODUCT(H6:H15,$D$6:$D$15,V$20:V$29)</f>
        <v>0</v>
      </c>
      <c r="H55" s="45">
        <f t="shared" ref="H55" si="35">+$C55*SUMPRODUCT(I6:I15,$D$6:$D$15,W$20:W$29)</f>
        <v>0</v>
      </c>
      <c r="I55" s="45">
        <f t="shared" ref="I55" si="36">+$C55*SUMPRODUCT(J6:J15,$D$6:$D$15,X$20:X$29)</f>
        <v>0</v>
      </c>
      <c r="J55" s="45">
        <f t="shared" ref="J55" si="37">+$C55*SUMPRODUCT(K6:K15,$D$6:$D$15,Y$20:Y$29)</f>
        <v>0</v>
      </c>
      <c r="K55" s="45">
        <f t="shared" ref="K55" si="38">+$C55*SUMPRODUCT(L6:L15,$D$6:$D$15,Z$20:Z$29)</f>
        <v>0</v>
      </c>
      <c r="L55" s="45">
        <f t="shared" ref="L55" si="39">+$C55*SUMPRODUCT(M6:M15,$D$6:$D$15,AA$20:AA$29)</f>
        <v>0</v>
      </c>
      <c r="M55" s="45">
        <f t="shared" si="33"/>
        <v>0</v>
      </c>
      <c r="N55" s="45">
        <f t="shared" si="33"/>
        <v>0</v>
      </c>
      <c r="O55" s="45">
        <f t="shared" si="33"/>
        <v>0</v>
      </c>
      <c r="P55" s="45">
        <f t="shared" si="33"/>
        <v>0</v>
      </c>
      <c r="Q55" s="45">
        <f t="shared" si="33"/>
        <v>0</v>
      </c>
      <c r="R55" s="21"/>
      <c r="T55" s="111"/>
    </row>
    <row r="56" spans="2:30" collapsed="1" x14ac:dyDescent="0.2">
      <c r="B56" t="s">
        <v>273</v>
      </c>
      <c r="C56" s="454">
        <f>SUM(C52:C55)</f>
        <v>0.5</v>
      </c>
      <c r="D56" s="15"/>
      <c r="E56" s="32"/>
      <c r="F56" s="32">
        <f t="shared" ref="F56" si="40">SUM(F52:F55)/2</f>
        <v>5573750</v>
      </c>
      <c r="G56" s="32">
        <f t="shared" ref="G56:L56" si="41">SUM(G52:G55)/2</f>
        <v>12598687.5</v>
      </c>
      <c r="H56" s="32">
        <f t="shared" si="41"/>
        <v>23450625.000000004</v>
      </c>
      <c r="I56" s="32">
        <f t="shared" si="41"/>
        <v>30113875</v>
      </c>
      <c r="J56" s="32">
        <f t="shared" si="41"/>
        <v>10057368.750000002</v>
      </c>
      <c r="K56" s="32">
        <f t="shared" si="41"/>
        <v>0</v>
      </c>
      <c r="L56" s="32">
        <f t="shared" si="41"/>
        <v>0</v>
      </c>
      <c r="M56" s="32">
        <f>SUM(M52:M54)</f>
        <v>0</v>
      </c>
      <c r="N56" s="32">
        <f>SUM(N52:N54)</f>
        <v>0</v>
      </c>
      <c r="O56" s="32">
        <f>SUM(O52:O54)</f>
        <v>0</v>
      </c>
      <c r="P56" s="32">
        <f>SUM(P52:P54)</f>
        <v>0</v>
      </c>
      <c r="Q56" s="32">
        <f>SUM(Q52:Q54)</f>
        <v>0</v>
      </c>
      <c r="R56" s="12">
        <f>SUM(E56:Q56)</f>
        <v>81794306.25</v>
      </c>
      <c r="T56" s="139" t="s">
        <v>274</v>
      </c>
    </row>
    <row r="57" spans="2:30" x14ac:dyDescent="0.2">
      <c r="B57" s="222" t="s">
        <v>276</v>
      </c>
      <c r="C57" s="44"/>
      <c r="D57" s="44"/>
      <c r="E57" s="45"/>
      <c r="F57" s="77">
        <f>SUMPRODUCT(E$6:E$13,$D6:$D$13,U$20:U$27)-(E56)</f>
        <v>0</v>
      </c>
      <c r="G57" s="77">
        <f>SUMPRODUCT(F$6:F$15,$D6:$D$15,V$20:V$29)-(F56)</f>
        <v>25908750</v>
      </c>
      <c r="H57" s="77">
        <f>SUMPRODUCT(G$6:G$15,$D6:$D$15,W$20:W$29)-(G56)</f>
        <v>51751312.500000007</v>
      </c>
      <c r="I57" s="77">
        <f>SUMPRODUCT(H$6:H$15,$D6:$D$15,X$20:X$29)-(H56)</f>
        <v>93616875.00000003</v>
      </c>
      <c r="J57" s="77">
        <f>SUMPRODUCT(I$6:I$15,$D6:$D$15,Y$20:Y$29)-(I56)</f>
        <v>103984375.00000003</v>
      </c>
      <c r="K57" s="77"/>
      <c r="L57" s="77">
        <f>SUMPRODUCT(K$6:K$15,$D6:$D$15,AA$20:AA$29)-(K56)</f>
        <v>0</v>
      </c>
      <c r="M57" s="77">
        <v>0</v>
      </c>
      <c r="N57" s="77">
        <f>SUMPRODUCT(N$20:N$29,$D6:$D$15,AB$20:AB$29)-M56</f>
        <v>0</v>
      </c>
      <c r="O57" s="77">
        <f>SUMPRODUCT(O$20:O$29,$D6:$D$15,AC$20:AC$29)-N56</f>
        <v>0</v>
      </c>
      <c r="P57" s="77">
        <f>SUMPRODUCT(P$20:P$29,$D6:$D$15,AD$20:AD$29)-O56</f>
        <v>0</v>
      </c>
      <c r="Q57" s="77">
        <f>SUMPRODUCT(Q$20:Q$29,$D6:$D$15,AE$20:AE$29)-P56</f>
        <v>0</v>
      </c>
      <c r="R57" s="21">
        <f>SUM(E57:Q57)</f>
        <v>275261312.50000006</v>
      </c>
      <c r="T57" s="61">
        <f>R57+(R56)</f>
        <v>357055618.75000006</v>
      </c>
      <c r="U57" s="552">
        <f>T57/R16</f>
        <v>7934569.3055555569</v>
      </c>
      <c r="V57" s="550">
        <f>T57/D17</f>
        <v>2249.1692519685043</v>
      </c>
      <c r="W57" s="11" t="s">
        <v>493</v>
      </c>
      <c r="AA57" s="551"/>
      <c r="AB57" s="551"/>
      <c r="AC57" s="551"/>
      <c r="AD57" s="551"/>
    </row>
    <row r="58" spans="2:30" x14ac:dyDescent="0.2">
      <c r="B58" s="30" t="s">
        <v>142</v>
      </c>
      <c r="C58" s="3"/>
      <c r="D58" s="3"/>
      <c r="E58" s="24">
        <f t="shared" ref="E58:L58" si="42">E40+E48+SUM(E50:E51)+SUM(E56:E57)</f>
        <v>26500000</v>
      </c>
      <c r="F58" s="24">
        <f t="shared" si="42"/>
        <v>50266205.888845712</v>
      </c>
      <c r="G58" s="24">
        <f t="shared" si="42"/>
        <v>56374532.206661485</v>
      </c>
      <c r="H58" s="24">
        <f t="shared" si="42"/>
        <v>78948274.583371028</v>
      </c>
      <c r="I58" s="24">
        <f t="shared" si="42"/>
        <v>142260591.81467628</v>
      </c>
      <c r="J58" s="24">
        <f t="shared" si="42"/>
        <v>114041743.75000003</v>
      </c>
      <c r="K58" s="24">
        <f t="shared" si="42"/>
        <v>0</v>
      </c>
      <c r="L58" s="24">
        <f t="shared" si="42"/>
        <v>0</v>
      </c>
      <c r="M58" s="24">
        <f>M40+M48+SUM(M51:M57)</f>
        <v>0</v>
      </c>
      <c r="N58" s="24">
        <f>N40+N48+SUM(N51:N57)</f>
        <v>0</v>
      </c>
      <c r="O58" s="24">
        <f>O40+O48+SUM(O51:O57)</f>
        <v>0</v>
      </c>
      <c r="P58" s="24">
        <f>P40+P48+SUM(P51:P57)</f>
        <v>0</v>
      </c>
      <c r="Q58" s="24">
        <f>Q40+Q48+SUM(Q51:Q57)</f>
        <v>0</v>
      </c>
      <c r="R58" s="23">
        <f>SUM(E58:Q58)</f>
        <v>468391348.24355459</v>
      </c>
      <c r="T58" t="s">
        <v>277</v>
      </c>
    </row>
    <row r="59" spans="2:30" x14ac:dyDescent="0.2">
      <c r="E59" s="137"/>
      <c r="R59" s="12"/>
      <c r="T59" s="11">
        <f>(R56)+R57</f>
        <v>357055618.75000006</v>
      </c>
      <c r="U59" s="550">
        <f>T59/D17</f>
        <v>2249.1692519685043</v>
      </c>
      <c r="V59" s="11" t="s">
        <v>493</v>
      </c>
    </row>
    <row r="60" spans="2:30" x14ac:dyDescent="0.2">
      <c r="B60" s="34" t="s">
        <v>143</v>
      </c>
      <c r="C60" s="16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35"/>
      <c r="T60" s="11"/>
    </row>
    <row r="61" spans="2:30" outlineLevel="1" x14ac:dyDescent="0.2">
      <c r="B61" s="87" t="s">
        <v>281</v>
      </c>
      <c r="R61" s="12"/>
      <c r="V61" s="70">
        <f>E62*0.65</f>
        <v>12025000</v>
      </c>
      <c r="W61" s="139">
        <v>0.65</v>
      </c>
    </row>
    <row r="62" spans="2:30" outlineLevel="1" x14ac:dyDescent="0.2">
      <c r="B62" s="163" t="s">
        <v>494</v>
      </c>
      <c r="C62" s="25"/>
      <c r="D62" s="25"/>
      <c r="E62" s="824">
        <v>18500000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/>
      <c r="N62" s="12"/>
      <c r="O62" s="12"/>
      <c r="P62" s="12"/>
      <c r="Q62" s="12"/>
      <c r="R62" s="12">
        <f>SUM(E62:L62)</f>
        <v>18500000</v>
      </c>
      <c r="V62" s="70">
        <f>E62*0.85</f>
        <v>15725000</v>
      </c>
      <c r="W62" s="139">
        <v>0.85</v>
      </c>
    </row>
    <row r="63" spans="2:30" outlineLevel="1" x14ac:dyDescent="0.2">
      <c r="B63" s="163" t="s">
        <v>495</v>
      </c>
      <c r="C63" s="90">
        <v>5.0000000000000001E-3</v>
      </c>
      <c r="D63" s="25"/>
      <c r="E63" s="61">
        <f>180000000*$C$63*0.5</f>
        <v>450000</v>
      </c>
      <c r="F63" s="61"/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/>
      <c r="N63" s="12"/>
      <c r="O63" s="12"/>
      <c r="P63" s="12"/>
      <c r="Q63" s="12"/>
      <c r="R63" s="12">
        <f>SUM(E63:L63)</f>
        <v>450000</v>
      </c>
      <c r="V63" s="70"/>
      <c r="W63" s="139"/>
    </row>
    <row r="64" spans="2:30" outlineLevel="1" x14ac:dyDescent="0.2">
      <c r="B64" s="163" t="s">
        <v>496</v>
      </c>
      <c r="C64" s="93">
        <v>1.5E-3</v>
      </c>
      <c r="D64" s="93"/>
      <c r="E64" s="47">
        <f>E62*$C$64</f>
        <v>27750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47">
        <f>M62*$C$64</f>
        <v>0</v>
      </c>
      <c r="N64" s="47">
        <f>N62*$C$64</f>
        <v>0</v>
      </c>
      <c r="O64" s="47">
        <f>O62*$C$64</f>
        <v>0</v>
      </c>
      <c r="P64" s="47">
        <f>P62*$C$64</f>
        <v>0</v>
      </c>
      <c r="Q64" s="47">
        <f>Q62*$C$64</f>
        <v>0</v>
      </c>
      <c r="R64" s="47">
        <f>SUM(E64:Q64)</f>
        <v>27750</v>
      </c>
      <c r="V64" s="140">
        <v>18423158</v>
      </c>
      <c r="W64" s="139">
        <v>1</v>
      </c>
    </row>
    <row r="65" spans="2:21" x14ac:dyDescent="0.2">
      <c r="B65" s="85" t="s">
        <v>281</v>
      </c>
      <c r="C65" s="94"/>
      <c r="D65" s="94"/>
      <c r="E65" s="52">
        <f t="shared" ref="E65:Q65" si="43">SUM(E62:E64)</f>
        <v>18977750</v>
      </c>
      <c r="F65" s="52">
        <f t="shared" si="43"/>
        <v>0</v>
      </c>
      <c r="G65" s="52">
        <f t="shared" si="43"/>
        <v>0</v>
      </c>
      <c r="H65" s="52">
        <f t="shared" si="43"/>
        <v>0</v>
      </c>
      <c r="I65" s="52">
        <f t="shared" si="43"/>
        <v>0</v>
      </c>
      <c r="J65" s="52">
        <f t="shared" si="43"/>
        <v>0</v>
      </c>
      <c r="K65" s="52">
        <f t="shared" si="43"/>
        <v>0</v>
      </c>
      <c r="L65" s="52">
        <f t="shared" si="43"/>
        <v>0</v>
      </c>
      <c r="M65" s="52">
        <f t="shared" si="43"/>
        <v>0</v>
      </c>
      <c r="N65" s="52">
        <f t="shared" si="43"/>
        <v>0</v>
      </c>
      <c r="O65" s="52">
        <f t="shared" si="43"/>
        <v>0</v>
      </c>
      <c r="P65" s="52">
        <f t="shared" si="43"/>
        <v>0</v>
      </c>
      <c r="Q65" s="52">
        <f t="shared" si="43"/>
        <v>0</v>
      </c>
      <c r="R65" s="52">
        <f>SUM(E65:Q65)</f>
        <v>18977750</v>
      </c>
      <c r="T65" s="70">
        <f>R65/R16</f>
        <v>421727.77777777775</v>
      </c>
      <c r="U65" s="134" t="s">
        <v>298</v>
      </c>
    </row>
    <row r="66" spans="2:21" outlineLevel="1" x14ac:dyDescent="0.2">
      <c r="B66" s="162"/>
      <c r="C66" s="19"/>
      <c r="D66" s="19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67"/>
      <c r="R66" s="12"/>
    </row>
    <row r="67" spans="2:21" outlineLevel="1" x14ac:dyDescent="0.2">
      <c r="B67" s="87" t="s">
        <v>497</v>
      </c>
      <c r="C67" s="19"/>
      <c r="D67" s="19"/>
      <c r="E67" s="167"/>
      <c r="F67" s="33"/>
      <c r="G67" s="167"/>
      <c r="H67" s="167"/>
      <c r="I67" s="33"/>
      <c r="J67" s="167"/>
      <c r="K67" s="167"/>
      <c r="L67" s="167"/>
      <c r="M67" s="167"/>
      <c r="N67" s="167"/>
      <c r="O67" s="167"/>
      <c r="P67" s="167"/>
      <c r="Q67" s="167"/>
      <c r="R67" s="12"/>
    </row>
    <row r="68" spans="2:21" outlineLevel="1" x14ac:dyDescent="0.2">
      <c r="B68" s="163" t="s">
        <v>498</v>
      </c>
      <c r="C68" s="71">
        <f>235000*1.25</f>
        <v>293750</v>
      </c>
      <c r="D68" s="71"/>
      <c r="F68" s="12">
        <f>$C$68*0.5</f>
        <v>146875</v>
      </c>
      <c r="G68" s="12">
        <f>$C$68*0.5</f>
        <v>146875</v>
      </c>
      <c r="H68" s="12">
        <f>$C68*I$67</f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/>
      <c r="R68" s="12">
        <f>SUM(F68:P68)</f>
        <v>293750</v>
      </c>
      <c r="T68" s="11">
        <f t="shared" ref="T68:T82" si="44">C68-R68</f>
        <v>0</v>
      </c>
    </row>
    <row r="69" spans="2:21" outlineLevel="1" x14ac:dyDescent="0.2">
      <c r="B69" s="163" t="s">
        <v>499</v>
      </c>
      <c r="C69" s="71">
        <f>590000*1.25</f>
        <v>737500</v>
      </c>
      <c r="D69" s="71"/>
      <c r="E69" s="12"/>
      <c r="F69" s="12">
        <f>$C$69/3</f>
        <v>245833.33333333334</v>
      </c>
      <c r="G69" s="12">
        <f>$C$69/3</f>
        <v>245833.33333333334</v>
      </c>
      <c r="H69" s="12">
        <f>$C$69/3</f>
        <v>245833.33333333334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/>
      <c r="R69" s="12">
        <f t="shared" ref="R69:R80" si="45">SUM(E69:P69)</f>
        <v>737500</v>
      </c>
      <c r="T69" s="11">
        <f t="shared" si="44"/>
        <v>0</v>
      </c>
    </row>
    <row r="70" spans="2:21" outlineLevel="1" x14ac:dyDescent="0.2">
      <c r="B70" s="163" t="s">
        <v>500</v>
      </c>
      <c r="C70" s="71">
        <f>350000*1.25</f>
        <v>437500</v>
      </c>
      <c r="D70" s="71"/>
      <c r="E70" s="12">
        <f>$C70*F$67</f>
        <v>0</v>
      </c>
      <c r="F70" s="12">
        <f>$C$70/3</f>
        <v>145833.33333333334</v>
      </c>
      <c r="G70" s="12">
        <f>$C$70/3</f>
        <v>145833.33333333334</v>
      </c>
      <c r="H70" s="12">
        <f>$C$70/3</f>
        <v>145833.33333333334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/>
      <c r="R70" s="12">
        <f t="shared" si="45"/>
        <v>437500</v>
      </c>
      <c r="T70" s="11">
        <f t="shared" si="44"/>
        <v>0</v>
      </c>
    </row>
    <row r="71" spans="2:21" outlineLevel="1" x14ac:dyDescent="0.2">
      <c r="B71" s="163" t="s">
        <v>501</v>
      </c>
      <c r="C71" s="549">
        <f>500000*1.25</f>
        <v>625000</v>
      </c>
      <c r="D71" s="549"/>
      <c r="E71" s="61">
        <f>$C$71/2</f>
        <v>312500</v>
      </c>
      <c r="F71" s="12">
        <v>0</v>
      </c>
      <c r="G71" s="12">
        <f>$C$71/2</f>
        <v>312500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/>
      <c r="R71" s="12">
        <f t="shared" si="45"/>
        <v>625000</v>
      </c>
      <c r="T71" s="11">
        <f t="shared" si="44"/>
        <v>0</v>
      </c>
    </row>
    <row r="72" spans="2:21" outlineLevel="1" x14ac:dyDescent="0.2">
      <c r="B72" s="163" t="s">
        <v>502</v>
      </c>
      <c r="C72" s="549">
        <f>500000*1.25</f>
        <v>625000</v>
      </c>
      <c r="D72" s="549"/>
      <c r="E72" s="61">
        <v>0</v>
      </c>
      <c r="F72" s="12">
        <f>$C72/2</f>
        <v>312500</v>
      </c>
      <c r="G72" s="12">
        <v>0</v>
      </c>
      <c r="H72" s="12">
        <f>$C72/2</f>
        <v>312500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/>
      <c r="R72" s="12">
        <f t="shared" si="45"/>
        <v>625000</v>
      </c>
      <c r="T72" s="11">
        <f t="shared" si="44"/>
        <v>0</v>
      </c>
    </row>
    <row r="73" spans="2:21" outlineLevel="1" x14ac:dyDescent="0.2">
      <c r="B73" s="163" t="s">
        <v>503</v>
      </c>
      <c r="C73" s="71">
        <v>150000</v>
      </c>
      <c r="D73" s="71"/>
      <c r="E73" s="61">
        <f>$C$73</f>
        <v>150000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/>
      <c r="R73" s="12">
        <f t="shared" si="45"/>
        <v>150000</v>
      </c>
      <c r="T73" s="11">
        <f t="shared" si="44"/>
        <v>0</v>
      </c>
    </row>
    <row r="74" spans="2:21" outlineLevel="1" x14ac:dyDescent="0.2">
      <c r="B74" s="163" t="s">
        <v>504</v>
      </c>
      <c r="C74" s="549">
        <f>650000*1.25</f>
        <v>812500</v>
      </c>
      <c r="D74" s="549"/>
      <c r="E74" s="756">
        <f>$C$74</f>
        <v>812500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/>
      <c r="R74" s="12">
        <f t="shared" si="45"/>
        <v>812500</v>
      </c>
      <c r="T74" s="11">
        <f t="shared" si="44"/>
        <v>0</v>
      </c>
    </row>
    <row r="75" spans="2:21" outlineLevel="1" x14ac:dyDescent="0.2">
      <c r="B75" s="163" t="s">
        <v>505</v>
      </c>
      <c r="C75" s="71">
        <f>(105000*1.25)+15*4000</f>
        <v>191250</v>
      </c>
      <c r="D75" s="71"/>
      <c r="F75" s="12">
        <f t="shared" ref="E75:H77" si="46">$C75/3</f>
        <v>63750</v>
      </c>
      <c r="G75" s="12">
        <f t="shared" si="46"/>
        <v>63750</v>
      </c>
      <c r="H75" s="12">
        <f t="shared" si="46"/>
        <v>63750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/>
      <c r="R75" s="12">
        <f>SUM(F75:P75)</f>
        <v>191250</v>
      </c>
      <c r="T75" s="11">
        <f t="shared" si="44"/>
        <v>0</v>
      </c>
    </row>
    <row r="76" spans="2:21" outlineLevel="1" x14ac:dyDescent="0.2">
      <c r="B76" s="163" t="s">
        <v>506</v>
      </c>
      <c r="C76" s="71">
        <f>(8500*15)*1.25</f>
        <v>159375</v>
      </c>
      <c r="D76" s="71"/>
      <c r="F76" s="12">
        <f t="shared" si="46"/>
        <v>53125</v>
      </c>
      <c r="G76" s="12">
        <f t="shared" si="46"/>
        <v>53125</v>
      </c>
      <c r="H76" s="12">
        <f t="shared" si="46"/>
        <v>53125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/>
      <c r="R76" s="12">
        <f>SUM(F76:P76)</f>
        <v>159375</v>
      </c>
      <c r="T76" s="11">
        <f t="shared" si="44"/>
        <v>0</v>
      </c>
    </row>
    <row r="77" spans="2:21" outlineLevel="1" x14ac:dyDescent="0.2">
      <c r="B77" s="163" t="s">
        <v>507</v>
      </c>
      <c r="C77" s="71">
        <f>550000*1.25</f>
        <v>687500</v>
      </c>
      <c r="D77" s="71"/>
      <c r="E77" s="61">
        <f t="shared" si="46"/>
        <v>229166.66666666666</v>
      </c>
      <c r="F77" s="12">
        <f t="shared" si="46"/>
        <v>229166.66666666666</v>
      </c>
      <c r="G77" s="12">
        <f t="shared" si="46"/>
        <v>229166.66666666666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/>
      <c r="R77" s="12">
        <f t="shared" si="45"/>
        <v>687500</v>
      </c>
      <c r="T77" s="11">
        <f t="shared" si="44"/>
        <v>0</v>
      </c>
    </row>
    <row r="78" spans="2:21" outlineLevel="1" x14ac:dyDescent="0.2">
      <c r="B78" s="163" t="s">
        <v>508</v>
      </c>
      <c r="C78" s="71">
        <f>1000000*1.25</f>
        <v>1250000</v>
      </c>
      <c r="D78" s="71"/>
      <c r="E78" s="61">
        <f>$C$78/2</f>
        <v>625000</v>
      </c>
      <c r="F78" s="12">
        <f>$C$78/2</f>
        <v>625000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/>
      <c r="R78" s="12">
        <f t="shared" si="45"/>
        <v>1250000</v>
      </c>
      <c r="T78" s="11">
        <f t="shared" si="44"/>
        <v>0</v>
      </c>
    </row>
    <row r="79" spans="2:21" outlineLevel="1" x14ac:dyDescent="0.2">
      <c r="B79" s="163" t="s">
        <v>509</v>
      </c>
      <c r="C79" s="71">
        <f>125000*1.25</f>
        <v>156250</v>
      </c>
      <c r="D79" s="71"/>
      <c r="F79" s="12">
        <f>($C79)/3</f>
        <v>52083.333333333336</v>
      </c>
      <c r="G79" s="12">
        <f>($C79)/3</f>
        <v>52083.333333333336</v>
      </c>
      <c r="H79" s="12">
        <f>($C79)/3</f>
        <v>52083.333333333336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/>
      <c r="R79" s="12">
        <f>SUM(F79:P79)</f>
        <v>156250</v>
      </c>
      <c r="T79" s="11">
        <f t="shared" si="44"/>
        <v>0</v>
      </c>
    </row>
    <row r="80" spans="2:21" outlineLevel="1" x14ac:dyDescent="0.2">
      <c r="B80" s="163" t="s">
        <v>510</v>
      </c>
      <c r="C80" s="71">
        <f>625000*1.25</f>
        <v>781250</v>
      </c>
      <c r="D80" s="71"/>
      <c r="E80" s="61">
        <f>$C80/4</f>
        <v>195312.5</v>
      </c>
      <c r="F80" s="12">
        <f>$C80/4</f>
        <v>195312.5</v>
      </c>
      <c r="G80" s="12">
        <f>$C80/4</f>
        <v>195312.5</v>
      </c>
      <c r="H80" s="12">
        <f>$C80/4</f>
        <v>195312.5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/>
      <c r="R80" s="12">
        <f t="shared" si="45"/>
        <v>781250</v>
      </c>
      <c r="T80" s="11">
        <f t="shared" si="44"/>
        <v>0</v>
      </c>
    </row>
    <row r="81" spans="2:22" outlineLevel="1" x14ac:dyDescent="0.2">
      <c r="B81" s="163" t="s">
        <v>511</v>
      </c>
      <c r="C81" s="71">
        <f>175000*1.25</f>
        <v>218750</v>
      </c>
      <c r="D81" s="71"/>
      <c r="F81" s="12">
        <f>$C81/3</f>
        <v>72916.666666666672</v>
      </c>
      <c r="G81" s="12">
        <f>$C81/3</f>
        <v>72916.666666666672</v>
      </c>
      <c r="H81" s="12">
        <f>$C81/3</f>
        <v>72916.666666666672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/>
      <c r="R81" s="12">
        <f>SUM(F81:P81)</f>
        <v>218750</v>
      </c>
      <c r="T81" s="11">
        <f t="shared" si="44"/>
        <v>0</v>
      </c>
    </row>
    <row r="82" spans="2:22" outlineLevel="1" x14ac:dyDescent="0.2">
      <c r="B82" s="163" t="s">
        <v>512</v>
      </c>
      <c r="C82" s="71">
        <v>750000</v>
      </c>
      <c r="D82" s="71"/>
      <c r="F82" s="12">
        <f>$C$82/3</f>
        <v>250000</v>
      </c>
      <c r="G82" s="12">
        <f>$C$82/3</f>
        <v>250000</v>
      </c>
      <c r="H82" s="12">
        <f>$C$82/3</f>
        <v>250000</v>
      </c>
      <c r="I82" s="12">
        <f>$C82*I$67</f>
        <v>0</v>
      </c>
      <c r="J82" s="12">
        <f>$C82*J$67</f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/>
      <c r="R82" s="12">
        <f>SUM(F82:P82)</f>
        <v>750000</v>
      </c>
      <c r="T82" s="11">
        <f t="shared" si="44"/>
        <v>0</v>
      </c>
    </row>
    <row r="83" spans="2:22" outlineLevel="1" x14ac:dyDescent="0.2">
      <c r="B83" s="163" t="s">
        <v>313</v>
      </c>
      <c r="C83" s="84">
        <v>0.05</v>
      </c>
      <c r="D83" s="71"/>
      <c r="E83" s="61">
        <f>SUM(E67:E82,D83)*$C83</f>
        <v>116223.95833333336</v>
      </c>
      <c r="F83" s="61">
        <f>SUM(F67:F82,E83)*$C83</f>
        <v>125430.98958333336</v>
      </c>
      <c r="G83" s="61">
        <f>SUM(G67:G82,E83:F83)*$C83</f>
        <v>100452.5390625</v>
      </c>
      <c r="H83" s="61">
        <f>SUM(H67:H82,E83:G83)*$C83</f>
        <v>86673.082682291672</v>
      </c>
      <c r="I83" s="61">
        <v>0</v>
      </c>
      <c r="J83" s="61">
        <v>0</v>
      </c>
      <c r="K83" s="61">
        <v>0</v>
      </c>
      <c r="L83" s="61">
        <v>0</v>
      </c>
      <c r="M83" s="12"/>
      <c r="N83" s="12"/>
      <c r="O83" s="12"/>
      <c r="P83" s="12"/>
      <c r="Q83" s="12"/>
      <c r="R83" s="12">
        <f t="shared" ref="R83:R85" si="47">SUM(E83:Q83)</f>
        <v>428780.56966145843</v>
      </c>
      <c r="T83" s="11"/>
      <c r="V83" s="134"/>
    </row>
    <row r="84" spans="2:22" outlineLevel="1" x14ac:dyDescent="0.2">
      <c r="B84" s="168" t="s">
        <v>297</v>
      </c>
      <c r="C84" s="54">
        <v>0.05</v>
      </c>
      <c r="D84" s="54"/>
      <c r="E84" s="22">
        <f t="shared" ref="E84:L84" si="48">SUM(E68:E82)*$C$84</f>
        <v>116223.95833333336</v>
      </c>
      <c r="F84" s="22">
        <f t="shared" si="48"/>
        <v>119619.79166666669</v>
      </c>
      <c r="G84" s="22">
        <f>SUM(G68:G82)*$C$84</f>
        <v>88369.791666666686</v>
      </c>
      <c r="H84" s="22">
        <f t="shared" si="48"/>
        <v>69567.708333333343</v>
      </c>
      <c r="I84" s="22">
        <f>SUM(I68:I82)*$C$84</f>
        <v>0</v>
      </c>
      <c r="J84" s="22">
        <f t="shared" si="48"/>
        <v>0</v>
      </c>
      <c r="K84" s="22">
        <f t="shared" si="48"/>
        <v>0</v>
      </c>
      <c r="L84" s="22">
        <f t="shared" si="48"/>
        <v>0</v>
      </c>
      <c r="M84" s="22">
        <v>0</v>
      </c>
      <c r="N84" s="22">
        <v>0</v>
      </c>
      <c r="O84" s="22">
        <v>0</v>
      </c>
      <c r="P84" s="22">
        <v>0</v>
      </c>
      <c r="Q84" s="22"/>
      <c r="R84" s="21">
        <f t="shared" si="47"/>
        <v>393781.25000000012</v>
      </c>
      <c r="T84" s="11"/>
    </row>
    <row r="85" spans="2:22" x14ac:dyDescent="0.2">
      <c r="B85" s="85" t="str">
        <f>B67</f>
        <v>HARD COSTS - SITE, RESTORATION &amp; INFRASTRUCTURE</v>
      </c>
      <c r="C85" s="86"/>
      <c r="D85" s="86"/>
      <c r="E85" s="51">
        <f t="shared" ref="E85:P85" si="49">SUM(E67:E84)</f>
        <v>2556927.083333334</v>
      </c>
      <c r="F85" s="51">
        <f t="shared" si="49"/>
        <v>2637446.6145833335</v>
      </c>
      <c r="G85" s="51">
        <f t="shared" si="49"/>
        <v>1956218.1640625002</v>
      </c>
      <c r="H85" s="51">
        <f t="shared" si="49"/>
        <v>1547594.9576822917</v>
      </c>
      <c r="I85" s="51">
        <f t="shared" si="49"/>
        <v>0</v>
      </c>
      <c r="J85" s="51">
        <f t="shared" si="49"/>
        <v>0</v>
      </c>
      <c r="K85" s="51">
        <f t="shared" si="49"/>
        <v>0</v>
      </c>
      <c r="L85" s="51">
        <f t="shared" si="49"/>
        <v>0</v>
      </c>
      <c r="M85" s="51">
        <f t="shared" si="49"/>
        <v>0</v>
      </c>
      <c r="N85" s="51">
        <f t="shared" si="49"/>
        <v>0</v>
      </c>
      <c r="O85" s="51">
        <f t="shared" si="49"/>
        <v>0</v>
      </c>
      <c r="P85" s="51">
        <f t="shared" si="49"/>
        <v>0</v>
      </c>
      <c r="Q85" s="51"/>
      <c r="R85" s="52">
        <f t="shared" si="47"/>
        <v>8698186.819661459</v>
      </c>
      <c r="T85" s="70">
        <f>R85/$R$16</f>
        <v>193293.04043692132</v>
      </c>
      <c r="U85" s="134" t="s">
        <v>298</v>
      </c>
    </row>
    <row r="86" spans="2:22" outlineLevel="1" x14ac:dyDescent="0.2">
      <c r="B86" s="162"/>
      <c r="C86" s="19"/>
      <c r="D86" s="19"/>
      <c r="E86" s="167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2"/>
      <c r="T86" s="111">
        <f>R85/$T$59</f>
        <v>2.4360873664759988E-2</v>
      </c>
      <c r="U86" t="s">
        <v>299</v>
      </c>
    </row>
    <row r="87" spans="2:22" outlineLevel="1" x14ac:dyDescent="0.2">
      <c r="B87" s="87" t="s">
        <v>407</v>
      </c>
      <c r="C87" s="19"/>
      <c r="D87" s="167"/>
      <c r="E87" s="167"/>
      <c r="F87" s="167"/>
      <c r="G87" s="167"/>
      <c r="H87" s="167"/>
      <c r="I87" s="167"/>
      <c r="J87" s="167"/>
      <c r="K87" s="167"/>
      <c r="L87" s="167"/>
      <c r="M87" s="167"/>
      <c r="N87" s="167"/>
      <c r="O87" s="167"/>
      <c r="P87" s="167"/>
      <c r="Q87" s="12"/>
    </row>
    <row r="88" spans="2:22" outlineLevel="1" x14ac:dyDescent="0.2">
      <c r="B88" s="163" t="s">
        <v>513</v>
      </c>
      <c r="C88" s="13">
        <v>100000</v>
      </c>
      <c r="D88" s="12"/>
      <c r="E88" s="12">
        <f>((E$16*$C88)*0.25)+((F$16*$C88)*0.75)</f>
        <v>375000</v>
      </c>
      <c r="F88" s="12">
        <f t="shared" ref="F88:K88" si="50">((F$16*$C88)*0.25)+((G$16*$C88)*0.75)</f>
        <v>875000</v>
      </c>
      <c r="G88" s="12">
        <f t="shared" si="50"/>
        <v>1375000</v>
      </c>
      <c r="H88" s="12">
        <f t="shared" si="50"/>
        <v>1500000</v>
      </c>
      <c r="I88" s="12">
        <f t="shared" si="50"/>
        <v>375000</v>
      </c>
      <c r="J88" s="12">
        <f t="shared" si="50"/>
        <v>0</v>
      </c>
      <c r="K88" s="12">
        <f t="shared" si="50"/>
        <v>0</v>
      </c>
      <c r="L88" s="12">
        <f>((L$16*$C88)*0.25)+((M$16*$C88)*0.75)</f>
        <v>0</v>
      </c>
      <c r="M88" s="12">
        <f>((L$16*$C88)*0.25)+((M$16*$C88)*0.75)</f>
        <v>0</v>
      </c>
      <c r="N88" s="12">
        <f>((M$16*$C88)*0.25)+((N$16*$C88)*0.75)</f>
        <v>0</v>
      </c>
      <c r="O88" s="12">
        <f>((N$16*$C88)*0.25)+((O$16*$C88)*0.75)</f>
        <v>0</v>
      </c>
      <c r="P88" s="12">
        <f>((O$16*$C88)*0.25)+((P$16*$C88)*0.75)</f>
        <v>0</v>
      </c>
      <c r="Q88" s="12">
        <f>((P$16*$C88)*0.25)+((Q$16*$C88)*0.75)</f>
        <v>0</v>
      </c>
      <c r="R88" s="12">
        <f>SUM(E88:Q88)</f>
        <v>4500000</v>
      </c>
      <c r="T88" s="11">
        <f t="shared" ref="T88:T94" si="51">R88/$R$16</f>
        <v>100000</v>
      </c>
      <c r="U88" s="134" t="s">
        <v>514</v>
      </c>
      <c r="V88" t="s">
        <v>309</v>
      </c>
    </row>
    <row r="89" spans="2:22" outlineLevel="1" x14ac:dyDescent="0.2">
      <c r="B89" s="163" t="s">
        <v>515</v>
      </c>
      <c r="C89" s="13">
        <f>Assumptions!C17</f>
        <v>850</v>
      </c>
      <c r="D89" s="12"/>
      <c r="E89" s="12">
        <f t="shared" ref="E89:L89" si="52">(((SUMPRODUCT($D$6:$D$15,E6:E15))*$C89))</f>
        <v>0</v>
      </c>
      <c r="F89" s="12">
        <f t="shared" si="52"/>
        <v>14875000</v>
      </c>
      <c r="G89" s="12">
        <f t="shared" si="52"/>
        <v>27625000</v>
      </c>
      <c r="H89" s="12">
        <f t="shared" si="52"/>
        <v>45687500</v>
      </c>
      <c r="I89" s="12">
        <f t="shared" si="52"/>
        <v>46750000</v>
      </c>
      <c r="J89" s="12">
        <f t="shared" si="52"/>
        <v>0</v>
      </c>
      <c r="K89" s="12">
        <f t="shared" si="52"/>
        <v>0</v>
      </c>
      <c r="L89" s="12">
        <f t="shared" si="52"/>
        <v>0</v>
      </c>
      <c r="M89" s="12">
        <f>(((SUMPRODUCT($D$6:$D$15,L6:L15))*$C89)*0.5)+(((SUMPRODUCT($D$6:$D$15,M6:M15))*$C89)*0.5)</f>
        <v>0</v>
      </c>
      <c r="N89" s="12">
        <f>(((SUMPRODUCT($D$6:$D$15,M6:M15))*$C89)*0.5)+(((SUMPRODUCT($D$6:$D$15,N6:N15))*$C89)*0.5)</f>
        <v>0</v>
      </c>
      <c r="O89" s="12">
        <f>(((SUMPRODUCT($D$6:$D$15,N6:N15))*$C89)*0.5)+(((SUMPRODUCT($D$6:$D$15,O6:O15))*$C89)*0.5)</f>
        <v>0</v>
      </c>
      <c r="P89" s="12">
        <f>(((SUMPRODUCT($D$6:$D$15,O6:O15))*$C89)*0.5)+(((SUMPRODUCT($D$6:$D$15,P6:P15))*$C89)*0.5)</f>
        <v>0</v>
      </c>
      <c r="Q89" s="12">
        <f>(((SUMPRODUCT($D$6:$D$15,P6:P15))*$C89)*0.5)+(((SUMPRODUCT($D$6:$D$15,Q6:Q15))*$C89)*0.5)</f>
        <v>0</v>
      </c>
      <c r="R89" s="12">
        <f>SUM(E89:Q89)</f>
        <v>134937500</v>
      </c>
      <c r="T89" s="11">
        <f t="shared" si="51"/>
        <v>2998611.111111111</v>
      </c>
      <c r="U89" t="s">
        <v>516</v>
      </c>
      <c r="V89" s="226">
        <f>R89/$V$16</f>
        <v>850</v>
      </c>
    </row>
    <row r="90" spans="2:22" outlineLevel="1" x14ac:dyDescent="0.2">
      <c r="B90" s="163" t="s">
        <v>517</v>
      </c>
      <c r="C90" s="548">
        <v>150000</v>
      </c>
      <c r="D90" s="12"/>
      <c r="F90" s="12">
        <f t="shared" ref="F90:Q90" si="53">E$16*$C90</f>
        <v>0</v>
      </c>
      <c r="G90" s="12">
        <f t="shared" si="53"/>
        <v>750000</v>
      </c>
      <c r="H90" s="12">
        <f t="shared" si="53"/>
        <v>1500000</v>
      </c>
      <c r="I90" s="12">
        <f t="shared" si="53"/>
        <v>2250000</v>
      </c>
      <c r="J90" s="12">
        <f t="shared" si="53"/>
        <v>2250000</v>
      </c>
      <c r="K90" s="12">
        <f t="shared" si="53"/>
        <v>0</v>
      </c>
      <c r="L90" s="12">
        <f t="shared" si="53"/>
        <v>0</v>
      </c>
      <c r="M90" s="12">
        <f t="shared" si="53"/>
        <v>0</v>
      </c>
      <c r="N90" s="12">
        <f t="shared" si="53"/>
        <v>0</v>
      </c>
      <c r="O90" s="12">
        <f t="shared" si="53"/>
        <v>0</v>
      </c>
      <c r="P90" s="12">
        <f t="shared" si="53"/>
        <v>0</v>
      </c>
      <c r="Q90" s="12">
        <f t="shared" si="53"/>
        <v>0</v>
      </c>
      <c r="R90" s="12">
        <f>SUM(F90:Q90)</f>
        <v>6750000</v>
      </c>
      <c r="T90" s="11">
        <f t="shared" si="51"/>
        <v>150000</v>
      </c>
      <c r="U90" s="134" t="s">
        <v>514</v>
      </c>
    </row>
    <row r="91" spans="2:22" outlineLevel="1" x14ac:dyDescent="0.2">
      <c r="B91" s="163" t="s">
        <v>518</v>
      </c>
      <c r="C91" s="84">
        <v>3.5000000000000003E-2</v>
      </c>
      <c r="D91" s="12"/>
      <c r="E91" s="61">
        <f>SUM(E88:E90)*$C91</f>
        <v>13125.000000000002</v>
      </c>
      <c r="F91" s="61">
        <f t="shared" ref="F91:K91" si="54">SUM(F88:F90)*$C91</f>
        <v>551250</v>
      </c>
      <c r="G91" s="61">
        <f t="shared" si="54"/>
        <v>1041250.0000000001</v>
      </c>
      <c r="H91" s="61">
        <f t="shared" si="54"/>
        <v>1704062.5000000002</v>
      </c>
      <c r="I91" s="61">
        <f t="shared" si="54"/>
        <v>1728125.0000000002</v>
      </c>
      <c r="J91" s="61">
        <f t="shared" si="54"/>
        <v>78750.000000000015</v>
      </c>
      <c r="K91" s="61">
        <f t="shared" si="54"/>
        <v>0</v>
      </c>
      <c r="L91" s="61">
        <f>SUM(L88:L90)*$C91</f>
        <v>0</v>
      </c>
      <c r="M91" s="12"/>
      <c r="N91" s="12"/>
      <c r="O91" s="12"/>
      <c r="P91" s="12"/>
      <c r="Q91" s="12"/>
      <c r="R91" s="12">
        <f>SUM(E91:Q91)</f>
        <v>5116562.5</v>
      </c>
      <c r="T91" s="11">
        <f t="shared" si="51"/>
        <v>113701.38888888889</v>
      </c>
      <c r="U91" t="s">
        <v>516</v>
      </c>
    </row>
    <row r="92" spans="2:22" outlineLevel="1" x14ac:dyDescent="0.2">
      <c r="B92" s="163" t="s">
        <v>313</v>
      </c>
      <c r="C92" s="84">
        <v>0.05</v>
      </c>
      <c r="D92" s="12"/>
      <c r="E92" s="61">
        <f>SUM(E88:E90)*$C92</f>
        <v>18750</v>
      </c>
      <c r="F92" s="61">
        <f>SUM(F88:F90,E92)*$C92</f>
        <v>788437.5</v>
      </c>
      <c r="G92" s="61">
        <f>SUM(G88:G90,E92:F92)*$C92</f>
        <v>1527859.375</v>
      </c>
      <c r="H92" s="61">
        <f>SUM(H88:H90,E92:G92)*$C92</f>
        <v>2551127.34375</v>
      </c>
      <c r="I92" s="61">
        <f>SUM(I88:I90,E92:H92)*$C92</f>
        <v>2713058.7109375</v>
      </c>
      <c r="J92" s="61">
        <f>SUM(J88:J90,E92:I92)*$C92</f>
        <v>492461.646484375</v>
      </c>
      <c r="K92" s="61"/>
      <c r="M92" s="12"/>
      <c r="N92" s="12"/>
      <c r="O92" s="12"/>
      <c r="P92" s="12"/>
      <c r="Q92" s="12"/>
      <c r="R92" s="12">
        <f>SUM(E92:Q92)</f>
        <v>8091694.576171875</v>
      </c>
      <c r="T92" s="11">
        <f t="shared" si="51"/>
        <v>179815.43502604167</v>
      </c>
      <c r="U92" t="s">
        <v>516</v>
      </c>
    </row>
    <row r="93" spans="2:22" outlineLevel="1" x14ac:dyDescent="0.2">
      <c r="B93" s="163" t="s">
        <v>297</v>
      </c>
      <c r="C93" s="84">
        <v>3.5000000000000003E-2</v>
      </c>
      <c r="D93" s="11"/>
      <c r="E93" s="11">
        <f t="shared" ref="E93:Q93" si="55">SUM(E87:E90)*$C93</f>
        <v>13125.000000000002</v>
      </c>
      <c r="F93" s="11">
        <f t="shared" si="55"/>
        <v>551250</v>
      </c>
      <c r="G93" s="11">
        <f t="shared" si="55"/>
        <v>1041250.0000000001</v>
      </c>
      <c r="H93" s="11">
        <f t="shared" si="55"/>
        <v>1704062.5000000002</v>
      </c>
      <c r="I93" s="11">
        <f t="shared" si="55"/>
        <v>1728125.0000000002</v>
      </c>
      <c r="J93" s="11">
        <f t="shared" si="55"/>
        <v>78750.000000000015</v>
      </c>
      <c r="K93" s="11">
        <f t="shared" si="55"/>
        <v>0</v>
      </c>
      <c r="L93" s="11">
        <f t="shared" si="55"/>
        <v>0</v>
      </c>
      <c r="M93" s="11">
        <f t="shared" si="55"/>
        <v>0</v>
      </c>
      <c r="N93" s="11">
        <f t="shared" si="55"/>
        <v>0</v>
      </c>
      <c r="O93" s="11">
        <f t="shared" si="55"/>
        <v>0</v>
      </c>
      <c r="P93" s="11">
        <f t="shared" si="55"/>
        <v>0</v>
      </c>
      <c r="Q93" s="11">
        <f t="shared" si="55"/>
        <v>0</v>
      </c>
      <c r="R93" s="12">
        <f>SUM(E93:Q93)</f>
        <v>5116562.5</v>
      </c>
      <c r="T93" s="11">
        <f t="shared" si="51"/>
        <v>113701.38888888889</v>
      </c>
      <c r="U93" t="s">
        <v>516</v>
      </c>
      <c r="V93" t="s">
        <v>314</v>
      </c>
    </row>
    <row r="94" spans="2:22" x14ac:dyDescent="0.2">
      <c r="B94" s="85" t="str">
        <f>B87</f>
        <v>HARD COSTS - HOMES</v>
      </c>
      <c r="C94" s="86"/>
      <c r="D94" s="51"/>
      <c r="E94" s="51">
        <f t="shared" ref="E94:Q94" si="56">SUM(E87:E93)</f>
        <v>420000</v>
      </c>
      <c r="F94" s="51">
        <f t="shared" si="56"/>
        <v>17640937.5</v>
      </c>
      <c r="G94" s="51">
        <f t="shared" si="56"/>
        <v>33360359.375</v>
      </c>
      <c r="H94" s="51">
        <f t="shared" si="56"/>
        <v>54646752.34375</v>
      </c>
      <c r="I94" s="51">
        <f t="shared" si="56"/>
        <v>55544308.7109375</v>
      </c>
      <c r="J94" s="51">
        <f t="shared" si="56"/>
        <v>2899961.646484375</v>
      </c>
      <c r="K94" s="51">
        <f t="shared" si="56"/>
        <v>0</v>
      </c>
      <c r="L94" s="51">
        <f t="shared" si="56"/>
        <v>0</v>
      </c>
      <c r="M94" s="51">
        <f t="shared" si="56"/>
        <v>0</v>
      </c>
      <c r="N94" s="51">
        <f t="shared" si="56"/>
        <v>0</v>
      </c>
      <c r="O94" s="51">
        <f t="shared" si="56"/>
        <v>0</v>
      </c>
      <c r="P94" s="51">
        <f t="shared" si="56"/>
        <v>0</v>
      </c>
      <c r="Q94" s="51">
        <f t="shared" si="56"/>
        <v>0</v>
      </c>
      <c r="R94" s="52">
        <f>SUM(E94:Q94)</f>
        <v>164512319.57617188</v>
      </c>
      <c r="T94" s="11">
        <f t="shared" si="51"/>
        <v>3655829.3239149307</v>
      </c>
      <c r="U94" t="s">
        <v>516</v>
      </c>
      <c r="V94" s="226">
        <f>R94/$V$16</f>
        <v>1036.298076070374</v>
      </c>
    </row>
    <row r="95" spans="2:22" outlineLevel="1" x14ac:dyDescent="0.2">
      <c r="B95" s="162"/>
      <c r="C95" s="19"/>
      <c r="D95" s="167"/>
      <c r="E95" s="167"/>
      <c r="F95" s="167"/>
      <c r="G95" s="167"/>
      <c r="H95" s="167"/>
      <c r="I95" s="167"/>
      <c r="J95" s="167"/>
      <c r="K95" s="167"/>
      <c r="L95" s="167"/>
      <c r="M95" s="167"/>
      <c r="N95" s="167"/>
      <c r="O95" s="167"/>
      <c r="P95" s="167"/>
      <c r="Q95" s="12"/>
      <c r="T95" s="111">
        <f>R94/$T$59</f>
        <v>0.46074704034095765</v>
      </c>
      <c r="U95" t="s">
        <v>299</v>
      </c>
    </row>
    <row r="96" spans="2:22" outlineLevel="1" x14ac:dyDescent="0.2">
      <c r="B96" s="81" t="s">
        <v>519</v>
      </c>
      <c r="R96" s="12"/>
    </row>
    <row r="97" spans="2:23" outlineLevel="1" x14ac:dyDescent="0.2">
      <c r="B97" s="163" t="s">
        <v>520</v>
      </c>
      <c r="C97" s="10">
        <f>(SUM(C82:C82))*0.15</f>
        <v>112500</v>
      </c>
      <c r="D97" s="10"/>
      <c r="E97" s="67">
        <f>$C$97*0.75</f>
        <v>84375</v>
      </c>
      <c r="F97" s="67">
        <f>$C$97*0.25</f>
        <v>28125</v>
      </c>
      <c r="G97" s="67"/>
      <c r="H97" s="67"/>
      <c r="J97" s="67"/>
      <c r="K97" s="32"/>
      <c r="L97" s="32"/>
      <c r="M97" s="32"/>
      <c r="N97" s="32"/>
      <c r="O97" s="32"/>
      <c r="R97" s="12">
        <f t="shared" ref="R97:R104" si="57">SUM(E97:Q97)</f>
        <v>112500</v>
      </c>
      <c r="T97" s="11">
        <f>C97-R97</f>
        <v>0</v>
      </c>
    </row>
    <row r="98" spans="2:23" outlineLevel="1" x14ac:dyDescent="0.2">
      <c r="B98" s="163" t="s">
        <v>521</v>
      </c>
      <c r="C98" s="10">
        <v>500000</v>
      </c>
      <c r="D98" s="10"/>
      <c r="E98" s="67">
        <f>$C98</f>
        <v>500000</v>
      </c>
      <c r="F98" s="67">
        <f>$C98</f>
        <v>500000</v>
      </c>
      <c r="G98" s="67">
        <f>$C98</f>
        <v>500000</v>
      </c>
      <c r="H98" s="67">
        <f>$C98</f>
        <v>500000</v>
      </c>
      <c r="J98" s="67"/>
      <c r="K98" s="32"/>
      <c r="L98" s="32"/>
      <c r="M98" s="32"/>
      <c r="N98" s="32"/>
      <c r="O98" s="32"/>
      <c r="R98" s="12">
        <f>SUM(E98:Q98)</f>
        <v>2000000</v>
      </c>
      <c r="T98" s="11"/>
    </row>
    <row r="99" spans="2:23" outlineLevel="1" x14ac:dyDescent="0.2">
      <c r="B99" s="163" t="s">
        <v>522</v>
      </c>
      <c r="C99" s="10">
        <f>(SUM(C68:C81))*0.1</f>
        <v>712562.5</v>
      </c>
      <c r="D99" s="10"/>
      <c r="E99" s="67">
        <f>$C$99*0.55</f>
        <v>391909.37500000006</v>
      </c>
      <c r="F99" s="67">
        <f>$C$99*0.2</f>
        <v>142512.5</v>
      </c>
      <c r="G99" s="67">
        <f>$C$99*0.2</f>
        <v>142512.5</v>
      </c>
      <c r="H99" s="67">
        <f>$C$99*0.05</f>
        <v>35628.125</v>
      </c>
      <c r="J99" s="67"/>
      <c r="R99" s="12">
        <f t="shared" si="57"/>
        <v>712562.5</v>
      </c>
      <c r="T99" s="11">
        <f>C99-R99</f>
        <v>0</v>
      </c>
    </row>
    <row r="100" spans="2:23" outlineLevel="1" x14ac:dyDescent="0.2">
      <c r="B100" s="163" t="s">
        <v>523</v>
      </c>
      <c r="C100" s="80">
        <v>300000</v>
      </c>
      <c r="D100" s="80"/>
      <c r="E100" s="67">
        <f>$C$100</f>
        <v>300000</v>
      </c>
      <c r="F100" s="67"/>
      <c r="G100" s="32"/>
      <c r="H100" s="32"/>
      <c r="J100" s="32"/>
      <c r="K100" s="32"/>
      <c r="L100" s="32"/>
      <c r="M100" s="32"/>
      <c r="N100" s="32"/>
      <c r="O100" s="32"/>
      <c r="R100" s="12">
        <f t="shared" si="57"/>
        <v>300000</v>
      </c>
      <c r="T100" s="11">
        <f>C100-R100</f>
        <v>0</v>
      </c>
    </row>
    <row r="101" spans="2:23" outlineLevel="1" x14ac:dyDescent="0.2">
      <c r="B101" s="163" t="s">
        <v>331</v>
      </c>
      <c r="C101" s="10">
        <v>400000</v>
      </c>
      <c r="D101" s="10"/>
      <c r="E101" s="67">
        <f>C101*0.75</f>
        <v>300000</v>
      </c>
      <c r="F101" s="67">
        <f>C101*0.25</f>
        <v>100000</v>
      </c>
      <c r="G101" s="32"/>
      <c r="H101" s="32"/>
      <c r="J101" s="32"/>
      <c r="K101" s="32"/>
      <c r="L101" s="32"/>
      <c r="M101" s="32"/>
      <c r="N101" s="32"/>
      <c r="O101" s="32"/>
      <c r="R101" s="12">
        <f t="shared" si="57"/>
        <v>400000</v>
      </c>
      <c r="T101" s="11">
        <f>C101-R101</f>
        <v>0</v>
      </c>
    </row>
    <row r="102" spans="2:23" outlineLevel="1" x14ac:dyDescent="0.2">
      <c r="B102" s="163" t="s">
        <v>332</v>
      </c>
      <c r="C102" s="10">
        <v>10000</v>
      </c>
      <c r="D102" s="10"/>
      <c r="E102" s="61">
        <f t="shared" ref="E102:J102" si="58">$C$102</f>
        <v>10000</v>
      </c>
      <c r="F102" s="61">
        <f t="shared" si="58"/>
        <v>10000</v>
      </c>
      <c r="G102" s="61">
        <f t="shared" si="58"/>
        <v>10000</v>
      </c>
      <c r="H102" s="61">
        <f t="shared" si="58"/>
        <v>10000</v>
      </c>
      <c r="I102" s="61">
        <f t="shared" si="58"/>
        <v>10000</v>
      </c>
      <c r="J102" s="61">
        <f t="shared" si="58"/>
        <v>10000</v>
      </c>
      <c r="K102" s="61"/>
      <c r="L102" s="61"/>
      <c r="M102" s="12"/>
      <c r="N102" s="12"/>
      <c r="O102" s="12"/>
      <c r="P102" s="12"/>
      <c r="Q102" s="12"/>
      <c r="R102" s="12">
        <f t="shared" si="57"/>
        <v>60000</v>
      </c>
      <c r="T102" s="11"/>
    </row>
    <row r="103" spans="2:23" outlineLevel="1" x14ac:dyDescent="0.2">
      <c r="B103" s="168" t="s">
        <v>333</v>
      </c>
      <c r="C103" s="547">
        <v>0.05</v>
      </c>
      <c r="D103" s="547"/>
      <c r="E103" s="22">
        <f>SUM(E96:E102)*$C$103</f>
        <v>79314.21875</v>
      </c>
      <c r="F103" s="22">
        <f>SUM(F96:F102)*$C$103</f>
        <v>39031.875</v>
      </c>
      <c r="G103" s="22">
        <f>SUM(G96:G102)*$C$103</f>
        <v>32625.625</v>
      </c>
      <c r="H103" s="22">
        <f>SUM(H96:H102)*$C$103</f>
        <v>27281.40625</v>
      </c>
      <c r="I103" s="22"/>
      <c r="J103" s="22"/>
      <c r="K103" s="22"/>
      <c r="L103" s="22"/>
      <c r="M103" s="22"/>
      <c r="N103" s="22"/>
      <c r="O103" s="22"/>
      <c r="P103" s="22"/>
      <c r="Q103" s="22">
        <f>SUM(Q99:Q102)*$C$103</f>
        <v>0</v>
      </c>
      <c r="R103" s="21">
        <f t="shared" si="57"/>
        <v>178253.125</v>
      </c>
      <c r="T103" s="11"/>
    </row>
    <row r="104" spans="2:23" x14ac:dyDescent="0.2">
      <c r="B104" s="49" t="str">
        <f>B96</f>
        <v>SOFT COSTS PROFESSIONALS - FINAL ENTITLEMENTS &amp; SITE INFRA.</v>
      </c>
      <c r="C104" s="164"/>
      <c r="D104" s="164"/>
      <c r="E104" s="51">
        <f t="shared" ref="E104:Q104" si="59">SUM(E96:E103)</f>
        <v>1665598.59375</v>
      </c>
      <c r="F104" s="51">
        <f t="shared" si="59"/>
        <v>819669.375</v>
      </c>
      <c r="G104" s="51">
        <f t="shared" si="59"/>
        <v>685138.125</v>
      </c>
      <c r="H104" s="51">
        <f t="shared" si="59"/>
        <v>572909.53125</v>
      </c>
      <c r="I104" s="51">
        <f t="shared" si="59"/>
        <v>10000</v>
      </c>
      <c r="J104" s="51">
        <f t="shared" si="59"/>
        <v>10000</v>
      </c>
      <c r="K104" s="51">
        <f t="shared" si="59"/>
        <v>0</v>
      </c>
      <c r="L104" s="51">
        <f t="shared" si="59"/>
        <v>0</v>
      </c>
      <c r="M104" s="51">
        <f t="shared" si="59"/>
        <v>0</v>
      </c>
      <c r="N104" s="51">
        <f t="shared" si="59"/>
        <v>0</v>
      </c>
      <c r="O104" s="51">
        <f t="shared" si="59"/>
        <v>0</v>
      </c>
      <c r="P104" s="51">
        <f t="shared" si="59"/>
        <v>0</v>
      </c>
      <c r="Q104" s="51">
        <f t="shared" si="59"/>
        <v>0</v>
      </c>
      <c r="R104" s="52">
        <f t="shared" si="57"/>
        <v>3763315.625</v>
      </c>
      <c r="T104" s="70">
        <f>R104/$R$16</f>
        <v>83629.236111111109</v>
      </c>
      <c r="U104" s="134" t="s">
        <v>298</v>
      </c>
    </row>
    <row r="105" spans="2:23" outlineLevel="1" x14ac:dyDescent="0.2">
      <c r="B105" s="162"/>
      <c r="C105" s="19"/>
      <c r="D105" s="167"/>
      <c r="E105" s="167"/>
      <c r="F105" s="167"/>
      <c r="G105" s="167"/>
      <c r="H105" s="167"/>
      <c r="I105" s="167"/>
      <c r="J105" s="167"/>
      <c r="K105" s="167"/>
      <c r="L105" s="167"/>
      <c r="M105" s="167"/>
      <c r="N105" s="167"/>
      <c r="O105" s="167"/>
      <c r="P105" s="167"/>
      <c r="Q105" s="12"/>
      <c r="T105" s="111">
        <f>R104/$T$59</f>
        <v>1.0539858294836031E-2</v>
      </c>
      <c r="U105" t="s">
        <v>299</v>
      </c>
    </row>
    <row r="106" spans="2:23" outlineLevel="1" x14ac:dyDescent="0.2">
      <c r="B106" s="81" t="s">
        <v>524</v>
      </c>
      <c r="R106" s="12"/>
      <c r="W106" t="s">
        <v>525</v>
      </c>
    </row>
    <row r="107" spans="2:23" outlineLevel="1" x14ac:dyDescent="0.2">
      <c r="B107" s="163" t="s">
        <v>526</v>
      </c>
      <c r="C107" s="10">
        <v>500000</v>
      </c>
      <c r="D107" s="32"/>
      <c r="E107" s="32">
        <f>$C$107</f>
        <v>500000</v>
      </c>
      <c r="F107" s="32"/>
      <c r="G107" s="32"/>
      <c r="H107" s="32"/>
      <c r="I107" s="32"/>
      <c r="J107" s="32"/>
      <c r="K107" s="32"/>
      <c r="M107" s="32">
        <f t="shared" ref="M107:Q108" si="60">$C107*M87</f>
        <v>0</v>
      </c>
      <c r="N107" s="32">
        <f t="shared" si="60"/>
        <v>0</v>
      </c>
      <c r="O107" s="32">
        <f t="shared" si="60"/>
        <v>0</v>
      </c>
      <c r="P107" s="32">
        <f t="shared" si="60"/>
        <v>0</v>
      </c>
      <c r="Q107" s="32">
        <f t="shared" si="60"/>
        <v>0</v>
      </c>
      <c r="R107" s="12">
        <f>SUM(D107:Q107)</f>
        <v>500000</v>
      </c>
      <c r="T107" s="11">
        <f t="shared" ref="T107:T118" si="61">R107/$R$16</f>
        <v>11111.111111111111</v>
      </c>
      <c r="U107" s="134" t="s">
        <v>527</v>
      </c>
      <c r="V107" s="11">
        <f t="shared" ref="V107:V118" si="62">R107/4</f>
        <v>125000</v>
      </c>
      <c r="W107" s="134" t="s">
        <v>339</v>
      </c>
    </row>
    <row r="108" spans="2:23" outlineLevel="1" x14ac:dyDescent="0.2">
      <c r="B108" s="163" t="s">
        <v>338</v>
      </c>
      <c r="C108" s="65">
        <v>0.05</v>
      </c>
      <c r="D108" s="32"/>
      <c r="E108" s="32">
        <f t="shared" ref="E108:K108" si="63">$C108*E88</f>
        <v>18750</v>
      </c>
      <c r="F108" s="32">
        <f t="shared" si="63"/>
        <v>43750</v>
      </c>
      <c r="G108" s="32">
        <f t="shared" si="63"/>
        <v>68750</v>
      </c>
      <c r="H108" s="32">
        <f t="shared" si="63"/>
        <v>75000</v>
      </c>
      <c r="I108" s="32">
        <f t="shared" si="63"/>
        <v>18750</v>
      </c>
      <c r="J108" s="32">
        <f t="shared" si="63"/>
        <v>0</v>
      </c>
      <c r="K108" s="32">
        <f t="shared" si="63"/>
        <v>0</v>
      </c>
      <c r="M108" s="32">
        <f t="shared" si="60"/>
        <v>0</v>
      </c>
      <c r="N108" s="32">
        <f t="shared" si="60"/>
        <v>0</v>
      </c>
      <c r="O108" s="32">
        <f t="shared" si="60"/>
        <v>0</v>
      </c>
      <c r="P108" s="32">
        <f t="shared" si="60"/>
        <v>0</v>
      </c>
      <c r="Q108" s="32">
        <f t="shared" si="60"/>
        <v>0</v>
      </c>
      <c r="R108" s="12">
        <f>SUM(D108:Q108)</f>
        <v>225000</v>
      </c>
      <c r="T108" s="11">
        <f t="shared" si="61"/>
        <v>5000</v>
      </c>
      <c r="U108" s="134" t="s">
        <v>527</v>
      </c>
      <c r="V108" s="11">
        <f t="shared" si="62"/>
        <v>56250</v>
      </c>
      <c r="W108" s="134" t="s">
        <v>339</v>
      </c>
    </row>
    <row r="109" spans="2:23" outlineLevel="1" x14ac:dyDescent="0.2">
      <c r="B109" s="163" t="s">
        <v>340</v>
      </c>
      <c r="C109" s="65">
        <v>0.02</v>
      </c>
      <c r="D109" s="32"/>
      <c r="E109" s="32">
        <f t="shared" ref="E109:K109" si="64">$C109*E$89</f>
        <v>0</v>
      </c>
      <c r="F109" s="32">
        <f t="shared" si="64"/>
        <v>297500</v>
      </c>
      <c r="G109" s="32">
        <f t="shared" si="64"/>
        <v>552500</v>
      </c>
      <c r="H109" s="32">
        <f t="shared" si="64"/>
        <v>913750</v>
      </c>
      <c r="I109" s="32">
        <f t="shared" si="64"/>
        <v>935000</v>
      </c>
      <c r="J109" s="32">
        <f t="shared" si="64"/>
        <v>0</v>
      </c>
      <c r="K109" s="32">
        <f t="shared" si="64"/>
        <v>0</v>
      </c>
      <c r="M109" s="32">
        <f>$C109*M$89</f>
        <v>0</v>
      </c>
      <c r="N109" s="32">
        <f>$C109*N$89</f>
        <v>0</v>
      </c>
      <c r="O109" s="32">
        <f>$C109*O$89</f>
        <v>0</v>
      </c>
      <c r="P109" s="32">
        <f>$C109*P$89</f>
        <v>0</v>
      </c>
      <c r="Q109" s="32">
        <f>$C109*Q$89</f>
        <v>0</v>
      </c>
      <c r="R109" s="12">
        <f>SUM(D109:Q109)</f>
        <v>2698750</v>
      </c>
      <c r="T109" s="11">
        <f t="shared" si="61"/>
        <v>59972.222222222219</v>
      </c>
      <c r="U109" s="134" t="s">
        <v>527</v>
      </c>
      <c r="V109" s="11">
        <f t="shared" si="62"/>
        <v>674687.5</v>
      </c>
      <c r="W109" s="134" t="s">
        <v>339</v>
      </c>
    </row>
    <row r="110" spans="2:23" outlineLevel="1" x14ac:dyDescent="0.2">
      <c r="B110" s="163" t="s">
        <v>342</v>
      </c>
      <c r="C110" s="10">
        <v>10000</v>
      </c>
      <c r="D110" s="10"/>
      <c r="E110" s="32">
        <f t="shared" ref="E110:K110" si="65">E$16*$C110</f>
        <v>0</v>
      </c>
      <c r="F110" s="32">
        <f t="shared" si="65"/>
        <v>50000</v>
      </c>
      <c r="G110" s="32">
        <f t="shared" si="65"/>
        <v>100000</v>
      </c>
      <c r="H110" s="32">
        <f t="shared" si="65"/>
        <v>150000</v>
      </c>
      <c r="I110" s="32">
        <f t="shared" si="65"/>
        <v>150000</v>
      </c>
      <c r="J110" s="32">
        <f t="shared" si="65"/>
        <v>0</v>
      </c>
      <c r="K110" s="32">
        <f t="shared" si="65"/>
        <v>0</v>
      </c>
      <c r="L110" s="32"/>
      <c r="M110" s="32">
        <f>M$16*$C110</f>
        <v>0</v>
      </c>
      <c r="N110" s="32">
        <f>N$16*$C110</f>
        <v>0</v>
      </c>
      <c r="O110" s="32">
        <f>O$16*$C110</f>
        <v>0</v>
      </c>
      <c r="P110" s="32">
        <f>P$16*$C110</f>
        <v>0</v>
      </c>
      <c r="Q110" s="32">
        <f>Q$16*$C110</f>
        <v>0</v>
      </c>
      <c r="R110" s="12">
        <f>SUM(D110:Q110)</f>
        <v>450000</v>
      </c>
      <c r="T110" s="11">
        <f t="shared" si="61"/>
        <v>10000</v>
      </c>
      <c r="U110" s="134" t="s">
        <v>527</v>
      </c>
      <c r="V110" s="11">
        <f t="shared" si="62"/>
        <v>112500</v>
      </c>
      <c r="W110" s="134" t="s">
        <v>339</v>
      </c>
    </row>
    <row r="111" spans="2:23" outlineLevel="1" x14ac:dyDescent="0.2">
      <c r="B111" s="163" t="s">
        <v>343</v>
      </c>
      <c r="C111" s="65">
        <v>0.05</v>
      </c>
      <c r="D111" s="32"/>
      <c r="E111" s="32">
        <f t="shared" ref="E111:K111" si="66">$C111*F90</f>
        <v>0</v>
      </c>
      <c r="F111" s="32">
        <f t="shared" si="66"/>
        <v>37500</v>
      </c>
      <c r="G111" s="32">
        <f t="shared" si="66"/>
        <v>75000</v>
      </c>
      <c r="H111" s="32">
        <f t="shared" si="66"/>
        <v>112500</v>
      </c>
      <c r="I111" s="32">
        <f t="shared" si="66"/>
        <v>112500</v>
      </c>
      <c r="J111" s="32">
        <f t="shared" si="66"/>
        <v>0</v>
      </c>
      <c r="K111" s="32">
        <f t="shared" si="66"/>
        <v>0</v>
      </c>
      <c r="L111" s="32"/>
      <c r="M111" s="32">
        <f>$C111*M90</f>
        <v>0</v>
      </c>
      <c r="N111" s="32">
        <f>$C111*N90</f>
        <v>0</v>
      </c>
      <c r="O111" s="32">
        <f>$C111*O90</f>
        <v>0</v>
      </c>
      <c r="P111" s="32">
        <f>$C111*P90</f>
        <v>0</v>
      </c>
      <c r="Q111" s="32">
        <f>$C111*Q90</f>
        <v>0</v>
      </c>
      <c r="R111" s="12">
        <f>SUM(D111:Q111)</f>
        <v>337500</v>
      </c>
      <c r="T111" s="11">
        <f t="shared" si="61"/>
        <v>7500</v>
      </c>
      <c r="U111" s="134" t="s">
        <v>527</v>
      </c>
      <c r="V111" s="11">
        <f t="shared" si="62"/>
        <v>84375</v>
      </c>
      <c r="W111" s="134" t="s">
        <v>339</v>
      </c>
    </row>
    <row r="112" spans="2:23" outlineLevel="1" x14ac:dyDescent="0.2">
      <c r="B112" s="163" t="s">
        <v>344</v>
      </c>
      <c r="C112" s="10">
        <v>3500</v>
      </c>
      <c r="D112" s="32"/>
      <c r="E112" s="32">
        <f t="shared" ref="E112:K112" si="67">E$16*$C112</f>
        <v>0</v>
      </c>
      <c r="F112" s="32">
        <f t="shared" si="67"/>
        <v>17500</v>
      </c>
      <c r="G112" s="32">
        <f t="shared" si="67"/>
        <v>35000</v>
      </c>
      <c r="H112" s="32">
        <f t="shared" si="67"/>
        <v>52500</v>
      </c>
      <c r="I112" s="32">
        <f t="shared" si="67"/>
        <v>52500</v>
      </c>
      <c r="J112" s="32">
        <f t="shared" si="67"/>
        <v>0</v>
      </c>
      <c r="K112" s="32">
        <f t="shared" si="67"/>
        <v>0</v>
      </c>
      <c r="L112" s="32"/>
      <c r="M112" s="32">
        <f>M$16*$C112</f>
        <v>0</v>
      </c>
      <c r="N112" s="32">
        <f>N$16*$C112</f>
        <v>0</v>
      </c>
      <c r="O112" s="32">
        <f>O$16*$C112</f>
        <v>0</v>
      </c>
      <c r="P112" s="32">
        <f>P$16*$C112</f>
        <v>0</v>
      </c>
      <c r="Q112" s="32">
        <f>Q$16*$C112</f>
        <v>0</v>
      </c>
      <c r="R112" s="12">
        <f>SUM(D112:P112)</f>
        <v>157500</v>
      </c>
      <c r="T112" s="11">
        <f t="shared" si="61"/>
        <v>3500</v>
      </c>
      <c r="U112" s="134" t="s">
        <v>527</v>
      </c>
      <c r="V112" s="11">
        <f t="shared" si="62"/>
        <v>39375</v>
      </c>
      <c r="W112" s="134" t="s">
        <v>339</v>
      </c>
    </row>
    <row r="113" spans="2:26" outlineLevel="1" x14ac:dyDescent="0.2">
      <c r="B113" s="163" t="s">
        <v>345</v>
      </c>
      <c r="C113" s="64">
        <v>2.25</v>
      </c>
      <c r="D113" s="10"/>
      <c r="E113" s="12">
        <f t="shared" ref="E113:K113" si="68">((SUMPRODUCT($D$6:$D$15,E6:E15))*$C113)</f>
        <v>0</v>
      </c>
      <c r="F113" s="12">
        <f t="shared" si="68"/>
        <v>39375</v>
      </c>
      <c r="G113" s="12">
        <f t="shared" si="68"/>
        <v>73125</v>
      </c>
      <c r="H113" s="12">
        <f t="shared" si="68"/>
        <v>120937.5</v>
      </c>
      <c r="I113" s="12">
        <f t="shared" si="68"/>
        <v>123750</v>
      </c>
      <c r="J113" s="12">
        <f t="shared" si="68"/>
        <v>0</v>
      </c>
      <c r="K113" s="12">
        <f t="shared" si="68"/>
        <v>0</v>
      </c>
      <c r="L113" s="12"/>
      <c r="M113" s="12">
        <f>((SUMPRODUCT($D$6:$D$15,M6:M15))*$C113)</f>
        <v>0</v>
      </c>
      <c r="N113" s="12">
        <f>((SUMPRODUCT($D$6:$D$15,N6:N15))*$C113)</f>
        <v>0</v>
      </c>
      <c r="O113" s="12">
        <f>((SUMPRODUCT($D$6:$D$15,O6:O15))*$C113)</f>
        <v>0</v>
      </c>
      <c r="P113" s="12">
        <f>((SUMPRODUCT($D$6:$D$15,P6:P15))*$C113)</f>
        <v>0</v>
      </c>
      <c r="Q113" s="12">
        <f>((SUMPRODUCT($D$6:$D$15,Q6:Q15))*$C113)</f>
        <v>0</v>
      </c>
      <c r="R113" s="12">
        <f>SUM(D113:P113)</f>
        <v>357187.5</v>
      </c>
      <c r="T113" s="11">
        <f t="shared" si="61"/>
        <v>7937.5</v>
      </c>
      <c r="U113" s="134" t="s">
        <v>527</v>
      </c>
      <c r="V113" s="11">
        <f t="shared" si="62"/>
        <v>89296.875</v>
      </c>
      <c r="W113" s="134" t="s">
        <v>339</v>
      </c>
      <c r="X113" s="226">
        <f>R113/C75</f>
        <v>1.8676470588235294</v>
      </c>
      <c r="Y113" s="226"/>
      <c r="Z113" s="226"/>
    </row>
    <row r="114" spans="2:26" outlineLevel="1" x14ac:dyDescent="0.2">
      <c r="B114" s="163" t="s">
        <v>346</v>
      </c>
      <c r="C114" s="69">
        <v>3.5000000000000001E-3</v>
      </c>
      <c r="D114" s="10"/>
      <c r="E114" s="32">
        <f t="shared" ref="E114:K116" si="69">$C114*E$89</f>
        <v>0</v>
      </c>
      <c r="F114" s="32">
        <f t="shared" si="69"/>
        <v>52062.5</v>
      </c>
      <c r="G114" s="32">
        <f t="shared" si="69"/>
        <v>96687.5</v>
      </c>
      <c r="H114" s="32">
        <f t="shared" si="69"/>
        <v>159906.25</v>
      </c>
      <c r="I114" s="32">
        <f t="shared" si="69"/>
        <v>163625</v>
      </c>
      <c r="J114" s="32">
        <f t="shared" si="69"/>
        <v>0</v>
      </c>
      <c r="K114" s="32">
        <f t="shared" si="69"/>
        <v>0</v>
      </c>
      <c r="M114" s="32">
        <f t="shared" ref="M114:Q116" si="70">$C114*M$89</f>
        <v>0</v>
      </c>
      <c r="N114" s="32">
        <f t="shared" si="70"/>
        <v>0</v>
      </c>
      <c r="O114" s="32">
        <f t="shared" si="70"/>
        <v>0</v>
      </c>
      <c r="P114" s="32">
        <f t="shared" si="70"/>
        <v>0</v>
      </c>
      <c r="Q114" s="32">
        <f t="shared" si="70"/>
        <v>0</v>
      </c>
      <c r="R114" s="12">
        <f>SUM(D114:P114)</f>
        <v>472281.25</v>
      </c>
      <c r="T114" s="11">
        <f t="shared" si="61"/>
        <v>10495.138888888889</v>
      </c>
      <c r="U114" s="134" t="s">
        <v>527</v>
      </c>
      <c r="V114" s="11">
        <f t="shared" si="62"/>
        <v>118070.3125</v>
      </c>
      <c r="W114" s="134" t="s">
        <v>339</v>
      </c>
    </row>
    <row r="115" spans="2:26" outlineLevel="1" x14ac:dyDescent="0.2">
      <c r="B115" s="163" t="s">
        <v>347</v>
      </c>
      <c r="C115" s="69">
        <v>2.5000000000000001E-3</v>
      </c>
      <c r="D115" s="10"/>
      <c r="E115" s="32">
        <f t="shared" si="69"/>
        <v>0</v>
      </c>
      <c r="F115" s="32">
        <f t="shared" si="69"/>
        <v>37187.5</v>
      </c>
      <c r="G115" s="32">
        <f t="shared" si="69"/>
        <v>69062.5</v>
      </c>
      <c r="H115" s="32">
        <f t="shared" si="69"/>
        <v>114218.75</v>
      </c>
      <c r="I115" s="32">
        <f t="shared" si="69"/>
        <v>116875</v>
      </c>
      <c r="J115" s="32">
        <f t="shared" si="69"/>
        <v>0</v>
      </c>
      <c r="K115" s="32">
        <f t="shared" si="69"/>
        <v>0</v>
      </c>
      <c r="M115" s="32">
        <f t="shared" si="70"/>
        <v>0</v>
      </c>
      <c r="N115" s="32">
        <f t="shared" si="70"/>
        <v>0</v>
      </c>
      <c r="O115" s="32">
        <f t="shared" si="70"/>
        <v>0</v>
      </c>
      <c r="P115" s="32">
        <f t="shared" si="70"/>
        <v>0</v>
      </c>
      <c r="Q115" s="32">
        <f t="shared" si="70"/>
        <v>0</v>
      </c>
      <c r="R115" s="12">
        <f>SUM(D115:P115)</f>
        <v>337343.75</v>
      </c>
      <c r="T115" s="11">
        <f t="shared" si="61"/>
        <v>7496.5277777777774</v>
      </c>
      <c r="U115" s="134" t="s">
        <v>527</v>
      </c>
      <c r="V115" s="11">
        <f t="shared" si="62"/>
        <v>84335.9375</v>
      </c>
      <c r="W115" s="134" t="s">
        <v>339</v>
      </c>
    </row>
    <row r="116" spans="2:26" outlineLevel="1" x14ac:dyDescent="0.2">
      <c r="B116" s="163" t="s">
        <v>348</v>
      </c>
      <c r="C116" s="69">
        <v>2.5000000000000001E-3</v>
      </c>
      <c r="D116" s="10"/>
      <c r="E116" s="32">
        <f t="shared" si="69"/>
        <v>0</v>
      </c>
      <c r="F116" s="32">
        <f t="shared" si="69"/>
        <v>37187.5</v>
      </c>
      <c r="G116" s="32">
        <f t="shared" si="69"/>
        <v>69062.5</v>
      </c>
      <c r="H116" s="32">
        <f t="shared" si="69"/>
        <v>114218.75</v>
      </c>
      <c r="I116" s="32">
        <f t="shared" si="69"/>
        <v>116875</v>
      </c>
      <c r="J116" s="32">
        <f t="shared" si="69"/>
        <v>0</v>
      </c>
      <c r="K116" s="32">
        <f t="shared" si="69"/>
        <v>0</v>
      </c>
      <c r="M116" s="32">
        <f t="shared" si="70"/>
        <v>0</v>
      </c>
      <c r="N116" s="32">
        <f t="shared" si="70"/>
        <v>0</v>
      </c>
      <c r="O116" s="32">
        <f t="shared" si="70"/>
        <v>0</v>
      </c>
      <c r="P116" s="32">
        <f t="shared" si="70"/>
        <v>0</v>
      </c>
      <c r="Q116" s="32">
        <f t="shared" si="70"/>
        <v>0</v>
      </c>
      <c r="R116" s="12">
        <f>SUM(D116:P116)</f>
        <v>337343.75</v>
      </c>
      <c r="T116" s="11">
        <f t="shared" si="61"/>
        <v>7496.5277777777774</v>
      </c>
      <c r="U116" s="134" t="s">
        <v>527</v>
      </c>
      <c r="V116" s="11">
        <f t="shared" si="62"/>
        <v>84335.9375</v>
      </c>
      <c r="W116" s="134" t="s">
        <v>339</v>
      </c>
    </row>
    <row r="117" spans="2:26" outlineLevel="1" x14ac:dyDescent="0.2">
      <c r="B117" s="168" t="s">
        <v>333</v>
      </c>
      <c r="C117" s="54">
        <v>0.05</v>
      </c>
      <c r="D117" s="22"/>
      <c r="E117" s="22">
        <f t="shared" ref="E117:K117" si="71">SUM(E108:E116)*$C117</f>
        <v>937.5</v>
      </c>
      <c r="F117" s="22">
        <f t="shared" si="71"/>
        <v>30603.125</v>
      </c>
      <c r="G117" s="22">
        <f t="shared" si="71"/>
        <v>56959.375</v>
      </c>
      <c r="H117" s="22">
        <f t="shared" si="71"/>
        <v>90651.5625</v>
      </c>
      <c r="I117" s="22">
        <f t="shared" si="71"/>
        <v>89493.75</v>
      </c>
      <c r="J117" s="22">
        <f t="shared" si="71"/>
        <v>0</v>
      </c>
      <c r="K117" s="22">
        <f t="shared" si="71"/>
        <v>0</v>
      </c>
      <c r="M117" s="22">
        <f>SUM(M108:M116)*$C117</f>
        <v>0</v>
      </c>
      <c r="N117" s="22">
        <f>SUM(N108:N116)*$C117</f>
        <v>0</v>
      </c>
      <c r="O117" s="22">
        <f>SUM(O108:O116)*$C117</f>
        <v>0</v>
      </c>
      <c r="P117" s="22">
        <f>SUM(P108:P116)*$C117</f>
        <v>0</v>
      </c>
      <c r="Q117" s="22">
        <f>SUM(Q108:Q116)*$C117</f>
        <v>0</v>
      </c>
      <c r="R117" s="21">
        <f>SUM(D117:Q117)</f>
        <v>268645.3125</v>
      </c>
      <c r="T117" s="11">
        <f t="shared" si="61"/>
        <v>5969.895833333333</v>
      </c>
      <c r="U117" s="134" t="s">
        <v>527</v>
      </c>
      <c r="V117" s="11">
        <f t="shared" si="62"/>
        <v>67161.328125</v>
      </c>
      <c r="W117" s="134" t="s">
        <v>339</v>
      </c>
    </row>
    <row r="118" spans="2:26" x14ac:dyDescent="0.2">
      <c r="B118" s="49" t="str">
        <f>B106</f>
        <v>SOFT COSTS PROFESSIONALS - HOMES</v>
      </c>
      <c r="C118" s="164"/>
      <c r="D118" s="51"/>
      <c r="E118" s="51">
        <f t="shared" ref="E118:P118" si="72">SUM(E106:E117)</f>
        <v>519687.5</v>
      </c>
      <c r="F118" s="51">
        <f t="shared" si="72"/>
        <v>642665.625</v>
      </c>
      <c r="G118" s="51">
        <f t="shared" si="72"/>
        <v>1196146.875</v>
      </c>
      <c r="H118" s="51">
        <f t="shared" si="72"/>
        <v>1903682.8125</v>
      </c>
      <c r="I118" s="51">
        <f t="shared" si="72"/>
        <v>1879368.75</v>
      </c>
      <c r="J118" s="51">
        <f t="shared" si="72"/>
        <v>0</v>
      </c>
      <c r="K118" s="51">
        <f t="shared" si="72"/>
        <v>0</v>
      </c>
      <c r="L118" s="51">
        <f t="shared" si="72"/>
        <v>0</v>
      </c>
      <c r="M118" s="51">
        <f t="shared" si="72"/>
        <v>0</v>
      </c>
      <c r="N118" s="51">
        <f t="shared" si="72"/>
        <v>0</v>
      </c>
      <c r="O118" s="51">
        <f t="shared" si="72"/>
        <v>0</v>
      </c>
      <c r="P118" s="51">
        <f t="shared" si="72"/>
        <v>0</v>
      </c>
      <c r="Q118" s="51"/>
      <c r="R118" s="107">
        <f>SUM(D118:Q118)</f>
        <v>6141551.5625</v>
      </c>
      <c r="T118" s="11">
        <f t="shared" si="61"/>
        <v>136478.92361111112</v>
      </c>
      <c r="U118" s="134" t="s">
        <v>527</v>
      </c>
      <c r="V118" s="11">
        <f t="shared" si="62"/>
        <v>1535387.890625</v>
      </c>
      <c r="W118" s="134" t="s">
        <v>339</v>
      </c>
    </row>
    <row r="119" spans="2:26" outlineLevel="1" x14ac:dyDescent="0.2">
      <c r="T119" s="111">
        <f>R118/$T$59</f>
        <v>1.7200545909347907E-2</v>
      </c>
      <c r="U119" t="s">
        <v>299</v>
      </c>
    </row>
    <row r="120" spans="2:26" outlineLevel="1" x14ac:dyDescent="0.2">
      <c r="B120" s="81" t="s">
        <v>353</v>
      </c>
    </row>
    <row r="121" spans="2:26" outlineLevel="1" x14ac:dyDescent="0.2">
      <c r="B121" s="163" t="s">
        <v>47</v>
      </c>
      <c r="C121" s="43">
        <v>4.4999999999999998E-2</v>
      </c>
      <c r="D121" s="43"/>
      <c r="E121" s="11">
        <f>$C$121*(E56+E57)</f>
        <v>0</v>
      </c>
      <c r="F121" s="11">
        <f t="shared" ref="F121:K121" si="73">$C$121*(F56+F57)</f>
        <v>250818.75</v>
      </c>
      <c r="G121" s="11">
        <f t="shared" si="73"/>
        <v>1732834.6875</v>
      </c>
      <c r="H121" s="11">
        <f t="shared" si="73"/>
        <v>3384087.1875000005</v>
      </c>
      <c r="I121" s="11">
        <f t="shared" si="73"/>
        <v>5567883.7500000009</v>
      </c>
      <c r="J121" s="11">
        <f t="shared" si="73"/>
        <v>5131878.4687500009</v>
      </c>
      <c r="K121" s="11">
        <f t="shared" si="73"/>
        <v>0</v>
      </c>
      <c r="L121" s="11"/>
      <c r="M121" s="11"/>
      <c r="N121" s="11"/>
      <c r="O121" s="11"/>
      <c r="P121" s="11"/>
      <c r="Q121" s="11"/>
      <c r="R121" s="12">
        <f>SUM(E121:Q121)</f>
        <v>16067502.84375</v>
      </c>
    </row>
    <row r="122" spans="2:26" outlineLevel="1" x14ac:dyDescent="0.2">
      <c r="B122" s="163" t="s">
        <v>355</v>
      </c>
      <c r="C122" s="10">
        <v>75000</v>
      </c>
      <c r="D122" s="88" t="s">
        <v>356</v>
      </c>
      <c r="E122" s="11">
        <f>$C$122*2</f>
        <v>150000</v>
      </c>
      <c r="F122" s="11">
        <f>$C$122*3</f>
        <v>225000</v>
      </c>
      <c r="G122" s="11">
        <f>$C$122*2</f>
        <v>150000</v>
      </c>
      <c r="H122" s="11">
        <f>$C$122</f>
        <v>75000</v>
      </c>
      <c r="I122" s="11">
        <f>$C$122</f>
        <v>75000</v>
      </c>
      <c r="J122" s="11">
        <f>$C$122</f>
        <v>75000</v>
      </c>
      <c r="K122" s="11"/>
      <c r="L122" s="11"/>
      <c r="M122" s="11"/>
      <c r="N122" s="11"/>
      <c r="O122" s="11"/>
      <c r="P122" s="11"/>
      <c r="Q122" s="11"/>
      <c r="R122" s="12">
        <f>SUM(E122:Q122)</f>
        <v>750000</v>
      </c>
    </row>
    <row r="123" spans="2:26" hidden="1" x14ac:dyDescent="0.2">
      <c r="B123" s="168" t="s">
        <v>357</v>
      </c>
      <c r="C123" s="222"/>
      <c r="D123" s="222"/>
      <c r="E123" s="222"/>
      <c r="F123" s="222"/>
      <c r="G123" s="222"/>
      <c r="H123" s="222"/>
      <c r="I123" s="222"/>
      <c r="J123" s="21"/>
      <c r="K123" s="21"/>
      <c r="L123" s="222"/>
      <c r="M123" s="222"/>
      <c r="N123" s="22">
        <f>J123/-5</f>
        <v>0</v>
      </c>
      <c r="O123" s="22"/>
      <c r="P123" s="222"/>
      <c r="Q123" s="222"/>
      <c r="R123" s="21">
        <f>SUM(E123:P123)</f>
        <v>0</v>
      </c>
      <c r="S123" s="11"/>
    </row>
    <row r="124" spans="2:26" x14ac:dyDescent="0.2">
      <c r="B124" s="49" t="s">
        <v>353</v>
      </c>
      <c r="C124" s="164"/>
      <c r="D124" s="164"/>
      <c r="E124" s="52">
        <f t="shared" ref="E124:Q124" si="74">SUM(E121:E123)</f>
        <v>150000</v>
      </c>
      <c r="F124" s="52">
        <f t="shared" si="74"/>
        <v>475818.75</v>
      </c>
      <c r="G124" s="52">
        <f t="shared" si="74"/>
        <v>1882834.6875</v>
      </c>
      <c r="H124" s="52">
        <f t="shared" si="74"/>
        <v>3459087.1875000005</v>
      </c>
      <c r="I124" s="52">
        <f t="shared" si="74"/>
        <v>5642883.7500000009</v>
      </c>
      <c r="J124" s="52">
        <f t="shared" si="74"/>
        <v>5206878.4687500009</v>
      </c>
      <c r="K124" s="52">
        <f t="shared" si="74"/>
        <v>0</v>
      </c>
      <c r="L124" s="52">
        <f t="shared" si="74"/>
        <v>0</v>
      </c>
      <c r="M124" s="52">
        <f t="shared" si="74"/>
        <v>0</v>
      </c>
      <c r="N124" s="52">
        <f t="shared" si="74"/>
        <v>0</v>
      </c>
      <c r="O124" s="52">
        <f t="shared" si="74"/>
        <v>0</v>
      </c>
      <c r="P124" s="52">
        <f t="shared" si="74"/>
        <v>0</v>
      </c>
      <c r="Q124" s="52">
        <f t="shared" si="74"/>
        <v>0</v>
      </c>
      <c r="R124" s="52">
        <f>SUM(E124:Q124)</f>
        <v>16817502.84375</v>
      </c>
      <c r="T124" s="111">
        <f>R124/$T$59</f>
        <v>4.7100513087080492E-2</v>
      </c>
      <c r="U124" t="s">
        <v>299</v>
      </c>
    </row>
    <row r="125" spans="2:26" outlineLevel="1" x14ac:dyDescent="0.2"/>
    <row r="126" spans="2:26" outlineLevel="1" x14ac:dyDescent="0.2">
      <c r="B126" s="81" t="s">
        <v>358</v>
      </c>
    </row>
    <row r="127" spans="2:26" outlineLevel="1" x14ac:dyDescent="0.2">
      <c r="B127" s="163" t="s">
        <v>359</v>
      </c>
      <c r="C127" s="68">
        <f>Assumptions!C20</f>
        <v>256.41025641025641</v>
      </c>
      <c r="D127" s="68" t="s">
        <v>360</v>
      </c>
      <c r="E127" s="12">
        <f>$C$127*($C$30-SUM(D30:E30))</f>
        <v>11538.461538461539</v>
      </c>
      <c r="F127" s="12">
        <f>$C$127*($C$30-SUM(E30:F30))</f>
        <v>11538.461538461539</v>
      </c>
      <c r="G127" s="12">
        <f>$C$127*($C$30-SUM(F30:G30))</f>
        <v>10256.410256410256</v>
      </c>
      <c r="H127" s="12">
        <f>$C$127*($C$30-SUM(F30:H30))</f>
        <v>7692.3076923076924</v>
      </c>
      <c r="I127" s="12">
        <f>$C$127*($C$30-SUM(F30:I30))</f>
        <v>3846.1538461538462</v>
      </c>
      <c r="J127" s="12">
        <f>$C$127*($C$30-SUM(F30:J30))</f>
        <v>0</v>
      </c>
      <c r="K127" s="12">
        <f>$C$127*($C$30-SUM(G30:K30))</f>
        <v>0</v>
      </c>
      <c r="L127" s="12"/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f>SUM(E127:Q127)</f>
        <v>44871.794871794875</v>
      </c>
    </row>
    <row r="128" spans="2:26" outlineLevel="1" x14ac:dyDescent="0.2">
      <c r="B128" s="168" t="s">
        <v>528</v>
      </c>
      <c r="C128" s="58">
        <v>5.4999999999999997E-3</v>
      </c>
      <c r="D128" s="58"/>
      <c r="E128" s="21">
        <f t="shared" ref="E128:L128" si="75">$C$128*(E85+E94)</f>
        <v>16373.098958333336</v>
      </c>
      <c r="F128" s="21">
        <f t="shared" si="75"/>
        <v>111531.11263020831</v>
      </c>
      <c r="G128" s="21">
        <f t="shared" si="75"/>
        <v>194241.17646484374</v>
      </c>
      <c r="H128" s="21">
        <f t="shared" si="75"/>
        <v>309068.91015787754</v>
      </c>
      <c r="I128" s="21">
        <f t="shared" si="75"/>
        <v>305493.69791015622</v>
      </c>
      <c r="J128" s="21">
        <f t="shared" si="75"/>
        <v>15949.789055664061</v>
      </c>
      <c r="K128" s="21">
        <f t="shared" si="75"/>
        <v>0</v>
      </c>
      <c r="L128" s="21">
        <f t="shared" si="75"/>
        <v>0</v>
      </c>
      <c r="M128" s="21">
        <f>$C$128*M85</f>
        <v>0</v>
      </c>
      <c r="N128" s="21">
        <f>$C$128*N85</f>
        <v>0</v>
      </c>
      <c r="O128" s="21">
        <f>$C$128*O85</f>
        <v>0</v>
      </c>
      <c r="P128" s="21">
        <f>$C$128*P85</f>
        <v>0</v>
      </c>
      <c r="Q128" s="21">
        <f>$C$128*Q85</f>
        <v>0</v>
      </c>
      <c r="R128" s="21">
        <f>SUM(E128:Q128)</f>
        <v>952657.78517708334</v>
      </c>
    </row>
    <row r="129" spans="2:27" x14ac:dyDescent="0.2">
      <c r="B129" s="49" t="s">
        <v>358</v>
      </c>
      <c r="C129" s="164"/>
      <c r="D129" s="164"/>
      <c r="E129" s="52">
        <f t="shared" ref="E129:Q129" si="76">SUM(E127:E128)</f>
        <v>27911.560496794875</v>
      </c>
      <c r="F129" s="52">
        <f t="shared" si="76"/>
        <v>123069.57416866985</v>
      </c>
      <c r="G129" s="52">
        <f t="shared" si="76"/>
        <v>204497.58672125399</v>
      </c>
      <c r="H129" s="52">
        <f t="shared" si="76"/>
        <v>316761.21785018523</v>
      </c>
      <c r="I129" s="52">
        <f t="shared" si="76"/>
        <v>309339.85175631009</v>
      </c>
      <c r="J129" s="52">
        <f t="shared" si="76"/>
        <v>15949.789055664061</v>
      </c>
      <c r="K129" s="52">
        <f t="shared" si="76"/>
        <v>0</v>
      </c>
      <c r="L129" s="52">
        <f t="shared" si="76"/>
        <v>0</v>
      </c>
      <c r="M129" s="52">
        <f t="shared" si="76"/>
        <v>0</v>
      </c>
      <c r="N129" s="52">
        <f t="shared" si="76"/>
        <v>0</v>
      </c>
      <c r="O129" s="52">
        <f t="shared" si="76"/>
        <v>0</v>
      </c>
      <c r="P129" s="52">
        <f t="shared" si="76"/>
        <v>0</v>
      </c>
      <c r="Q129" s="52">
        <f t="shared" si="76"/>
        <v>0</v>
      </c>
      <c r="R129" s="52">
        <f>SUM(E129:Q129)</f>
        <v>997529.5800488781</v>
      </c>
      <c r="T129" s="111">
        <f>R129/$T$59</f>
        <v>2.7937652501901092E-3</v>
      </c>
      <c r="U129" t="s">
        <v>299</v>
      </c>
    </row>
    <row r="130" spans="2:27" outlineLevel="1" x14ac:dyDescent="0.2"/>
    <row r="131" spans="2:27" outlineLevel="1" x14ac:dyDescent="0.2">
      <c r="B131" s="81" t="s">
        <v>363</v>
      </c>
    </row>
    <row r="132" spans="2:27" outlineLevel="1" x14ac:dyDescent="0.2">
      <c r="B132" s="163" t="s">
        <v>365</v>
      </c>
      <c r="C132" s="68">
        <f>(((10*250)+(30*175))*1.4)+5000</f>
        <v>15850</v>
      </c>
      <c r="D132" s="68"/>
      <c r="E132" s="47">
        <f>$C$132</f>
        <v>15850</v>
      </c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>
        <f>SUM(F132:Q132)</f>
        <v>0</v>
      </c>
    </row>
    <row r="133" spans="2:27" outlineLevel="1" x14ac:dyDescent="0.2">
      <c r="B133" s="163" t="s">
        <v>366</v>
      </c>
      <c r="C133" s="68">
        <f>0.015*T89</f>
        <v>44979.166666666664</v>
      </c>
      <c r="D133" s="68"/>
      <c r="E133" s="47">
        <f t="shared" ref="E133:Q133" si="77">$C133*E16</f>
        <v>0</v>
      </c>
      <c r="F133" s="47">
        <f t="shared" si="77"/>
        <v>224895.83333333331</v>
      </c>
      <c r="G133" s="47">
        <f t="shared" si="77"/>
        <v>449791.66666666663</v>
      </c>
      <c r="H133" s="47">
        <f t="shared" si="77"/>
        <v>674687.5</v>
      </c>
      <c r="I133" s="47">
        <f t="shared" si="77"/>
        <v>674687.5</v>
      </c>
      <c r="J133" s="47">
        <f t="shared" si="77"/>
        <v>0</v>
      </c>
      <c r="K133" s="47">
        <f t="shared" si="77"/>
        <v>0</v>
      </c>
      <c r="L133" s="47">
        <f t="shared" si="77"/>
        <v>0</v>
      </c>
      <c r="M133" s="47">
        <f t="shared" si="77"/>
        <v>0</v>
      </c>
      <c r="N133" s="47">
        <f t="shared" si="77"/>
        <v>0</v>
      </c>
      <c r="O133" s="47">
        <f t="shared" si="77"/>
        <v>0</v>
      </c>
      <c r="P133" s="47">
        <f t="shared" si="77"/>
        <v>0</v>
      </c>
      <c r="Q133" s="47">
        <f t="shared" si="77"/>
        <v>0</v>
      </c>
      <c r="R133" s="47">
        <f>SUM(E133:Q133)</f>
        <v>2024062.5</v>
      </c>
    </row>
    <row r="134" spans="2:27" outlineLevel="1" x14ac:dyDescent="0.2">
      <c r="B134" s="168" t="s">
        <v>367</v>
      </c>
      <c r="C134" s="27">
        <v>25000</v>
      </c>
      <c r="D134" s="27"/>
      <c r="E134" s="21">
        <f>$C$134</f>
        <v>25000</v>
      </c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>
        <f>SUM(E134:Q134)</f>
        <v>25000</v>
      </c>
    </row>
    <row r="135" spans="2:27" x14ac:dyDescent="0.2">
      <c r="B135" s="49" t="s">
        <v>363</v>
      </c>
      <c r="C135" s="57"/>
      <c r="D135" s="57"/>
      <c r="E135" s="52">
        <f t="shared" ref="E135:Q135" si="78">SUM(E132:E134)</f>
        <v>40850</v>
      </c>
      <c r="F135" s="52">
        <f t="shared" si="78"/>
        <v>224895.83333333331</v>
      </c>
      <c r="G135" s="52">
        <f t="shared" si="78"/>
        <v>449791.66666666663</v>
      </c>
      <c r="H135" s="52">
        <f t="shared" si="78"/>
        <v>674687.5</v>
      </c>
      <c r="I135" s="52">
        <f t="shared" si="78"/>
        <v>674687.5</v>
      </c>
      <c r="J135" s="52">
        <f t="shared" si="78"/>
        <v>0</v>
      </c>
      <c r="K135" s="52">
        <f t="shared" si="78"/>
        <v>0</v>
      </c>
      <c r="L135" s="52">
        <f t="shared" si="78"/>
        <v>0</v>
      </c>
      <c r="M135" s="52">
        <f t="shared" si="78"/>
        <v>0</v>
      </c>
      <c r="N135" s="52">
        <f t="shared" si="78"/>
        <v>0</v>
      </c>
      <c r="O135" s="52">
        <f t="shared" si="78"/>
        <v>0</v>
      </c>
      <c r="P135" s="52">
        <f t="shared" si="78"/>
        <v>0</v>
      </c>
      <c r="Q135" s="52">
        <f t="shared" si="78"/>
        <v>0</v>
      </c>
      <c r="R135" s="52">
        <f>SUM(E135:Q135)</f>
        <v>2064912.5</v>
      </c>
      <c r="T135" s="111">
        <f>R135/$T$59</f>
        <v>5.7831676399014787E-3</v>
      </c>
      <c r="U135" t="s">
        <v>299</v>
      </c>
    </row>
    <row r="136" spans="2:27" outlineLevel="1" x14ac:dyDescent="0.2"/>
    <row r="137" spans="2:27" outlineLevel="1" x14ac:dyDescent="0.2">
      <c r="B137" s="81" t="s">
        <v>370</v>
      </c>
      <c r="E137" s="11"/>
      <c r="F137" s="11"/>
      <c r="G137" s="11"/>
      <c r="H137" s="11"/>
      <c r="I137" s="11"/>
      <c r="J137" s="11"/>
      <c r="K137" s="11"/>
      <c r="L137" s="11"/>
    </row>
    <row r="138" spans="2:27" outlineLevel="1" x14ac:dyDescent="0.2">
      <c r="B138" s="163" t="s">
        <v>529</v>
      </c>
      <c r="C138" s="79">
        <v>3.8800000000000001E-2</v>
      </c>
      <c r="D138" s="79"/>
      <c r="E138" s="11">
        <v>1500000</v>
      </c>
      <c r="F138" s="11">
        <v>1500000</v>
      </c>
      <c r="G138" s="11">
        <v>1500000</v>
      </c>
      <c r="H138" s="11">
        <v>1500000</v>
      </c>
      <c r="I138" s="11">
        <v>1500000</v>
      </c>
      <c r="J138" s="11">
        <v>1500000</v>
      </c>
      <c r="K138" s="11"/>
      <c r="L138" s="11"/>
      <c r="M138" s="11"/>
      <c r="N138" s="11"/>
      <c r="O138" s="11"/>
      <c r="P138" s="11"/>
      <c r="Q138" s="11"/>
      <c r="R138" s="12">
        <f>SUM(E138:Q138)</f>
        <v>9000000</v>
      </c>
      <c r="T138" s="545">
        <f>(R65+R85+R94+R104+R118+R124+R129+R135)</f>
        <v>221973068.50713223</v>
      </c>
      <c r="U138" s="545">
        <f>R138</f>
        <v>9000000</v>
      </c>
      <c r="V138" s="111">
        <f>U138/T138</f>
        <v>4.0545459233090796E-2</v>
      </c>
    </row>
    <row r="139" spans="2:27" outlineLevel="1" x14ac:dyDescent="0.2">
      <c r="B139" s="163"/>
      <c r="C139" s="62"/>
      <c r="D139" s="53"/>
      <c r="E139" s="11"/>
      <c r="F139" s="11"/>
      <c r="G139" s="11"/>
      <c r="H139" s="11"/>
      <c r="I139" s="11"/>
      <c r="J139" s="11"/>
      <c r="K139" s="11"/>
      <c r="L139" s="11"/>
      <c r="M139" s="12"/>
      <c r="N139" s="12"/>
      <c r="O139" s="61"/>
      <c r="P139" s="12"/>
      <c r="Q139" s="12"/>
      <c r="R139" s="12"/>
    </row>
    <row r="140" spans="2:27" hidden="1" outlineLevel="1" x14ac:dyDescent="0.2">
      <c r="B140" s="163" t="s">
        <v>373</v>
      </c>
      <c r="C140" s="544">
        <v>0</v>
      </c>
      <c r="D140" s="98"/>
      <c r="E140" s="16">
        <f t="shared" ref="E140:J140" si="79">$C$140*180000</f>
        <v>0</v>
      </c>
      <c r="F140" s="16">
        <f t="shared" si="79"/>
        <v>0</v>
      </c>
      <c r="G140" s="16">
        <f t="shared" si="79"/>
        <v>0</v>
      </c>
      <c r="H140" s="16">
        <f t="shared" si="79"/>
        <v>0</v>
      </c>
      <c r="I140" s="16">
        <f t="shared" si="79"/>
        <v>0</v>
      </c>
      <c r="J140" s="16">
        <f t="shared" si="79"/>
        <v>0</v>
      </c>
      <c r="K140" s="16"/>
      <c r="L140" s="16"/>
      <c r="M140" s="12"/>
      <c r="N140" s="12"/>
      <c r="O140" s="61"/>
      <c r="P140" s="12"/>
      <c r="Q140" s="12"/>
      <c r="R140" s="12">
        <f>SUM(E140:Q140)</f>
        <v>0</v>
      </c>
      <c r="Z140" s="131" t="s">
        <v>374</v>
      </c>
      <c r="AA140" s="97" t="e">
        <f>SUM(#REF!)-R140</f>
        <v>#REF!</v>
      </c>
    </row>
    <row r="141" spans="2:27" x14ac:dyDescent="0.2">
      <c r="B141" s="49" t="s">
        <v>375</v>
      </c>
      <c r="C141" s="50"/>
      <c r="D141" s="50"/>
      <c r="E141" s="51">
        <f t="shared" ref="E141:Q141" si="80">SUM(E138:E140)</f>
        <v>1500000</v>
      </c>
      <c r="F141" s="51">
        <f t="shared" si="80"/>
        <v>1500000</v>
      </c>
      <c r="G141" s="51">
        <f t="shared" si="80"/>
        <v>1500000</v>
      </c>
      <c r="H141" s="51">
        <f t="shared" si="80"/>
        <v>1500000</v>
      </c>
      <c r="I141" s="51">
        <f t="shared" si="80"/>
        <v>1500000</v>
      </c>
      <c r="J141" s="51">
        <f t="shared" si="80"/>
        <v>1500000</v>
      </c>
      <c r="K141" s="51">
        <f t="shared" si="80"/>
        <v>0</v>
      </c>
      <c r="L141" s="51">
        <f t="shared" si="80"/>
        <v>0</v>
      </c>
      <c r="M141" s="51">
        <f t="shared" si="80"/>
        <v>0</v>
      </c>
      <c r="N141" s="51">
        <f t="shared" si="80"/>
        <v>0</v>
      </c>
      <c r="O141" s="51">
        <f t="shared" si="80"/>
        <v>0</v>
      </c>
      <c r="P141" s="51">
        <f t="shared" si="80"/>
        <v>0</v>
      </c>
      <c r="Q141" s="51">
        <f t="shared" si="80"/>
        <v>0</v>
      </c>
      <c r="R141" s="52">
        <f>SUM(E141:Q141)</f>
        <v>9000000</v>
      </c>
      <c r="T141" s="111">
        <f>R141/$T$59</f>
        <v>2.5206157044965979E-2</v>
      </c>
      <c r="U141" t="s">
        <v>299</v>
      </c>
    </row>
    <row r="142" spans="2:27" x14ac:dyDescent="0.2">
      <c r="B142" s="546"/>
      <c r="C142" s="638"/>
      <c r="D142" s="638"/>
      <c r="E142" s="546"/>
      <c r="F142" s="546"/>
      <c r="G142" s="546"/>
      <c r="H142" s="546"/>
      <c r="I142" s="546"/>
      <c r="J142" s="546"/>
      <c r="K142" s="546"/>
      <c r="L142" s="546"/>
      <c r="M142" s="546"/>
      <c r="N142" s="546"/>
      <c r="O142" s="546"/>
      <c r="P142" s="546"/>
      <c r="Q142" s="546"/>
      <c r="R142" s="47"/>
      <c r="T142" s="111"/>
    </row>
    <row r="143" spans="2:27" x14ac:dyDescent="0.2">
      <c r="B143" s="49" t="s">
        <v>376</v>
      </c>
      <c r="C143" s="50"/>
      <c r="D143" s="50"/>
      <c r="E143" s="51">
        <f t="shared" ref="E143:R143" si="81">SUM(E141,E135,E129,E124,E118,E104,E94,E85,E65)</f>
        <v>25858724.737580128</v>
      </c>
      <c r="F143" s="51">
        <f t="shared" si="81"/>
        <v>24064503.272085335</v>
      </c>
      <c r="G143" s="51">
        <f t="shared" si="81"/>
        <v>41234986.479950421</v>
      </c>
      <c r="H143" s="51">
        <f t="shared" si="81"/>
        <v>64621475.550532475</v>
      </c>
      <c r="I143" s="51">
        <f t="shared" si="81"/>
        <v>65560588.562693812</v>
      </c>
      <c r="J143" s="51">
        <f t="shared" si="81"/>
        <v>9632789.9042900391</v>
      </c>
      <c r="K143" s="51">
        <f t="shared" si="81"/>
        <v>0</v>
      </c>
      <c r="L143" s="51">
        <f>SUM(L141,L135,L129,L124,L118,L104,L94,L85,L65)</f>
        <v>0</v>
      </c>
      <c r="M143" s="51">
        <f t="shared" si="81"/>
        <v>0</v>
      </c>
      <c r="N143" s="51">
        <f t="shared" si="81"/>
        <v>0</v>
      </c>
      <c r="O143" s="51">
        <f t="shared" si="81"/>
        <v>0</v>
      </c>
      <c r="P143" s="51">
        <f t="shared" si="81"/>
        <v>0</v>
      </c>
      <c r="Q143" s="51">
        <f t="shared" si="81"/>
        <v>0</v>
      </c>
      <c r="R143" s="51">
        <f t="shared" si="81"/>
        <v>230973068.5071322</v>
      </c>
      <c r="T143" s="111">
        <f>R143/$T$59</f>
        <v>0.64688260421649546</v>
      </c>
      <c r="U143" t="s">
        <v>299</v>
      </c>
    </row>
    <row r="144" spans="2:27" outlineLevel="1" x14ac:dyDescent="0.2">
      <c r="B144" s="3"/>
      <c r="C144" s="31"/>
      <c r="D144" s="31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3"/>
    </row>
    <row r="145" spans="1:23" outlineLevel="1" x14ac:dyDescent="0.2">
      <c r="B145" s="81" t="s">
        <v>144</v>
      </c>
      <c r="C145" s="31"/>
      <c r="D145" s="31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3"/>
    </row>
    <row r="146" spans="1:23" hidden="1" outlineLevel="1" x14ac:dyDescent="0.2">
      <c r="B146" s="170" t="s">
        <v>530</v>
      </c>
      <c r="C146" s="31"/>
      <c r="D146" s="31"/>
      <c r="E146" s="11">
        <f>E44+D146-D149</f>
        <v>0</v>
      </c>
      <c r="F146" s="11">
        <f t="shared" ref="F146" si="82">+E146-E149</f>
        <v>0</v>
      </c>
      <c r="G146" s="11"/>
      <c r="H146" s="11"/>
      <c r="I146" s="11"/>
      <c r="J146" s="11"/>
      <c r="K146" s="11"/>
      <c r="L146" s="11"/>
      <c r="M146" s="11"/>
      <c r="N146" s="24"/>
      <c r="O146" s="24"/>
      <c r="P146" s="24"/>
      <c r="Q146" s="24"/>
      <c r="R146" s="61"/>
    </row>
    <row r="147" spans="1:23" hidden="1" outlineLevel="1" x14ac:dyDescent="0.2">
      <c r="B147" s="163" t="s">
        <v>531</v>
      </c>
      <c r="C147" s="14">
        <v>0.125</v>
      </c>
      <c r="D147" s="31"/>
      <c r="F147" s="11">
        <f>(E146*$C$147)</f>
        <v>0</v>
      </c>
      <c r="G147" s="11"/>
      <c r="H147" s="11"/>
      <c r="I147" s="11"/>
      <c r="J147" s="11"/>
      <c r="K147" s="11"/>
      <c r="L147" s="11"/>
      <c r="M147" s="24"/>
      <c r="N147" s="24"/>
      <c r="O147" s="24"/>
      <c r="P147" s="24"/>
      <c r="Q147" s="24"/>
      <c r="R147" s="61">
        <f>SUM(F147:Q147)</f>
        <v>0</v>
      </c>
    </row>
    <row r="148" spans="1:23" hidden="1" outlineLevel="1" x14ac:dyDescent="0.2">
      <c r="B148" s="163" t="s">
        <v>532</v>
      </c>
      <c r="C148" s="14">
        <v>0.03</v>
      </c>
      <c r="D148" s="31"/>
      <c r="E148" s="11">
        <f>C148*E146</f>
        <v>0</v>
      </c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61">
        <f>SUM(E148:Q148)</f>
        <v>0</v>
      </c>
    </row>
    <row r="149" spans="1:23" hidden="1" outlineLevel="1" x14ac:dyDescent="0.2">
      <c r="B149" s="163" t="s">
        <v>533</v>
      </c>
      <c r="C149" s="31"/>
      <c r="D149" s="31"/>
      <c r="E149" s="11"/>
      <c r="F149" s="11">
        <f>SUM(F146:F147)</f>
        <v>0</v>
      </c>
      <c r="G149" s="11"/>
      <c r="H149" s="11"/>
      <c r="I149" s="11"/>
      <c r="J149" s="11"/>
      <c r="K149" s="11"/>
      <c r="L149" s="11"/>
      <c r="M149" s="24"/>
      <c r="N149" s="24"/>
      <c r="O149" s="24"/>
      <c r="P149" s="24"/>
      <c r="Q149" s="24"/>
      <c r="R149" s="61">
        <f>SUM(E149:Q149)</f>
        <v>0</v>
      </c>
    </row>
    <row r="150" spans="1:23" hidden="1" outlineLevel="1" x14ac:dyDescent="0.2">
      <c r="B150" s="81"/>
      <c r="C150" s="31"/>
      <c r="D150" s="31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3"/>
    </row>
    <row r="151" spans="1:23" ht="17" outlineLevel="1" thickBot="1" x14ac:dyDescent="0.25">
      <c r="B151" s="170" t="s">
        <v>378</v>
      </c>
      <c r="C151" s="236">
        <f>U158</f>
        <v>49035729.493554473</v>
      </c>
      <c r="D151" s="438">
        <v>4</v>
      </c>
      <c r="E151" s="11">
        <f t="shared" ref="E151:J151" si="83">D155+E46</f>
        <v>0</v>
      </c>
      <c r="F151" s="11">
        <f t="shared" si="83"/>
        <v>19800183.354081526</v>
      </c>
      <c r="G151" s="11">
        <f t="shared" si="83"/>
        <v>23892455.888845716</v>
      </c>
      <c r="H151" s="11">
        <f t="shared" si="83"/>
        <v>26759550.595507201</v>
      </c>
      <c r="I151" s="11">
        <f t="shared" si="83"/>
        <v>30505887.67887821</v>
      </c>
      <c r="J151" s="11">
        <f t="shared" si="83"/>
        <v>33251417.56997725</v>
      </c>
      <c r="K151" s="11"/>
      <c r="L151" s="11"/>
      <c r="M151" s="11"/>
      <c r="N151" s="11"/>
      <c r="O151" s="11"/>
      <c r="P151" s="11"/>
      <c r="Q151" s="11"/>
      <c r="R151" s="12"/>
    </row>
    <row r="152" spans="1:23" outlineLevel="1" x14ac:dyDescent="0.2">
      <c r="A152"/>
      <c r="B152" s="163" t="s">
        <v>379</v>
      </c>
      <c r="C152" s="14">
        <f>Assumptions!F8</f>
        <v>0.12</v>
      </c>
      <c r="D152" s="437">
        <v>0.09</v>
      </c>
      <c r="E152" s="11">
        <f>E151*$C$152*0.75</f>
        <v>0</v>
      </c>
      <c r="F152" s="11">
        <f>F151*$C$152</f>
        <v>2376022.0024897829</v>
      </c>
      <c r="G152" s="11">
        <f>G151*$C$152</f>
        <v>2867094.7066614856</v>
      </c>
      <c r="H152" s="11">
        <f>H151*$C$152</f>
        <v>3211146.071460864</v>
      </c>
      <c r="I152" s="11">
        <f>(I151*$D$152)</f>
        <v>2745529.891099039</v>
      </c>
      <c r="J152" s="11">
        <f>(J151*$D$152)*0.75</f>
        <v>2244470.685973464</v>
      </c>
      <c r="K152" s="11"/>
      <c r="L152" s="11"/>
      <c r="M152" s="11"/>
      <c r="N152" s="11"/>
      <c r="O152" s="11"/>
      <c r="P152" s="11"/>
      <c r="Q152" s="11"/>
      <c r="R152" s="61">
        <f>SUM(E152:Q152)</f>
        <v>13444263.357684635</v>
      </c>
      <c r="T152" s="822" t="s">
        <v>534</v>
      </c>
      <c r="U152" s="823"/>
    </row>
    <row r="153" spans="1:23" outlineLevel="1" x14ac:dyDescent="0.2">
      <c r="A153"/>
      <c r="B153" s="163" t="s">
        <v>535</v>
      </c>
      <c r="C153" s="14">
        <f>Assumptions!F9</f>
        <v>3.5000000000000003E-2</v>
      </c>
      <c r="D153" s="14"/>
      <c r="E153" s="11"/>
      <c r="F153" s="11">
        <f>C151*$C$153</f>
        <v>1716250.5322744066</v>
      </c>
      <c r="G153" s="11"/>
      <c r="H153" s="11">
        <f>H151*0.02</f>
        <v>535191.01191014401</v>
      </c>
      <c r="I153" s="11"/>
      <c r="J153" s="11"/>
      <c r="K153" s="11"/>
      <c r="L153" s="11"/>
      <c r="M153" s="11"/>
      <c r="N153" s="11"/>
      <c r="O153" s="11"/>
      <c r="P153" s="11"/>
      <c r="Q153" s="11"/>
      <c r="R153" s="61">
        <f>SUM(E153:Q153)</f>
        <v>2251441.5441845506</v>
      </c>
      <c r="T153" s="538" t="s">
        <v>536</v>
      </c>
      <c r="U153" s="536">
        <f>SUM(F143:H143)+SUM(F157:F159)+SUM(F163:G164)</f>
        <v>156426270.64698428</v>
      </c>
      <c r="V153" s="319"/>
    </row>
    <row r="154" spans="1:23" outlineLevel="1" x14ac:dyDescent="0.2">
      <c r="A154"/>
      <c r="B154" s="163" t="s">
        <v>381</v>
      </c>
      <c r="C154" s="14"/>
      <c r="D154" s="14"/>
      <c r="E154" s="114"/>
      <c r="F154" s="92"/>
      <c r="G154" s="92"/>
      <c r="H154" s="92"/>
      <c r="I154" s="92"/>
      <c r="J154" s="92">
        <f>J151</f>
        <v>33251417.56997725</v>
      </c>
      <c r="K154" s="92"/>
      <c r="L154" s="92"/>
      <c r="M154" s="92"/>
      <c r="N154" s="92"/>
      <c r="O154" s="92"/>
      <c r="P154" s="92"/>
      <c r="Q154" s="92"/>
      <c r="R154" s="11">
        <f>SUM(E154:Q154)</f>
        <v>33251417.56997725</v>
      </c>
      <c r="T154" s="537" t="s">
        <v>537</v>
      </c>
      <c r="U154" s="541">
        <f>(SUM(F56:H57)+SUM(F51:H51))*(1-C178)</f>
        <v>100197825</v>
      </c>
      <c r="V154" s="320"/>
    </row>
    <row r="155" spans="1:23" outlineLevel="1" x14ac:dyDescent="0.2">
      <c r="B155" s="163" t="s">
        <v>382</v>
      </c>
      <c r="C155" s="14"/>
      <c r="D155" s="14"/>
      <c r="E155" s="114">
        <f t="shared" ref="E155:I155" si="84">E151+E152+E153-E154</f>
        <v>0</v>
      </c>
      <c r="F155" s="114">
        <f t="shared" si="84"/>
        <v>23892455.888845716</v>
      </c>
      <c r="G155" s="114">
        <f t="shared" si="84"/>
        <v>26759550.595507201</v>
      </c>
      <c r="H155" s="114">
        <f t="shared" si="84"/>
        <v>30505887.67887821</v>
      </c>
      <c r="I155" s="114">
        <f t="shared" si="84"/>
        <v>33251417.56997725</v>
      </c>
      <c r="J155" s="114">
        <f>J151-J154</f>
        <v>0</v>
      </c>
      <c r="K155" s="114"/>
      <c r="L155" s="114"/>
      <c r="M155" s="114"/>
      <c r="N155" s="114"/>
      <c r="O155" s="114"/>
      <c r="P155" s="114"/>
      <c r="Q155" s="114"/>
      <c r="R155" s="11"/>
      <c r="T155" s="538" t="s">
        <v>538</v>
      </c>
      <c r="U155" s="536">
        <f>U153-U154</f>
        <v>56228445.646984279</v>
      </c>
      <c r="V155" s="319" t="s">
        <v>252</v>
      </c>
    </row>
    <row r="156" spans="1:23" outlineLevel="1" x14ac:dyDescent="0.2">
      <c r="B156" s="163"/>
      <c r="C156" s="14"/>
      <c r="D156" s="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"/>
      <c r="T156" s="538" t="s">
        <v>256</v>
      </c>
      <c r="U156" s="536">
        <f>U155*(1+Assumptions!F11)</f>
        <v>69835729.493554473</v>
      </c>
      <c r="V156" s="320">
        <f>U155+SUM(F152:H152)+F153</f>
        <v>66398958.959870823</v>
      </c>
    </row>
    <row r="157" spans="1:23" outlineLevel="1" x14ac:dyDescent="0.2">
      <c r="B157" s="163" t="s">
        <v>539</v>
      </c>
      <c r="C157" s="14">
        <f>Assumptions!K10</f>
        <v>0.15</v>
      </c>
      <c r="D157" s="14"/>
      <c r="E157" s="114"/>
      <c r="F157" s="11">
        <f>$C$157*$E$160</f>
        <v>2250000</v>
      </c>
      <c r="G157" s="114"/>
      <c r="H157" s="114"/>
      <c r="I157" s="114"/>
      <c r="J157" s="114"/>
      <c r="K157" s="114"/>
      <c r="L157" s="114"/>
      <c r="M157" s="114"/>
      <c r="N157" s="114"/>
      <c r="O157" s="114"/>
      <c r="P157" s="114"/>
      <c r="Q157" s="114"/>
      <c r="R157" s="61">
        <f>SUM(E157:Q157)</f>
        <v>2250000</v>
      </c>
      <c r="T157" s="537" t="s">
        <v>262</v>
      </c>
      <c r="U157" s="539">
        <f>U158/U156</f>
        <v>0.70215819107438771</v>
      </c>
      <c r="V157" s="319" t="s">
        <v>252</v>
      </c>
      <c r="W157" s="319" t="s">
        <v>540</v>
      </c>
    </row>
    <row r="158" spans="1:23" outlineLevel="1" x14ac:dyDescent="0.2">
      <c r="B158" s="163" t="s">
        <v>541</v>
      </c>
      <c r="C158" s="14">
        <f>Assumptions!K9</f>
        <v>0.02</v>
      </c>
      <c r="D158" s="14"/>
      <c r="E158" s="114">
        <f>E160*C158</f>
        <v>300000</v>
      </c>
      <c r="F158" s="114"/>
      <c r="G158" s="114"/>
      <c r="H158" s="114"/>
      <c r="I158" s="114"/>
      <c r="J158" s="114"/>
      <c r="K158" s="114"/>
      <c r="L158" s="114"/>
      <c r="M158" s="114"/>
      <c r="N158" s="114"/>
      <c r="O158" s="114"/>
      <c r="P158" s="114"/>
      <c r="Q158" s="114"/>
      <c r="R158" s="61">
        <f>SUM(E158:Q158)</f>
        <v>300000</v>
      </c>
      <c r="T158" s="537" t="s">
        <v>264</v>
      </c>
      <c r="U158" s="536">
        <f>U156-U159</f>
        <v>49035729.493554473</v>
      </c>
      <c r="V158" s="320">
        <f>SUM(R46:R47)</f>
        <v>49035729.493554473</v>
      </c>
      <c r="W158" s="320">
        <f>MAX(E155:L155)</f>
        <v>33251417.56997725</v>
      </c>
    </row>
    <row r="159" spans="1:23" outlineLevel="1" x14ac:dyDescent="0.2">
      <c r="B159" s="163" t="s">
        <v>542</v>
      </c>
      <c r="C159" s="14"/>
      <c r="D159" s="14"/>
      <c r="E159" s="114"/>
      <c r="F159" s="114">
        <f>E160</f>
        <v>15000000</v>
      </c>
      <c r="G159" s="114"/>
      <c r="H159" s="114"/>
      <c r="I159" s="114"/>
      <c r="J159" s="114"/>
      <c r="K159" s="114"/>
      <c r="L159" s="114"/>
      <c r="M159" s="114"/>
      <c r="N159" s="114"/>
      <c r="O159" s="114"/>
      <c r="P159" s="114"/>
      <c r="Q159" s="114"/>
      <c r="R159" s="61">
        <f>SUM(E159:Q159)</f>
        <v>15000000</v>
      </c>
      <c r="T159" s="537" t="s">
        <v>543</v>
      </c>
      <c r="U159" s="644">
        <f>F40+F45</f>
        <v>20800000</v>
      </c>
      <c r="V159" s="319"/>
    </row>
    <row r="160" spans="1:23" ht="17" outlineLevel="1" thickBot="1" x14ac:dyDescent="0.25">
      <c r="B160" s="163" t="s">
        <v>544</v>
      </c>
      <c r="C160" s="14"/>
      <c r="D160" s="14"/>
      <c r="E160" s="114">
        <f>E43</f>
        <v>15000000</v>
      </c>
      <c r="F160" s="114">
        <f>E160-F159</f>
        <v>0</v>
      </c>
      <c r="G160" s="114"/>
      <c r="H160" s="114"/>
      <c r="I160" s="114"/>
      <c r="J160" s="114"/>
      <c r="K160" s="114"/>
      <c r="L160" s="114"/>
      <c r="M160" s="114"/>
      <c r="N160" s="114"/>
      <c r="O160" s="114"/>
      <c r="P160" s="114"/>
      <c r="Q160" s="114"/>
      <c r="R160" s="11"/>
      <c r="T160" s="535"/>
      <c r="U160" s="643"/>
      <c r="V160" s="319"/>
    </row>
    <row r="161" spans="2:18" outlineLevel="1" x14ac:dyDescent="0.2">
      <c r="B161" s="163"/>
      <c r="C161" s="14"/>
      <c r="D161" s="14"/>
      <c r="E161" s="114"/>
      <c r="F161" s="114"/>
      <c r="G161" s="114"/>
      <c r="H161" s="114"/>
      <c r="I161" s="114"/>
      <c r="J161" s="114"/>
      <c r="K161" s="114"/>
      <c r="L161" s="114"/>
      <c r="M161" s="114"/>
      <c r="N161" s="114"/>
      <c r="O161" s="114"/>
      <c r="P161" s="114"/>
      <c r="Q161" s="114"/>
      <c r="R161" s="11"/>
    </row>
    <row r="162" spans="2:18" outlineLevel="1" x14ac:dyDescent="0.2">
      <c r="B162" s="163" t="s">
        <v>545</v>
      </c>
      <c r="C162" s="14">
        <v>0.55000000000000004</v>
      </c>
      <c r="D162" s="14"/>
      <c r="E162" s="114"/>
      <c r="F162" s="114">
        <f>F45+'Proforma A+H'!H42*C162</f>
        <v>29203743.291970812</v>
      </c>
      <c r="G162" s="114">
        <f>F167+G45+'Proforma A+H'!I42*C162</f>
        <v>36640000</v>
      </c>
      <c r="H162" s="114">
        <f t="shared" ref="H162:L162" si="85">G167+H45</f>
        <v>36640000</v>
      </c>
      <c r="I162" s="114">
        <f t="shared" si="85"/>
        <v>36640000</v>
      </c>
      <c r="J162" s="114">
        <f t="shared" si="85"/>
        <v>36640000</v>
      </c>
      <c r="K162" s="114">
        <f t="shared" si="85"/>
        <v>0</v>
      </c>
      <c r="L162" s="114">
        <f t="shared" si="85"/>
        <v>0</v>
      </c>
      <c r="M162" s="114"/>
      <c r="N162" s="114"/>
      <c r="O162" s="114"/>
      <c r="P162" s="114"/>
      <c r="Q162" s="114"/>
      <c r="R162" s="11"/>
    </row>
    <row r="163" spans="2:18" outlineLevel="1" x14ac:dyDescent="0.2">
      <c r="B163" s="163" t="s">
        <v>546</v>
      </c>
      <c r="C163" s="14">
        <f>Assumptions!K6</f>
        <v>0.13500000000000001</v>
      </c>
      <c r="D163" s="14"/>
      <c r="E163" s="114"/>
      <c r="F163" s="114">
        <f>F162*$C$163</f>
        <v>3942505.34441606</v>
      </c>
      <c r="G163" s="114">
        <f>G162*$C$163</f>
        <v>4946400</v>
      </c>
      <c r="H163" s="114">
        <f t="shared" ref="H163:L163" si="86">H162*$C$163</f>
        <v>4946400</v>
      </c>
      <c r="I163" s="114">
        <f t="shared" si="86"/>
        <v>4946400</v>
      </c>
      <c r="J163" s="114">
        <f t="shared" si="86"/>
        <v>4946400</v>
      </c>
      <c r="K163" s="114">
        <f t="shared" si="86"/>
        <v>0</v>
      </c>
      <c r="L163" s="114">
        <f t="shared" si="86"/>
        <v>0</v>
      </c>
      <c r="M163" s="114"/>
      <c r="N163" s="114"/>
      <c r="O163" s="114"/>
      <c r="P163" s="114"/>
      <c r="Q163" s="114"/>
      <c r="R163" s="61">
        <f>SUM(E163:Q163)</f>
        <v>23728105.34441606</v>
      </c>
    </row>
    <row r="164" spans="2:18" outlineLevel="1" x14ac:dyDescent="0.2">
      <c r="B164" s="163" t="s">
        <v>547</v>
      </c>
      <c r="C164" s="14">
        <f>Assumptions!K7</f>
        <v>0.01</v>
      </c>
      <c r="D164" s="14"/>
      <c r="E164" s="114"/>
      <c r="F164" s="114">
        <f>$C$164*G162</f>
        <v>366400</v>
      </c>
      <c r="G164" s="114"/>
      <c r="H164" s="114"/>
      <c r="I164" s="114"/>
      <c r="J164" s="114"/>
      <c r="K164" s="114"/>
      <c r="L164" s="114"/>
      <c r="M164" s="114"/>
      <c r="N164" s="114"/>
      <c r="O164" s="114"/>
      <c r="P164" s="114"/>
      <c r="Q164" s="114"/>
      <c r="R164" s="61">
        <f>SUM(E164:Q164)</f>
        <v>366400</v>
      </c>
    </row>
    <row r="165" spans="2:18" outlineLevel="1" x14ac:dyDescent="0.2">
      <c r="B165" s="163" t="s">
        <v>548</v>
      </c>
      <c r="C165" s="14"/>
      <c r="D165" s="14"/>
      <c r="E165" s="114"/>
      <c r="F165" s="114"/>
      <c r="G165" s="114"/>
      <c r="J165" s="11">
        <f>J162*Assumptions!K8</f>
        <v>366400</v>
      </c>
      <c r="K165" s="114"/>
      <c r="L165" s="114"/>
      <c r="M165" s="114"/>
      <c r="N165" s="114"/>
      <c r="O165" s="114"/>
      <c r="P165" s="114"/>
      <c r="Q165" s="114"/>
      <c r="R165" s="61">
        <f>SUM(E165:Q165)</f>
        <v>366400</v>
      </c>
    </row>
    <row r="166" spans="2:18" outlineLevel="1" x14ac:dyDescent="0.2">
      <c r="B166" s="163" t="s">
        <v>549</v>
      </c>
      <c r="C166" s="14"/>
      <c r="D166" s="14"/>
      <c r="E166" s="114"/>
      <c r="F166" s="114"/>
      <c r="G166" s="114"/>
      <c r="H166" s="114"/>
      <c r="I166" s="114"/>
      <c r="J166" s="114">
        <f>J162</f>
        <v>36640000</v>
      </c>
      <c r="K166" s="114"/>
      <c r="L166" s="114"/>
      <c r="M166" s="114"/>
      <c r="N166" s="114"/>
      <c r="O166" s="114"/>
      <c r="P166" s="114"/>
      <c r="Q166" s="114"/>
      <c r="R166" s="61">
        <f>SUM(E166:Q166)</f>
        <v>36640000</v>
      </c>
    </row>
    <row r="167" spans="2:18" outlineLevel="1" x14ac:dyDescent="0.2">
      <c r="B167" s="163" t="s">
        <v>550</v>
      </c>
      <c r="C167" s="14"/>
      <c r="D167" s="14"/>
      <c r="E167" s="114"/>
      <c r="F167" s="114">
        <f t="shared" ref="F167:L167" si="87">F162-F166</f>
        <v>29203743.291970812</v>
      </c>
      <c r="G167" s="114">
        <f t="shared" si="87"/>
        <v>36640000</v>
      </c>
      <c r="H167" s="114">
        <f t="shared" si="87"/>
        <v>36640000</v>
      </c>
      <c r="I167" s="114">
        <f t="shared" si="87"/>
        <v>36640000</v>
      </c>
      <c r="J167" s="114">
        <f t="shared" si="87"/>
        <v>0</v>
      </c>
      <c r="K167" s="114">
        <f t="shared" si="87"/>
        <v>0</v>
      </c>
      <c r="L167" s="114">
        <f t="shared" si="87"/>
        <v>0</v>
      </c>
      <c r="M167" s="114"/>
      <c r="N167" s="114"/>
      <c r="O167" s="114"/>
      <c r="P167" s="114"/>
      <c r="Q167" s="114"/>
      <c r="R167" s="11"/>
    </row>
    <row r="168" spans="2:18" outlineLevel="1" x14ac:dyDescent="0.2">
      <c r="B168" s="163"/>
      <c r="C168" s="14"/>
      <c r="D168" s="14"/>
      <c r="E168" s="114"/>
      <c r="F168" s="114"/>
      <c r="G168" s="114"/>
      <c r="H168" s="114"/>
      <c r="I168" s="114"/>
      <c r="J168" s="114"/>
      <c r="K168" s="114"/>
      <c r="L168" s="114"/>
      <c r="M168" s="114"/>
      <c r="N168" s="114"/>
      <c r="O168" s="114"/>
      <c r="P168" s="114"/>
      <c r="Q168" s="114"/>
      <c r="R168" s="11"/>
    </row>
    <row r="169" spans="2:18" hidden="1" outlineLevel="1" x14ac:dyDescent="0.2">
      <c r="B169" s="163" t="s">
        <v>551</v>
      </c>
      <c r="C169" s="14">
        <f>Assumptions!K9</f>
        <v>0.02</v>
      </c>
      <c r="D169" s="14"/>
      <c r="E169" s="114">
        <f>C169*E39</f>
        <v>200000</v>
      </c>
      <c r="F169" s="114"/>
      <c r="G169" s="114"/>
      <c r="H169" s="114"/>
      <c r="I169" s="114"/>
      <c r="J169" s="114"/>
      <c r="K169" s="114"/>
      <c r="L169" s="114"/>
      <c r="M169" s="114"/>
      <c r="N169" s="114"/>
      <c r="O169" s="114"/>
      <c r="P169" s="114"/>
      <c r="Q169" s="114"/>
      <c r="R169" s="61">
        <f>SUM(E169:Q169)</f>
        <v>200000</v>
      </c>
    </row>
    <row r="170" spans="2:18" hidden="1" outlineLevel="1" x14ac:dyDescent="0.2">
      <c r="B170" s="163"/>
      <c r="C170" s="14"/>
      <c r="D170" s="14"/>
      <c r="E170" s="114"/>
      <c r="F170" s="114"/>
      <c r="G170" s="114"/>
      <c r="H170" s="114"/>
      <c r="I170" s="114"/>
      <c r="J170" s="114"/>
      <c r="K170" s="114"/>
      <c r="L170" s="114"/>
      <c r="M170" s="114"/>
      <c r="N170" s="114"/>
      <c r="O170" s="114"/>
      <c r="P170" s="114"/>
      <c r="Q170" s="114"/>
      <c r="R170" s="11"/>
    </row>
    <row r="171" spans="2:18" x14ac:dyDescent="0.2">
      <c r="B171" s="49" t="s">
        <v>383</v>
      </c>
      <c r="C171" s="50"/>
      <c r="D171" s="50"/>
      <c r="E171" s="51">
        <f t="shared" ref="E171:L171" si="88">SUM(E152:E154)+SUM(E157:E159)+SUM(E163:E166)+SUM(E148:E149)</f>
        <v>300000</v>
      </c>
      <c r="F171" s="51">
        <f t="shared" si="88"/>
        <v>25651177.879180249</v>
      </c>
      <c r="G171" s="51">
        <f t="shared" si="88"/>
        <v>7813494.7066614851</v>
      </c>
      <c r="H171" s="51">
        <f t="shared" si="88"/>
        <v>8692737.0833710078</v>
      </c>
      <c r="I171" s="51">
        <f t="shared" si="88"/>
        <v>7691929.8910990395</v>
      </c>
      <c r="J171" s="51">
        <f t="shared" si="88"/>
        <v>77448688.255950719</v>
      </c>
      <c r="K171" s="51">
        <f>SUM(K152:K154)+SUM(K157:K159)+SUM(K163:K166)+SUM(K148:K149)</f>
        <v>0</v>
      </c>
      <c r="L171" s="51">
        <f t="shared" si="88"/>
        <v>0</v>
      </c>
      <c r="M171" s="51"/>
      <c r="N171" s="51"/>
      <c r="O171" s="51"/>
      <c r="P171" s="51"/>
      <c r="Q171" s="51"/>
      <c r="R171" s="52">
        <f>SUM(E171:Q171)</f>
        <v>127598027.8162625</v>
      </c>
    </row>
    <row r="172" spans="2:18" x14ac:dyDescent="0.2">
      <c r="B172" t="s">
        <v>552</v>
      </c>
      <c r="C172" s="14"/>
      <c r="D172" s="14"/>
      <c r="E172" s="11">
        <f t="shared" ref="E172:R172" si="89">SUM(E147:E148)+SUM(E152:E153)+SUM(E157:E158)+SUM(E163:E165)</f>
        <v>300000</v>
      </c>
      <c r="F172" s="11">
        <f t="shared" si="89"/>
        <v>10651177.879180249</v>
      </c>
      <c r="G172" s="11">
        <f t="shared" si="89"/>
        <v>7813494.7066614851</v>
      </c>
      <c r="H172" s="11">
        <f t="shared" si="89"/>
        <v>8692737.0833710078</v>
      </c>
      <c r="I172" s="11">
        <f t="shared" si="89"/>
        <v>7691929.8910990395</v>
      </c>
      <c r="J172" s="11">
        <f t="shared" si="89"/>
        <v>7557270.6859734636</v>
      </c>
      <c r="K172" s="11">
        <f>SUM(K147:K148)+SUM(K152:K153)+SUM(K157:K158)+SUM(K163:K165)</f>
        <v>0</v>
      </c>
      <c r="L172" s="11">
        <f t="shared" si="89"/>
        <v>0</v>
      </c>
      <c r="M172" s="11">
        <f t="shared" si="89"/>
        <v>0</v>
      </c>
      <c r="N172" s="11">
        <f t="shared" si="89"/>
        <v>0</v>
      </c>
      <c r="O172" s="11">
        <f t="shared" si="89"/>
        <v>0</v>
      </c>
      <c r="P172" s="11">
        <f t="shared" si="89"/>
        <v>0</v>
      </c>
      <c r="Q172" s="11">
        <f t="shared" si="89"/>
        <v>0</v>
      </c>
      <c r="R172" s="11">
        <f t="shared" si="89"/>
        <v>42706610.246285245</v>
      </c>
    </row>
    <row r="173" spans="2:18" x14ac:dyDescent="0.2">
      <c r="B173" s="3"/>
      <c r="C173" s="31"/>
      <c r="D173" s="31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3"/>
    </row>
    <row r="174" spans="2:18" x14ac:dyDescent="0.2">
      <c r="B174" s="81" t="s">
        <v>553</v>
      </c>
      <c r="E174" s="68"/>
      <c r="F174" s="68"/>
      <c r="G174" s="68"/>
      <c r="H174" s="68"/>
      <c r="I174" s="540"/>
      <c r="J174" s="540"/>
      <c r="K174" s="540"/>
      <c r="L174" s="540"/>
      <c r="M174" s="46"/>
      <c r="N174" s="46"/>
      <c r="O174" s="46"/>
      <c r="P174" s="46"/>
      <c r="Q174" s="46"/>
      <c r="R174" s="11"/>
    </row>
    <row r="175" spans="2:18" x14ac:dyDescent="0.2">
      <c r="B175" s="81"/>
      <c r="E175" s="68"/>
      <c r="F175" s="68"/>
      <c r="G175" s="769">
        <v>6751678.1658829041</v>
      </c>
      <c r="H175" s="68"/>
      <c r="I175" s="540"/>
      <c r="J175" s="540"/>
      <c r="K175" s="540"/>
      <c r="L175" s="540"/>
      <c r="M175" s="46"/>
      <c r="N175" s="46"/>
      <c r="O175" s="46"/>
      <c r="P175" s="46"/>
      <c r="Q175" s="46"/>
      <c r="R175" s="11"/>
    </row>
    <row r="176" spans="2:18" x14ac:dyDescent="0.2">
      <c r="B176" s="440" t="s">
        <v>386</v>
      </c>
      <c r="C176" s="128"/>
      <c r="D176" s="128"/>
      <c r="E176" s="92"/>
      <c r="F176" s="92">
        <f>MAX(F58-F143-F171+E221,0)</f>
        <v>891800</v>
      </c>
      <c r="G176" s="768">
        <f>MAX(G58-G143-G171+F221,0)-G175</f>
        <v>574372.85416667536</v>
      </c>
      <c r="H176" s="92">
        <f t="shared" ref="H176:L176" si="90">MAX(H58-H143-H171+G221,0)</f>
        <v>6798922.9695171248</v>
      </c>
      <c r="I176" s="92">
        <f t="shared" si="90"/>
        <v>63774686.330400564</v>
      </c>
      <c r="J176" s="92">
        <f>J58-J143-J171+I221</f>
        <v>26960265.589759283</v>
      </c>
      <c r="K176" s="92">
        <f t="shared" si="90"/>
        <v>7.4505805969238281E-9</v>
      </c>
      <c r="L176" s="92">
        <f t="shared" si="90"/>
        <v>0</v>
      </c>
      <c r="M176" s="92"/>
      <c r="N176" s="92"/>
      <c r="O176" s="92"/>
      <c r="P176" s="92"/>
      <c r="Q176" s="92"/>
      <c r="R176" s="32">
        <f>SUM(E176:Q176)</f>
        <v>99000047.743843645</v>
      </c>
    </row>
    <row r="177" spans="1:22" x14ac:dyDescent="0.2">
      <c r="B177" s="440"/>
      <c r="C177" s="128"/>
      <c r="D177" s="128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32"/>
    </row>
    <row r="178" spans="1:22" x14ac:dyDescent="0.2">
      <c r="A178"/>
      <c r="B178" s="440" t="s">
        <v>554</v>
      </c>
      <c r="C178" s="14">
        <v>0.16</v>
      </c>
      <c r="D178" s="128"/>
      <c r="E178" s="92"/>
      <c r="F178" s="92">
        <f>SUM(F56:F57)*$C$178</f>
        <v>891800</v>
      </c>
      <c r="G178" s="92">
        <f>SUM(G56:G57)*$C$178</f>
        <v>6161190</v>
      </c>
      <c r="H178" s="92">
        <f t="shared" ref="H178:I178" si="91">SUM(H56:H57)*$C$178</f>
        <v>12032310.000000002</v>
      </c>
      <c r="I178" s="92">
        <f t="shared" si="91"/>
        <v>19796920.000000004</v>
      </c>
      <c r="J178" s="92">
        <f>-I179</f>
        <v>-38882220</v>
      </c>
      <c r="K178" s="92"/>
      <c r="L178" s="92"/>
      <c r="M178" s="92"/>
      <c r="N178" s="92"/>
      <c r="O178" s="92"/>
      <c r="P178" s="92"/>
      <c r="Q178" s="92"/>
      <c r="R178" s="11">
        <f>SUM(E178:Q178)</f>
        <v>0</v>
      </c>
    </row>
    <row r="179" spans="1:22" x14ac:dyDescent="0.2">
      <c r="A179"/>
      <c r="B179" s="440" t="s">
        <v>555</v>
      </c>
      <c r="C179" s="14"/>
      <c r="D179" s="128"/>
      <c r="E179" s="92"/>
      <c r="F179" s="92">
        <f>F178</f>
        <v>891800</v>
      </c>
      <c r="G179" s="92">
        <f>F179+G178</f>
        <v>7052990</v>
      </c>
      <c r="H179" s="92">
        <f t="shared" ref="H179:L179" si="92">G179+H178</f>
        <v>19085300</v>
      </c>
      <c r="I179" s="92">
        <f t="shared" si="92"/>
        <v>38882220</v>
      </c>
      <c r="J179" s="92">
        <f t="shared" si="92"/>
        <v>0</v>
      </c>
      <c r="K179" s="92">
        <f t="shared" si="92"/>
        <v>0</v>
      </c>
      <c r="L179" s="92">
        <f t="shared" si="92"/>
        <v>0</v>
      </c>
      <c r="M179" s="92"/>
      <c r="N179" s="92"/>
      <c r="O179" s="92"/>
      <c r="P179" s="92"/>
      <c r="Q179" s="92"/>
      <c r="R179" s="11"/>
    </row>
    <row r="180" spans="1:22" x14ac:dyDescent="0.2">
      <c r="B180" s="3"/>
      <c r="D180" s="128"/>
      <c r="E180" s="92"/>
      <c r="F180" s="92"/>
      <c r="G180" s="92"/>
      <c r="H180" s="92"/>
      <c r="I180" s="532"/>
      <c r="J180" s="532"/>
      <c r="K180" s="532"/>
      <c r="L180" s="532"/>
      <c r="M180" s="91"/>
      <c r="N180" s="91"/>
      <c r="O180" s="91"/>
      <c r="P180" s="91"/>
      <c r="Q180" s="91"/>
      <c r="R180" s="114"/>
    </row>
    <row r="181" spans="1:22" x14ac:dyDescent="0.2">
      <c r="B181" t="s">
        <v>556</v>
      </c>
      <c r="D181" s="128"/>
      <c r="E181" s="92"/>
      <c r="F181" s="92"/>
      <c r="H181" s="92"/>
      <c r="I181" s="532"/>
      <c r="J181" s="532"/>
      <c r="K181" s="532"/>
      <c r="L181" s="532"/>
      <c r="M181" s="91"/>
      <c r="N181" s="91"/>
      <c r="O181" s="91"/>
      <c r="P181" s="91"/>
      <c r="Q181" s="91"/>
      <c r="R181" s="114"/>
    </row>
    <row r="182" spans="1:22" x14ac:dyDescent="0.2">
      <c r="B182" s="170" t="s">
        <v>557</v>
      </c>
      <c r="C182" s="62">
        <f>Assumptions!K5</f>
        <v>0.1</v>
      </c>
      <c r="D182" s="128"/>
      <c r="E182" s="92"/>
      <c r="F182" s="92">
        <f t="shared" ref="F182:J182" si="93">E184*$C$182</f>
        <v>1000000</v>
      </c>
      <c r="G182" s="92">
        <f t="shared" si="93"/>
        <v>1100000</v>
      </c>
      <c r="H182" s="92">
        <f t="shared" si="93"/>
        <v>1210000</v>
      </c>
      <c r="I182" s="92">
        <f t="shared" si="93"/>
        <v>1331000</v>
      </c>
      <c r="J182" s="92">
        <f t="shared" si="93"/>
        <v>0</v>
      </c>
      <c r="K182" s="92">
        <f t="shared" ref="K182:L182" si="94">J184*$C$182</f>
        <v>0</v>
      </c>
      <c r="L182" s="92">
        <f t="shared" si="94"/>
        <v>0</v>
      </c>
      <c r="M182" s="91"/>
      <c r="N182" s="91"/>
      <c r="O182" s="91"/>
      <c r="P182" s="91"/>
      <c r="Q182" s="91"/>
      <c r="R182" s="11">
        <f>SUM(E182:Q182)</f>
        <v>4641000</v>
      </c>
    </row>
    <row r="183" spans="1:22" x14ac:dyDescent="0.2">
      <c r="B183" s="170" t="s">
        <v>32</v>
      </c>
      <c r="C183" s="62">
        <f>R39/R40</f>
        <v>0.86956521739130432</v>
      </c>
      <c r="D183" s="128"/>
      <c r="E183" s="92"/>
      <c r="F183" s="92">
        <f>MIN(MAX(F176-F178,0)*$C$183,E184+F182)</f>
        <v>0</v>
      </c>
      <c r="G183" s="92">
        <f t="shared" ref="G183:L183" si="95">MIN(MAX(G176-G178,0)*$C$183,F184+G182)</f>
        <v>0</v>
      </c>
      <c r="H183" s="92">
        <f t="shared" si="95"/>
        <v>0</v>
      </c>
      <c r="I183" s="92">
        <f t="shared" si="95"/>
        <v>14641000</v>
      </c>
      <c r="J183" s="92">
        <f t="shared" si="95"/>
        <v>0</v>
      </c>
      <c r="K183" s="92">
        <f t="shared" si="95"/>
        <v>0</v>
      </c>
      <c r="L183" s="92">
        <f t="shared" si="95"/>
        <v>0</v>
      </c>
      <c r="M183" s="92"/>
      <c r="N183" s="92"/>
      <c r="O183" s="92"/>
      <c r="P183" s="92"/>
      <c r="Q183" s="92"/>
      <c r="R183" s="11">
        <f>SUM(E183:Q183)</f>
        <v>14641000</v>
      </c>
    </row>
    <row r="184" spans="1:22" x14ac:dyDescent="0.2">
      <c r="B184" s="227" t="s">
        <v>558</v>
      </c>
      <c r="C184" s="236"/>
      <c r="D184" s="146"/>
      <c r="E184" s="92">
        <f>E39</f>
        <v>10000000</v>
      </c>
      <c r="F184" s="92">
        <f>MAX(E184+F39+F182-F183,0)</f>
        <v>11000000</v>
      </c>
      <c r="G184" s="92">
        <f t="shared" ref="G184:L184" si="96">MAX(F184+G182-G183,0)</f>
        <v>12100000</v>
      </c>
      <c r="H184" s="92">
        <f t="shared" si="96"/>
        <v>13310000</v>
      </c>
      <c r="I184" s="92">
        <f t="shared" si="96"/>
        <v>0</v>
      </c>
      <c r="J184" s="92">
        <f t="shared" si="96"/>
        <v>0</v>
      </c>
      <c r="K184" s="92">
        <f t="shared" si="96"/>
        <v>0</v>
      </c>
      <c r="L184" s="92">
        <f t="shared" si="96"/>
        <v>0</v>
      </c>
      <c r="M184" s="92"/>
      <c r="N184" s="92"/>
      <c r="O184" s="92"/>
      <c r="P184" s="92"/>
      <c r="Q184" s="92"/>
      <c r="R184" s="114"/>
      <c r="V184" s="320"/>
    </row>
    <row r="185" spans="1:22" x14ac:dyDescent="0.2">
      <c r="B185" s="227" t="s">
        <v>559</v>
      </c>
      <c r="C185" s="659">
        <f>IRR(E185:Q185)</f>
        <v>0.10000000000000009</v>
      </c>
      <c r="D185" s="146"/>
      <c r="E185" s="92">
        <f>-E39</f>
        <v>-10000000</v>
      </c>
      <c r="F185" s="92">
        <f>-F39</f>
        <v>0</v>
      </c>
      <c r="G185" s="92">
        <f t="shared" ref="G185:K185" si="97">G183</f>
        <v>0</v>
      </c>
      <c r="H185" s="92">
        <f t="shared" si="97"/>
        <v>0</v>
      </c>
      <c r="I185" s="92">
        <f t="shared" si="97"/>
        <v>14641000</v>
      </c>
      <c r="J185" s="92">
        <f t="shared" si="97"/>
        <v>0</v>
      </c>
      <c r="K185" s="92">
        <f t="shared" si="97"/>
        <v>0</v>
      </c>
      <c r="L185" s="92">
        <f t="shared" ref="L185" si="98">L183</f>
        <v>0</v>
      </c>
      <c r="M185" s="92"/>
      <c r="N185" s="92"/>
      <c r="O185" s="92"/>
      <c r="P185" s="92"/>
      <c r="Q185" s="92"/>
      <c r="R185" s="11">
        <f>SUM(E185:Q185)</f>
        <v>4641000</v>
      </c>
      <c r="V185" s="320"/>
    </row>
    <row r="186" spans="1:22" x14ac:dyDescent="0.2">
      <c r="C186" s="534"/>
      <c r="D186" s="128"/>
      <c r="E186" s="92"/>
      <c r="F186" s="92"/>
      <c r="G186" s="92"/>
      <c r="H186" s="92"/>
      <c r="I186" s="532"/>
      <c r="J186" s="532"/>
      <c r="K186" s="532"/>
      <c r="L186" s="532"/>
      <c r="M186" s="91"/>
      <c r="N186" s="91"/>
      <c r="O186" s="91"/>
      <c r="P186" s="91"/>
      <c r="Q186" s="91"/>
      <c r="R186" s="114"/>
      <c r="T186" s="145"/>
      <c r="U186" s="146"/>
    </row>
    <row r="187" spans="1:22" x14ac:dyDescent="0.2">
      <c r="B187" t="s">
        <v>560</v>
      </c>
      <c r="D187" s="128"/>
      <c r="E187" s="92"/>
      <c r="F187" s="92"/>
      <c r="G187" s="92"/>
      <c r="H187" s="92"/>
      <c r="I187" s="532"/>
      <c r="J187" s="532"/>
      <c r="K187" s="532"/>
      <c r="L187" s="532"/>
      <c r="M187" s="91"/>
      <c r="N187" s="91"/>
      <c r="O187" s="91"/>
      <c r="P187" s="91"/>
      <c r="Q187" s="91"/>
      <c r="R187" s="114"/>
    </row>
    <row r="188" spans="1:22" x14ac:dyDescent="0.2">
      <c r="B188" s="170" t="s">
        <v>557</v>
      </c>
      <c r="C188" s="62">
        <f>Assumptions!K5</f>
        <v>0.1</v>
      </c>
      <c r="D188" s="128"/>
      <c r="E188" s="92"/>
      <c r="F188" s="92">
        <f t="shared" ref="F188:L188" si="99">E190*$C$188</f>
        <v>150000</v>
      </c>
      <c r="G188" s="92">
        <f t="shared" si="99"/>
        <v>165000</v>
      </c>
      <c r="H188" s="92">
        <f t="shared" si="99"/>
        <v>181500</v>
      </c>
      <c r="I188" s="92">
        <f t="shared" si="99"/>
        <v>199650</v>
      </c>
      <c r="J188" s="92">
        <f t="shared" si="99"/>
        <v>0</v>
      </c>
      <c r="K188" s="92">
        <f t="shared" si="99"/>
        <v>0</v>
      </c>
      <c r="L188" s="92">
        <f t="shared" si="99"/>
        <v>0</v>
      </c>
      <c r="M188" s="91"/>
      <c r="N188" s="91"/>
      <c r="O188" s="91"/>
      <c r="P188" s="91"/>
      <c r="Q188" s="91"/>
      <c r="R188" s="11">
        <f>SUM(E188:Q188)</f>
        <v>696150</v>
      </c>
    </row>
    <row r="189" spans="1:22" x14ac:dyDescent="0.2">
      <c r="B189" s="170" t="s">
        <v>32</v>
      </c>
      <c r="C189" s="62">
        <f>R38/R40</f>
        <v>0.13043478260869565</v>
      </c>
      <c r="D189" s="128"/>
      <c r="E189" s="92"/>
      <c r="F189" s="92"/>
      <c r="G189" s="92">
        <f>MIN(MAX(G176-G178,0)*$C$189,F190+G188)</f>
        <v>0</v>
      </c>
      <c r="H189" s="92">
        <f t="shared" ref="H189:L189" si="100">MIN(MAX(H176-H178,0)*$C$189,G190+H188)</f>
        <v>0</v>
      </c>
      <c r="I189" s="92">
        <f t="shared" si="100"/>
        <v>2196150</v>
      </c>
      <c r="J189" s="92">
        <f t="shared" si="100"/>
        <v>0</v>
      </c>
      <c r="K189" s="92">
        <f t="shared" si="100"/>
        <v>0</v>
      </c>
      <c r="L189" s="92">
        <f t="shared" si="100"/>
        <v>0</v>
      </c>
      <c r="M189" s="91"/>
      <c r="N189" s="91"/>
      <c r="O189" s="91"/>
      <c r="P189" s="91"/>
      <c r="Q189" s="91"/>
      <c r="R189" s="11">
        <f>SUM(E189:Q189)</f>
        <v>2196150</v>
      </c>
    </row>
    <row r="190" spans="1:22" x14ac:dyDescent="0.2">
      <c r="B190" s="227" t="s">
        <v>558</v>
      </c>
      <c r="D190" s="114">
        <f>E38</f>
        <v>1500000</v>
      </c>
      <c r="E190" s="92">
        <f>D190+E188-E189</f>
        <v>1500000</v>
      </c>
      <c r="F190" s="92">
        <f t="shared" ref="F190:L190" si="101">E190+F188-F189</f>
        <v>1650000</v>
      </c>
      <c r="G190" s="92">
        <f t="shared" si="101"/>
        <v>1815000</v>
      </c>
      <c r="H190" s="92">
        <f t="shared" si="101"/>
        <v>1996500</v>
      </c>
      <c r="I190" s="92">
        <f t="shared" si="101"/>
        <v>0</v>
      </c>
      <c r="J190" s="92">
        <f t="shared" si="101"/>
        <v>0</v>
      </c>
      <c r="K190" s="92">
        <f t="shared" si="101"/>
        <v>0</v>
      </c>
      <c r="L190" s="92">
        <f t="shared" si="101"/>
        <v>0</v>
      </c>
      <c r="M190" s="92"/>
      <c r="N190" s="92"/>
      <c r="O190" s="92"/>
      <c r="P190" s="92"/>
      <c r="Q190" s="92"/>
      <c r="R190" s="114"/>
    </row>
    <row r="191" spans="1:22" x14ac:dyDescent="0.2">
      <c r="B191" s="227" t="s">
        <v>561</v>
      </c>
      <c r="C191" s="659">
        <f>IRR(E191:J191)</f>
        <v>0.10000000000000009</v>
      </c>
      <c r="D191" s="128"/>
      <c r="E191" s="92">
        <f>-D190</f>
        <v>-1500000</v>
      </c>
      <c r="F191" s="92">
        <f>F189</f>
        <v>0</v>
      </c>
      <c r="G191" s="92">
        <f t="shared" ref="G191:J191" si="102">G189</f>
        <v>0</v>
      </c>
      <c r="H191" s="92">
        <f t="shared" si="102"/>
        <v>0</v>
      </c>
      <c r="I191" s="92">
        <f t="shared" si="102"/>
        <v>2196150</v>
      </c>
      <c r="J191" s="92">
        <f t="shared" si="102"/>
        <v>0</v>
      </c>
      <c r="K191" s="92">
        <f t="shared" ref="K191:L191" si="103">K189</f>
        <v>0</v>
      </c>
      <c r="L191" s="92">
        <f t="shared" si="103"/>
        <v>0</v>
      </c>
      <c r="M191" s="92"/>
      <c r="N191" s="92"/>
      <c r="O191" s="92"/>
      <c r="P191" s="92"/>
      <c r="Q191" s="92"/>
      <c r="R191" s="11">
        <f>SUM(E191:Q191)</f>
        <v>696150</v>
      </c>
    </row>
    <row r="192" spans="1:22" x14ac:dyDescent="0.2">
      <c r="B192" s="170"/>
      <c r="D192" s="128"/>
      <c r="E192" s="92"/>
      <c r="F192" s="92"/>
      <c r="G192" s="92"/>
      <c r="H192" s="92"/>
      <c r="I192" s="532"/>
      <c r="J192" s="532"/>
      <c r="K192" s="532"/>
      <c r="L192" s="532"/>
      <c r="M192" s="91"/>
      <c r="N192" s="91"/>
      <c r="O192" s="91"/>
      <c r="P192" s="91"/>
      <c r="Q192" s="91"/>
      <c r="R192" s="114"/>
    </row>
    <row r="193" spans="2:21" x14ac:dyDescent="0.2">
      <c r="B193" s="619" t="s">
        <v>562</v>
      </c>
      <c r="C193" s="419">
        <v>1</v>
      </c>
      <c r="D193" s="621"/>
      <c r="E193" s="77">
        <f>MAX(E176-E178-E183-E189,0)</f>
        <v>0</v>
      </c>
      <c r="F193" s="77">
        <f t="shared" ref="F193:L193" si="104">MAX(F176-F178-F183-F189,0)</f>
        <v>0</v>
      </c>
      <c r="G193" s="77">
        <f t="shared" si="104"/>
        <v>0</v>
      </c>
      <c r="H193" s="77">
        <f t="shared" si="104"/>
        <v>0</v>
      </c>
      <c r="I193" s="77">
        <f t="shared" si="104"/>
        <v>27140616.330400556</v>
      </c>
      <c r="J193" s="77">
        <f>MAX(J176-J178-J183-J189,0)</f>
        <v>65842485.589759283</v>
      </c>
      <c r="K193" s="77">
        <f t="shared" si="104"/>
        <v>7.4505805969238281E-9</v>
      </c>
      <c r="L193" s="77">
        <f t="shared" si="104"/>
        <v>0</v>
      </c>
      <c r="M193" s="77"/>
      <c r="N193" s="77"/>
      <c r="O193" s="77"/>
      <c r="P193" s="77"/>
      <c r="Q193" s="77"/>
      <c r="R193" s="22">
        <f>SUM(E193:Q193)</f>
        <v>92983101.920159847</v>
      </c>
      <c r="T193" s="145"/>
      <c r="U193" s="146"/>
    </row>
    <row r="194" spans="2:21" x14ac:dyDescent="0.2">
      <c r="C194" s="534"/>
      <c r="D194" s="128"/>
      <c r="E194" s="92"/>
      <c r="F194" s="92"/>
      <c r="G194" s="92"/>
      <c r="H194" s="92"/>
      <c r="I194" s="532"/>
      <c r="J194" s="532"/>
      <c r="K194" s="532"/>
      <c r="L194" s="532"/>
      <c r="M194" s="91"/>
      <c r="N194" s="91"/>
      <c r="O194" s="91"/>
      <c r="P194" s="91"/>
      <c r="Q194" s="91"/>
      <c r="R194" s="114"/>
      <c r="T194" s="145"/>
      <c r="U194" s="146"/>
    </row>
    <row r="195" spans="2:21" x14ac:dyDescent="0.2">
      <c r="B195" s="239" t="s">
        <v>807</v>
      </c>
      <c r="D195" s="128"/>
      <c r="E195" s="92"/>
      <c r="F195" s="92"/>
      <c r="G195" s="92"/>
      <c r="H195" s="533"/>
      <c r="I195" s="533"/>
      <c r="J195" s="533">
        <v>0</v>
      </c>
      <c r="K195" s="532"/>
      <c r="L195" s="532"/>
      <c r="M195" s="91"/>
      <c r="N195" s="91"/>
      <c r="O195" s="91"/>
      <c r="P195" s="91"/>
      <c r="Q195" s="91"/>
      <c r="R195" s="114">
        <f t="shared" ref="R195:R217" si="105">SUM(E195:Q195)</f>
        <v>0</v>
      </c>
      <c r="T195" s="145"/>
      <c r="U195" s="146"/>
    </row>
    <row r="196" spans="2:21" x14ac:dyDescent="0.2">
      <c r="B196" s="170" t="s">
        <v>563</v>
      </c>
      <c r="C196" s="659">
        <f>IRR(E196:Q196)</f>
        <v>0.10000000000000009</v>
      </c>
      <c r="D196" s="114"/>
      <c r="E196" s="114">
        <f>E185+E191+SUM(E197:E198)</f>
        <v>-11500000</v>
      </c>
      <c r="F196" s="114">
        <f t="shared" ref="F196:L196" si="106">F185+F191+SUM(F197:F198)</f>
        <v>0</v>
      </c>
      <c r="G196" s="114">
        <f t="shared" si="106"/>
        <v>0</v>
      </c>
      <c r="H196" s="114">
        <f t="shared" si="106"/>
        <v>0</v>
      </c>
      <c r="I196" s="114">
        <f t="shared" si="106"/>
        <v>16837150</v>
      </c>
      <c r="J196" s="114">
        <f t="shared" si="106"/>
        <v>0</v>
      </c>
      <c r="K196" s="114">
        <f t="shared" si="106"/>
        <v>0</v>
      </c>
      <c r="L196" s="114">
        <f t="shared" si="106"/>
        <v>0</v>
      </c>
      <c r="M196" s="114">
        <f t="shared" ref="M196:Q196" si="107">M185+M197</f>
        <v>0</v>
      </c>
      <c r="N196" s="114">
        <f t="shared" si="107"/>
        <v>0</v>
      </c>
      <c r="O196" s="114">
        <f t="shared" si="107"/>
        <v>0</v>
      </c>
      <c r="P196" s="114">
        <f t="shared" si="107"/>
        <v>0</v>
      </c>
      <c r="Q196" s="114">
        <f t="shared" si="107"/>
        <v>0</v>
      </c>
      <c r="R196" s="114">
        <f t="shared" si="105"/>
        <v>5337150</v>
      </c>
      <c r="T196" s="145"/>
      <c r="U196" s="146"/>
    </row>
    <row r="197" spans="2:21" x14ac:dyDescent="0.2">
      <c r="B197" s="227" t="s">
        <v>564</v>
      </c>
      <c r="C197" s="84">
        <f>C183</f>
        <v>0.86956521739130432</v>
      </c>
      <c r="D197" s="92"/>
      <c r="E197" s="92">
        <f t="shared" ref="E197:Q197" si="108">E195*$C$197</f>
        <v>0</v>
      </c>
      <c r="F197" s="92">
        <f t="shared" si="108"/>
        <v>0</v>
      </c>
      <c r="G197" s="92">
        <f t="shared" si="108"/>
        <v>0</v>
      </c>
      <c r="H197" s="92">
        <f t="shared" si="108"/>
        <v>0</v>
      </c>
      <c r="I197" s="92">
        <f t="shared" si="108"/>
        <v>0</v>
      </c>
      <c r="J197" s="92">
        <f t="shared" si="108"/>
        <v>0</v>
      </c>
      <c r="K197" s="92">
        <f t="shared" si="108"/>
        <v>0</v>
      </c>
      <c r="L197" s="92">
        <f t="shared" si="108"/>
        <v>0</v>
      </c>
      <c r="M197" s="92">
        <f t="shared" si="108"/>
        <v>0</v>
      </c>
      <c r="N197" s="92">
        <f t="shared" si="108"/>
        <v>0</v>
      </c>
      <c r="O197" s="92">
        <f t="shared" si="108"/>
        <v>0</v>
      </c>
      <c r="P197" s="92">
        <f t="shared" si="108"/>
        <v>0</v>
      </c>
      <c r="Q197" s="92">
        <f t="shared" si="108"/>
        <v>0</v>
      </c>
      <c r="R197" s="11">
        <f t="shared" si="105"/>
        <v>0</v>
      </c>
      <c r="T197" s="145"/>
      <c r="U197" s="146"/>
    </row>
    <row r="198" spans="2:21" x14ac:dyDescent="0.2">
      <c r="B198" s="658" t="s">
        <v>565</v>
      </c>
      <c r="C198" s="54">
        <f>1-C197</f>
        <v>0.13043478260869568</v>
      </c>
      <c r="D198" s="77"/>
      <c r="E198" s="77">
        <f t="shared" ref="E198:Q198" si="109">E195-E197</f>
        <v>0</v>
      </c>
      <c r="F198" s="77">
        <f t="shared" si="109"/>
        <v>0</v>
      </c>
      <c r="G198" s="77">
        <f t="shared" si="109"/>
        <v>0</v>
      </c>
      <c r="H198" s="77">
        <f t="shared" si="109"/>
        <v>0</v>
      </c>
      <c r="I198" s="77">
        <f t="shared" si="109"/>
        <v>0</v>
      </c>
      <c r="J198" s="77">
        <f t="shared" si="109"/>
        <v>0</v>
      </c>
      <c r="K198" s="77">
        <f t="shared" si="109"/>
        <v>0</v>
      </c>
      <c r="L198" s="77">
        <f t="shared" si="109"/>
        <v>0</v>
      </c>
      <c r="M198" s="77">
        <f t="shared" si="109"/>
        <v>0</v>
      </c>
      <c r="N198" s="77">
        <f t="shared" si="109"/>
        <v>0</v>
      </c>
      <c r="O198" s="77">
        <f t="shared" si="109"/>
        <v>0</v>
      </c>
      <c r="P198" s="77">
        <f t="shared" si="109"/>
        <v>0</v>
      </c>
      <c r="Q198" s="77">
        <f t="shared" si="109"/>
        <v>0</v>
      </c>
      <c r="R198" s="45">
        <f t="shared" si="105"/>
        <v>0</v>
      </c>
      <c r="T198" s="145"/>
      <c r="U198" s="146"/>
    </row>
    <row r="199" spans="2:21" x14ac:dyDescent="0.2">
      <c r="B199" s="239" t="s">
        <v>808</v>
      </c>
      <c r="C199" s="84">
        <v>0.7</v>
      </c>
      <c r="D199" s="128"/>
      <c r="E199" s="92"/>
      <c r="F199" s="92"/>
      <c r="G199" s="92"/>
      <c r="H199" s="533"/>
      <c r="I199" s="540">
        <v>9498122.7373614348</v>
      </c>
      <c r="J199" s="533"/>
      <c r="K199" s="532"/>
      <c r="L199" s="540"/>
      <c r="M199" s="91"/>
      <c r="N199" s="91"/>
      <c r="O199" s="91"/>
      <c r="P199" s="91"/>
      <c r="Q199" s="91"/>
      <c r="R199" s="114">
        <f t="shared" si="105"/>
        <v>9498122.7373614348</v>
      </c>
      <c r="T199" s="145"/>
      <c r="U199" s="146"/>
    </row>
    <row r="200" spans="2:21" x14ac:dyDescent="0.2">
      <c r="B200" s="170" t="s">
        <v>563</v>
      </c>
      <c r="C200" s="659">
        <f>IRR(E200:Q200)</f>
        <v>0.19543796873750519</v>
      </c>
      <c r="D200" s="114"/>
      <c r="E200" s="114">
        <f t="shared" ref="E200:L200" si="110">E196+E201+E202</f>
        <v>-11500000</v>
      </c>
      <c r="F200" s="114">
        <f t="shared" si="110"/>
        <v>0</v>
      </c>
      <c r="G200" s="114">
        <f t="shared" si="110"/>
        <v>0</v>
      </c>
      <c r="H200" s="114">
        <f t="shared" si="110"/>
        <v>0</v>
      </c>
      <c r="I200" s="114">
        <f t="shared" si="110"/>
        <v>23485835.916153006</v>
      </c>
      <c r="J200" s="114">
        <f t="shared" si="110"/>
        <v>0</v>
      </c>
      <c r="K200" s="114">
        <f t="shared" si="110"/>
        <v>0</v>
      </c>
      <c r="L200" s="114">
        <f t="shared" si="110"/>
        <v>0</v>
      </c>
      <c r="M200" s="114">
        <f t="shared" ref="M200:Q200" si="111">M196+M201</f>
        <v>0</v>
      </c>
      <c r="N200" s="114">
        <f t="shared" si="111"/>
        <v>0</v>
      </c>
      <c r="O200" s="114">
        <f t="shared" si="111"/>
        <v>0</v>
      </c>
      <c r="P200" s="114">
        <f t="shared" si="111"/>
        <v>0</v>
      </c>
      <c r="Q200" s="114">
        <f t="shared" si="111"/>
        <v>0</v>
      </c>
      <c r="R200" s="114">
        <f t="shared" si="105"/>
        <v>11985835.916153006</v>
      </c>
      <c r="T200" s="145"/>
      <c r="U200" s="146"/>
    </row>
    <row r="201" spans="2:21" x14ac:dyDescent="0.2">
      <c r="B201" s="227" t="s">
        <v>564</v>
      </c>
      <c r="C201" s="43">
        <f>C197</f>
        <v>0.86956521739130432</v>
      </c>
      <c r="D201" s="92"/>
      <c r="E201" s="92">
        <f>E199*$C$199*$C$201</f>
        <v>0</v>
      </c>
      <c r="F201" s="92">
        <f t="shared" ref="F201:L201" si="112">F199*$C$199*$C$201</f>
        <v>0</v>
      </c>
      <c r="G201" s="92">
        <f t="shared" si="112"/>
        <v>0</v>
      </c>
      <c r="H201" s="92">
        <f t="shared" si="112"/>
        <v>0</v>
      </c>
      <c r="I201" s="92">
        <f t="shared" si="112"/>
        <v>5781466.0140460907</v>
      </c>
      <c r="J201" s="92">
        <f t="shared" si="112"/>
        <v>0</v>
      </c>
      <c r="K201" s="92">
        <f t="shared" si="112"/>
        <v>0</v>
      </c>
      <c r="L201" s="92">
        <f t="shared" si="112"/>
        <v>0</v>
      </c>
      <c r="M201" s="92">
        <f t="shared" ref="M201:Q201" si="113">M199*$C$199</f>
        <v>0</v>
      </c>
      <c r="N201" s="92">
        <f t="shared" si="113"/>
        <v>0</v>
      </c>
      <c r="O201" s="92">
        <f t="shared" si="113"/>
        <v>0</v>
      </c>
      <c r="P201" s="92">
        <f t="shared" si="113"/>
        <v>0</v>
      </c>
      <c r="Q201" s="92">
        <f t="shared" si="113"/>
        <v>0</v>
      </c>
      <c r="R201" s="11">
        <f t="shared" si="105"/>
        <v>5781466.0140460907</v>
      </c>
      <c r="T201" s="145"/>
      <c r="U201" s="146"/>
    </row>
    <row r="202" spans="2:21" x14ac:dyDescent="0.2">
      <c r="B202" s="658" t="s">
        <v>565</v>
      </c>
      <c r="C202" s="43">
        <f>1-C197</f>
        <v>0.13043478260869568</v>
      </c>
      <c r="D202" s="92"/>
      <c r="E202" s="92">
        <f>E199*$C$199*$C$202</f>
        <v>0</v>
      </c>
      <c r="F202" s="92">
        <f t="shared" ref="F202:L202" si="114">F199*$C$199*$C$202</f>
        <v>0</v>
      </c>
      <c r="G202" s="92">
        <f t="shared" si="114"/>
        <v>0</v>
      </c>
      <c r="H202" s="92">
        <f t="shared" si="114"/>
        <v>0</v>
      </c>
      <c r="I202" s="92">
        <f t="shared" si="114"/>
        <v>867219.90210691374</v>
      </c>
      <c r="J202" s="92">
        <f t="shared" si="114"/>
        <v>0</v>
      </c>
      <c r="K202" s="92">
        <f t="shared" si="114"/>
        <v>0</v>
      </c>
      <c r="L202" s="92">
        <f t="shared" si="114"/>
        <v>0</v>
      </c>
      <c r="M202" s="92"/>
      <c r="N202" s="92"/>
      <c r="O202" s="92"/>
      <c r="P202" s="92"/>
      <c r="Q202" s="92"/>
      <c r="R202" s="11">
        <f t="shared" si="105"/>
        <v>867219.90210691374</v>
      </c>
      <c r="T202" s="145"/>
      <c r="U202" s="146"/>
    </row>
    <row r="203" spans="2:21" x14ac:dyDescent="0.2">
      <c r="B203" s="658" t="s">
        <v>566</v>
      </c>
      <c r="C203" s="419">
        <f>1-C199</f>
        <v>0.30000000000000004</v>
      </c>
      <c r="D203" s="77"/>
      <c r="E203" s="77">
        <f>E199*$C$203</f>
        <v>0</v>
      </c>
      <c r="F203" s="77">
        <f t="shared" ref="F203:L203" si="115">F199*$C$203</f>
        <v>0</v>
      </c>
      <c r="G203" s="77">
        <f t="shared" si="115"/>
        <v>0</v>
      </c>
      <c r="H203" s="77">
        <f t="shared" si="115"/>
        <v>0</v>
      </c>
      <c r="I203" s="77">
        <f t="shared" si="115"/>
        <v>2849436.8212084309</v>
      </c>
      <c r="J203" s="77">
        <f t="shared" si="115"/>
        <v>0</v>
      </c>
      <c r="K203" s="77">
        <f t="shared" si="115"/>
        <v>0</v>
      </c>
      <c r="L203" s="77">
        <f t="shared" si="115"/>
        <v>0</v>
      </c>
      <c r="M203" s="77">
        <f t="shared" ref="M203:Q203" si="116">M199-M201</f>
        <v>0</v>
      </c>
      <c r="N203" s="77">
        <f t="shared" si="116"/>
        <v>0</v>
      </c>
      <c r="O203" s="77">
        <f t="shared" si="116"/>
        <v>0</v>
      </c>
      <c r="P203" s="77">
        <f t="shared" si="116"/>
        <v>0</v>
      </c>
      <c r="Q203" s="77">
        <f t="shared" si="116"/>
        <v>0</v>
      </c>
      <c r="R203" s="45">
        <f t="shared" si="105"/>
        <v>2849436.8212084309</v>
      </c>
      <c r="T203" s="145"/>
      <c r="U203" s="146"/>
    </row>
    <row r="204" spans="2:21" x14ac:dyDescent="0.2">
      <c r="B204" s="239" t="s">
        <v>567</v>
      </c>
      <c r="C204" s="84">
        <v>0.3</v>
      </c>
      <c r="D204" s="128"/>
      <c r="E204" s="92"/>
      <c r="F204" s="92"/>
      <c r="G204" s="92"/>
      <c r="H204" s="533"/>
      <c r="I204" s="533">
        <v>15068825.448423265</v>
      </c>
      <c r="J204" s="532"/>
      <c r="K204" s="532">
        <f>K193</f>
        <v>7.4505805969238281E-9</v>
      </c>
      <c r="L204" s="540"/>
      <c r="M204" s="91"/>
      <c r="N204" s="91"/>
      <c r="O204" s="91"/>
      <c r="P204" s="91"/>
      <c r="Q204" s="91"/>
      <c r="R204" s="114">
        <f t="shared" ref="R204:R208" si="117">SUM(E204:Q204)</f>
        <v>15068825.448423272</v>
      </c>
      <c r="T204" s="145"/>
      <c r="U204" s="146"/>
    </row>
    <row r="205" spans="2:21" x14ac:dyDescent="0.2">
      <c r="B205" s="170" t="s">
        <v>563</v>
      </c>
      <c r="C205" s="659">
        <f>IRR(E205:Q205)</f>
        <v>0.31160732171530547</v>
      </c>
      <c r="D205" s="114"/>
      <c r="E205" s="114">
        <f t="shared" ref="E205:H205" si="118">E200+E206+E207</f>
        <v>-11500000</v>
      </c>
      <c r="F205" s="114">
        <f t="shared" si="118"/>
        <v>0</v>
      </c>
      <c r="G205" s="114">
        <f t="shared" si="118"/>
        <v>0</v>
      </c>
      <c r="H205" s="114">
        <f t="shared" si="118"/>
        <v>0</v>
      </c>
      <c r="I205" s="114">
        <f>I200+I206+I207</f>
        <v>34034013.73004929</v>
      </c>
      <c r="J205" s="114">
        <f t="shared" ref="J205:L205" si="119">J200+J206+J207</f>
        <v>0</v>
      </c>
      <c r="K205" s="114">
        <f t="shared" si="119"/>
        <v>5.2154064178466794E-9</v>
      </c>
      <c r="L205" s="114">
        <f t="shared" si="119"/>
        <v>0</v>
      </c>
      <c r="M205" s="114">
        <f t="shared" ref="M205:Q205" si="120">M201+M206</f>
        <v>0</v>
      </c>
      <c r="N205" s="114">
        <f t="shared" si="120"/>
        <v>0</v>
      </c>
      <c r="O205" s="114">
        <f t="shared" si="120"/>
        <v>0</v>
      </c>
      <c r="P205" s="114">
        <f t="shared" si="120"/>
        <v>0</v>
      </c>
      <c r="Q205" s="114">
        <f t="shared" si="120"/>
        <v>0</v>
      </c>
      <c r="R205" s="114">
        <f t="shared" si="117"/>
        <v>22534013.730049293</v>
      </c>
      <c r="T205" s="145"/>
      <c r="U205" s="146"/>
    </row>
    <row r="206" spans="2:21" x14ac:dyDescent="0.2">
      <c r="B206" s="227" t="s">
        <v>564</v>
      </c>
      <c r="C206" s="43">
        <f>C202</f>
        <v>0.13043478260869568</v>
      </c>
      <c r="D206" s="92"/>
      <c r="E206" s="92">
        <f>E204*$C$199*$C$201</f>
        <v>0</v>
      </c>
      <c r="F206" s="92">
        <f t="shared" ref="F206:L206" si="121">F204*$C$199*$C$201</f>
        <v>0</v>
      </c>
      <c r="G206" s="92">
        <f t="shared" si="121"/>
        <v>0</v>
      </c>
      <c r="H206" s="92">
        <f t="shared" si="121"/>
        <v>0</v>
      </c>
      <c r="I206" s="92">
        <f t="shared" si="121"/>
        <v>9172328.5338228568</v>
      </c>
      <c r="J206" s="92">
        <f t="shared" si="121"/>
        <v>0</v>
      </c>
      <c r="K206" s="92">
        <f t="shared" si="121"/>
        <v>4.5351360155188514E-9</v>
      </c>
      <c r="L206" s="92">
        <f t="shared" si="121"/>
        <v>0</v>
      </c>
      <c r="M206" s="92">
        <f t="shared" ref="M206:Q206" si="122">M204*$C$199</f>
        <v>0</v>
      </c>
      <c r="N206" s="92">
        <f t="shared" si="122"/>
        <v>0</v>
      </c>
      <c r="O206" s="92">
        <f t="shared" si="122"/>
        <v>0</v>
      </c>
      <c r="P206" s="92">
        <f t="shared" si="122"/>
        <v>0</v>
      </c>
      <c r="Q206" s="92">
        <f t="shared" si="122"/>
        <v>0</v>
      </c>
      <c r="R206" s="11">
        <f t="shared" si="117"/>
        <v>9172328.5338228606</v>
      </c>
      <c r="T206" s="145"/>
      <c r="U206" s="146"/>
    </row>
    <row r="207" spans="2:21" x14ac:dyDescent="0.2">
      <c r="B207" s="658" t="s">
        <v>565</v>
      </c>
      <c r="C207" s="43">
        <f>1-C202</f>
        <v>0.86956521739130432</v>
      </c>
      <c r="D207" s="92"/>
      <c r="E207" s="92">
        <f>E204*$C$199*$C$202</f>
        <v>0</v>
      </c>
      <c r="F207" s="92">
        <f t="shared" ref="F207:L207" si="123">F204*$C$199*$C$202</f>
        <v>0</v>
      </c>
      <c r="G207" s="92">
        <f t="shared" si="123"/>
        <v>0</v>
      </c>
      <c r="H207" s="92">
        <f t="shared" si="123"/>
        <v>0</v>
      </c>
      <c r="I207" s="92">
        <f t="shared" si="123"/>
        <v>1375849.2800734288</v>
      </c>
      <c r="J207" s="92">
        <f t="shared" si="123"/>
        <v>0</v>
      </c>
      <c r="K207" s="92">
        <f t="shared" si="123"/>
        <v>6.8027040232782789E-10</v>
      </c>
      <c r="L207" s="92">
        <f t="shared" si="123"/>
        <v>0</v>
      </c>
      <c r="M207" s="92"/>
      <c r="N207" s="92"/>
      <c r="O207" s="92"/>
      <c r="P207" s="92"/>
      <c r="Q207" s="92"/>
      <c r="R207" s="11">
        <f t="shared" si="117"/>
        <v>1375849.2800734295</v>
      </c>
      <c r="T207" s="145"/>
      <c r="U207" s="146"/>
    </row>
    <row r="208" spans="2:21" x14ac:dyDescent="0.2">
      <c r="B208" s="658" t="s">
        <v>566</v>
      </c>
      <c r="C208" s="419">
        <f>1-C204</f>
        <v>0.7</v>
      </c>
      <c r="D208" s="77"/>
      <c r="E208" s="77">
        <f t="shared" ref="E208:L208" si="124">E204*$C$203</f>
        <v>0</v>
      </c>
      <c r="F208" s="77">
        <f t="shared" si="124"/>
        <v>0</v>
      </c>
      <c r="G208" s="77">
        <f t="shared" si="124"/>
        <v>0</v>
      </c>
      <c r="H208" s="77">
        <f t="shared" si="124"/>
        <v>0</v>
      </c>
      <c r="I208" s="77">
        <f t="shared" si="124"/>
        <v>4520647.6345269801</v>
      </c>
      <c r="J208" s="77">
        <f t="shared" si="124"/>
        <v>0</v>
      </c>
      <c r="K208" s="77">
        <f t="shared" si="124"/>
        <v>2.2351741790771488E-9</v>
      </c>
      <c r="L208" s="77">
        <f t="shared" si="124"/>
        <v>0</v>
      </c>
      <c r="M208" s="77">
        <f>M204-M206</f>
        <v>0</v>
      </c>
      <c r="N208" s="77">
        <f>N204-N206</f>
        <v>0</v>
      </c>
      <c r="O208" s="77">
        <f>O204-O206</f>
        <v>0</v>
      </c>
      <c r="P208" s="77">
        <f>P204-P206</f>
        <v>0</v>
      </c>
      <c r="Q208" s="77">
        <f>Q204-Q206</f>
        <v>0</v>
      </c>
      <c r="R208" s="45">
        <f t="shared" si="117"/>
        <v>4520647.634526982</v>
      </c>
      <c r="T208" s="145"/>
      <c r="U208" s="146"/>
    </row>
    <row r="209" spans="1:35" x14ac:dyDescent="0.2">
      <c r="B209" s="239" t="s">
        <v>568</v>
      </c>
      <c r="C209" s="84"/>
      <c r="D209" s="128"/>
      <c r="E209" s="92">
        <f t="shared" ref="E209:L209" si="125">MAX(E193-E195-E199-E204,0)</f>
        <v>0</v>
      </c>
      <c r="F209" s="92">
        <f t="shared" si="125"/>
        <v>0</v>
      </c>
      <c r="G209" s="92">
        <f t="shared" si="125"/>
        <v>0</v>
      </c>
      <c r="H209" s="92">
        <f t="shared" si="125"/>
        <v>0</v>
      </c>
      <c r="I209" s="92">
        <f t="shared" si="125"/>
        <v>2573668.1446158569</v>
      </c>
      <c r="J209" s="92">
        <f t="shared" si="125"/>
        <v>65842485.589759283</v>
      </c>
      <c r="K209" s="92">
        <f t="shared" si="125"/>
        <v>0</v>
      </c>
      <c r="L209" s="92">
        <f t="shared" si="125"/>
        <v>0</v>
      </c>
      <c r="M209" s="92"/>
      <c r="N209" s="92"/>
      <c r="O209" s="92"/>
      <c r="P209" s="92"/>
      <c r="Q209" s="92"/>
      <c r="R209" s="114">
        <f t="shared" si="105"/>
        <v>68416153.734375134</v>
      </c>
      <c r="T209" s="145"/>
      <c r="U209" s="146"/>
    </row>
    <row r="210" spans="1:35" hidden="1" x14ac:dyDescent="0.2">
      <c r="B210" s="170"/>
      <c r="C210" s="659"/>
      <c r="D210" s="114"/>
      <c r="E210" s="114"/>
      <c r="F210" s="114"/>
      <c r="G210" s="114"/>
      <c r="H210" s="114"/>
      <c r="I210" s="114"/>
      <c r="J210" s="114"/>
      <c r="K210" s="114"/>
      <c r="L210" s="114"/>
      <c r="M210" s="114"/>
      <c r="N210" s="114"/>
      <c r="O210" s="114"/>
      <c r="P210" s="114"/>
      <c r="Q210" s="114"/>
      <c r="R210" s="114"/>
      <c r="T210" s="145"/>
      <c r="U210" s="146"/>
    </row>
    <row r="211" spans="1:35" hidden="1" x14ac:dyDescent="0.2">
      <c r="B211" s="227"/>
      <c r="C211" s="43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11"/>
      <c r="T211" s="145"/>
      <c r="U211" s="146"/>
    </row>
    <row r="212" spans="1:35" hidden="1" x14ac:dyDescent="0.2">
      <c r="B212" s="658"/>
      <c r="C212" s="43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11"/>
      <c r="T212" s="145"/>
      <c r="U212" s="146"/>
    </row>
    <row r="213" spans="1:35" x14ac:dyDescent="0.2">
      <c r="B213" s="619" t="s">
        <v>569</v>
      </c>
      <c r="C213" s="419">
        <f>1-C209</f>
        <v>1</v>
      </c>
      <c r="D213" s="77"/>
      <c r="E213" s="77">
        <f>E193</f>
        <v>0</v>
      </c>
      <c r="F213" s="77">
        <f>F193</f>
        <v>0</v>
      </c>
      <c r="G213" s="77">
        <f>G193</f>
        <v>0</v>
      </c>
      <c r="H213" s="77">
        <f>H193</f>
        <v>0</v>
      </c>
      <c r="I213" s="77">
        <f>I209*$C$213</f>
        <v>2573668.1446158569</v>
      </c>
      <c r="J213" s="77">
        <f>J209*$C$213</f>
        <v>65842485.589759283</v>
      </c>
      <c r="K213" s="77">
        <f>K209*$C$213</f>
        <v>0</v>
      </c>
      <c r="L213" s="77">
        <f>L209*$C$213</f>
        <v>0</v>
      </c>
      <c r="M213" s="77"/>
      <c r="N213" s="77"/>
      <c r="O213" s="77"/>
      <c r="P213" s="77"/>
      <c r="Q213" s="77"/>
      <c r="R213" s="45">
        <f t="shared" si="105"/>
        <v>68416153.734375134</v>
      </c>
      <c r="T213" s="145"/>
      <c r="U213" s="146"/>
    </row>
    <row r="214" spans="1:35" s="457" customFormat="1" x14ac:dyDescent="0.2">
      <c r="A214" s="529"/>
      <c r="B214" s="440" t="s">
        <v>570</v>
      </c>
      <c r="C214" s="40"/>
      <c r="D214" s="92"/>
      <c r="E214" s="92">
        <f t="shared" ref="E214:L214" si="126">E183+E197+E201+E206+E211</f>
        <v>0</v>
      </c>
      <c r="F214" s="92">
        <f t="shared" si="126"/>
        <v>0</v>
      </c>
      <c r="G214" s="92">
        <f t="shared" si="126"/>
        <v>0</v>
      </c>
      <c r="H214" s="92">
        <f t="shared" si="126"/>
        <v>0</v>
      </c>
      <c r="I214" s="92">
        <f t="shared" si="126"/>
        <v>29594794.547868948</v>
      </c>
      <c r="J214" s="92">
        <f>J183+J197+J201+J206+J211</f>
        <v>0</v>
      </c>
      <c r="K214" s="92">
        <f t="shared" si="126"/>
        <v>4.5351360155188514E-9</v>
      </c>
      <c r="L214" s="92">
        <f t="shared" si="126"/>
        <v>0</v>
      </c>
      <c r="M214" s="92"/>
      <c r="N214" s="92"/>
      <c r="O214" s="92"/>
      <c r="P214" s="92"/>
      <c r="Q214" s="92"/>
      <c r="R214" s="11">
        <f t="shared" si="105"/>
        <v>29594794.547868952</v>
      </c>
    </row>
    <row r="215" spans="1:35" s="457" customFormat="1" x14ac:dyDescent="0.2">
      <c r="A215" s="529"/>
      <c r="B215" s="440" t="s">
        <v>571</v>
      </c>
      <c r="C215" s="40"/>
      <c r="D215" s="92"/>
      <c r="E215" s="92">
        <f>E189+E198+E202+E207+E212</f>
        <v>0</v>
      </c>
      <c r="F215" s="92">
        <f t="shared" ref="F215:L215" si="127">F189+F198+F202+F207+F212</f>
        <v>0</v>
      </c>
      <c r="G215" s="92">
        <f t="shared" si="127"/>
        <v>0</v>
      </c>
      <c r="H215" s="92">
        <f t="shared" si="127"/>
        <v>0</v>
      </c>
      <c r="I215" s="92">
        <f t="shared" si="127"/>
        <v>4439219.1821803423</v>
      </c>
      <c r="J215" s="92">
        <f t="shared" si="127"/>
        <v>0</v>
      </c>
      <c r="K215" s="92">
        <f t="shared" si="127"/>
        <v>6.8027040232782789E-10</v>
      </c>
      <c r="L215" s="92">
        <f t="shared" si="127"/>
        <v>0</v>
      </c>
      <c r="M215" s="92"/>
      <c r="N215" s="92"/>
      <c r="O215" s="92"/>
      <c r="P215" s="92"/>
      <c r="Q215" s="92"/>
      <c r="R215" s="11">
        <f t="shared" si="105"/>
        <v>4439219.1821803432</v>
      </c>
    </row>
    <row r="216" spans="1:35" s="457" customFormat="1" x14ac:dyDescent="0.2">
      <c r="A216" s="529"/>
      <c r="B216" s="440" t="s">
        <v>572</v>
      </c>
      <c r="C216" s="40"/>
      <c r="D216" s="92"/>
      <c r="E216" s="92">
        <f t="shared" ref="E216:L216" si="128">E203+E208+E213</f>
        <v>0</v>
      </c>
      <c r="F216" s="92">
        <f t="shared" si="128"/>
        <v>0</v>
      </c>
      <c r="G216" s="92">
        <f t="shared" si="128"/>
        <v>0</v>
      </c>
      <c r="H216" s="92">
        <f t="shared" si="128"/>
        <v>0</v>
      </c>
      <c r="I216" s="92">
        <f t="shared" si="128"/>
        <v>9943752.6003512684</v>
      </c>
      <c r="J216" s="92">
        <f t="shared" si="128"/>
        <v>65842485.589759283</v>
      </c>
      <c r="K216" s="92">
        <f t="shared" si="128"/>
        <v>2.2351741790771488E-9</v>
      </c>
      <c r="L216" s="92">
        <f t="shared" si="128"/>
        <v>0</v>
      </c>
      <c r="M216" s="92"/>
      <c r="N216" s="92"/>
      <c r="O216" s="92"/>
      <c r="P216" s="92"/>
      <c r="Q216" s="92"/>
      <c r="R216" s="11">
        <f t="shared" si="105"/>
        <v>75786238.190110549</v>
      </c>
    </row>
    <row r="217" spans="1:35" x14ac:dyDescent="0.2">
      <c r="B217" s="49" t="s">
        <v>399</v>
      </c>
      <c r="C217" s="164"/>
      <c r="D217" s="531"/>
      <c r="E217" s="530">
        <f>SUM(E214:E216)+E178</f>
        <v>0</v>
      </c>
      <c r="F217" s="530">
        <f t="shared" ref="F217:L217" si="129">SUM(F214:F216)+F178</f>
        <v>891800</v>
      </c>
      <c r="G217" s="530">
        <f t="shared" si="129"/>
        <v>6161190</v>
      </c>
      <c r="H217" s="530">
        <f t="shared" si="129"/>
        <v>12032310.000000002</v>
      </c>
      <c r="I217" s="530">
        <f t="shared" si="129"/>
        <v>63774686.330400556</v>
      </c>
      <c r="J217" s="530">
        <f t="shared" si="129"/>
        <v>26960265.589759283</v>
      </c>
      <c r="K217" s="530">
        <f t="shared" si="129"/>
        <v>7.4505805969238281E-9</v>
      </c>
      <c r="L217" s="530">
        <f t="shared" si="129"/>
        <v>0</v>
      </c>
      <c r="M217" s="530"/>
      <c r="N217" s="530"/>
      <c r="O217" s="530"/>
      <c r="P217" s="530"/>
      <c r="Q217" s="530"/>
      <c r="R217" s="410">
        <f t="shared" si="105"/>
        <v>109820251.92015985</v>
      </c>
    </row>
    <row r="218" spans="1:35" s="457" customFormat="1" ht="17" thickBot="1" x14ac:dyDescent="0.25">
      <c r="A218" s="529"/>
      <c r="B218" s="528"/>
      <c r="C218" s="527"/>
      <c r="D218" s="526" t="s">
        <v>447</v>
      </c>
      <c r="E218" s="525">
        <f>E176</f>
        <v>0</v>
      </c>
      <c r="F218" s="525">
        <f t="shared" ref="F218:L218" si="130">F176</f>
        <v>891800</v>
      </c>
      <c r="G218" s="525">
        <f t="shared" si="130"/>
        <v>574372.85416667536</v>
      </c>
      <c r="H218" s="525">
        <f t="shared" si="130"/>
        <v>6798922.9695171248</v>
      </c>
      <c r="I218" s="525">
        <f t="shared" si="130"/>
        <v>63774686.330400564</v>
      </c>
      <c r="J218" s="525">
        <f t="shared" si="130"/>
        <v>26960265.589759283</v>
      </c>
      <c r="K218" s="525">
        <f t="shared" si="130"/>
        <v>7.4505805969238281E-9</v>
      </c>
      <c r="L218" s="525">
        <f t="shared" si="130"/>
        <v>0</v>
      </c>
      <c r="M218" s="525"/>
      <c r="N218" s="525"/>
      <c r="O218" s="525"/>
      <c r="P218" s="525"/>
      <c r="Q218" s="525"/>
      <c r="R218" s="524">
        <f>SUM(E218:Q218)</f>
        <v>99000047.743843645</v>
      </c>
    </row>
    <row r="219" spans="1:35" ht="17" thickTop="1" x14ac:dyDescent="0.2">
      <c r="B219" s="523" t="s">
        <v>150</v>
      </c>
      <c r="C219" s="522"/>
      <c r="D219" s="521"/>
      <c r="E219" s="520">
        <f t="shared" ref="E219:Q219" si="131">E143+E171+E217</f>
        <v>26158724.737580128</v>
      </c>
      <c r="F219" s="520">
        <f>F143+F171+F217</f>
        <v>50607481.151265584</v>
      </c>
      <c r="G219" s="520">
        <f t="shared" si="131"/>
        <v>55209671.186611906</v>
      </c>
      <c r="H219" s="520">
        <f t="shared" si="131"/>
        <v>85346522.633903489</v>
      </c>
      <c r="I219" s="520">
        <f t="shared" si="131"/>
        <v>137027204.7841934</v>
      </c>
      <c r="J219" s="520">
        <f t="shared" si="131"/>
        <v>114041743.75000003</v>
      </c>
      <c r="K219" s="520">
        <f t="shared" si="131"/>
        <v>7.4505805969238281E-9</v>
      </c>
      <c r="L219" s="520">
        <f t="shared" si="131"/>
        <v>0</v>
      </c>
      <c r="M219" s="520">
        <f t="shared" si="131"/>
        <v>0</v>
      </c>
      <c r="N219" s="520">
        <f t="shared" si="131"/>
        <v>0</v>
      </c>
      <c r="O219" s="520">
        <f t="shared" si="131"/>
        <v>0</v>
      </c>
      <c r="P219" s="520">
        <f t="shared" si="131"/>
        <v>0</v>
      </c>
      <c r="Q219" s="520">
        <f t="shared" si="131"/>
        <v>0</v>
      </c>
      <c r="R219" s="520">
        <f>SUM(E219:Q219)</f>
        <v>468391348.24355447</v>
      </c>
      <c r="X219" s="131"/>
      <c r="Z219" s="131" t="s">
        <v>402</v>
      </c>
      <c r="AA219" s="518">
        <f>+ROUND(R219-R58,0)</f>
        <v>0</v>
      </c>
      <c r="AC219" s="519">
        <f>'Returns L+H'!H7-'Returns L+H'!D13</f>
        <v>55688.076422780752</v>
      </c>
      <c r="AD219" s="515"/>
      <c r="AE219" s="515"/>
      <c r="AF219" s="515"/>
      <c r="AG219" s="515"/>
      <c r="AH219" s="515"/>
      <c r="AI219" s="515"/>
    </row>
    <row r="220" spans="1:35" x14ac:dyDescent="0.2">
      <c r="F220" s="11"/>
      <c r="AC220" s="515"/>
      <c r="AD220" s="515"/>
      <c r="AE220" s="515"/>
      <c r="AF220" s="515"/>
      <c r="AG220" s="515"/>
      <c r="AH220" s="515"/>
      <c r="AI220" s="515"/>
    </row>
    <row r="221" spans="1:35" ht="17" thickBot="1" x14ac:dyDescent="0.25">
      <c r="B221" s="4" t="s">
        <v>400</v>
      </c>
      <c r="C221" s="147"/>
      <c r="D221" s="147"/>
      <c r="E221" s="11">
        <f>E58-E219</f>
        <v>341275.26241987199</v>
      </c>
      <c r="F221" s="11">
        <f t="shared" ref="F221:Q221" si="132">F58-F219+E221</f>
        <v>0</v>
      </c>
      <c r="G221" s="11">
        <f t="shared" si="132"/>
        <v>1164861.0200495794</v>
      </c>
      <c r="H221" s="11">
        <f t="shared" si="132"/>
        <v>-5233387.0304828808</v>
      </c>
      <c r="I221" s="11">
        <f t="shared" si="132"/>
        <v>7.4505805969238281E-9</v>
      </c>
      <c r="J221" s="11">
        <f t="shared" si="132"/>
        <v>7.4505805969238281E-9</v>
      </c>
      <c r="K221" s="11">
        <f t="shared" si="132"/>
        <v>0</v>
      </c>
      <c r="L221" s="11">
        <f t="shared" si="132"/>
        <v>0</v>
      </c>
      <c r="M221" s="11">
        <f t="shared" si="132"/>
        <v>0</v>
      </c>
      <c r="N221" s="11">
        <f t="shared" si="132"/>
        <v>0</v>
      </c>
      <c r="O221" s="11">
        <f t="shared" si="132"/>
        <v>0</v>
      </c>
      <c r="P221" s="11">
        <f t="shared" si="132"/>
        <v>0</v>
      </c>
      <c r="Q221" s="11">
        <f t="shared" si="132"/>
        <v>0</v>
      </c>
      <c r="R221" s="11"/>
      <c r="T221" s="11">
        <f>R58-R219</f>
        <v>0</v>
      </c>
      <c r="U221" t="s">
        <v>573</v>
      </c>
      <c r="Z221" s="131" t="s">
        <v>403</v>
      </c>
      <c r="AA221" s="518">
        <f>ROUND(L221-0,0)</f>
        <v>0</v>
      </c>
      <c r="AC221" s="515"/>
      <c r="AD221" s="515"/>
      <c r="AE221" s="515"/>
      <c r="AF221" s="515"/>
      <c r="AG221" s="515"/>
      <c r="AH221" s="515"/>
      <c r="AI221" s="515"/>
    </row>
    <row r="222" spans="1:35" ht="17" thickBot="1" x14ac:dyDescent="0.25">
      <c r="B222" s="4"/>
      <c r="AC222" s="515"/>
      <c r="AD222" s="819" t="s">
        <v>574</v>
      </c>
      <c r="AE222" s="820"/>
      <c r="AF222" s="820"/>
      <c r="AG222" s="820"/>
      <c r="AH222" s="820"/>
      <c r="AI222" s="821"/>
    </row>
    <row r="223" spans="1:35" x14ac:dyDescent="0.2">
      <c r="B223" s="4" t="s">
        <v>401</v>
      </c>
      <c r="C223" s="425">
        <f>IRR(E223:L223)</f>
        <v>0.64410031178198657</v>
      </c>
      <c r="E223" s="11">
        <f>-E40+SUM(E214:E216)</f>
        <v>-11500000</v>
      </c>
      <c r="F223" s="11">
        <f t="shared" ref="F223:L223" si="133">-F40+SUM(F214:F216)</f>
        <v>0</v>
      </c>
      <c r="G223" s="11">
        <f t="shared" si="133"/>
        <v>0</v>
      </c>
      <c r="H223" s="11">
        <f t="shared" si="133"/>
        <v>0</v>
      </c>
      <c r="I223" s="11">
        <f t="shared" si="133"/>
        <v>43977766.330400556</v>
      </c>
      <c r="J223" s="11">
        <f t="shared" si="133"/>
        <v>65842485.589759283</v>
      </c>
      <c r="K223" s="11">
        <f t="shared" si="133"/>
        <v>7.4505805969238281E-9</v>
      </c>
      <c r="L223" s="11">
        <f t="shared" si="133"/>
        <v>0</v>
      </c>
      <c r="M223" s="11">
        <f>-M45+M217</f>
        <v>0</v>
      </c>
      <c r="N223" s="11">
        <f>-N45+N217</f>
        <v>0</v>
      </c>
      <c r="O223" s="11">
        <f>-O45+O217</f>
        <v>0</v>
      </c>
      <c r="P223" s="11">
        <f>-P45+P217</f>
        <v>0</v>
      </c>
      <c r="Q223" s="11">
        <f>-Q45+Q217</f>
        <v>0</v>
      </c>
      <c r="Z223" s="131" t="s">
        <v>575</v>
      </c>
      <c r="AA223" s="97" t="e">
        <f>0.08-'Returns L+H'!F54</f>
        <v>#NUM!</v>
      </c>
      <c r="AC223" s="515"/>
      <c r="AD223" s="517" t="s">
        <v>576</v>
      </c>
      <c r="AF223" s="81" t="s">
        <v>577</v>
      </c>
      <c r="AI223" s="516" t="s">
        <v>578</v>
      </c>
    </row>
    <row r="224" spans="1:35" x14ac:dyDescent="0.2">
      <c r="AC224" s="515"/>
      <c r="AD224" s="514">
        <f>T34</f>
        <v>7934569.3055555569</v>
      </c>
      <c r="AF224" s="513">
        <f>'Returns L+H'!D14</f>
        <v>9.5495871234921612</v>
      </c>
      <c r="AI224" s="512">
        <f>'Returns L+H'!D16</f>
        <v>0.64360042214393631</v>
      </c>
    </row>
    <row r="226" spans="2:23" ht="21" x14ac:dyDescent="0.25">
      <c r="B226" s="511" t="str">
        <f>B1</f>
        <v>CLARENDON - LAND &amp; HOME DEVELOPMENT</v>
      </c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7"/>
      <c r="S226" s="7"/>
    </row>
    <row r="227" spans="2:23" x14ac:dyDescent="0.2">
      <c r="B227" s="3" t="s">
        <v>404</v>
      </c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7"/>
      <c r="S227" s="7"/>
    </row>
    <row r="228" spans="2:23" x14ac:dyDescent="0.2">
      <c r="B228" s="123" t="str">
        <f>B35</f>
        <v>SOURCES</v>
      </c>
      <c r="C228" s="123"/>
      <c r="D228" s="123"/>
      <c r="E228" s="173">
        <f t="shared" ref="E228:Q228" si="134">E4</f>
        <v>45658</v>
      </c>
      <c r="F228" s="173">
        <f t="shared" si="134"/>
        <v>46023</v>
      </c>
      <c r="G228" s="173">
        <f t="shared" si="134"/>
        <v>46388</v>
      </c>
      <c r="H228" s="173">
        <f t="shared" si="134"/>
        <v>46753</v>
      </c>
      <c r="I228" s="173">
        <f t="shared" si="134"/>
        <v>47119</v>
      </c>
      <c r="J228" s="173">
        <f t="shared" si="134"/>
        <v>47484</v>
      </c>
      <c r="K228" s="173">
        <f t="shared" si="134"/>
        <v>47849</v>
      </c>
      <c r="L228" s="173">
        <f t="shared" si="134"/>
        <v>48214</v>
      </c>
      <c r="M228" s="173">
        <f t="shared" si="134"/>
        <v>48580</v>
      </c>
      <c r="N228" s="173">
        <f t="shared" si="134"/>
        <v>48945</v>
      </c>
      <c r="O228" s="173">
        <f t="shared" si="134"/>
        <v>49310</v>
      </c>
      <c r="P228" s="173">
        <f t="shared" si="134"/>
        <v>49675</v>
      </c>
      <c r="Q228" s="173">
        <f t="shared" si="134"/>
        <v>50041</v>
      </c>
      <c r="R228" s="173" t="s">
        <v>228</v>
      </c>
      <c r="S228" s="7"/>
      <c r="V228" t="s">
        <v>579</v>
      </c>
      <c r="W228" t="s">
        <v>580</v>
      </c>
    </row>
    <row r="229" spans="2:23" x14ac:dyDescent="0.2">
      <c r="B229" t="str">
        <f>B38</f>
        <v>MTN ORIGINS - PURSUIT CAPITAL</v>
      </c>
      <c r="C229" s="12"/>
      <c r="D229" s="12"/>
      <c r="E229" s="174">
        <f>E38</f>
        <v>1500000</v>
      </c>
      <c r="F229" s="174">
        <f t="shared" ref="F229:R229" si="135">F38</f>
        <v>0</v>
      </c>
      <c r="G229" s="174">
        <f t="shared" si="135"/>
        <v>0</v>
      </c>
      <c r="H229" s="174">
        <f t="shared" si="135"/>
        <v>0</v>
      </c>
      <c r="I229" s="174">
        <f t="shared" si="135"/>
        <v>0</v>
      </c>
      <c r="J229" s="174">
        <f t="shared" si="135"/>
        <v>0</v>
      </c>
      <c r="K229" s="174">
        <f t="shared" si="135"/>
        <v>0</v>
      </c>
      <c r="L229" s="174">
        <f t="shared" si="135"/>
        <v>0</v>
      </c>
      <c r="M229" s="174">
        <f t="shared" si="135"/>
        <v>0</v>
      </c>
      <c r="N229" s="174">
        <f t="shared" si="135"/>
        <v>0</v>
      </c>
      <c r="O229" s="174">
        <f t="shared" si="135"/>
        <v>0</v>
      </c>
      <c r="P229" s="174">
        <f t="shared" si="135"/>
        <v>0</v>
      </c>
      <c r="Q229" s="174">
        <f t="shared" si="135"/>
        <v>0</v>
      </c>
      <c r="R229" s="174">
        <f t="shared" si="135"/>
        <v>1500000</v>
      </c>
      <c r="S229" s="174">
        <v>1500000</v>
      </c>
      <c r="T229" s="11">
        <f>R229-S229</f>
        <v>0</v>
      </c>
      <c r="U229" t="s">
        <v>581</v>
      </c>
      <c r="V229" t="s">
        <v>582</v>
      </c>
    </row>
    <row r="230" spans="2:23" x14ac:dyDescent="0.2">
      <c r="B230" t="str">
        <f>B39</f>
        <v>JV - EQUITY CAPITAL</v>
      </c>
      <c r="C230" s="12"/>
      <c r="D230" s="12"/>
      <c r="E230" s="174">
        <f t="shared" ref="E230:R230" si="136">E39</f>
        <v>10000000</v>
      </c>
      <c r="F230" s="174">
        <f t="shared" si="136"/>
        <v>0</v>
      </c>
      <c r="G230" s="174">
        <f t="shared" si="136"/>
        <v>0</v>
      </c>
      <c r="H230" s="174">
        <f t="shared" si="136"/>
        <v>0</v>
      </c>
      <c r="I230" s="174">
        <f t="shared" si="136"/>
        <v>0</v>
      </c>
      <c r="J230" s="174">
        <f t="shared" si="136"/>
        <v>0</v>
      </c>
      <c r="K230" s="174">
        <f t="shared" si="136"/>
        <v>0</v>
      </c>
      <c r="L230" s="174">
        <f t="shared" si="136"/>
        <v>0</v>
      </c>
      <c r="M230" s="174">
        <f t="shared" si="136"/>
        <v>0</v>
      </c>
      <c r="N230" s="174">
        <f t="shared" si="136"/>
        <v>0</v>
      </c>
      <c r="O230" s="174">
        <f t="shared" si="136"/>
        <v>0</v>
      </c>
      <c r="P230" s="174">
        <f t="shared" si="136"/>
        <v>0</v>
      </c>
      <c r="Q230" s="174">
        <f t="shared" si="136"/>
        <v>0</v>
      </c>
      <c r="R230" s="174">
        <f t="shared" si="136"/>
        <v>10000000</v>
      </c>
      <c r="S230" s="174">
        <v>8500000</v>
      </c>
      <c r="T230" s="11">
        <f t="shared" ref="T230:T238" si="137">R230-S230</f>
        <v>1500000</v>
      </c>
      <c r="U230" t="s">
        <v>581</v>
      </c>
      <c r="V230" t="s">
        <v>582</v>
      </c>
    </row>
    <row r="231" spans="2:23" x14ac:dyDescent="0.2">
      <c r="B231" t="str">
        <f>B43</f>
        <v>JV BRIDGE LOAN</v>
      </c>
      <c r="C231" s="12"/>
      <c r="D231" s="12"/>
      <c r="E231" s="174">
        <f t="shared" ref="E231:R231" si="138">E43</f>
        <v>15000000</v>
      </c>
      <c r="F231" s="174">
        <f t="shared" si="138"/>
        <v>0</v>
      </c>
      <c r="G231" s="174">
        <f t="shared" si="138"/>
        <v>0</v>
      </c>
      <c r="H231" s="174">
        <f t="shared" si="138"/>
        <v>0</v>
      </c>
      <c r="I231" s="174">
        <f t="shared" si="138"/>
        <v>0</v>
      </c>
      <c r="J231" s="174">
        <f t="shared" si="138"/>
        <v>0</v>
      </c>
      <c r="K231" s="174">
        <f t="shared" si="138"/>
        <v>0</v>
      </c>
      <c r="L231" s="174">
        <f t="shared" si="138"/>
        <v>0</v>
      </c>
      <c r="M231" s="174">
        <f t="shared" si="138"/>
        <v>0</v>
      </c>
      <c r="N231" s="174">
        <f t="shared" si="138"/>
        <v>0</v>
      </c>
      <c r="O231" s="174">
        <f t="shared" si="138"/>
        <v>0</v>
      </c>
      <c r="P231" s="174">
        <f t="shared" si="138"/>
        <v>0</v>
      </c>
      <c r="Q231" s="174">
        <f t="shared" si="138"/>
        <v>0</v>
      </c>
      <c r="R231" s="174">
        <f t="shared" si="138"/>
        <v>15000000</v>
      </c>
      <c r="S231" s="174">
        <v>0</v>
      </c>
      <c r="T231" s="11">
        <f t="shared" si="137"/>
        <v>15000000</v>
      </c>
      <c r="U231" t="s">
        <v>583</v>
      </c>
      <c r="V231" s="130" t="s">
        <v>584</v>
      </c>
      <c r="W231" s="130" t="s">
        <v>585</v>
      </c>
    </row>
    <row r="232" spans="2:23" x14ac:dyDescent="0.2">
      <c r="B232" t="str">
        <f>B44</f>
        <v>SELLER FINANCE</v>
      </c>
      <c r="C232" s="12"/>
      <c r="D232" s="12"/>
      <c r="E232" s="174">
        <f t="shared" ref="E232:R232" si="139">E44</f>
        <v>0</v>
      </c>
      <c r="F232" s="174">
        <f t="shared" si="139"/>
        <v>0</v>
      </c>
      <c r="G232" s="174">
        <f t="shared" si="139"/>
        <v>0</v>
      </c>
      <c r="H232" s="174">
        <f t="shared" si="139"/>
        <v>0</v>
      </c>
      <c r="I232" s="174">
        <f t="shared" si="139"/>
        <v>0</v>
      </c>
      <c r="J232" s="174">
        <f t="shared" si="139"/>
        <v>0</v>
      </c>
      <c r="K232" s="174">
        <f t="shared" si="139"/>
        <v>0</v>
      </c>
      <c r="L232" s="174">
        <f t="shared" si="139"/>
        <v>0</v>
      </c>
      <c r="M232" s="174">
        <f t="shared" si="139"/>
        <v>0</v>
      </c>
      <c r="N232" s="174">
        <f t="shared" si="139"/>
        <v>0</v>
      </c>
      <c r="O232" s="174">
        <f t="shared" si="139"/>
        <v>0</v>
      </c>
      <c r="P232" s="174">
        <f t="shared" si="139"/>
        <v>0</v>
      </c>
      <c r="Q232" s="174">
        <f t="shared" si="139"/>
        <v>0</v>
      </c>
      <c r="R232" s="174">
        <f t="shared" si="139"/>
        <v>0</v>
      </c>
      <c r="T232" s="11">
        <f t="shared" si="137"/>
        <v>0</v>
      </c>
      <c r="V232" s="130"/>
      <c r="W232" s="130"/>
    </row>
    <row r="233" spans="2:23" x14ac:dyDescent="0.2">
      <c r="B233" t="str">
        <f>B45</f>
        <v>EB5 - MEZZ DEBT</v>
      </c>
      <c r="C233" s="12"/>
      <c r="D233" s="12"/>
      <c r="E233" s="174">
        <f t="shared" ref="E233:R233" si="140">E45</f>
        <v>0</v>
      </c>
      <c r="F233" s="174">
        <f t="shared" si="140"/>
        <v>20800000</v>
      </c>
      <c r="G233" s="174">
        <f t="shared" si="140"/>
        <v>0</v>
      </c>
      <c r="H233" s="174">
        <f t="shared" si="140"/>
        <v>0</v>
      </c>
      <c r="I233" s="174">
        <f t="shared" si="140"/>
        <v>0</v>
      </c>
      <c r="J233" s="174">
        <f t="shared" si="140"/>
        <v>0</v>
      </c>
      <c r="K233" s="174">
        <f t="shared" si="140"/>
        <v>0</v>
      </c>
      <c r="L233" s="174">
        <f t="shared" si="140"/>
        <v>0</v>
      </c>
      <c r="M233" s="174">
        <f t="shared" si="140"/>
        <v>0</v>
      </c>
      <c r="N233" s="174">
        <f t="shared" si="140"/>
        <v>0</v>
      </c>
      <c r="O233" s="174">
        <f t="shared" si="140"/>
        <v>0</v>
      </c>
      <c r="P233" s="174">
        <f t="shared" si="140"/>
        <v>0</v>
      </c>
      <c r="Q233" s="174">
        <f t="shared" si="140"/>
        <v>0</v>
      </c>
      <c r="R233" s="174">
        <f t="shared" si="140"/>
        <v>20800000</v>
      </c>
      <c r="S233" s="174">
        <v>20750000</v>
      </c>
      <c r="T233" s="11">
        <f t="shared" si="137"/>
        <v>50000</v>
      </c>
      <c r="V233" s="130"/>
      <c r="W233" s="130"/>
    </row>
    <row r="234" spans="2:23" x14ac:dyDescent="0.2">
      <c r="B234" t="s">
        <v>586</v>
      </c>
      <c r="C234" s="12"/>
      <c r="D234" s="12"/>
      <c r="E234" s="174">
        <f t="shared" ref="E234:R234" si="141">E46+E47</f>
        <v>0</v>
      </c>
      <c r="F234" s="174">
        <f t="shared" si="141"/>
        <v>23892455.888845716</v>
      </c>
      <c r="G234" s="174">
        <f t="shared" si="141"/>
        <v>2867094.7066614856</v>
      </c>
      <c r="H234" s="174">
        <f t="shared" si="141"/>
        <v>3746337.0833710078</v>
      </c>
      <c r="I234" s="174">
        <f t="shared" si="141"/>
        <v>18529841.814676262</v>
      </c>
      <c r="J234" s="174">
        <f t="shared" si="141"/>
        <v>0</v>
      </c>
      <c r="K234" s="174">
        <f t="shared" si="141"/>
        <v>0</v>
      </c>
      <c r="L234" s="174">
        <f t="shared" si="141"/>
        <v>0</v>
      </c>
      <c r="M234" s="174">
        <f t="shared" si="141"/>
        <v>0</v>
      </c>
      <c r="N234" s="174">
        <f t="shared" si="141"/>
        <v>0</v>
      </c>
      <c r="O234" s="174">
        <f t="shared" si="141"/>
        <v>0</v>
      </c>
      <c r="P234" s="174">
        <f t="shared" si="141"/>
        <v>0</v>
      </c>
      <c r="Q234" s="174">
        <f t="shared" si="141"/>
        <v>0</v>
      </c>
      <c r="R234" s="174">
        <f t="shared" si="141"/>
        <v>49035729.493554473</v>
      </c>
      <c r="S234" s="174">
        <v>49961331.203156397</v>
      </c>
      <c r="T234" s="11">
        <f t="shared" si="137"/>
        <v>-925601.70960192382</v>
      </c>
      <c r="V234" s="130"/>
      <c r="W234" s="130"/>
    </row>
    <row r="235" spans="2:23" x14ac:dyDescent="0.2">
      <c r="B235" t="str">
        <f>B51</f>
        <v>LAND SALE TO AMENITY</v>
      </c>
      <c r="C235" s="61"/>
      <c r="D235" s="61"/>
      <c r="E235" s="552">
        <f t="shared" ref="E235:R235" si="142">E51+E50</f>
        <v>0</v>
      </c>
      <c r="F235" s="552">
        <f t="shared" si="142"/>
        <v>0</v>
      </c>
      <c r="G235" s="552">
        <f t="shared" si="142"/>
        <v>15000000</v>
      </c>
      <c r="H235" s="552">
        <f t="shared" si="142"/>
        <v>0</v>
      </c>
      <c r="I235" s="552">
        <f t="shared" si="142"/>
        <v>0</v>
      </c>
      <c r="J235" s="552">
        <f t="shared" si="142"/>
        <v>0</v>
      </c>
      <c r="K235" s="552">
        <f t="shared" si="142"/>
        <v>0</v>
      </c>
      <c r="L235" s="174">
        <f t="shared" si="142"/>
        <v>0</v>
      </c>
      <c r="M235" s="174">
        <f t="shared" si="142"/>
        <v>0</v>
      </c>
      <c r="N235" s="174">
        <f t="shared" si="142"/>
        <v>0</v>
      </c>
      <c r="O235" s="174">
        <f t="shared" si="142"/>
        <v>0</v>
      </c>
      <c r="P235" s="174">
        <f t="shared" si="142"/>
        <v>0</v>
      </c>
      <c r="Q235" s="174">
        <f t="shared" si="142"/>
        <v>0</v>
      </c>
      <c r="R235" s="174">
        <f t="shared" si="142"/>
        <v>15000000</v>
      </c>
      <c r="S235" s="174">
        <v>15000000</v>
      </c>
      <c r="T235" s="11">
        <f t="shared" si="137"/>
        <v>0</v>
      </c>
      <c r="V235" s="130"/>
      <c r="W235" s="130"/>
    </row>
    <row r="236" spans="2:23" x14ac:dyDescent="0.2">
      <c r="B236" t="str">
        <f>B56</f>
        <v>PRESALE REVENUES</v>
      </c>
      <c r="C236" s="61"/>
      <c r="D236" s="61"/>
      <c r="E236" s="552">
        <f t="shared" ref="E236:R236" si="143">E56</f>
        <v>0</v>
      </c>
      <c r="F236" s="552">
        <f t="shared" si="143"/>
        <v>5573750</v>
      </c>
      <c r="G236" s="552">
        <f t="shared" si="143"/>
        <v>12598687.5</v>
      </c>
      <c r="H236" s="552">
        <f t="shared" si="143"/>
        <v>23450625.000000004</v>
      </c>
      <c r="I236" s="552">
        <f t="shared" si="143"/>
        <v>30113875</v>
      </c>
      <c r="J236" s="552">
        <f t="shared" si="143"/>
        <v>10057368.750000002</v>
      </c>
      <c r="K236" s="552">
        <f t="shared" si="143"/>
        <v>0</v>
      </c>
      <c r="L236" s="174">
        <f t="shared" si="143"/>
        <v>0</v>
      </c>
      <c r="M236" s="174">
        <f t="shared" si="143"/>
        <v>0</v>
      </c>
      <c r="N236" s="174">
        <f t="shared" si="143"/>
        <v>0</v>
      </c>
      <c r="O236" s="174">
        <f t="shared" si="143"/>
        <v>0</v>
      </c>
      <c r="P236" s="174">
        <f t="shared" si="143"/>
        <v>0</v>
      </c>
      <c r="Q236" s="174">
        <f t="shared" si="143"/>
        <v>0</v>
      </c>
      <c r="R236" s="174">
        <f t="shared" si="143"/>
        <v>81794306.25</v>
      </c>
      <c r="S236" s="174">
        <v>67709709.375000015</v>
      </c>
      <c r="T236" s="11">
        <f t="shared" si="137"/>
        <v>14084596.874999985</v>
      </c>
      <c r="U236" t="s">
        <v>587</v>
      </c>
      <c r="V236" s="130">
        <v>1950</v>
      </c>
      <c r="W236" s="130">
        <v>2000</v>
      </c>
    </row>
    <row r="237" spans="2:23" x14ac:dyDescent="0.2">
      <c r="B237" t="str">
        <f>B57</f>
        <v>UNIT SALES</v>
      </c>
      <c r="C237" s="61"/>
      <c r="D237" s="61"/>
      <c r="E237" s="552">
        <f t="shared" ref="E237:R237" si="144">E57</f>
        <v>0</v>
      </c>
      <c r="F237" s="552">
        <f t="shared" si="144"/>
        <v>0</v>
      </c>
      <c r="G237" s="552">
        <f t="shared" si="144"/>
        <v>25908750</v>
      </c>
      <c r="H237" s="552">
        <f t="shared" si="144"/>
        <v>51751312.500000007</v>
      </c>
      <c r="I237" s="552">
        <f t="shared" si="144"/>
        <v>93616875.00000003</v>
      </c>
      <c r="J237" s="760">
        <f t="shared" si="144"/>
        <v>103984375.00000003</v>
      </c>
      <c r="K237" s="552">
        <f t="shared" si="144"/>
        <v>0</v>
      </c>
      <c r="L237" s="174">
        <f t="shared" si="144"/>
        <v>0</v>
      </c>
      <c r="M237" s="174">
        <f t="shared" si="144"/>
        <v>0</v>
      </c>
      <c r="N237" s="174">
        <f t="shared" si="144"/>
        <v>0</v>
      </c>
      <c r="O237" s="174">
        <f t="shared" si="144"/>
        <v>0</v>
      </c>
      <c r="P237" s="174">
        <f t="shared" si="144"/>
        <v>0</v>
      </c>
      <c r="Q237" s="174">
        <f t="shared" si="144"/>
        <v>0</v>
      </c>
      <c r="R237" s="174">
        <f t="shared" si="144"/>
        <v>275261312.50000006</v>
      </c>
      <c r="S237" s="174">
        <v>284196660.78125006</v>
      </c>
      <c r="T237" s="11">
        <f t="shared" si="137"/>
        <v>-8935348.28125</v>
      </c>
      <c r="U237" t="s">
        <v>588</v>
      </c>
      <c r="V237" t="s">
        <v>582</v>
      </c>
      <c r="W237" t="s">
        <v>589</v>
      </c>
    </row>
    <row r="238" spans="2:23" x14ac:dyDescent="0.2">
      <c r="B238" s="49" t="str">
        <f>B58</f>
        <v>TOTAL SOURCES</v>
      </c>
      <c r="C238" s="52"/>
      <c r="D238" s="52"/>
      <c r="E238" s="230">
        <f t="shared" ref="E238:R238" si="145">E58</f>
        <v>26500000</v>
      </c>
      <c r="F238" s="230">
        <f t="shared" si="145"/>
        <v>50266205.888845712</v>
      </c>
      <c r="G238" s="230">
        <f t="shared" si="145"/>
        <v>56374532.206661485</v>
      </c>
      <c r="H238" s="230">
        <f t="shared" si="145"/>
        <v>78948274.583371028</v>
      </c>
      <c r="I238" s="230">
        <f t="shared" si="145"/>
        <v>142260591.81467628</v>
      </c>
      <c r="J238" s="230">
        <f t="shared" si="145"/>
        <v>114041743.75000003</v>
      </c>
      <c r="K238" s="230">
        <f t="shared" si="145"/>
        <v>0</v>
      </c>
      <c r="L238" s="230">
        <f t="shared" si="145"/>
        <v>0</v>
      </c>
      <c r="M238" s="230">
        <f t="shared" si="145"/>
        <v>0</v>
      </c>
      <c r="N238" s="230">
        <f t="shared" si="145"/>
        <v>0</v>
      </c>
      <c r="O238" s="230">
        <f t="shared" si="145"/>
        <v>0</v>
      </c>
      <c r="P238" s="230">
        <f t="shared" si="145"/>
        <v>0</v>
      </c>
      <c r="Q238" s="230">
        <f t="shared" si="145"/>
        <v>0</v>
      </c>
      <c r="R238" s="230">
        <f t="shared" si="145"/>
        <v>468391348.24355459</v>
      </c>
      <c r="S238" s="174">
        <v>447617701.35940647</v>
      </c>
      <c r="T238" s="11">
        <f t="shared" si="137"/>
        <v>20773646.884148121</v>
      </c>
      <c r="U238" t="s">
        <v>590</v>
      </c>
      <c r="V238" t="s">
        <v>591</v>
      </c>
      <c r="W238" t="s">
        <v>592</v>
      </c>
    </row>
    <row r="239" spans="2:23" x14ac:dyDescent="0.2">
      <c r="C239" s="12"/>
      <c r="D239" s="12"/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</row>
    <row r="240" spans="2:23" x14ac:dyDescent="0.2">
      <c r="B240" s="123" t="str">
        <f>B60</f>
        <v>USES</v>
      </c>
      <c r="C240" s="36"/>
      <c r="D240" s="36"/>
      <c r="E240" s="180">
        <f t="shared" ref="E240:Q240" si="146">E4</f>
        <v>45658</v>
      </c>
      <c r="F240" s="180">
        <f t="shared" si="146"/>
        <v>46023</v>
      </c>
      <c r="G240" s="180">
        <f t="shared" si="146"/>
        <v>46388</v>
      </c>
      <c r="H240" s="180">
        <f t="shared" si="146"/>
        <v>46753</v>
      </c>
      <c r="I240" s="180">
        <f t="shared" si="146"/>
        <v>47119</v>
      </c>
      <c r="J240" s="180">
        <f t="shared" si="146"/>
        <v>47484</v>
      </c>
      <c r="K240" s="180">
        <f t="shared" si="146"/>
        <v>47849</v>
      </c>
      <c r="L240" s="180">
        <f t="shared" si="146"/>
        <v>48214</v>
      </c>
      <c r="M240" s="180">
        <f t="shared" si="146"/>
        <v>48580</v>
      </c>
      <c r="N240" s="180">
        <f t="shared" si="146"/>
        <v>48945</v>
      </c>
      <c r="O240" s="180">
        <f t="shared" si="146"/>
        <v>49310</v>
      </c>
      <c r="P240" s="180">
        <f t="shared" si="146"/>
        <v>49675</v>
      </c>
      <c r="Q240" s="180">
        <f t="shared" si="146"/>
        <v>50041</v>
      </c>
      <c r="R240" s="180" t="s">
        <v>228</v>
      </c>
    </row>
    <row r="241" spans="2:21" x14ac:dyDescent="0.2">
      <c r="B241" t="str">
        <f>B65</f>
        <v>LAND &amp; PROJECT ACQUISITION</v>
      </c>
      <c r="C241" s="61"/>
      <c r="D241" s="61"/>
      <c r="E241" s="552">
        <f t="shared" ref="E241:R241" si="147">E65</f>
        <v>18977750</v>
      </c>
      <c r="F241" s="552">
        <f t="shared" si="147"/>
        <v>0</v>
      </c>
      <c r="G241" s="552">
        <f t="shared" si="147"/>
        <v>0</v>
      </c>
      <c r="H241" s="552">
        <f t="shared" si="147"/>
        <v>0</v>
      </c>
      <c r="I241" s="552">
        <f t="shared" si="147"/>
        <v>0</v>
      </c>
      <c r="J241" s="552">
        <f t="shared" si="147"/>
        <v>0</v>
      </c>
      <c r="K241" s="552">
        <f t="shared" si="147"/>
        <v>0</v>
      </c>
      <c r="L241" s="552">
        <f t="shared" si="147"/>
        <v>0</v>
      </c>
      <c r="M241" s="174">
        <f t="shared" si="147"/>
        <v>0</v>
      </c>
      <c r="N241" s="174">
        <f t="shared" si="147"/>
        <v>0</v>
      </c>
      <c r="O241" s="174">
        <f t="shared" si="147"/>
        <v>0</v>
      </c>
      <c r="P241" s="174">
        <f t="shared" si="147"/>
        <v>0</v>
      </c>
      <c r="Q241" s="174">
        <f t="shared" si="147"/>
        <v>0</v>
      </c>
      <c r="R241" s="174">
        <f t="shared" si="147"/>
        <v>18977750</v>
      </c>
      <c r="S241" s="174">
        <v>25633000</v>
      </c>
      <c r="T241" s="11">
        <f>R241-S241</f>
        <v>-6655250</v>
      </c>
    </row>
    <row r="242" spans="2:21" x14ac:dyDescent="0.2">
      <c r="B242" t="str">
        <f>B85</f>
        <v>HARD COSTS - SITE, RESTORATION &amp; INFRASTRUCTURE</v>
      </c>
      <c r="C242" s="61"/>
      <c r="D242" s="61"/>
      <c r="E242" s="552">
        <f t="shared" ref="E242:R242" si="148">E85</f>
        <v>2556927.083333334</v>
      </c>
      <c r="F242" s="552">
        <f t="shared" si="148"/>
        <v>2637446.6145833335</v>
      </c>
      <c r="G242" s="552">
        <f t="shared" si="148"/>
        <v>1956218.1640625002</v>
      </c>
      <c r="H242" s="552">
        <f t="shared" si="148"/>
        <v>1547594.9576822917</v>
      </c>
      <c r="I242" s="552">
        <f t="shared" si="148"/>
        <v>0</v>
      </c>
      <c r="J242" s="552">
        <f t="shared" si="148"/>
        <v>0</v>
      </c>
      <c r="K242" s="552">
        <f t="shared" si="148"/>
        <v>0</v>
      </c>
      <c r="L242" s="552">
        <f t="shared" si="148"/>
        <v>0</v>
      </c>
      <c r="M242" s="174">
        <f t="shared" si="148"/>
        <v>0</v>
      </c>
      <c r="N242" s="174">
        <f t="shared" si="148"/>
        <v>0</v>
      </c>
      <c r="O242" s="174">
        <f t="shared" si="148"/>
        <v>0</v>
      </c>
      <c r="P242" s="174">
        <f t="shared" si="148"/>
        <v>0</v>
      </c>
      <c r="Q242" s="174">
        <f t="shared" si="148"/>
        <v>0</v>
      </c>
      <c r="R242" s="174">
        <f t="shared" si="148"/>
        <v>8698186.819661459</v>
      </c>
      <c r="S242" s="174">
        <v>8702853.780598959</v>
      </c>
      <c r="T242" s="11">
        <f t="shared" ref="T242:T252" si="149">R242-S242</f>
        <v>-4666.9609375</v>
      </c>
    </row>
    <row r="243" spans="2:21" x14ac:dyDescent="0.2">
      <c r="B243" t="str">
        <f>B94</f>
        <v>HARD COSTS - HOMES</v>
      </c>
      <c r="C243" s="61"/>
      <c r="D243" s="61"/>
      <c r="E243" s="552">
        <f t="shared" ref="E243:R243" si="150">E94</f>
        <v>420000</v>
      </c>
      <c r="F243" s="552">
        <f t="shared" si="150"/>
        <v>17640937.5</v>
      </c>
      <c r="G243" s="552">
        <f t="shared" si="150"/>
        <v>33360359.375</v>
      </c>
      <c r="H243" s="552">
        <f t="shared" si="150"/>
        <v>54646752.34375</v>
      </c>
      <c r="I243" s="552">
        <f t="shared" si="150"/>
        <v>55544308.7109375</v>
      </c>
      <c r="J243" s="552">
        <f t="shared" si="150"/>
        <v>2899961.646484375</v>
      </c>
      <c r="K243" s="552">
        <f t="shared" si="150"/>
        <v>0</v>
      </c>
      <c r="L243" s="552">
        <f t="shared" si="150"/>
        <v>0</v>
      </c>
      <c r="M243" s="174">
        <f t="shared" si="150"/>
        <v>0</v>
      </c>
      <c r="N243" s="174">
        <f t="shared" si="150"/>
        <v>0</v>
      </c>
      <c r="O243" s="174">
        <f t="shared" si="150"/>
        <v>0</v>
      </c>
      <c r="P243" s="174">
        <f t="shared" si="150"/>
        <v>0</v>
      </c>
      <c r="Q243" s="174">
        <f t="shared" si="150"/>
        <v>0</v>
      </c>
      <c r="R243" s="174">
        <f t="shared" si="150"/>
        <v>164512319.57617188</v>
      </c>
      <c r="S243" s="174">
        <v>164731027.45046875</v>
      </c>
      <c r="T243" s="11">
        <f t="shared" si="149"/>
        <v>-218707.87429687381</v>
      </c>
    </row>
    <row r="244" spans="2:21" x14ac:dyDescent="0.2">
      <c r="B244" t="str">
        <f>B104</f>
        <v>SOFT COSTS PROFESSIONALS - FINAL ENTITLEMENTS &amp; SITE INFRA.</v>
      </c>
      <c r="C244" s="61"/>
      <c r="D244" s="61"/>
      <c r="E244" s="552">
        <f t="shared" ref="E244:R244" si="151">E104</f>
        <v>1665598.59375</v>
      </c>
      <c r="F244" s="552">
        <f t="shared" si="151"/>
        <v>819669.375</v>
      </c>
      <c r="G244" s="552">
        <f t="shared" si="151"/>
        <v>685138.125</v>
      </c>
      <c r="H244" s="552">
        <f t="shared" si="151"/>
        <v>572909.53125</v>
      </c>
      <c r="I244" s="552">
        <f t="shared" si="151"/>
        <v>10000</v>
      </c>
      <c r="J244" s="552">
        <f t="shared" si="151"/>
        <v>10000</v>
      </c>
      <c r="K244" s="552">
        <f t="shared" si="151"/>
        <v>0</v>
      </c>
      <c r="L244" s="552">
        <f t="shared" si="151"/>
        <v>0</v>
      </c>
      <c r="M244" s="174">
        <f t="shared" si="151"/>
        <v>0</v>
      </c>
      <c r="N244" s="174">
        <f t="shared" si="151"/>
        <v>0</v>
      </c>
      <c r="O244" s="174">
        <f t="shared" si="151"/>
        <v>0</v>
      </c>
      <c r="P244" s="174">
        <f t="shared" si="151"/>
        <v>0</v>
      </c>
      <c r="Q244" s="174">
        <f t="shared" si="151"/>
        <v>0</v>
      </c>
      <c r="R244" s="174">
        <f t="shared" si="151"/>
        <v>3763315.625</v>
      </c>
      <c r="S244" s="174">
        <v>3773315.625</v>
      </c>
      <c r="T244" s="11">
        <f t="shared" si="149"/>
        <v>-10000</v>
      </c>
    </row>
    <row r="245" spans="2:21" x14ac:dyDescent="0.2">
      <c r="B245" t="str">
        <f>B118</f>
        <v>SOFT COSTS PROFESSIONALS - HOMES</v>
      </c>
      <c r="C245" s="61"/>
      <c r="D245" s="61"/>
      <c r="E245" s="552">
        <f t="shared" ref="E245:R245" si="152">E118</f>
        <v>519687.5</v>
      </c>
      <c r="F245" s="552">
        <f t="shared" si="152"/>
        <v>642665.625</v>
      </c>
      <c r="G245" s="552">
        <f t="shared" si="152"/>
        <v>1196146.875</v>
      </c>
      <c r="H245" s="552">
        <f t="shared" si="152"/>
        <v>1903682.8125</v>
      </c>
      <c r="I245" s="552">
        <f t="shared" si="152"/>
        <v>1879368.75</v>
      </c>
      <c r="J245" s="552">
        <f t="shared" si="152"/>
        <v>0</v>
      </c>
      <c r="K245" s="552">
        <f t="shared" si="152"/>
        <v>0</v>
      </c>
      <c r="L245" s="552">
        <f t="shared" si="152"/>
        <v>0</v>
      </c>
      <c r="M245" s="174">
        <f t="shared" si="152"/>
        <v>0</v>
      </c>
      <c r="N245" s="174">
        <f t="shared" si="152"/>
        <v>0</v>
      </c>
      <c r="O245" s="174">
        <f t="shared" si="152"/>
        <v>0</v>
      </c>
      <c r="P245" s="174">
        <f t="shared" si="152"/>
        <v>0</v>
      </c>
      <c r="Q245" s="174">
        <f t="shared" si="152"/>
        <v>0</v>
      </c>
      <c r="R245" s="174">
        <f t="shared" si="152"/>
        <v>6141551.5625</v>
      </c>
      <c r="S245" s="174">
        <v>6121864.0625</v>
      </c>
      <c r="T245" s="11">
        <f t="shared" si="149"/>
        <v>19687.5</v>
      </c>
    </row>
    <row r="246" spans="2:21" x14ac:dyDescent="0.2">
      <c r="B246" t="str">
        <f>B124</f>
        <v>SOFT COSTS - SALES</v>
      </c>
      <c r="C246" s="61"/>
      <c r="D246" s="61"/>
      <c r="E246" s="552">
        <f t="shared" ref="E246:R246" si="153">E124</f>
        <v>150000</v>
      </c>
      <c r="F246" s="552">
        <f t="shared" si="153"/>
        <v>475818.75</v>
      </c>
      <c r="G246" s="552">
        <f t="shared" si="153"/>
        <v>1882834.6875</v>
      </c>
      <c r="H246" s="552">
        <f t="shared" si="153"/>
        <v>3459087.1875000005</v>
      </c>
      <c r="I246" s="552">
        <f t="shared" si="153"/>
        <v>5642883.7500000009</v>
      </c>
      <c r="J246" s="552">
        <f t="shared" si="153"/>
        <v>5206878.4687500009</v>
      </c>
      <c r="K246" s="552">
        <f t="shared" si="153"/>
        <v>0</v>
      </c>
      <c r="L246" s="552">
        <f t="shared" si="153"/>
        <v>0</v>
      </c>
      <c r="M246" s="174">
        <f t="shared" si="153"/>
        <v>0</v>
      </c>
      <c r="N246" s="174">
        <f t="shared" si="153"/>
        <v>0</v>
      </c>
      <c r="O246" s="174">
        <f t="shared" si="153"/>
        <v>0</v>
      </c>
      <c r="P246" s="174">
        <f t="shared" si="153"/>
        <v>0</v>
      </c>
      <c r="Q246" s="174">
        <f t="shared" si="153"/>
        <v>0</v>
      </c>
      <c r="R246" s="174">
        <f t="shared" si="153"/>
        <v>16817502.84375</v>
      </c>
      <c r="S246" s="174">
        <v>13613849.735156253</v>
      </c>
      <c r="T246" s="11">
        <f t="shared" si="149"/>
        <v>3203653.108593747</v>
      </c>
    </row>
    <row r="247" spans="2:21" x14ac:dyDescent="0.2">
      <c r="B247" t="str">
        <f>B129</f>
        <v>SOFT COSTS - TAXES AND INSURANCE</v>
      </c>
      <c r="C247" s="61"/>
      <c r="D247" s="61"/>
      <c r="E247" s="552">
        <f t="shared" ref="E247:R247" si="154">E129</f>
        <v>27911.560496794875</v>
      </c>
      <c r="F247" s="552">
        <f t="shared" si="154"/>
        <v>123069.57416866985</v>
      </c>
      <c r="G247" s="552">
        <f t="shared" si="154"/>
        <v>204497.58672125399</v>
      </c>
      <c r="H247" s="552">
        <f t="shared" si="154"/>
        <v>316761.21785018523</v>
      </c>
      <c r="I247" s="552">
        <f t="shared" si="154"/>
        <v>309339.85175631009</v>
      </c>
      <c r="J247" s="552">
        <f t="shared" si="154"/>
        <v>15949.789055664061</v>
      </c>
      <c r="K247" s="552">
        <f t="shared" si="154"/>
        <v>0</v>
      </c>
      <c r="L247" s="552">
        <f t="shared" si="154"/>
        <v>0</v>
      </c>
      <c r="M247" s="174">
        <f t="shared" si="154"/>
        <v>0</v>
      </c>
      <c r="N247" s="174">
        <f t="shared" si="154"/>
        <v>0</v>
      </c>
      <c r="O247" s="174">
        <f t="shared" si="154"/>
        <v>0</v>
      </c>
      <c r="P247" s="174">
        <f t="shared" si="154"/>
        <v>0</v>
      </c>
      <c r="Q247" s="174">
        <f t="shared" si="154"/>
        <v>0</v>
      </c>
      <c r="R247" s="174">
        <f t="shared" si="154"/>
        <v>997529.5800488781</v>
      </c>
      <c r="S247" s="174">
        <v>993629.93651446211</v>
      </c>
      <c r="T247" s="11">
        <f t="shared" si="149"/>
        <v>3899.6435344159836</v>
      </c>
    </row>
    <row r="248" spans="2:21" x14ac:dyDescent="0.2">
      <c r="B248" t="str">
        <f>B135</f>
        <v>SOFT COSTS - MUNICIPALITY FEES</v>
      </c>
      <c r="C248" s="61"/>
      <c r="D248" s="61"/>
      <c r="E248" s="552">
        <f t="shared" ref="E248:R248" si="155">E135</f>
        <v>40850</v>
      </c>
      <c r="F248" s="552">
        <f t="shared" si="155"/>
        <v>224895.83333333331</v>
      </c>
      <c r="G248" s="552">
        <f t="shared" si="155"/>
        <v>449791.66666666663</v>
      </c>
      <c r="H248" s="552">
        <f t="shared" si="155"/>
        <v>674687.5</v>
      </c>
      <c r="I248" s="552">
        <f t="shared" si="155"/>
        <v>674687.5</v>
      </c>
      <c r="J248" s="552">
        <f t="shared" si="155"/>
        <v>0</v>
      </c>
      <c r="K248" s="552">
        <f t="shared" si="155"/>
        <v>0</v>
      </c>
      <c r="L248" s="552">
        <f t="shared" si="155"/>
        <v>0</v>
      </c>
      <c r="M248" s="174">
        <f t="shared" si="155"/>
        <v>0</v>
      </c>
      <c r="N248" s="174">
        <f t="shared" si="155"/>
        <v>0</v>
      </c>
      <c r="O248" s="174">
        <f t="shared" si="155"/>
        <v>0</v>
      </c>
      <c r="P248" s="174">
        <f t="shared" si="155"/>
        <v>0</v>
      </c>
      <c r="Q248" s="174">
        <f t="shared" si="155"/>
        <v>0</v>
      </c>
      <c r="R248" s="174">
        <f t="shared" si="155"/>
        <v>2064912.5</v>
      </c>
      <c r="S248" s="174">
        <v>2064912.4999999998</v>
      </c>
      <c r="T248" s="11">
        <f t="shared" si="149"/>
        <v>0</v>
      </c>
    </row>
    <row r="249" spans="2:21" x14ac:dyDescent="0.2">
      <c r="B249" t="str">
        <f>B141</f>
        <v xml:space="preserve">DEVELOPMENT FEES </v>
      </c>
      <c r="C249" s="61"/>
      <c r="D249" s="61"/>
      <c r="E249" s="552">
        <f t="shared" ref="E249:R249" si="156">E141</f>
        <v>1500000</v>
      </c>
      <c r="F249" s="552">
        <f t="shared" si="156"/>
        <v>1500000</v>
      </c>
      <c r="G249" s="552">
        <f t="shared" si="156"/>
        <v>1500000</v>
      </c>
      <c r="H249" s="552">
        <f t="shared" si="156"/>
        <v>1500000</v>
      </c>
      <c r="I249" s="552">
        <f t="shared" si="156"/>
        <v>1500000</v>
      </c>
      <c r="J249" s="552">
        <f t="shared" si="156"/>
        <v>1500000</v>
      </c>
      <c r="K249" s="552">
        <f t="shared" si="156"/>
        <v>0</v>
      </c>
      <c r="L249" s="552">
        <f t="shared" si="156"/>
        <v>0</v>
      </c>
      <c r="M249" s="174">
        <f t="shared" si="156"/>
        <v>0</v>
      </c>
      <c r="N249" s="174">
        <f t="shared" si="156"/>
        <v>0</v>
      </c>
      <c r="O249" s="174">
        <f t="shared" si="156"/>
        <v>0</v>
      </c>
      <c r="P249" s="174">
        <f t="shared" si="156"/>
        <v>0</v>
      </c>
      <c r="Q249" s="174">
        <f t="shared" si="156"/>
        <v>0</v>
      </c>
      <c r="R249" s="174">
        <f t="shared" si="156"/>
        <v>9000000</v>
      </c>
      <c r="S249" s="174">
        <v>12183933.215624999</v>
      </c>
      <c r="T249" s="11">
        <f t="shared" si="149"/>
        <v>-3183933.2156249993</v>
      </c>
    </row>
    <row r="250" spans="2:21" x14ac:dyDescent="0.2">
      <c r="B250" t="str">
        <f>B171</f>
        <v>FINANCING COSTS &amp; REPAYMENT</v>
      </c>
      <c r="C250" s="12"/>
      <c r="D250" s="12"/>
      <c r="E250" s="174">
        <f t="shared" ref="E250:R250" si="157">E171</f>
        <v>300000</v>
      </c>
      <c r="F250" s="174">
        <f t="shared" si="157"/>
        <v>25651177.879180249</v>
      </c>
      <c r="G250" s="174">
        <f t="shared" si="157"/>
        <v>7813494.7066614851</v>
      </c>
      <c r="H250" s="174">
        <f t="shared" si="157"/>
        <v>8692737.0833710078</v>
      </c>
      <c r="I250" s="174">
        <f t="shared" si="157"/>
        <v>7691929.8910990395</v>
      </c>
      <c r="J250" s="174">
        <f t="shared" si="157"/>
        <v>77448688.255950719</v>
      </c>
      <c r="K250" s="174">
        <f t="shared" si="157"/>
        <v>0</v>
      </c>
      <c r="L250" s="174">
        <f t="shared" si="157"/>
        <v>0</v>
      </c>
      <c r="M250" s="174">
        <f t="shared" si="157"/>
        <v>0</v>
      </c>
      <c r="N250" s="174">
        <f t="shared" si="157"/>
        <v>0</v>
      </c>
      <c r="O250" s="174">
        <f t="shared" si="157"/>
        <v>0</v>
      </c>
      <c r="P250" s="174">
        <f t="shared" si="157"/>
        <v>0</v>
      </c>
      <c r="Q250" s="174">
        <f t="shared" si="157"/>
        <v>0</v>
      </c>
      <c r="R250" s="174">
        <f t="shared" si="157"/>
        <v>127598027.8162625</v>
      </c>
      <c r="S250" s="174">
        <v>105827762.20939839</v>
      </c>
      <c r="T250" s="11">
        <f t="shared" si="149"/>
        <v>21770265.60686411</v>
      </c>
      <c r="U250" s="11"/>
    </row>
    <row r="251" spans="2:21" x14ac:dyDescent="0.2">
      <c r="B251" t="str">
        <f>B217</f>
        <v>DISTRIBUTIONS</v>
      </c>
      <c r="C251" s="12"/>
      <c r="D251" s="12"/>
      <c r="E251" s="174">
        <f t="shared" ref="E251:K251" si="158">E217</f>
        <v>0</v>
      </c>
      <c r="F251" s="174">
        <f>-F39</f>
        <v>0</v>
      </c>
      <c r="G251" s="174">
        <f t="shared" si="158"/>
        <v>6161190</v>
      </c>
      <c r="H251" s="174">
        <f t="shared" si="158"/>
        <v>12032310.000000002</v>
      </c>
      <c r="I251" s="174">
        <f t="shared" si="158"/>
        <v>63774686.330400556</v>
      </c>
      <c r="J251" s="174">
        <f t="shared" si="158"/>
        <v>26960265.589759283</v>
      </c>
      <c r="K251" s="174">
        <f t="shared" si="158"/>
        <v>7.4505805969238281E-9</v>
      </c>
      <c r="L251" s="174">
        <f t="shared" ref="L251:R251" si="159">L217</f>
        <v>0</v>
      </c>
      <c r="M251" s="174">
        <f t="shared" si="159"/>
        <v>0</v>
      </c>
      <c r="N251" s="174">
        <f t="shared" si="159"/>
        <v>0</v>
      </c>
      <c r="O251" s="174">
        <f t="shared" si="159"/>
        <v>0</v>
      </c>
      <c r="P251" s="174">
        <f t="shared" si="159"/>
        <v>0</v>
      </c>
      <c r="Q251" s="174">
        <f t="shared" si="159"/>
        <v>0</v>
      </c>
      <c r="R251" s="174">
        <f t="shared" si="159"/>
        <v>109820251.92015985</v>
      </c>
      <c r="S251" s="174">
        <v>103971552.84414467</v>
      </c>
      <c r="T251" s="11">
        <f t="shared" si="149"/>
        <v>5848699.0760151744</v>
      </c>
    </row>
    <row r="252" spans="2:21" x14ac:dyDescent="0.2">
      <c r="B252" s="49" t="str">
        <f>B219</f>
        <v>TOTAL USES</v>
      </c>
      <c r="C252" s="52"/>
      <c r="D252" s="52"/>
      <c r="E252" s="230">
        <f>E219</f>
        <v>26158724.737580128</v>
      </c>
      <c r="F252" s="230">
        <f t="shared" ref="F252:K252" si="160">F219</f>
        <v>50607481.151265584</v>
      </c>
      <c r="G252" s="230">
        <f t="shared" si="160"/>
        <v>55209671.186611906</v>
      </c>
      <c r="H252" s="230">
        <f t="shared" si="160"/>
        <v>85346522.633903489</v>
      </c>
      <c r="I252" s="230">
        <f t="shared" si="160"/>
        <v>137027204.7841934</v>
      </c>
      <c r="J252" s="230">
        <f t="shared" si="160"/>
        <v>114041743.75000003</v>
      </c>
      <c r="K252" s="230">
        <f t="shared" si="160"/>
        <v>7.4505805969238281E-9</v>
      </c>
      <c r="L252" s="230">
        <f t="shared" ref="L252:R252" si="161">L219</f>
        <v>0</v>
      </c>
      <c r="M252" s="230">
        <f t="shared" si="161"/>
        <v>0</v>
      </c>
      <c r="N252" s="230">
        <f t="shared" si="161"/>
        <v>0</v>
      </c>
      <c r="O252" s="230">
        <f t="shared" si="161"/>
        <v>0</v>
      </c>
      <c r="P252" s="230">
        <f t="shared" si="161"/>
        <v>0</v>
      </c>
      <c r="Q252" s="230">
        <f t="shared" si="161"/>
        <v>0</v>
      </c>
      <c r="R252" s="230">
        <f t="shared" si="161"/>
        <v>468391348.24355447</v>
      </c>
      <c r="S252" s="174">
        <v>447617701.35940647</v>
      </c>
      <c r="T252" s="11">
        <f t="shared" si="149"/>
        <v>20773646.884148002</v>
      </c>
    </row>
    <row r="253" spans="2:21" x14ac:dyDescent="0.2">
      <c r="B253" s="3"/>
      <c r="C253" s="23"/>
      <c r="D253" s="23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</row>
    <row r="254" spans="2:21" ht="21" x14ac:dyDescent="0.25">
      <c r="B254" s="511" t="s">
        <v>593</v>
      </c>
      <c r="C254" s="23"/>
      <c r="D254" s="23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</row>
    <row r="255" spans="2:21" x14ac:dyDescent="0.2">
      <c r="B255" s="123" t="s">
        <v>594</v>
      </c>
      <c r="C255" s="36"/>
      <c r="D255" s="180"/>
      <c r="E255" s="180">
        <f>E240</f>
        <v>45658</v>
      </c>
      <c r="F255" s="180">
        <f t="shared" ref="F255:R255" si="162">F240</f>
        <v>46023</v>
      </c>
      <c r="G255" s="180">
        <f t="shared" si="162"/>
        <v>46388</v>
      </c>
      <c r="H255" s="180">
        <f t="shared" si="162"/>
        <v>46753</v>
      </c>
      <c r="I255" s="180">
        <f t="shared" si="162"/>
        <v>47119</v>
      </c>
      <c r="J255" s="180">
        <f t="shared" si="162"/>
        <v>47484</v>
      </c>
      <c r="K255" s="180">
        <f t="shared" si="162"/>
        <v>47849</v>
      </c>
      <c r="L255" s="180">
        <f t="shared" si="162"/>
        <v>48214</v>
      </c>
      <c r="M255" s="180">
        <f t="shared" si="162"/>
        <v>48580</v>
      </c>
      <c r="N255" s="180">
        <f t="shared" si="162"/>
        <v>48945</v>
      </c>
      <c r="O255" s="180">
        <f t="shared" si="162"/>
        <v>49310</v>
      </c>
      <c r="P255" s="180">
        <f t="shared" si="162"/>
        <v>49675</v>
      </c>
      <c r="Q255" s="180">
        <f t="shared" si="162"/>
        <v>50041</v>
      </c>
      <c r="R255" s="180" t="str">
        <f t="shared" si="162"/>
        <v>TOTALS</v>
      </c>
    </row>
    <row r="256" spans="2:21" x14ac:dyDescent="0.2">
      <c r="B256" t="s">
        <v>595</v>
      </c>
      <c r="C256" s="12"/>
      <c r="D256" s="174"/>
      <c r="E256" s="174">
        <f>E56+E57</f>
        <v>0</v>
      </c>
      <c r="F256" s="174">
        <f t="shared" ref="F256:Q256" si="163">F56+F57</f>
        <v>5573750</v>
      </c>
      <c r="G256" s="174">
        <f t="shared" si="163"/>
        <v>38507437.5</v>
      </c>
      <c r="H256" s="174">
        <f t="shared" si="163"/>
        <v>75201937.500000015</v>
      </c>
      <c r="I256" s="174">
        <f t="shared" si="163"/>
        <v>123730750.00000003</v>
      </c>
      <c r="J256" s="174">
        <f t="shared" si="163"/>
        <v>114041743.75000003</v>
      </c>
      <c r="K256" s="174">
        <f t="shared" si="163"/>
        <v>0</v>
      </c>
      <c r="L256" s="174">
        <f t="shared" si="163"/>
        <v>0</v>
      </c>
      <c r="M256" s="174">
        <f t="shared" si="163"/>
        <v>0</v>
      </c>
      <c r="N256" s="174">
        <f t="shared" si="163"/>
        <v>0</v>
      </c>
      <c r="O256" s="174">
        <f t="shared" si="163"/>
        <v>0</v>
      </c>
      <c r="P256" s="174">
        <f t="shared" si="163"/>
        <v>0</v>
      </c>
      <c r="Q256" s="174">
        <f t="shared" si="163"/>
        <v>0</v>
      </c>
      <c r="R256" s="174">
        <f>SUM(E256:Q256)</f>
        <v>357055618.75000012</v>
      </c>
    </row>
    <row r="257" spans="2:18" x14ac:dyDescent="0.2">
      <c r="B257" t="s">
        <v>596</v>
      </c>
      <c r="C257" s="12"/>
      <c r="D257" s="174"/>
      <c r="E257" s="174">
        <f>E85+E94+E104+E118</f>
        <v>5162213.177083334</v>
      </c>
      <c r="F257" s="174">
        <f t="shared" ref="F257:Q257" si="164">F85+F94+F104+F118</f>
        <v>21740719.114583332</v>
      </c>
      <c r="G257" s="174">
        <f t="shared" si="164"/>
        <v>37197862.5390625</v>
      </c>
      <c r="H257" s="174">
        <f t="shared" si="164"/>
        <v>58670939.645182289</v>
      </c>
      <c r="I257" s="174">
        <f t="shared" si="164"/>
        <v>57433677.4609375</v>
      </c>
      <c r="J257" s="174">
        <f t="shared" si="164"/>
        <v>2909961.646484375</v>
      </c>
      <c r="K257" s="174">
        <f t="shared" si="164"/>
        <v>0</v>
      </c>
      <c r="L257" s="174">
        <f t="shared" si="164"/>
        <v>0</v>
      </c>
      <c r="M257" s="174">
        <f t="shared" si="164"/>
        <v>0</v>
      </c>
      <c r="N257" s="174">
        <f t="shared" si="164"/>
        <v>0</v>
      </c>
      <c r="O257" s="174">
        <f t="shared" si="164"/>
        <v>0</v>
      </c>
      <c r="P257" s="174">
        <f t="shared" si="164"/>
        <v>0</v>
      </c>
      <c r="Q257" s="174">
        <f t="shared" si="164"/>
        <v>0</v>
      </c>
      <c r="R257" s="174">
        <f t="shared" ref="R257:R259" si="165">SUM(E257:Q257)</f>
        <v>183115373.58333331</v>
      </c>
    </row>
    <row r="258" spans="2:18" x14ac:dyDescent="0.2">
      <c r="B258" s="222" t="s">
        <v>597</v>
      </c>
      <c r="C258" s="21"/>
      <c r="D258" s="436"/>
      <c r="E258" s="436">
        <f>E121</f>
        <v>0</v>
      </c>
      <c r="F258" s="436">
        <f t="shared" ref="F258:Q258" si="166">F121</f>
        <v>250818.75</v>
      </c>
      <c r="G258" s="436">
        <f t="shared" si="166"/>
        <v>1732834.6875</v>
      </c>
      <c r="H258" s="436">
        <f t="shared" si="166"/>
        <v>3384087.1875000005</v>
      </c>
      <c r="I258" s="436">
        <f t="shared" si="166"/>
        <v>5567883.7500000009</v>
      </c>
      <c r="J258" s="436">
        <f t="shared" si="166"/>
        <v>5131878.4687500009</v>
      </c>
      <c r="K258" s="436">
        <f t="shared" si="166"/>
        <v>0</v>
      </c>
      <c r="L258" s="436">
        <f t="shared" si="166"/>
        <v>0</v>
      </c>
      <c r="M258" s="436">
        <f t="shared" si="166"/>
        <v>0</v>
      </c>
      <c r="N258" s="436">
        <f t="shared" si="166"/>
        <v>0</v>
      </c>
      <c r="O258" s="436">
        <f t="shared" si="166"/>
        <v>0</v>
      </c>
      <c r="P258" s="436">
        <f t="shared" si="166"/>
        <v>0</v>
      </c>
      <c r="Q258" s="436">
        <f t="shared" si="166"/>
        <v>0</v>
      </c>
      <c r="R258" s="436">
        <f t="shared" si="165"/>
        <v>16067502.84375</v>
      </c>
    </row>
    <row r="259" spans="2:18" x14ac:dyDescent="0.2">
      <c r="B259" s="3" t="s">
        <v>598</v>
      </c>
      <c r="C259" s="23"/>
      <c r="D259" s="176"/>
      <c r="E259" s="176">
        <f>E256-E257-E258</f>
        <v>-5162213.177083334</v>
      </c>
      <c r="F259" s="176">
        <f t="shared" ref="F259:Q259" si="167">F256-F257-F258</f>
        <v>-16417787.864583332</v>
      </c>
      <c r="G259" s="176">
        <f t="shared" si="167"/>
        <v>-423259.7265625</v>
      </c>
      <c r="H259" s="176">
        <f t="shared" si="167"/>
        <v>13146910.667317726</v>
      </c>
      <c r="I259" s="176">
        <f t="shared" si="167"/>
        <v>60729188.78906253</v>
      </c>
      <c r="J259" s="176">
        <f t="shared" si="167"/>
        <v>105999903.63476565</v>
      </c>
      <c r="K259" s="176">
        <f t="shared" si="167"/>
        <v>0</v>
      </c>
      <c r="L259" s="176">
        <f t="shared" si="167"/>
        <v>0</v>
      </c>
      <c r="M259" s="176">
        <f t="shared" si="167"/>
        <v>0</v>
      </c>
      <c r="N259" s="176">
        <f t="shared" si="167"/>
        <v>0</v>
      </c>
      <c r="O259" s="176">
        <f t="shared" si="167"/>
        <v>0</v>
      </c>
      <c r="P259" s="176">
        <f t="shared" si="167"/>
        <v>0</v>
      </c>
      <c r="Q259" s="176">
        <f t="shared" si="167"/>
        <v>0</v>
      </c>
      <c r="R259" s="176">
        <f t="shared" si="165"/>
        <v>157872742.32291675</v>
      </c>
    </row>
    <row r="261" spans="2:18" x14ac:dyDescent="0.2">
      <c r="B261" s="123" t="s">
        <v>599</v>
      </c>
      <c r="C261" s="36"/>
      <c r="D261" s="180"/>
      <c r="E261" s="180">
        <f>E255</f>
        <v>45658</v>
      </c>
      <c r="F261" s="180">
        <f t="shared" ref="F261:R261" si="168">F255</f>
        <v>46023</v>
      </c>
      <c r="G261" s="180">
        <f t="shared" si="168"/>
        <v>46388</v>
      </c>
      <c r="H261" s="180">
        <f t="shared" si="168"/>
        <v>46753</v>
      </c>
      <c r="I261" s="180">
        <f t="shared" si="168"/>
        <v>47119</v>
      </c>
      <c r="J261" s="180">
        <f t="shared" si="168"/>
        <v>47484</v>
      </c>
      <c r="K261" s="180">
        <f t="shared" si="168"/>
        <v>47849</v>
      </c>
      <c r="L261" s="180">
        <f t="shared" si="168"/>
        <v>48214</v>
      </c>
      <c r="M261" s="180">
        <f t="shared" si="168"/>
        <v>48580</v>
      </c>
      <c r="N261" s="180">
        <f t="shared" si="168"/>
        <v>48945</v>
      </c>
      <c r="O261" s="180">
        <f t="shared" si="168"/>
        <v>49310</v>
      </c>
      <c r="P261" s="180">
        <f t="shared" si="168"/>
        <v>49675</v>
      </c>
      <c r="Q261" s="180">
        <f t="shared" si="168"/>
        <v>50041</v>
      </c>
      <c r="R261" s="180" t="str">
        <f t="shared" si="168"/>
        <v>TOTALS</v>
      </c>
    </row>
    <row r="262" spans="2:18" x14ac:dyDescent="0.2">
      <c r="B262" t="s">
        <v>595</v>
      </c>
      <c r="C262" s="12"/>
      <c r="D262" s="174"/>
      <c r="E262" s="174">
        <f>'Proforma A+H'!G288</f>
        <v>0</v>
      </c>
      <c r="F262" s="174">
        <f>'Proforma A+H'!H288</f>
        <v>0</v>
      </c>
      <c r="G262" s="174">
        <f>'Proforma A+H'!I288</f>
        <v>0</v>
      </c>
      <c r="H262" s="174">
        <f>'Proforma A+H'!J288</f>
        <v>14437500</v>
      </c>
      <c r="I262" s="174">
        <f>'Proforma A+H'!K288</f>
        <v>57131250</v>
      </c>
      <c r="J262" s="174">
        <f>'Proforma A+H'!L288</f>
        <v>62844375.000000015</v>
      </c>
      <c r="K262" s="174">
        <f>'Proforma A+H'!M288</f>
        <v>0</v>
      </c>
      <c r="L262" s="174">
        <f>'Proforma A+H'!N288</f>
        <v>0</v>
      </c>
      <c r="M262" s="174">
        <f>'Proforma A+H'!O288</f>
        <v>0</v>
      </c>
      <c r="N262" s="174">
        <f>'Proforma A+H'!P288</f>
        <v>0</v>
      </c>
      <c r="O262" s="174">
        <f>'Proforma A+H'!Q288</f>
        <v>0</v>
      </c>
      <c r="P262" s="174">
        <f>'Proforma A+H'!R288</f>
        <v>0</v>
      </c>
      <c r="Q262" s="174">
        <f>'Proforma A+H'!S288</f>
        <v>0</v>
      </c>
      <c r="R262" s="174">
        <f>'Proforma A+H'!T288</f>
        <v>134413125</v>
      </c>
    </row>
    <row r="263" spans="2:18" x14ac:dyDescent="0.2">
      <c r="B263" t="s">
        <v>596</v>
      </c>
      <c r="C263" s="12"/>
      <c r="D263" s="174"/>
      <c r="E263" s="174">
        <f>'Proforma A+H'!G289</f>
        <v>224440.86754464405</v>
      </c>
      <c r="F263" s="174">
        <f>'Proforma A+H'!H289</f>
        <v>1783282.0886023198</v>
      </c>
      <c r="G263" s="174">
        <f>'Proforma A+H'!I289</f>
        <v>8913770.6242005304</v>
      </c>
      <c r="H263" s="174">
        <f>'Proforma A+H'!J289</f>
        <v>21600173.644698951</v>
      </c>
      <c r="I263" s="174">
        <f>'Proforma A+H'!K289</f>
        <v>18751681.771755259</v>
      </c>
      <c r="J263" s="174">
        <f>'Proforma A+H'!L289</f>
        <v>663038.71163882443</v>
      </c>
      <c r="K263" s="174">
        <f>'Proforma A+H'!M289</f>
        <v>0</v>
      </c>
      <c r="L263" s="174">
        <f>'Proforma A+H'!N289</f>
        <v>0</v>
      </c>
      <c r="M263" s="174">
        <f>'Proforma A+H'!O289</f>
        <v>0</v>
      </c>
      <c r="N263" s="174">
        <f>'Proforma A+H'!P289</f>
        <v>0</v>
      </c>
      <c r="O263" s="174">
        <f>'Proforma A+H'!Q289</f>
        <v>0</v>
      </c>
      <c r="P263" s="174">
        <f>'Proforma A+H'!R289</f>
        <v>0</v>
      </c>
      <c r="Q263" s="174">
        <f>'Proforma A+H'!S289</f>
        <v>0</v>
      </c>
      <c r="R263" s="174">
        <f>'Proforma A+H'!T289</f>
        <v>51936387.708440527</v>
      </c>
    </row>
    <row r="264" spans="2:18" x14ac:dyDescent="0.2">
      <c r="B264" s="222" t="s">
        <v>597</v>
      </c>
      <c r="C264" s="21"/>
      <c r="D264" s="436"/>
      <c r="E264" s="436">
        <f>'Proforma A+H'!G290</f>
        <v>0</v>
      </c>
      <c r="F264" s="436">
        <f>'Proforma A+H'!H290</f>
        <v>0</v>
      </c>
      <c r="G264" s="436">
        <f>'Proforma A+H'!I290</f>
        <v>0</v>
      </c>
      <c r="H264" s="436">
        <f>'Proforma A+H'!J290</f>
        <v>649687.5</v>
      </c>
      <c r="I264" s="436">
        <f>'Proforma A+H'!K290</f>
        <v>2570906.25</v>
      </c>
      <c r="J264" s="436">
        <f>'Proforma A+H'!L290</f>
        <v>2827996.8750000005</v>
      </c>
      <c r="K264" s="436">
        <f>'Proforma A+H'!M290</f>
        <v>0</v>
      </c>
      <c r="L264" s="436">
        <f>'Proforma A+H'!N290</f>
        <v>0</v>
      </c>
      <c r="M264" s="436">
        <f>'Proforma A+H'!O290</f>
        <v>0</v>
      </c>
      <c r="N264" s="436">
        <f>'Proforma A+H'!P290</f>
        <v>0</v>
      </c>
      <c r="O264" s="436">
        <f>'Proforma A+H'!Q290</f>
        <v>0</v>
      </c>
      <c r="P264" s="436">
        <f>'Proforma A+H'!R290</f>
        <v>0</v>
      </c>
      <c r="Q264" s="436">
        <f>'Proforma A+H'!S290</f>
        <v>0</v>
      </c>
      <c r="R264" s="436">
        <f>'Proforma A+H'!T290</f>
        <v>6048590.625</v>
      </c>
    </row>
    <row r="265" spans="2:18" x14ac:dyDescent="0.2">
      <c r="B265" s="3" t="s">
        <v>598</v>
      </c>
      <c r="C265" s="23"/>
      <c r="D265" s="176"/>
      <c r="E265" s="176">
        <f>'Proforma A+H'!G291</f>
        <v>-224440.86754464405</v>
      </c>
      <c r="F265" s="176">
        <f>'Proforma A+H'!H291</f>
        <v>-1783282.0886023198</v>
      </c>
      <c r="G265" s="176">
        <f>'Proforma A+H'!I291</f>
        <v>-8913770.6242005304</v>
      </c>
      <c r="H265" s="176">
        <f>'Proforma A+H'!J291</f>
        <v>-7812361.1446989514</v>
      </c>
      <c r="I265" s="176">
        <f>'Proforma A+H'!K291</f>
        <v>35808661.978244737</v>
      </c>
      <c r="J265" s="176">
        <f>'Proforma A+H'!L291</f>
        <v>59353339.413361192</v>
      </c>
      <c r="K265" s="176">
        <f>'Proforma A+H'!M291</f>
        <v>0</v>
      </c>
      <c r="L265" s="176">
        <f>'Proforma A+H'!N291</f>
        <v>0</v>
      </c>
      <c r="M265" s="176">
        <f>'Proforma A+H'!O291</f>
        <v>0</v>
      </c>
      <c r="N265" s="176">
        <f>'Proforma A+H'!P291</f>
        <v>0</v>
      </c>
      <c r="O265" s="176">
        <f>'Proforma A+H'!Q291</f>
        <v>0</v>
      </c>
      <c r="P265" s="176">
        <f>'Proforma A+H'!R291</f>
        <v>0</v>
      </c>
      <c r="Q265" s="176">
        <f>'Proforma A+H'!S291</f>
        <v>0</v>
      </c>
      <c r="R265" s="176">
        <f>'Proforma A+H'!T291</f>
        <v>76428146.666559488</v>
      </c>
    </row>
    <row r="267" spans="2:18" x14ac:dyDescent="0.2">
      <c r="B267" s="123" t="s">
        <v>600</v>
      </c>
      <c r="C267" s="36"/>
      <c r="D267" s="180"/>
      <c r="E267" s="180">
        <f>E255</f>
        <v>45658</v>
      </c>
      <c r="F267" s="180">
        <f t="shared" ref="F267:R267" si="169">F255</f>
        <v>46023</v>
      </c>
      <c r="G267" s="180">
        <f t="shared" si="169"/>
        <v>46388</v>
      </c>
      <c r="H267" s="180">
        <f t="shared" si="169"/>
        <v>46753</v>
      </c>
      <c r="I267" s="180">
        <f t="shared" si="169"/>
        <v>47119</v>
      </c>
      <c r="J267" s="180">
        <f t="shared" si="169"/>
        <v>47484</v>
      </c>
      <c r="K267" s="180">
        <f t="shared" si="169"/>
        <v>47849</v>
      </c>
      <c r="L267" s="180">
        <f t="shared" si="169"/>
        <v>48214</v>
      </c>
      <c r="M267" s="180">
        <f t="shared" si="169"/>
        <v>48580</v>
      </c>
      <c r="N267" s="180">
        <f t="shared" si="169"/>
        <v>48945</v>
      </c>
      <c r="O267" s="180">
        <f t="shared" si="169"/>
        <v>49310</v>
      </c>
      <c r="P267" s="180">
        <f t="shared" si="169"/>
        <v>49675</v>
      </c>
      <c r="Q267" s="180">
        <f t="shared" si="169"/>
        <v>50041</v>
      </c>
      <c r="R267" s="180" t="str">
        <f t="shared" si="169"/>
        <v>TOTALS</v>
      </c>
    </row>
    <row r="268" spans="2:18" x14ac:dyDescent="0.2">
      <c r="B268" t="s">
        <v>595</v>
      </c>
      <c r="C268" s="12"/>
      <c r="D268" s="174"/>
      <c r="E268" s="174">
        <f>E256+E262</f>
        <v>0</v>
      </c>
      <c r="F268" s="174">
        <f t="shared" ref="F268:R268" si="170">F256+F262</f>
        <v>5573750</v>
      </c>
      <c r="G268" s="174">
        <f t="shared" si="170"/>
        <v>38507437.5</v>
      </c>
      <c r="H268" s="174">
        <f t="shared" si="170"/>
        <v>89639437.500000015</v>
      </c>
      <c r="I268" s="174">
        <f t="shared" si="170"/>
        <v>180862000.00000003</v>
      </c>
      <c r="J268" s="174">
        <f t="shared" si="170"/>
        <v>176886118.75000006</v>
      </c>
      <c r="K268" s="174">
        <f t="shared" si="170"/>
        <v>0</v>
      </c>
      <c r="L268" s="174">
        <f t="shared" si="170"/>
        <v>0</v>
      </c>
      <c r="M268" s="174">
        <f t="shared" si="170"/>
        <v>0</v>
      </c>
      <c r="N268" s="174">
        <f t="shared" si="170"/>
        <v>0</v>
      </c>
      <c r="O268" s="174">
        <f t="shared" si="170"/>
        <v>0</v>
      </c>
      <c r="P268" s="174">
        <f t="shared" si="170"/>
        <v>0</v>
      </c>
      <c r="Q268" s="174">
        <f t="shared" si="170"/>
        <v>0</v>
      </c>
      <c r="R268" s="174">
        <f t="shared" si="170"/>
        <v>491468743.75000012</v>
      </c>
    </row>
    <row r="269" spans="2:18" x14ac:dyDescent="0.2">
      <c r="B269" t="s">
        <v>596</v>
      </c>
      <c r="C269" s="12"/>
      <c r="D269" s="174"/>
      <c r="E269" s="174">
        <f t="shared" ref="E269:R271" si="171">E257+E263</f>
        <v>5386654.0446279775</v>
      </c>
      <c r="F269" s="174">
        <f t="shared" si="171"/>
        <v>23524001.203185651</v>
      </c>
      <c r="G269" s="174">
        <f t="shared" si="171"/>
        <v>46111633.16326303</v>
      </c>
      <c r="H269" s="174">
        <f t="shared" si="171"/>
        <v>80271113.289881244</v>
      </c>
      <c r="I269" s="174">
        <f t="shared" si="171"/>
        <v>76185359.232692763</v>
      </c>
      <c r="J269" s="174">
        <f t="shared" si="171"/>
        <v>3573000.3581231995</v>
      </c>
      <c r="K269" s="174">
        <f t="shared" si="171"/>
        <v>0</v>
      </c>
      <c r="L269" s="174">
        <f t="shared" si="171"/>
        <v>0</v>
      </c>
      <c r="M269" s="174">
        <f t="shared" si="171"/>
        <v>0</v>
      </c>
      <c r="N269" s="174">
        <f t="shared" si="171"/>
        <v>0</v>
      </c>
      <c r="O269" s="174">
        <f t="shared" si="171"/>
        <v>0</v>
      </c>
      <c r="P269" s="174">
        <f t="shared" si="171"/>
        <v>0</v>
      </c>
      <c r="Q269" s="174">
        <f t="shared" si="171"/>
        <v>0</v>
      </c>
      <c r="R269" s="174">
        <f t="shared" si="171"/>
        <v>235051761.29177386</v>
      </c>
    </row>
    <row r="270" spans="2:18" x14ac:dyDescent="0.2">
      <c r="B270" s="222" t="s">
        <v>597</v>
      </c>
      <c r="C270" s="21"/>
      <c r="D270" s="436"/>
      <c r="E270" s="436">
        <f t="shared" si="171"/>
        <v>0</v>
      </c>
      <c r="F270" s="436">
        <f t="shared" si="171"/>
        <v>250818.75</v>
      </c>
      <c r="G270" s="436">
        <f t="shared" si="171"/>
        <v>1732834.6875</v>
      </c>
      <c r="H270" s="436">
        <f t="shared" si="171"/>
        <v>4033774.6875000005</v>
      </c>
      <c r="I270" s="436">
        <f t="shared" si="171"/>
        <v>8138790.0000000009</v>
      </c>
      <c r="J270" s="436">
        <f t="shared" si="171"/>
        <v>7959875.3437500019</v>
      </c>
      <c r="K270" s="436">
        <f t="shared" si="171"/>
        <v>0</v>
      </c>
      <c r="L270" s="436">
        <f t="shared" si="171"/>
        <v>0</v>
      </c>
      <c r="M270" s="436">
        <f t="shared" si="171"/>
        <v>0</v>
      </c>
      <c r="N270" s="436">
        <f t="shared" si="171"/>
        <v>0</v>
      </c>
      <c r="O270" s="436">
        <f t="shared" si="171"/>
        <v>0</v>
      </c>
      <c r="P270" s="436">
        <f t="shared" si="171"/>
        <v>0</v>
      </c>
      <c r="Q270" s="436">
        <f t="shared" si="171"/>
        <v>0</v>
      </c>
      <c r="R270" s="436">
        <f t="shared" si="171"/>
        <v>22116093.46875</v>
      </c>
    </row>
    <row r="271" spans="2:18" x14ac:dyDescent="0.2">
      <c r="B271" s="3" t="s">
        <v>598</v>
      </c>
      <c r="C271" s="23"/>
      <c r="D271" s="176"/>
      <c r="E271" s="176">
        <f t="shared" si="171"/>
        <v>-5386654.0446279775</v>
      </c>
      <c r="F271" s="176">
        <f t="shared" si="171"/>
        <v>-18201069.953185651</v>
      </c>
      <c r="G271" s="176">
        <f t="shared" si="171"/>
        <v>-9337030.3507630304</v>
      </c>
      <c r="H271" s="176">
        <f t="shared" si="171"/>
        <v>5334549.5226187743</v>
      </c>
      <c r="I271" s="176">
        <f t="shared" si="171"/>
        <v>96537850.767307267</v>
      </c>
      <c r="J271" s="176">
        <f t="shared" si="171"/>
        <v>165353243.04812685</v>
      </c>
      <c r="K271" s="176">
        <f t="shared" si="171"/>
        <v>0</v>
      </c>
      <c r="L271" s="176">
        <f t="shared" si="171"/>
        <v>0</v>
      </c>
      <c r="M271" s="176">
        <f t="shared" si="171"/>
        <v>0</v>
      </c>
      <c r="N271" s="176">
        <f t="shared" si="171"/>
        <v>0</v>
      </c>
      <c r="O271" s="176">
        <f t="shared" si="171"/>
        <v>0</v>
      </c>
      <c r="P271" s="176">
        <f t="shared" si="171"/>
        <v>0</v>
      </c>
      <c r="Q271" s="176">
        <f t="shared" si="171"/>
        <v>0</v>
      </c>
      <c r="R271" s="176">
        <f t="shared" si="171"/>
        <v>234300888.98947623</v>
      </c>
    </row>
  </sheetData>
  <mergeCells count="3">
    <mergeCell ref="AD222:AI222"/>
    <mergeCell ref="S4:S5"/>
    <mergeCell ref="T152:U152"/>
  </mergeCells>
  <phoneticPr fontId="20" type="noConversion"/>
  <pageMargins left="0.7" right="0.7" top="0.5" bottom="0.5" header="0.3" footer="0.3"/>
  <pageSetup scale="48" fitToHeight="4" orientation="landscape" r:id="rId1"/>
  <headerFooter>
    <oddHeader xml:space="preserve">&amp;L&amp;"Calibri,Regular"&amp;1&amp;K000000
</oddHeader>
    <oddFooter>&amp;L&amp;"Calibri,Regular"&amp;16&amp;K000000&amp;D&amp;R&amp;"Calibri,Regular"&amp;16&amp;K000000Page &amp;P</oddFooter>
  </headerFooter>
  <rowBreaks count="1" manualBreakCount="1">
    <brk id="66" max="1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51" r:id="rId4" name="Button 3">
              <controlPr defaultSize="0" print="0" autoFill="0" autoPict="0" macro="[0]!AMU">
                <anchor moveWithCells="1" sizeWithCells="1">
                  <from>
                    <xdr:col>22</xdr:col>
                    <xdr:colOff>342900</xdr:colOff>
                    <xdr:row>137</xdr:row>
                    <xdr:rowOff>38100</xdr:rowOff>
                  </from>
                  <to>
                    <xdr:col>23</xdr:col>
                    <xdr:colOff>876300</xdr:colOff>
                    <xdr:row>140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F91C0-55EF-4D55-91C0-D2002C92C4EC}">
  <sheetPr>
    <tabColor theme="9" tint="0.59999389629810485"/>
    <pageSetUpPr fitToPage="1"/>
  </sheetPr>
  <dimension ref="A1:BB165"/>
  <sheetViews>
    <sheetView showGridLines="0" zoomScale="86" zoomScaleNormal="90" zoomScaleSheetLayoutView="90" zoomScalePageLayoutView="5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N165" sqref="AN165"/>
    </sheetView>
  </sheetViews>
  <sheetFormatPr baseColWidth="10" defaultColWidth="11" defaultRowHeight="16" outlineLevelRow="1" x14ac:dyDescent="0.2"/>
  <cols>
    <col min="1" max="1" width="4.1640625" customWidth="1"/>
    <col min="2" max="2" width="55.1640625" customWidth="1"/>
    <col min="3" max="3" width="18.1640625" hidden="1" customWidth="1"/>
    <col min="4" max="4" width="11.6640625" customWidth="1"/>
    <col min="5" max="53" width="15" customWidth="1"/>
    <col min="54" max="54" width="11.5" style="758" bestFit="1" customWidth="1"/>
  </cols>
  <sheetData>
    <row r="1" spans="1:54" ht="21" x14ac:dyDescent="0.25">
      <c r="A1" s="2"/>
      <c r="B1" s="511" t="s">
        <v>448</v>
      </c>
      <c r="C1" s="584"/>
      <c r="D1" s="584"/>
    </row>
    <row r="2" spans="1:54" ht="21" x14ac:dyDescent="0.25">
      <c r="A2" s="2"/>
      <c r="B2" s="582" t="s">
        <v>217</v>
      </c>
      <c r="C2" s="582"/>
      <c r="D2" s="58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4" x14ac:dyDescent="0.2">
      <c r="A3" s="2"/>
      <c r="B3" s="191"/>
      <c r="C3" s="191"/>
      <c r="D3" s="191"/>
      <c r="E3" s="247">
        <v>0</v>
      </c>
      <c r="F3" s="247">
        <v>0</v>
      </c>
      <c r="G3" s="247">
        <v>0</v>
      </c>
      <c r="H3" s="247">
        <v>0</v>
      </c>
      <c r="I3" s="247">
        <v>0</v>
      </c>
      <c r="J3" s="247">
        <v>0</v>
      </c>
      <c r="K3" s="247">
        <v>0</v>
      </c>
      <c r="L3" s="247">
        <v>0</v>
      </c>
      <c r="M3" s="247">
        <v>0</v>
      </c>
      <c r="N3" s="247">
        <v>0</v>
      </c>
      <c r="O3" s="247">
        <v>0</v>
      </c>
      <c r="P3" s="247">
        <v>0</v>
      </c>
      <c r="Q3" s="247">
        <f>E3+1</f>
        <v>1</v>
      </c>
      <c r="R3" s="247">
        <f t="shared" ref="R3:AB3" si="0">F3+1</f>
        <v>1</v>
      </c>
      <c r="S3" s="247">
        <f t="shared" si="0"/>
        <v>1</v>
      </c>
      <c r="T3" s="247">
        <f t="shared" si="0"/>
        <v>1</v>
      </c>
      <c r="U3" s="247">
        <f t="shared" si="0"/>
        <v>1</v>
      </c>
      <c r="V3" s="247">
        <f t="shared" si="0"/>
        <v>1</v>
      </c>
      <c r="W3" s="247">
        <f t="shared" si="0"/>
        <v>1</v>
      </c>
      <c r="X3" s="247">
        <f t="shared" si="0"/>
        <v>1</v>
      </c>
      <c r="Y3" s="247">
        <f t="shared" si="0"/>
        <v>1</v>
      </c>
      <c r="Z3" s="247">
        <f t="shared" si="0"/>
        <v>1</v>
      </c>
      <c r="AA3" s="247">
        <f t="shared" si="0"/>
        <v>1</v>
      </c>
      <c r="AB3" s="247">
        <f t="shared" si="0"/>
        <v>1</v>
      </c>
      <c r="AC3" s="247">
        <f>Q3+1</f>
        <v>2</v>
      </c>
      <c r="AD3" s="247">
        <f t="shared" ref="AD3:AZ3" si="1">R3+1</f>
        <v>2</v>
      </c>
      <c r="AE3" s="247">
        <f t="shared" si="1"/>
        <v>2</v>
      </c>
      <c r="AF3" s="247">
        <f t="shared" si="1"/>
        <v>2</v>
      </c>
      <c r="AG3" s="247">
        <f t="shared" si="1"/>
        <v>2</v>
      </c>
      <c r="AH3" s="247">
        <f t="shared" si="1"/>
        <v>2</v>
      </c>
      <c r="AI3" s="247">
        <f t="shared" si="1"/>
        <v>2</v>
      </c>
      <c r="AJ3" s="247">
        <f t="shared" si="1"/>
        <v>2</v>
      </c>
      <c r="AK3" s="247">
        <f t="shared" si="1"/>
        <v>2</v>
      </c>
      <c r="AL3" s="247">
        <f t="shared" si="1"/>
        <v>2</v>
      </c>
      <c r="AM3" s="247">
        <f t="shared" si="1"/>
        <v>2</v>
      </c>
      <c r="AN3" s="247">
        <f t="shared" si="1"/>
        <v>2</v>
      </c>
      <c r="AO3" s="247">
        <f t="shared" si="1"/>
        <v>3</v>
      </c>
      <c r="AP3" s="247">
        <f t="shared" si="1"/>
        <v>3</v>
      </c>
      <c r="AQ3" s="247">
        <f t="shared" si="1"/>
        <v>3</v>
      </c>
      <c r="AR3" s="247">
        <f t="shared" si="1"/>
        <v>3</v>
      </c>
      <c r="AS3" s="247">
        <f t="shared" si="1"/>
        <v>3</v>
      </c>
      <c r="AT3" s="247">
        <f t="shared" si="1"/>
        <v>3</v>
      </c>
      <c r="AU3" s="247">
        <f t="shared" si="1"/>
        <v>3</v>
      </c>
      <c r="AV3" s="247">
        <f t="shared" si="1"/>
        <v>3</v>
      </c>
      <c r="AW3" s="247">
        <f t="shared" si="1"/>
        <v>3</v>
      </c>
      <c r="AX3" s="247">
        <f t="shared" si="1"/>
        <v>3</v>
      </c>
      <c r="AY3" s="247">
        <f t="shared" si="1"/>
        <v>3</v>
      </c>
      <c r="AZ3" s="247">
        <f t="shared" si="1"/>
        <v>3</v>
      </c>
      <c r="BA3" s="247" t="s">
        <v>601</v>
      </c>
      <c r="BB3" s="758" t="s">
        <v>447</v>
      </c>
    </row>
    <row r="4" spans="1:54" s="457" customFormat="1" ht="15.5" customHeight="1" x14ac:dyDescent="0.2">
      <c r="A4" s="529"/>
      <c r="D4" s="254" t="s">
        <v>602</v>
      </c>
      <c r="E4" s="738">
        <f>Assumptions!C5</f>
        <v>45658</v>
      </c>
      <c r="F4" s="738">
        <f>EDATE(E4,1)</f>
        <v>45689</v>
      </c>
      <c r="G4" s="738">
        <f t="shared" ref="G4:AB4" si="2">EDATE(F4,1)</f>
        <v>45717</v>
      </c>
      <c r="H4" s="738">
        <f t="shared" si="2"/>
        <v>45748</v>
      </c>
      <c r="I4" s="738">
        <f t="shared" si="2"/>
        <v>45778</v>
      </c>
      <c r="J4" s="738">
        <f t="shared" si="2"/>
        <v>45809</v>
      </c>
      <c r="K4" s="738">
        <f t="shared" si="2"/>
        <v>45839</v>
      </c>
      <c r="L4" s="738">
        <f t="shared" si="2"/>
        <v>45870</v>
      </c>
      <c r="M4" s="738">
        <f t="shared" si="2"/>
        <v>45901</v>
      </c>
      <c r="N4" s="738">
        <f t="shared" si="2"/>
        <v>45931</v>
      </c>
      <c r="O4" s="738">
        <f t="shared" si="2"/>
        <v>45962</v>
      </c>
      <c r="P4" s="738">
        <f t="shared" si="2"/>
        <v>45992</v>
      </c>
      <c r="Q4" s="738">
        <f t="shared" si="2"/>
        <v>46023</v>
      </c>
      <c r="R4" s="738">
        <f t="shared" si="2"/>
        <v>46054</v>
      </c>
      <c r="S4" s="738">
        <f t="shared" si="2"/>
        <v>46082</v>
      </c>
      <c r="T4" s="738">
        <f t="shared" si="2"/>
        <v>46113</v>
      </c>
      <c r="U4" s="738">
        <f t="shared" si="2"/>
        <v>46143</v>
      </c>
      <c r="V4" s="738">
        <f t="shared" si="2"/>
        <v>46174</v>
      </c>
      <c r="W4" s="738">
        <f t="shared" si="2"/>
        <v>46204</v>
      </c>
      <c r="X4" s="738">
        <f t="shared" si="2"/>
        <v>46235</v>
      </c>
      <c r="Y4" s="738">
        <f t="shared" si="2"/>
        <v>46266</v>
      </c>
      <c r="Z4" s="738">
        <f t="shared" si="2"/>
        <v>46296</v>
      </c>
      <c r="AA4" s="738">
        <f t="shared" si="2"/>
        <v>46327</v>
      </c>
      <c r="AB4" s="738">
        <f t="shared" si="2"/>
        <v>46357</v>
      </c>
      <c r="AC4" s="738">
        <f t="shared" ref="AC4" si="3">EDATE(AB4,1)</f>
        <v>46388</v>
      </c>
      <c r="AD4" s="738">
        <f t="shared" ref="AD4" si="4">EDATE(AC4,1)</f>
        <v>46419</v>
      </c>
      <c r="AE4" s="738">
        <f t="shared" ref="AE4" si="5">EDATE(AD4,1)</f>
        <v>46447</v>
      </c>
      <c r="AF4" s="738">
        <f t="shared" ref="AF4" si="6">EDATE(AE4,1)</f>
        <v>46478</v>
      </c>
      <c r="AG4" s="738">
        <f t="shared" ref="AG4" si="7">EDATE(AF4,1)</f>
        <v>46508</v>
      </c>
      <c r="AH4" s="738">
        <f t="shared" ref="AH4" si="8">EDATE(AG4,1)</f>
        <v>46539</v>
      </c>
      <c r="AI4" s="738">
        <f t="shared" ref="AI4" si="9">EDATE(AH4,1)</f>
        <v>46569</v>
      </c>
      <c r="AJ4" s="738">
        <f t="shared" ref="AJ4" si="10">EDATE(AI4,1)</f>
        <v>46600</v>
      </c>
      <c r="AK4" s="738">
        <f t="shared" ref="AK4" si="11">EDATE(AJ4,1)</f>
        <v>46631</v>
      </c>
      <c r="AL4" s="738">
        <f t="shared" ref="AL4" si="12">EDATE(AK4,1)</f>
        <v>46661</v>
      </c>
      <c r="AM4" s="738">
        <f t="shared" ref="AM4" si="13">EDATE(AL4,1)</f>
        <v>46692</v>
      </c>
      <c r="AN4" s="738">
        <f t="shared" ref="AN4" si="14">EDATE(AM4,1)</f>
        <v>46722</v>
      </c>
      <c r="AO4" s="738">
        <f t="shared" ref="AO4" si="15">EDATE(AN4,1)</f>
        <v>46753</v>
      </c>
      <c r="AP4" s="738">
        <f t="shared" ref="AP4" si="16">EDATE(AO4,1)</f>
        <v>46784</v>
      </c>
      <c r="AQ4" s="738">
        <f t="shared" ref="AQ4" si="17">EDATE(AP4,1)</f>
        <v>46813</v>
      </c>
      <c r="AR4" s="738">
        <f t="shared" ref="AR4" si="18">EDATE(AQ4,1)</f>
        <v>46844</v>
      </c>
      <c r="AS4" s="738">
        <f t="shared" ref="AS4" si="19">EDATE(AR4,1)</f>
        <v>46874</v>
      </c>
      <c r="AT4" s="738">
        <f t="shared" ref="AT4" si="20">EDATE(AS4,1)</f>
        <v>46905</v>
      </c>
      <c r="AU4" s="738">
        <f t="shared" ref="AU4" si="21">EDATE(AT4,1)</f>
        <v>46935</v>
      </c>
      <c r="AV4" s="738">
        <f t="shared" ref="AV4" si="22">EDATE(AU4,1)</f>
        <v>46966</v>
      </c>
      <c r="AW4" s="738">
        <f t="shared" ref="AW4" si="23">EDATE(AV4,1)</f>
        <v>46997</v>
      </c>
      <c r="AX4" s="738">
        <f t="shared" ref="AX4" si="24">EDATE(AW4,1)</f>
        <v>47027</v>
      </c>
      <c r="AY4" s="738">
        <f t="shared" ref="AY4" si="25">EDATE(AX4,1)</f>
        <v>47058</v>
      </c>
      <c r="AZ4" s="738">
        <f t="shared" ref="AZ4" si="26">EDATE(AY4,1)</f>
        <v>47088</v>
      </c>
      <c r="BA4" s="738"/>
      <c r="BB4" s="758"/>
    </row>
    <row r="5" spans="1:54" ht="15.5" hidden="1" customHeight="1" x14ac:dyDescent="0.2">
      <c r="A5" s="2"/>
      <c r="C5" s="17"/>
      <c r="D5" s="17"/>
      <c r="E5" s="137"/>
      <c r="F5" s="137" t="s">
        <v>247</v>
      </c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160"/>
      <c r="AZ5" s="160"/>
      <c r="BA5" s="160"/>
    </row>
    <row r="6" spans="1:54" x14ac:dyDescent="0.2">
      <c r="A6" s="2"/>
      <c r="B6" s="34" t="s">
        <v>134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161"/>
      <c r="AA6" s="161"/>
      <c r="AB6" s="161"/>
      <c r="AC6" s="161"/>
      <c r="AD6" s="161"/>
      <c r="AE6" s="161"/>
      <c r="AF6" s="161"/>
      <c r="AG6" s="161"/>
      <c r="AH6" s="161"/>
      <c r="AI6" s="161"/>
      <c r="AJ6" s="161"/>
      <c r="AK6" s="161"/>
      <c r="AL6" s="161"/>
      <c r="AM6" s="161"/>
      <c r="AN6" s="161"/>
      <c r="AO6" s="161"/>
      <c r="AP6" s="161"/>
      <c r="AQ6" s="161"/>
      <c r="AR6" s="161"/>
      <c r="AS6" s="161"/>
      <c r="AT6" s="161"/>
      <c r="AU6" s="161"/>
      <c r="AV6" s="161"/>
      <c r="AW6" s="161"/>
      <c r="AX6" s="161"/>
      <c r="AY6" s="161"/>
      <c r="AZ6" s="161"/>
      <c r="BA6" s="161"/>
    </row>
    <row r="7" spans="1:54" x14ac:dyDescent="0.2">
      <c r="A7" s="2"/>
      <c r="E7" s="169"/>
      <c r="F7" s="16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</row>
    <row r="8" spans="1:54" ht="17" customHeight="1" x14ac:dyDescent="0.2">
      <c r="A8" s="2"/>
      <c r="B8" s="517" t="str">
        <f>'Proforma L+H'!B37</f>
        <v>EQUITY INVESTMENT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:54" x14ac:dyDescent="0.2">
      <c r="A9" s="2"/>
      <c r="B9" s="132" t="str">
        <f>'Proforma L+H'!B38</f>
        <v>MTN ORIGINS - PURSUIT CAPITAL</v>
      </c>
      <c r="E9" s="10">
        <f>'Proforma L+H'!E38</f>
        <v>1500000</v>
      </c>
      <c r="F9" s="10"/>
      <c r="G9" s="557"/>
      <c r="H9" s="10"/>
      <c r="I9" s="10"/>
      <c r="J9" s="10"/>
      <c r="K9" s="10"/>
      <c r="L9" s="10"/>
      <c r="M9" s="10"/>
      <c r="N9" s="10"/>
      <c r="O9" s="10"/>
      <c r="P9" s="10"/>
      <c r="Q9" s="10">
        <f>'Proforma L+H'!F38</f>
        <v>0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>
        <f>'Proforma L+H'!G38</f>
        <v>0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>
        <f>'Proforma L+H'!H38</f>
        <v>0</v>
      </c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>
        <f>SUM(E9:AZ9)</f>
        <v>1500000</v>
      </c>
      <c r="BB9" s="758">
        <f>SUM('Proforma L+H'!E38:H38)-BA9</f>
        <v>0</v>
      </c>
    </row>
    <row r="10" spans="1:54" ht="17" customHeight="1" x14ac:dyDescent="0.2">
      <c r="A10" s="2"/>
      <c r="B10" s="132" t="str">
        <f>'Proforma L+H'!B39</f>
        <v>JV - EQUITY CAPITAL</v>
      </c>
      <c r="D10" s="217"/>
      <c r="E10" s="10">
        <f>'Proforma L+H'!E39</f>
        <v>10000000</v>
      </c>
      <c r="F10" s="10"/>
      <c r="G10" s="12"/>
      <c r="H10" s="12"/>
      <c r="I10" s="12"/>
      <c r="J10" s="217"/>
      <c r="K10" s="217"/>
      <c r="L10" s="217"/>
      <c r="M10" s="10"/>
      <c r="N10" s="10"/>
      <c r="O10" s="10"/>
      <c r="P10" s="10"/>
      <c r="Q10" s="10">
        <f>'Proforma L+H'!F39</f>
        <v>0</v>
      </c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>
        <f>'Proforma L+H'!G39</f>
        <v>0</v>
      </c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>
        <f>'Proforma L+H'!H39</f>
        <v>0</v>
      </c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>
        <f t="shared" ref="BA10" si="27">SUM(E10:AZ10)</f>
        <v>10000000</v>
      </c>
      <c r="BB10" s="758">
        <f>SUM('Proforma L+H'!E39:H39)-BA10</f>
        <v>0</v>
      </c>
    </row>
    <row r="11" spans="1:54" s="128" customFormat="1" ht="17" customHeight="1" x14ac:dyDescent="0.2">
      <c r="A11" s="184"/>
      <c r="B11" s="531" t="str">
        <f>'Proforma L+H'!B40</f>
        <v>EQUITY INVESTMENT</v>
      </c>
      <c r="C11" s="531"/>
      <c r="D11" s="531"/>
      <c r="E11" s="530">
        <f>'Proforma L+H'!E40</f>
        <v>11500000</v>
      </c>
      <c r="F11" s="530"/>
      <c r="G11" s="530"/>
      <c r="H11" s="530"/>
      <c r="I11" s="530"/>
      <c r="J11" s="530"/>
      <c r="K11" s="530"/>
      <c r="L11" s="530"/>
      <c r="M11" s="759"/>
      <c r="N11" s="759"/>
      <c r="O11" s="759"/>
      <c r="P11" s="759"/>
      <c r="Q11" s="759">
        <f>'Proforma L+H'!F40</f>
        <v>0</v>
      </c>
      <c r="R11" s="759"/>
      <c r="S11" s="759"/>
      <c r="T11" s="759"/>
      <c r="U11" s="759"/>
      <c r="V11" s="759"/>
      <c r="W11" s="759"/>
      <c r="X11" s="759"/>
      <c r="Y11" s="759"/>
      <c r="Z11" s="759"/>
      <c r="AA11" s="759"/>
      <c r="AB11" s="759"/>
      <c r="AC11" s="759">
        <f>'Proforma L+H'!G40</f>
        <v>0</v>
      </c>
      <c r="AD11" s="759"/>
      <c r="AE11" s="759"/>
      <c r="AF11" s="759"/>
      <c r="AG11" s="759"/>
      <c r="AH11" s="759"/>
      <c r="AI11" s="759"/>
      <c r="AJ11" s="759"/>
      <c r="AK11" s="759"/>
      <c r="AL11" s="759"/>
      <c r="AM11" s="759"/>
      <c r="AN11" s="759"/>
      <c r="AO11" s="759">
        <f>'Proforma L+H'!H40</f>
        <v>0</v>
      </c>
      <c r="AP11" s="759"/>
      <c r="AQ11" s="759"/>
      <c r="AR11" s="759"/>
      <c r="AS11" s="759"/>
      <c r="AT11" s="759"/>
      <c r="AU11" s="759"/>
      <c r="AV11" s="759"/>
      <c r="AW11" s="759"/>
      <c r="AX11" s="759"/>
      <c r="AY11" s="759"/>
      <c r="AZ11" s="759"/>
      <c r="BA11" s="759">
        <f>SUM(E11:AZ11)</f>
        <v>11500000</v>
      </c>
      <c r="BB11" s="481">
        <f>SUM('Proforma L+H'!E40:H40)-BA11</f>
        <v>0</v>
      </c>
    </row>
    <row r="12" spans="1:54" ht="8" customHeight="1" x14ac:dyDescent="0.2">
      <c r="A12" s="2"/>
      <c r="B12" s="132"/>
      <c r="D12" s="217"/>
      <c r="E12" s="12"/>
      <c r="F12" s="12"/>
      <c r="G12" s="12"/>
      <c r="H12" s="218"/>
      <c r="I12" s="218"/>
      <c r="J12" s="217"/>
      <c r="K12" s="217"/>
      <c r="L12" s="219"/>
      <c r="M12" s="10"/>
      <c r="N12" s="10"/>
      <c r="O12" s="10"/>
      <c r="P12" s="10"/>
      <c r="Q12" s="10"/>
      <c r="R12" s="220"/>
      <c r="S12" s="220"/>
      <c r="T12" s="220"/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</row>
    <row r="13" spans="1:54" x14ac:dyDescent="0.2">
      <c r="A13" s="2"/>
      <c r="B13" s="517" t="str">
        <f>'Proforma L+H'!B42</f>
        <v>DEBT</v>
      </c>
      <c r="C13" s="147">
        <f>U259</f>
        <v>0</v>
      </c>
      <c r="D13" s="217"/>
      <c r="E13" s="33"/>
      <c r="F13" s="33"/>
      <c r="G13" s="12"/>
      <c r="H13" s="218"/>
      <c r="I13" s="218"/>
      <c r="J13" s="217"/>
      <c r="K13" s="217"/>
      <c r="L13" s="219"/>
      <c r="M13" s="10"/>
      <c r="N13" s="10"/>
      <c r="O13" s="10"/>
      <c r="P13" s="10"/>
      <c r="Q13" s="1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</row>
    <row r="14" spans="1:54" x14ac:dyDescent="0.2">
      <c r="A14" s="2"/>
      <c r="B14" s="132" t="str">
        <f>'Proforma L+H'!B43</f>
        <v>JV BRIDGE LOAN</v>
      </c>
      <c r="C14" s="147"/>
      <c r="D14" s="217"/>
      <c r="E14" s="736">
        <f>'Proforma L+H'!E43</f>
        <v>15000000</v>
      </c>
      <c r="F14" s="736"/>
      <c r="G14" s="12"/>
      <c r="H14" s="218"/>
      <c r="I14" s="218"/>
      <c r="J14" s="217"/>
      <c r="K14" s="217"/>
      <c r="L14" s="219"/>
      <c r="M14" s="10"/>
      <c r="N14" s="10"/>
      <c r="O14" s="10"/>
      <c r="P14" s="10"/>
      <c r="Q14" s="10">
        <f>'Proforma L+H'!F43</f>
        <v>0</v>
      </c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>
        <f>'Proforma L+H'!G43</f>
        <v>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>
        <f>'Proforma L+H'!H43</f>
        <v>0</v>
      </c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>
        <f t="shared" ref="BA14:BA19" si="28">SUM(E14:AZ14)</f>
        <v>15000000</v>
      </c>
      <c r="BB14" s="758">
        <f>SUM('Proforma L+H'!E43:H43)-BA14</f>
        <v>0</v>
      </c>
    </row>
    <row r="15" spans="1:54" x14ac:dyDescent="0.2">
      <c r="A15" s="2"/>
      <c r="B15" s="132" t="str">
        <f>'Proforma L+H'!B44</f>
        <v>SELLER FINANCE</v>
      </c>
      <c r="C15" s="147"/>
      <c r="D15" s="217"/>
      <c r="E15" s="736">
        <f>'Proforma L+H'!E44</f>
        <v>0</v>
      </c>
      <c r="F15" s="736"/>
      <c r="G15" s="12"/>
      <c r="H15" s="218"/>
      <c r="I15" s="218"/>
      <c r="J15" s="217"/>
      <c r="K15" s="217"/>
      <c r="L15" s="219"/>
      <c r="M15" s="10"/>
      <c r="N15" s="10"/>
      <c r="O15" s="10"/>
      <c r="P15" s="10"/>
      <c r="Q15" s="10">
        <f>'Proforma L+H'!F44</f>
        <v>0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>
        <f>'Proforma L+H'!G44</f>
        <v>0</v>
      </c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>
        <f>'Proforma L+H'!H44</f>
        <v>0</v>
      </c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>
        <f t="shared" si="28"/>
        <v>0</v>
      </c>
      <c r="BB15" s="758">
        <f>SUM('Proforma L+H'!E44:H44)-BA15</f>
        <v>0</v>
      </c>
    </row>
    <row r="16" spans="1:54" ht="17" customHeight="1" x14ac:dyDescent="0.2">
      <c r="A16" s="2"/>
      <c r="B16" s="132" t="str">
        <f>'Proforma L+H'!B45</f>
        <v>EB5 - MEZZ DEBT</v>
      </c>
      <c r="D16" s="217"/>
      <c r="E16" s="25">
        <f>'Proforma L+H'!E45</f>
        <v>0</v>
      </c>
      <c r="F16" s="25"/>
      <c r="G16" s="25"/>
      <c r="H16" s="12"/>
      <c r="I16" s="12"/>
      <c r="J16" s="217"/>
      <c r="K16" s="217"/>
      <c r="L16" s="217"/>
      <c r="M16" s="10"/>
      <c r="N16" s="10"/>
      <c r="O16" s="10"/>
      <c r="P16" s="10"/>
      <c r="Q16" s="10">
        <f>'Proforma L+H'!F45</f>
        <v>20800000</v>
      </c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>
        <f>'Proforma L+H'!G45</f>
        <v>0</v>
      </c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>
        <f>'Proforma L+H'!H45</f>
        <v>0</v>
      </c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>
        <f t="shared" si="28"/>
        <v>20800000</v>
      </c>
      <c r="BB16" s="758">
        <f>SUM('Proforma L+H'!E45:H45)-BA16</f>
        <v>0</v>
      </c>
    </row>
    <row r="17" spans="1:54" s="128" customFormat="1" x14ac:dyDescent="0.2">
      <c r="A17" s="184"/>
      <c r="B17" s="261" t="str">
        <f>'Proforma L+H'!B46</f>
        <v>DEV LOAN - DEV COSTS</v>
      </c>
      <c r="C17" s="129">
        <f>U258</f>
        <v>0</v>
      </c>
      <c r="D17" s="555"/>
      <c r="E17" s="32">
        <f>'Proforma L+H'!E46</f>
        <v>0</v>
      </c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>
        <f>'Proforma L+H'!F46</f>
        <v>19800183.354081526</v>
      </c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>
        <f>'Proforma L+H'!G46</f>
        <v>0</v>
      </c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>
        <f>'Proforma L+H'!H46</f>
        <v>0</v>
      </c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>
        <f t="shared" si="28"/>
        <v>19800183.354081526</v>
      </c>
      <c r="BB17" s="758">
        <f>SUM('Proforma L+H'!E46:H46)-BA17</f>
        <v>0</v>
      </c>
    </row>
    <row r="18" spans="1:54" ht="17" customHeight="1" x14ac:dyDescent="0.2">
      <c r="A18" s="2"/>
      <c r="B18" s="132" t="str">
        <f>'Proforma L+H'!B47</f>
        <v>DEV LOAN - FINANCING / RESERVE</v>
      </c>
      <c r="D18" s="217"/>
      <c r="E18" s="12">
        <f>'Proforma L+H'!E47</f>
        <v>0</v>
      </c>
      <c r="F18" s="12"/>
      <c r="G18" s="12"/>
      <c r="H18" s="12"/>
      <c r="I18" s="12"/>
      <c r="J18" s="12"/>
      <c r="K18" s="12"/>
      <c r="L18" s="12"/>
      <c r="M18" s="10"/>
      <c r="N18" s="10"/>
      <c r="O18" s="10"/>
      <c r="P18" s="10"/>
      <c r="Q18" s="10">
        <f>'Proforma L+H'!F47</f>
        <v>4092272.5347641893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>
        <f>'Proforma L+H'!G47</f>
        <v>2867094.7066614856</v>
      </c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>
        <f>'Proforma L+H'!H47</f>
        <v>3746337.0833710078</v>
      </c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>
        <f t="shared" si="28"/>
        <v>10705704.324796682</v>
      </c>
      <c r="BB18" s="758">
        <f>SUM('Proforma L+H'!E47:H47)-BA18</f>
        <v>0</v>
      </c>
    </row>
    <row r="19" spans="1:54" ht="17" customHeight="1" x14ac:dyDescent="0.2">
      <c r="A19" s="2"/>
      <c r="B19" s="164" t="str">
        <f>'Proforma L+H'!B48</f>
        <v>DEBT</v>
      </c>
      <c r="C19" s="553"/>
      <c r="D19" s="553"/>
      <c r="E19" s="57">
        <f>'Proforma L+H'!E48</f>
        <v>15000000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>
        <f>'Proforma L+H'!F48</f>
        <v>44692455.888845712</v>
      </c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>
        <f>'Proforma L+H'!G48</f>
        <v>2867094.7066614856</v>
      </c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>
        <f>'Proforma L+H'!H48</f>
        <v>3746337.0833710078</v>
      </c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>
        <f t="shared" si="28"/>
        <v>66305887.678878203</v>
      </c>
      <c r="BB19" s="758">
        <f>SUM('Proforma L+H'!E48:H48)-BA19</f>
        <v>0</v>
      </c>
    </row>
    <row r="20" spans="1:54" x14ac:dyDescent="0.2">
      <c r="A20" s="2"/>
      <c r="B20" s="132"/>
      <c r="C20" s="15"/>
      <c r="D20" s="217"/>
      <c r="E20" s="217"/>
      <c r="F20" s="217"/>
      <c r="G20" s="217"/>
      <c r="H20" s="217"/>
      <c r="I20" s="217"/>
      <c r="J20" s="217"/>
      <c r="K20" s="217"/>
      <c r="L20" s="217"/>
      <c r="M20" s="10"/>
      <c r="N20" s="10"/>
      <c r="O20" s="10"/>
      <c r="P20" s="10"/>
      <c r="Q20" s="10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</row>
    <row r="21" spans="1:54" x14ac:dyDescent="0.2">
      <c r="A21" s="2"/>
      <c r="B21" s="239" t="str">
        <f>'Proforma L+H'!B50</f>
        <v>VALUE CREATED POST PUD of 80 ACRES</v>
      </c>
      <c r="E21" s="32">
        <f>'Proforma L+H'!E50</f>
        <v>0</v>
      </c>
      <c r="F21" s="32"/>
      <c r="G21" s="10"/>
      <c r="H21" s="32"/>
      <c r="I21" s="32"/>
      <c r="J21" s="32"/>
      <c r="K21" s="32"/>
      <c r="L21" s="32"/>
      <c r="M21" s="32"/>
      <c r="N21" s="32"/>
      <c r="O21" s="32"/>
      <c r="P21" s="32"/>
      <c r="Q21" s="32">
        <f>'Proforma L+H'!F50</f>
        <v>0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>
        <f>'Proforma L+H'!G50</f>
        <v>15000000</v>
      </c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>
        <f>'Proforma L+H'!H50</f>
        <v>0</v>
      </c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>
        <f t="shared" ref="BA21:BA29" si="29">SUM(E21:AZ21)</f>
        <v>15000000</v>
      </c>
      <c r="BB21" s="758">
        <f>SUM('Proforma L+H'!E50:H50)-BA21</f>
        <v>0</v>
      </c>
    </row>
    <row r="22" spans="1:54" x14ac:dyDescent="0.2">
      <c r="A22" s="2"/>
      <c r="B22" s="239" t="str">
        <f>'Proforma L+H'!B51</f>
        <v>LAND SALE TO AMENITY</v>
      </c>
      <c r="E22" s="32">
        <f>'Proforma L+H'!E51</f>
        <v>0</v>
      </c>
      <c r="F22" s="32"/>
      <c r="G22" s="10"/>
      <c r="H22" s="32"/>
      <c r="I22" s="32"/>
      <c r="J22" s="32"/>
      <c r="K22" s="32"/>
      <c r="L22" s="32"/>
      <c r="M22" s="32"/>
      <c r="N22" s="32"/>
      <c r="O22" s="32"/>
      <c r="P22" s="32"/>
      <c r="Q22" s="32">
        <f>'Proforma L+H'!F51</f>
        <v>0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>
        <f>'Proforma L+H'!G51</f>
        <v>0</v>
      </c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>
        <f>'Proforma L+H'!H51</f>
        <v>0</v>
      </c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>
        <f t="shared" si="29"/>
        <v>0</v>
      </c>
      <c r="BB22" s="758">
        <f>SUM('Proforma L+H'!E51:H51)-BA22</f>
        <v>0</v>
      </c>
    </row>
    <row r="23" spans="1:54" hidden="1" x14ac:dyDescent="0.2">
      <c r="A23" s="2"/>
      <c r="B23" s="239"/>
      <c r="E23" s="32"/>
      <c r="F23" s="32"/>
      <c r="G23" s="10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</row>
    <row r="24" spans="1:54" hidden="1" x14ac:dyDescent="0.2">
      <c r="A24" s="2"/>
      <c r="B24" s="239"/>
      <c r="E24" s="32"/>
      <c r="F24" s="32"/>
      <c r="G24" s="10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</row>
    <row r="25" spans="1:54" hidden="1" x14ac:dyDescent="0.2">
      <c r="A25" s="2"/>
      <c r="B25" s="239"/>
      <c r="E25" s="32"/>
      <c r="F25" s="32"/>
      <c r="G25" s="10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</row>
    <row r="26" spans="1:54" hidden="1" x14ac:dyDescent="0.2">
      <c r="A26" s="2"/>
      <c r="B26" s="239"/>
      <c r="E26" s="32"/>
      <c r="F26" s="32"/>
      <c r="G26" s="10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</row>
    <row r="27" spans="1:54" x14ac:dyDescent="0.2">
      <c r="A27" s="2"/>
      <c r="B27" t="str">
        <f>'Proforma L+H'!B56</f>
        <v>PRESALE REVENUES</v>
      </c>
      <c r="C27" s="454" t="e">
        <f>SUM(#REF!)</f>
        <v>#REF!</v>
      </c>
      <c r="D27" s="15"/>
      <c r="E27" s="32">
        <f>'Proforma L+H'!E56</f>
        <v>0</v>
      </c>
      <c r="F27" s="32">
        <f ca="1">OFFSET('Proforma L+H'!$E56,0,'L+H Monthly CF'!F$3)/12</f>
        <v>0</v>
      </c>
      <c r="G27" s="32">
        <f ca="1">OFFSET('Proforma L+H'!$E56,0,'L+H Monthly CF'!G$3)/12</f>
        <v>0</v>
      </c>
      <c r="H27" s="32">
        <f ca="1">OFFSET('Proforma L+H'!$E56,0,'L+H Monthly CF'!H$3)/12</f>
        <v>0</v>
      </c>
      <c r="I27" s="32">
        <f ca="1">OFFSET('Proforma L+H'!$E56,0,'L+H Monthly CF'!I$3)/12</f>
        <v>0</v>
      </c>
      <c r="J27" s="32">
        <f ca="1">OFFSET('Proforma L+H'!$E56,0,'L+H Monthly CF'!J$3)/12</f>
        <v>0</v>
      </c>
      <c r="K27" s="32">
        <f ca="1">OFFSET('Proforma L+H'!$E56,0,'L+H Monthly CF'!K$3)/12</f>
        <v>0</v>
      </c>
      <c r="L27" s="32">
        <f ca="1">OFFSET('Proforma L+H'!$E56,0,'L+H Monthly CF'!L$3)/12</f>
        <v>0</v>
      </c>
      <c r="M27" s="32">
        <f ca="1">OFFSET('Proforma L+H'!$E56,0,'L+H Monthly CF'!M$3)/12</f>
        <v>0</v>
      </c>
      <c r="N27" s="32">
        <f ca="1">OFFSET('Proforma L+H'!$E56,0,'L+H Monthly CF'!N$3)/12</f>
        <v>0</v>
      </c>
      <c r="O27" s="32">
        <f ca="1">OFFSET('Proforma L+H'!$E56,0,'L+H Monthly CF'!O$3)/12</f>
        <v>0</v>
      </c>
      <c r="P27" s="32">
        <f ca="1">OFFSET('Proforma L+H'!$E56,0,'L+H Monthly CF'!P$3)/12</f>
        <v>0</v>
      </c>
      <c r="Q27" s="67">
        <f ca="1">OFFSET('Proforma L+H'!$E56,0,'L+H Monthly CF'!Q$3)/12</f>
        <v>464479.16666666669</v>
      </c>
      <c r="R27" s="61">
        <f ca="1">OFFSET('Proforma L+H'!$E56,0,'L+H Monthly CF'!R$3)/12</f>
        <v>464479.16666666669</v>
      </c>
      <c r="S27" s="61">
        <f ca="1">OFFSET('Proforma L+H'!$E56,0,'L+H Monthly CF'!S$3)/12</f>
        <v>464479.16666666669</v>
      </c>
      <c r="T27" s="61">
        <f ca="1">OFFSET('Proforma L+H'!$E56,0,'L+H Monthly CF'!T$3)/12</f>
        <v>464479.16666666669</v>
      </c>
      <c r="U27" s="61">
        <f ca="1">OFFSET('Proforma L+H'!$E56,0,'L+H Monthly CF'!U$3)/12</f>
        <v>464479.16666666669</v>
      </c>
      <c r="V27" s="61">
        <f ca="1">OFFSET('Proforma L+H'!$E56,0,'L+H Monthly CF'!V$3)/12</f>
        <v>464479.16666666669</v>
      </c>
      <c r="W27" s="61">
        <f ca="1">OFFSET('Proforma L+H'!$E56,0,'L+H Monthly CF'!W$3)/12</f>
        <v>464479.16666666669</v>
      </c>
      <c r="X27" s="61">
        <f ca="1">OFFSET('Proforma L+H'!$E56,0,'L+H Monthly CF'!X$3)/12</f>
        <v>464479.16666666669</v>
      </c>
      <c r="Y27" s="61">
        <f ca="1">OFFSET('Proforma L+H'!$E56,0,'L+H Monthly CF'!Y$3)/12</f>
        <v>464479.16666666669</v>
      </c>
      <c r="Z27" s="61">
        <f ca="1">OFFSET('Proforma L+H'!$E56,0,'L+H Monthly CF'!Z$3)/12</f>
        <v>464479.16666666669</v>
      </c>
      <c r="AA27" s="61">
        <f ca="1">OFFSET('Proforma L+H'!$E56,0,'L+H Monthly CF'!AA$3)/12</f>
        <v>464479.16666666669</v>
      </c>
      <c r="AB27" s="61">
        <f ca="1">OFFSET('Proforma L+H'!$E56,0,'L+H Monthly CF'!AB$3)/12</f>
        <v>464479.16666666669</v>
      </c>
      <c r="AC27" s="12">
        <f ca="1">OFFSET('Proforma L+H'!$E56,0,'L+H Monthly CF'!AC$3)/12</f>
        <v>1049890.625</v>
      </c>
      <c r="AD27" s="12">
        <f ca="1">OFFSET('Proforma L+H'!$E56,0,'L+H Monthly CF'!AD$3)/12</f>
        <v>1049890.625</v>
      </c>
      <c r="AE27" s="12">
        <f ca="1">OFFSET('Proforma L+H'!$E56,0,'L+H Monthly CF'!AE$3)/12</f>
        <v>1049890.625</v>
      </c>
      <c r="AF27" s="12">
        <f ca="1">OFFSET('Proforma L+H'!$E56,0,'L+H Monthly CF'!AF$3)/12</f>
        <v>1049890.625</v>
      </c>
      <c r="AG27" s="12">
        <f ca="1">OFFSET('Proforma L+H'!$E56,0,'L+H Monthly CF'!AG$3)/12</f>
        <v>1049890.625</v>
      </c>
      <c r="AH27" s="12">
        <f ca="1">OFFSET('Proforma L+H'!$E56,0,'L+H Monthly CF'!AH$3)/12</f>
        <v>1049890.625</v>
      </c>
      <c r="AI27" s="12">
        <f ca="1">OFFSET('Proforma L+H'!$E56,0,'L+H Monthly CF'!AI$3)/12</f>
        <v>1049890.625</v>
      </c>
      <c r="AJ27" s="12">
        <f ca="1">OFFSET('Proforma L+H'!$E56,0,'L+H Monthly CF'!AJ$3)/12</f>
        <v>1049890.625</v>
      </c>
      <c r="AK27" s="12">
        <f ca="1">OFFSET('Proforma L+H'!$E56,0,'L+H Monthly CF'!AK$3)/12</f>
        <v>1049890.625</v>
      </c>
      <c r="AL27" s="12">
        <f ca="1">OFFSET('Proforma L+H'!$E56,0,'L+H Monthly CF'!AL$3)/12</f>
        <v>1049890.625</v>
      </c>
      <c r="AM27" s="12">
        <f ca="1">OFFSET('Proforma L+H'!$E56,0,'L+H Monthly CF'!AM$3)/12</f>
        <v>1049890.625</v>
      </c>
      <c r="AN27" s="12">
        <f ca="1">OFFSET('Proforma L+H'!$E56,0,'L+H Monthly CF'!AN$3)/12</f>
        <v>1049890.625</v>
      </c>
      <c r="AO27" s="12">
        <f ca="1">OFFSET('Proforma L+H'!$E56,0,'L+H Monthly CF'!AO$3)/12</f>
        <v>1954218.7500000002</v>
      </c>
      <c r="AP27" s="12">
        <f ca="1">OFFSET('Proforma L+H'!$E56,0,'L+H Monthly CF'!AP$3)/12</f>
        <v>1954218.7500000002</v>
      </c>
      <c r="AQ27" s="12">
        <f ca="1">OFFSET('Proforma L+H'!$E56,0,'L+H Monthly CF'!AQ$3)/12</f>
        <v>1954218.7500000002</v>
      </c>
      <c r="AR27" s="12">
        <f ca="1">OFFSET('Proforma L+H'!$E56,0,'L+H Monthly CF'!AR$3)/12</f>
        <v>1954218.7500000002</v>
      </c>
      <c r="AS27" s="12">
        <f ca="1">OFFSET('Proforma L+H'!$E56,0,'L+H Monthly CF'!AS$3)/12</f>
        <v>1954218.7500000002</v>
      </c>
      <c r="AT27" s="12">
        <f ca="1">OFFSET('Proforma L+H'!$E56,0,'L+H Monthly CF'!AT$3)/12</f>
        <v>1954218.7500000002</v>
      </c>
      <c r="AU27" s="12">
        <f ca="1">OFFSET('Proforma L+H'!$E56,0,'L+H Monthly CF'!AU$3)/12</f>
        <v>1954218.7500000002</v>
      </c>
      <c r="AV27" s="12">
        <f ca="1">OFFSET('Proforma L+H'!$E56,0,'L+H Monthly CF'!AV$3)/12</f>
        <v>1954218.7500000002</v>
      </c>
      <c r="AW27" s="12">
        <f ca="1">OFFSET('Proforma L+H'!$E56,0,'L+H Monthly CF'!AW$3)/12</f>
        <v>1954218.7500000002</v>
      </c>
      <c r="AX27" s="12">
        <f ca="1">OFFSET('Proforma L+H'!$E56,0,'L+H Monthly CF'!AX$3)/12</f>
        <v>1954218.7500000002</v>
      </c>
      <c r="AY27" s="12">
        <f ca="1">OFFSET('Proforma L+H'!$E56,0,'L+H Monthly CF'!AY$3)/12</f>
        <v>1954218.7500000002</v>
      </c>
      <c r="AZ27" s="12">
        <f ca="1">OFFSET('Proforma L+H'!$E56,0,'L+H Monthly CF'!AZ$3)/12</f>
        <v>1954218.7500000002</v>
      </c>
      <c r="BA27" s="12">
        <f t="shared" ca="1" si="29"/>
        <v>41623062.5</v>
      </c>
      <c r="BB27" s="758">
        <f ca="1">SUM('Proforma L+H'!E56:H56)-BA27</f>
        <v>0</v>
      </c>
    </row>
    <row r="28" spans="1:54" x14ac:dyDescent="0.2">
      <c r="A28" s="2"/>
      <c r="B28" s="222" t="str">
        <f>'Proforma L+H'!B57</f>
        <v>UNIT SALES</v>
      </c>
      <c r="C28" s="44"/>
      <c r="D28" s="44"/>
      <c r="E28" s="77">
        <f>'Proforma L+H'!E57</f>
        <v>0</v>
      </c>
      <c r="F28" s="77">
        <f ca="1">OFFSET('Proforma L+H'!$E57,0,'L+H Monthly CF'!F$3)/12</f>
        <v>0</v>
      </c>
      <c r="G28" s="77">
        <f ca="1">OFFSET('Proforma L+H'!$E57,0,'L+H Monthly CF'!G$3)/12</f>
        <v>0</v>
      </c>
      <c r="H28" s="77">
        <f ca="1">OFFSET('Proforma L+H'!$E57,0,'L+H Monthly CF'!H$3)/12</f>
        <v>0</v>
      </c>
      <c r="I28" s="77">
        <f ca="1">OFFSET('Proforma L+H'!$E57,0,'L+H Monthly CF'!I$3)/12</f>
        <v>0</v>
      </c>
      <c r="J28" s="77">
        <f ca="1">OFFSET('Proforma L+H'!$E57,0,'L+H Monthly CF'!J$3)/12</f>
        <v>0</v>
      </c>
      <c r="K28" s="77">
        <f ca="1">OFFSET('Proforma L+H'!$E57,0,'L+H Monthly CF'!K$3)/12</f>
        <v>0</v>
      </c>
      <c r="L28" s="77">
        <f ca="1">OFFSET('Proforma L+H'!$E57,0,'L+H Monthly CF'!L$3)/12</f>
        <v>0</v>
      </c>
      <c r="M28" s="77">
        <f ca="1">OFFSET('Proforma L+H'!$E57,0,'L+H Monthly CF'!M$3)/12</f>
        <v>0</v>
      </c>
      <c r="N28" s="77">
        <f ca="1">OFFSET('Proforma L+H'!$E57,0,'L+H Monthly CF'!N$3)/12</f>
        <v>0</v>
      </c>
      <c r="O28" s="77">
        <f ca="1">OFFSET('Proforma L+H'!$E57,0,'L+H Monthly CF'!O$3)/12</f>
        <v>0</v>
      </c>
      <c r="P28" s="77">
        <f ca="1">OFFSET('Proforma L+H'!$E57,0,'L+H Monthly CF'!P$3)/12</f>
        <v>0</v>
      </c>
      <c r="Q28" s="77">
        <f ca="1">OFFSET('Proforma L+H'!$E57,0,'L+H Monthly CF'!Q$3)/12</f>
        <v>0</v>
      </c>
      <c r="R28" s="21">
        <f ca="1">OFFSET('Proforma L+H'!$E57,0,'L+H Monthly CF'!R$3)/12</f>
        <v>0</v>
      </c>
      <c r="S28" s="21">
        <f ca="1">OFFSET('Proforma L+H'!$E57,0,'L+H Monthly CF'!S$3)/12</f>
        <v>0</v>
      </c>
      <c r="T28" s="21">
        <f ca="1">OFFSET('Proforma L+H'!$E57,0,'L+H Monthly CF'!T$3)/12</f>
        <v>0</v>
      </c>
      <c r="U28" s="21">
        <f ca="1">OFFSET('Proforma L+H'!$E57,0,'L+H Monthly CF'!U$3)/12</f>
        <v>0</v>
      </c>
      <c r="V28" s="21">
        <f ca="1">OFFSET('Proforma L+H'!$E57,0,'L+H Monthly CF'!V$3)/12</f>
        <v>0</v>
      </c>
      <c r="W28" s="21">
        <f ca="1">OFFSET('Proforma L+H'!$E57,0,'L+H Monthly CF'!W$3)/12</f>
        <v>0</v>
      </c>
      <c r="X28" s="21">
        <f ca="1">OFFSET('Proforma L+H'!$E57,0,'L+H Monthly CF'!X$3)/12</f>
        <v>0</v>
      </c>
      <c r="Y28" s="21">
        <f ca="1">OFFSET('Proforma L+H'!$E57,0,'L+H Monthly CF'!Y$3)/12</f>
        <v>0</v>
      </c>
      <c r="Z28" s="21">
        <f ca="1">OFFSET('Proforma L+H'!$E57,0,'L+H Monthly CF'!Z$3)/12</f>
        <v>0</v>
      </c>
      <c r="AA28" s="21">
        <f ca="1">OFFSET('Proforma L+H'!$E57,0,'L+H Monthly CF'!AA$3)/12</f>
        <v>0</v>
      </c>
      <c r="AB28" s="21">
        <f ca="1">OFFSET('Proforma L+H'!$E57,0,'L+H Monthly CF'!AB$3)/12</f>
        <v>0</v>
      </c>
      <c r="AC28" s="21">
        <f ca="1">OFFSET('Proforma L+H'!$E57,0,'L+H Monthly CF'!AC$3)/12</f>
        <v>2159062.5</v>
      </c>
      <c r="AD28" s="21">
        <f ca="1">OFFSET('Proforma L+H'!$E57,0,'L+H Monthly CF'!AD$3)/12</f>
        <v>2159062.5</v>
      </c>
      <c r="AE28" s="21">
        <f ca="1">OFFSET('Proforma L+H'!$E57,0,'L+H Monthly CF'!AE$3)/12</f>
        <v>2159062.5</v>
      </c>
      <c r="AF28" s="21">
        <f ca="1">OFFSET('Proforma L+H'!$E57,0,'L+H Monthly CF'!AF$3)/12</f>
        <v>2159062.5</v>
      </c>
      <c r="AG28" s="21">
        <f ca="1">OFFSET('Proforma L+H'!$E57,0,'L+H Monthly CF'!AG$3)/12</f>
        <v>2159062.5</v>
      </c>
      <c r="AH28" s="21">
        <f ca="1">OFFSET('Proforma L+H'!$E57,0,'L+H Monthly CF'!AH$3)/12</f>
        <v>2159062.5</v>
      </c>
      <c r="AI28" s="21">
        <f ca="1">OFFSET('Proforma L+H'!$E57,0,'L+H Monthly CF'!AI$3)/12</f>
        <v>2159062.5</v>
      </c>
      <c r="AJ28" s="21">
        <f ca="1">OFFSET('Proforma L+H'!$E57,0,'L+H Monthly CF'!AJ$3)/12</f>
        <v>2159062.5</v>
      </c>
      <c r="AK28" s="21">
        <f ca="1">OFFSET('Proforma L+H'!$E57,0,'L+H Monthly CF'!AK$3)/12</f>
        <v>2159062.5</v>
      </c>
      <c r="AL28" s="21">
        <f ca="1">OFFSET('Proforma L+H'!$E57,0,'L+H Monthly CF'!AL$3)/12</f>
        <v>2159062.5</v>
      </c>
      <c r="AM28" s="21">
        <f ca="1">OFFSET('Proforma L+H'!$E57,0,'L+H Monthly CF'!AM$3)/12</f>
        <v>2159062.5</v>
      </c>
      <c r="AN28" s="21">
        <f ca="1">OFFSET('Proforma L+H'!$E57,0,'L+H Monthly CF'!AN$3)/12</f>
        <v>2159062.5</v>
      </c>
      <c r="AO28" s="21">
        <f ca="1">OFFSET('Proforma L+H'!$E57,0,'L+H Monthly CF'!AO$3)/12</f>
        <v>4312609.3750000009</v>
      </c>
      <c r="AP28" s="21">
        <f ca="1">OFFSET('Proforma L+H'!$E57,0,'L+H Monthly CF'!AP$3)/12</f>
        <v>4312609.3750000009</v>
      </c>
      <c r="AQ28" s="21">
        <f ca="1">OFFSET('Proforma L+H'!$E57,0,'L+H Monthly CF'!AQ$3)/12</f>
        <v>4312609.3750000009</v>
      </c>
      <c r="AR28" s="21">
        <f ca="1">OFFSET('Proforma L+H'!$E57,0,'L+H Monthly CF'!AR$3)/12</f>
        <v>4312609.3750000009</v>
      </c>
      <c r="AS28" s="21">
        <f ca="1">OFFSET('Proforma L+H'!$E57,0,'L+H Monthly CF'!AS$3)/12</f>
        <v>4312609.3750000009</v>
      </c>
      <c r="AT28" s="21">
        <f ca="1">OFFSET('Proforma L+H'!$E57,0,'L+H Monthly CF'!AT$3)/12</f>
        <v>4312609.3750000009</v>
      </c>
      <c r="AU28" s="21">
        <f ca="1">OFFSET('Proforma L+H'!$E57,0,'L+H Monthly CF'!AU$3)/12</f>
        <v>4312609.3750000009</v>
      </c>
      <c r="AV28" s="21">
        <f ca="1">OFFSET('Proforma L+H'!$E57,0,'L+H Monthly CF'!AV$3)/12</f>
        <v>4312609.3750000009</v>
      </c>
      <c r="AW28" s="21">
        <f ca="1">OFFSET('Proforma L+H'!$E57,0,'L+H Monthly CF'!AW$3)/12</f>
        <v>4312609.3750000009</v>
      </c>
      <c r="AX28" s="21">
        <f ca="1">OFFSET('Proforma L+H'!$E57,0,'L+H Monthly CF'!AX$3)/12</f>
        <v>4312609.3750000009</v>
      </c>
      <c r="AY28" s="21">
        <f ca="1">OFFSET('Proforma L+H'!$E57,0,'L+H Monthly CF'!AY$3)/12</f>
        <v>4312609.3750000009</v>
      </c>
      <c r="AZ28" s="21">
        <f ca="1">OFFSET('Proforma L+H'!$E57,0,'L+H Monthly CF'!AZ$3)/12</f>
        <v>4312609.3750000009</v>
      </c>
      <c r="BA28" s="21">
        <f t="shared" ca="1" si="29"/>
        <v>77660062.5</v>
      </c>
      <c r="BB28" s="758">
        <f ca="1">SUM('Proforma L+H'!E57:H57)-BA28</f>
        <v>0</v>
      </c>
    </row>
    <row r="29" spans="1:54" x14ac:dyDescent="0.2">
      <c r="A29" s="2"/>
      <c r="B29" s="30" t="str">
        <f>'Proforma L+H'!B58</f>
        <v>TOTAL SOURCES</v>
      </c>
      <c r="C29" s="3"/>
      <c r="D29" s="3"/>
      <c r="E29" s="24">
        <f>E11+E19+SUM(E21:E28)</f>
        <v>26500000</v>
      </c>
      <c r="F29" s="24">
        <f t="shared" ref="F29:AZ29" ca="1" si="30">F11+F19+SUM(F21:F28)</f>
        <v>0</v>
      </c>
      <c r="G29" s="24">
        <f t="shared" ca="1" si="30"/>
        <v>0</v>
      </c>
      <c r="H29" s="24">
        <f t="shared" ca="1" si="30"/>
        <v>0</v>
      </c>
      <c r="I29" s="24">
        <f t="shared" ca="1" si="30"/>
        <v>0</v>
      </c>
      <c r="J29" s="24">
        <f t="shared" ca="1" si="30"/>
        <v>0</v>
      </c>
      <c r="K29" s="24">
        <f t="shared" ca="1" si="30"/>
        <v>0</v>
      </c>
      <c r="L29" s="24">
        <f t="shared" ca="1" si="30"/>
        <v>0</v>
      </c>
      <c r="M29" s="24">
        <f t="shared" ca="1" si="30"/>
        <v>0</v>
      </c>
      <c r="N29" s="24">
        <f t="shared" ca="1" si="30"/>
        <v>0</v>
      </c>
      <c r="O29" s="24">
        <f t="shared" ca="1" si="30"/>
        <v>0</v>
      </c>
      <c r="P29" s="24">
        <f t="shared" ca="1" si="30"/>
        <v>0</v>
      </c>
      <c r="Q29" s="24">
        <f t="shared" ca="1" si="30"/>
        <v>45156935.055512376</v>
      </c>
      <c r="R29" s="24">
        <f t="shared" ca="1" si="30"/>
        <v>464479.16666666669</v>
      </c>
      <c r="S29" s="24">
        <f t="shared" ca="1" si="30"/>
        <v>464479.16666666669</v>
      </c>
      <c r="T29" s="24">
        <f t="shared" ca="1" si="30"/>
        <v>464479.16666666669</v>
      </c>
      <c r="U29" s="24">
        <f t="shared" ca="1" si="30"/>
        <v>464479.16666666669</v>
      </c>
      <c r="V29" s="24">
        <f t="shared" ca="1" si="30"/>
        <v>464479.16666666669</v>
      </c>
      <c r="W29" s="24">
        <f t="shared" ca="1" si="30"/>
        <v>464479.16666666669</v>
      </c>
      <c r="X29" s="24">
        <f t="shared" ca="1" si="30"/>
        <v>464479.16666666669</v>
      </c>
      <c r="Y29" s="24">
        <f t="shared" ca="1" si="30"/>
        <v>464479.16666666669</v>
      </c>
      <c r="Z29" s="24">
        <f t="shared" ca="1" si="30"/>
        <v>464479.16666666669</v>
      </c>
      <c r="AA29" s="24">
        <f t="shared" ca="1" si="30"/>
        <v>464479.16666666669</v>
      </c>
      <c r="AB29" s="24">
        <f t="shared" ca="1" si="30"/>
        <v>464479.16666666669</v>
      </c>
      <c r="AC29" s="24">
        <f t="shared" ca="1" si="30"/>
        <v>21076047.831661485</v>
      </c>
      <c r="AD29" s="24">
        <f t="shared" ca="1" si="30"/>
        <v>3208953.125</v>
      </c>
      <c r="AE29" s="24">
        <f t="shared" ca="1" si="30"/>
        <v>3208953.125</v>
      </c>
      <c r="AF29" s="24">
        <f t="shared" ca="1" si="30"/>
        <v>3208953.125</v>
      </c>
      <c r="AG29" s="24">
        <f t="shared" ca="1" si="30"/>
        <v>3208953.125</v>
      </c>
      <c r="AH29" s="24">
        <f t="shared" ca="1" si="30"/>
        <v>3208953.125</v>
      </c>
      <c r="AI29" s="24">
        <f t="shared" ca="1" si="30"/>
        <v>3208953.125</v>
      </c>
      <c r="AJ29" s="24">
        <f t="shared" ca="1" si="30"/>
        <v>3208953.125</v>
      </c>
      <c r="AK29" s="24">
        <f t="shared" ca="1" si="30"/>
        <v>3208953.125</v>
      </c>
      <c r="AL29" s="24">
        <f t="shared" ca="1" si="30"/>
        <v>3208953.125</v>
      </c>
      <c r="AM29" s="24">
        <f t="shared" ca="1" si="30"/>
        <v>3208953.125</v>
      </c>
      <c r="AN29" s="24">
        <f t="shared" ca="1" si="30"/>
        <v>3208953.125</v>
      </c>
      <c r="AO29" s="24">
        <f t="shared" ca="1" si="30"/>
        <v>10013165.20837101</v>
      </c>
      <c r="AP29" s="24">
        <f t="shared" ca="1" si="30"/>
        <v>6266828.1250000009</v>
      </c>
      <c r="AQ29" s="24">
        <f t="shared" ca="1" si="30"/>
        <v>6266828.1250000009</v>
      </c>
      <c r="AR29" s="24">
        <f t="shared" ca="1" si="30"/>
        <v>6266828.1250000009</v>
      </c>
      <c r="AS29" s="24">
        <f t="shared" ca="1" si="30"/>
        <v>6266828.1250000009</v>
      </c>
      <c r="AT29" s="24">
        <f t="shared" ca="1" si="30"/>
        <v>6266828.1250000009</v>
      </c>
      <c r="AU29" s="24">
        <f t="shared" ca="1" si="30"/>
        <v>6266828.1250000009</v>
      </c>
      <c r="AV29" s="24">
        <f t="shared" ca="1" si="30"/>
        <v>6266828.1250000009</v>
      </c>
      <c r="AW29" s="24">
        <f t="shared" ca="1" si="30"/>
        <v>6266828.1250000009</v>
      </c>
      <c r="AX29" s="24">
        <f t="shared" ca="1" si="30"/>
        <v>6266828.1250000009</v>
      </c>
      <c r="AY29" s="24">
        <f t="shared" ca="1" si="30"/>
        <v>6266828.1250000009</v>
      </c>
      <c r="AZ29" s="24">
        <f t="shared" ca="1" si="30"/>
        <v>6266828.1250000009</v>
      </c>
      <c r="BA29" s="23">
        <f t="shared" ca="1" si="29"/>
        <v>212089012.67887825</v>
      </c>
      <c r="BB29" s="758">
        <f ca="1">SUM('Proforma L+H'!E58:H58)-BA29</f>
        <v>0</v>
      </c>
    </row>
    <row r="30" spans="1:54" x14ac:dyDescent="0.2">
      <c r="A30" s="2"/>
    </row>
    <row r="31" spans="1:54" x14ac:dyDescent="0.2">
      <c r="A31" s="2"/>
      <c r="B31" s="34" t="s">
        <v>143</v>
      </c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1"/>
      <c r="AZ31" s="161"/>
      <c r="BA31" s="161"/>
    </row>
    <row r="32" spans="1:54" outlineLevel="1" x14ac:dyDescent="0.2">
      <c r="A32" s="2"/>
      <c r="B32" s="87" t="str">
        <f>'Proforma L+H'!B61</f>
        <v>LAND &amp; PROJECT ACQUISITION</v>
      </c>
      <c r="E32" s="11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</row>
    <row r="33" spans="1:54" outlineLevel="1" x14ac:dyDescent="0.2">
      <c r="A33" s="2"/>
      <c r="B33" s="163" t="str">
        <f>'Proforma L+H'!B62</f>
        <v>Project Acquisition</v>
      </c>
      <c r="C33" s="25"/>
      <c r="D33" s="25"/>
      <c r="E33" s="12">
        <f>'Proforma L+H'!E62</f>
        <v>18500000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>
        <f>'Proforma L+H'!F62</f>
        <v>0</v>
      </c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>
        <f t="shared" ref="BA33:BA36" si="31">SUM(E33:AZ33)</f>
        <v>18500000</v>
      </c>
      <c r="BB33" s="758">
        <f>SUM('Proforma L+H'!E62:H62)-BA33</f>
        <v>0</v>
      </c>
    </row>
    <row r="34" spans="1:54" outlineLevel="1" x14ac:dyDescent="0.2">
      <c r="A34" s="2"/>
      <c r="B34" s="163" t="str">
        <f>'Proforma L+H'!B63</f>
        <v>Asset Acquisition Fee (based on total project initial value Equity + Debt)</v>
      </c>
      <c r="C34" s="90">
        <v>0.02</v>
      </c>
      <c r="D34" s="25"/>
      <c r="E34" s="61">
        <f>'Proforma L+H'!E63</f>
        <v>450000</v>
      </c>
      <c r="F34" s="61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>
        <f>'Proforma L+H'!F63</f>
        <v>0</v>
      </c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>
        <f t="shared" si="31"/>
        <v>450000</v>
      </c>
      <c r="BB34" s="758">
        <f>SUM('Proforma L+H'!E63:H63)-BA34</f>
        <v>0</v>
      </c>
    </row>
    <row r="35" spans="1:54" outlineLevel="1" x14ac:dyDescent="0.2">
      <c r="A35" s="2"/>
      <c r="B35" s="163" t="str">
        <f>'Proforma L+H'!B64</f>
        <v>Closing Costs</v>
      </c>
      <c r="C35" s="93">
        <v>1.5E-3</v>
      </c>
      <c r="D35" s="93"/>
      <c r="E35" s="12">
        <f>'Proforma L+H'!E64</f>
        <v>27750</v>
      </c>
      <c r="F35" s="12"/>
      <c r="G35" s="12"/>
      <c r="H35" s="12"/>
      <c r="I35" s="12"/>
      <c r="J35" s="12"/>
      <c r="K35" s="12"/>
      <c r="L35" s="12"/>
      <c r="M35" s="47"/>
      <c r="N35" s="47"/>
      <c r="O35" s="47"/>
      <c r="P35" s="47"/>
      <c r="Q35" s="47">
        <f>'Proforma L+H'!F64</f>
        <v>0</v>
      </c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>
        <f t="shared" si="31"/>
        <v>27750</v>
      </c>
      <c r="BB35" s="758">
        <f>SUM('Proforma L+H'!E64:H64)-BA35</f>
        <v>0</v>
      </c>
    </row>
    <row r="36" spans="1:54" x14ac:dyDescent="0.2">
      <c r="A36" s="2"/>
      <c r="B36" s="85" t="str">
        <f>'Proforma L+H'!B65</f>
        <v>LAND &amp; PROJECT ACQUISITION</v>
      </c>
      <c r="C36" s="94"/>
      <c r="D36" s="94"/>
      <c r="E36" s="52">
        <f>'Proforma L+H'!E65</f>
        <v>18977750</v>
      </c>
      <c r="F36" s="52"/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>
        <f>'Proforma L+H'!F65</f>
        <v>0</v>
      </c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52"/>
      <c r="AK36" s="52"/>
      <c r="AL36" s="52"/>
      <c r="AM36" s="52"/>
      <c r="AN36" s="52"/>
      <c r="AO36" s="52"/>
      <c r="AP36" s="52"/>
      <c r="AQ36" s="52"/>
      <c r="AR36" s="52"/>
      <c r="AS36" s="52"/>
      <c r="AT36" s="52"/>
      <c r="AU36" s="52"/>
      <c r="AV36" s="52"/>
      <c r="AW36" s="52"/>
      <c r="AX36" s="52"/>
      <c r="AY36" s="52"/>
      <c r="AZ36" s="52"/>
      <c r="BA36" s="52">
        <f t="shared" si="31"/>
        <v>18977750</v>
      </c>
      <c r="BB36" s="758">
        <f>SUM('Proforma L+H'!E65:H65)-BA36</f>
        <v>0</v>
      </c>
    </row>
    <row r="37" spans="1:54" hidden="1" outlineLevel="1" x14ac:dyDescent="0.2">
      <c r="A37" s="2"/>
      <c r="B37" s="162"/>
      <c r="C37" s="19"/>
      <c r="D37" s="19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7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</row>
    <row r="38" spans="1:54" hidden="1" outlineLevel="1" x14ac:dyDescent="0.2">
      <c r="A38" s="2"/>
      <c r="B38" s="87" t="str">
        <f>'Proforma L+H'!B67</f>
        <v>HARD COSTS - SITE, RESTORATION &amp; INFRASTRUCTURE</v>
      </c>
      <c r="C38" s="19"/>
      <c r="D38" s="19"/>
      <c r="E38" s="33"/>
      <c r="F38" s="33"/>
      <c r="G38" s="167"/>
      <c r="H38" s="167"/>
      <c r="I38" s="33"/>
      <c r="J38" s="167"/>
      <c r="K38" s="167"/>
      <c r="L38" s="167"/>
      <c r="M38" s="167"/>
      <c r="N38" s="167"/>
      <c r="O38" s="167"/>
      <c r="P38" s="167"/>
      <c r="Q38" s="167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</row>
    <row r="39" spans="1:54" hidden="1" outlineLevel="1" x14ac:dyDescent="0.2">
      <c r="A39" s="2"/>
      <c r="B39" s="163" t="str">
        <f>'Proforma L+H'!B68</f>
        <v>Internal Road: Base + Gravel Finish @ Lower 80</v>
      </c>
      <c r="C39" s="71">
        <f>235000*1.25</f>
        <v>293750</v>
      </c>
      <c r="D39" s="71"/>
      <c r="E39" s="12">
        <f ca="1">OFFSET('Proforma L+H'!$E68,0,'L+H Monthly CF'!E$3)/12</f>
        <v>0</v>
      </c>
      <c r="F39" s="12">
        <f ca="1">OFFSET('Proforma L+H'!$E68,0,'L+H Monthly CF'!F$3)/12</f>
        <v>0</v>
      </c>
      <c r="G39" s="12">
        <f ca="1">OFFSET('Proforma L+H'!$E68,0,'L+H Monthly CF'!G$3)/12</f>
        <v>0</v>
      </c>
      <c r="H39" s="12">
        <f ca="1">OFFSET('Proforma L+H'!$E68,0,'L+H Monthly CF'!H$3)/12</f>
        <v>0</v>
      </c>
      <c r="I39" s="12">
        <f ca="1">OFFSET('Proforma L+H'!$E68,0,'L+H Monthly CF'!I$3)/12</f>
        <v>0</v>
      </c>
      <c r="J39" s="12">
        <f ca="1">OFFSET('Proforma L+H'!$E68,0,'L+H Monthly CF'!J$3)/12</f>
        <v>0</v>
      </c>
      <c r="K39" s="12">
        <f ca="1">OFFSET('Proforma L+H'!$E68,0,'L+H Monthly CF'!K$3)/12</f>
        <v>0</v>
      </c>
      <c r="L39" s="12">
        <f ca="1">OFFSET('Proforma L+H'!$E68,0,'L+H Monthly CF'!L$3)/12</f>
        <v>0</v>
      </c>
      <c r="M39" s="12">
        <f ca="1">OFFSET('Proforma L+H'!$E68,0,'L+H Monthly CF'!M$3)/12</f>
        <v>0</v>
      </c>
      <c r="N39" s="12">
        <f ca="1">OFFSET('Proforma L+H'!$E68,0,'L+H Monthly CF'!N$3)/12</f>
        <v>0</v>
      </c>
      <c r="O39" s="12">
        <f ca="1">OFFSET('Proforma L+H'!$E68,0,'L+H Monthly CF'!O$3)/12</f>
        <v>0</v>
      </c>
      <c r="P39" s="12">
        <f ca="1">OFFSET('Proforma L+H'!$E68,0,'L+H Monthly CF'!P$3)/12</f>
        <v>0</v>
      </c>
      <c r="Q39" s="12">
        <f ca="1">OFFSET('Proforma L+H'!$E68,0,'L+H Monthly CF'!Q$3)/12</f>
        <v>12239.583333333334</v>
      </c>
      <c r="R39" s="12">
        <f ca="1">OFFSET('Proforma L+H'!$E68,0,'L+H Monthly CF'!R$3)/12</f>
        <v>12239.583333333334</v>
      </c>
      <c r="S39" s="12">
        <f ca="1">OFFSET('Proforma L+H'!$E68,0,'L+H Monthly CF'!S$3)/12</f>
        <v>12239.583333333334</v>
      </c>
      <c r="T39" s="12">
        <f ca="1">OFFSET('Proforma L+H'!$E68,0,'L+H Monthly CF'!T$3)/12</f>
        <v>12239.583333333334</v>
      </c>
      <c r="U39" s="12">
        <f ca="1">OFFSET('Proforma L+H'!$E68,0,'L+H Monthly CF'!U$3)/12</f>
        <v>12239.583333333334</v>
      </c>
      <c r="V39" s="12">
        <f ca="1">OFFSET('Proforma L+H'!$E68,0,'L+H Monthly CF'!V$3)/12</f>
        <v>12239.583333333334</v>
      </c>
      <c r="W39" s="12">
        <f ca="1">OFFSET('Proforma L+H'!$E68,0,'L+H Monthly CF'!W$3)/12</f>
        <v>12239.583333333334</v>
      </c>
      <c r="X39" s="12">
        <f ca="1">OFFSET('Proforma L+H'!$E68,0,'L+H Monthly CF'!X$3)/12</f>
        <v>12239.583333333334</v>
      </c>
      <c r="Y39" s="12">
        <f ca="1">OFFSET('Proforma L+H'!$E68,0,'L+H Monthly CF'!Y$3)/12</f>
        <v>12239.583333333334</v>
      </c>
      <c r="Z39" s="12">
        <f ca="1">OFFSET('Proforma L+H'!$E68,0,'L+H Monthly CF'!Z$3)/12</f>
        <v>12239.583333333334</v>
      </c>
      <c r="AA39" s="12">
        <f ca="1">OFFSET('Proforma L+H'!$E68,0,'L+H Monthly CF'!AA$3)/12</f>
        <v>12239.583333333334</v>
      </c>
      <c r="AB39" s="12">
        <f ca="1">OFFSET('Proforma L+H'!$E68,0,'L+H Monthly CF'!AB$3)/12</f>
        <v>12239.583333333334</v>
      </c>
      <c r="AC39" s="12">
        <f ca="1">OFFSET('Proforma L+H'!$E68,0,'L+H Monthly CF'!AC$3)/12</f>
        <v>12239.583333333334</v>
      </c>
      <c r="AD39" s="12">
        <f ca="1">OFFSET('Proforma L+H'!$E68,0,'L+H Monthly CF'!AD$3)/12</f>
        <v>12239.583333333334</v>
      </c>
      <c r="AE39" s="12">
        <f ca="1">OFFSET('Proforma L+H'!$E68,0,'L+H Monthly CF'!AE$3)/12</f>
        <v>12239.583333333334</v>
      </c>
      <c r="AF39" s="12">
        <f ca="1">OFFSET('Proforma L+H'!$E68,0,'L+H Monthly CF'!AF$3)/12</f>
        <v>12239.583333333334</v>
      </c>
      <c r="AG39" s="12">
        <f ca="1">OFFSET('Proforma L+H'!$E68,0,'L+H Monthly CF'!AG$3)/12</f>
        <v>12239.583333333334</v>
      </c>
      <c r="AH39" s="12">
        <f ca="1">OFFSET('Proforma L+H'!$E68,0,'L+H Monthly CF'!AH$3)/12</f>
        <v>12239.583333333334</v>
      </c>
      <c r="AI39" s="12">
        <f ca="1">OFFSET('Proforma L+H'!$E68,0,'L+H Monthly CF'!AI$3)/12</f>
        <v>12239.583333333334</v>
      </c>
      <c r="AJ39" s="12">
        <f ca="1">OFFSET('Proforma L+H'!$E68,0,'L+H Monthly CF'!AJ$3)/12</f>
        <v>12239.583333333334</v>
      </c>
      <c r="AK39" s="12">
        <f ca="1">OFFSET('Proforma L+H'!$E68,0,'L+H Monthly CF'!AK$3)/12</f>
        <v>12239.583333333334</v>
      </c>
      <c r="AL39" s="12">
        <f ca="1">OFFSET('Proforma L+H'!$E68,0,'L+H Monthly CF'!AL$3)/12</f>
        <v>12239.583333333334</v>
      </c>
      <c r="AM39" s="12">
        <f ca="1">OFFSET('Proforma L+H'!$E68,0,'L+H Monthly CF'!AM$3)/12</f>
        <v>12239.583333333334</v>
      </c>
      <c r="AN39" s="12">
        <f ca="1">OFFSET('Proforma L+H'!$E68,0,'L+H Monthly CF'!AN$3)/12</f>
        <v>12239.583333333334</v>
      </c>
      <c r="AO39" s="12">
        <f ca="1">OFFSET('Proforma L+H'!$E68,0,'L+H Monthly CF'!AO$3)/12</f>
        <v>0</v>
      </c>
      <c r="AP39" s="12">
        <f ca="1">OFFSET('Proforma L+H'!$E68,0,'L+H Monthly CF'!AP$3)/12</f>
        <v>0</v>
      </c>
      <c r="AQ39" s="12">
        <f ca="1">OFFSET('Proforma L+H'!$E68,0,'L+H Monthly CF'!AQ$3)/12</f>
        <v>0</v>
      </c>
      <c r="AR39" s="12">
        <f ca="1">OFFSET('Proforma L+H'!$E68,0,'L+H Monthly CF'!AR$3)/12</f>
        <v>0</v>
      </c>
      <c r="AS39" s="12">
        <f ca="1">OFFSET('Proforma L+H'!$E68,0,'L+H Monthly CF'!AS$3)/12</f>
        <v>0</v>
      </c>
      <c r="AT39" s="12">
        <f ca="1">OFFSET('Proforma L+H'!$E68,0,'L+H Monthly CF'!AT$3)/12</f>
        <v>0</v>
      </c>
      <c r="AU39" s="12">
        <f ca="1">OFFSET('Proforma L+H'!$E68,0,'L+H Monthly CF'!AU$3)/12</f>
        <v>0</v>
      </c>
      <c r="AV39" s="12">
        <f ca="1">OFFSET('Proforma L+H'!$E68,0,'L+H Monthly CF'!AV$3)/12</f>
        <v>0</v>
      </c>
      <c r="AW39" s="12">
        <f ca="1">OFFSET('Proforma L+H'!$E68,0,'L+H Monthly CF'!AW$3)/12</f>
        <v>0</v>
      </c>
      <c r="AX39" s="12">
        <f ca="1">OFFSET('Proforma L+H'!$E68,0,'L+H Monthly CF'!AX$3)/12</f>
        <v>0</v>
      </c>
      <c r="AY39" s="12">
        <f ca="1">OFFSET('Proforma L+H'!$E68,0,'L+H Monthly CF'!AY$3)/12</f>
        <v>0</v>
      </c>
      <c r="AZ39" s="12">
        <f ca="1">OFFSET('Proforma L+H'!$E68,0,'L+H Monthly CF'!AZ$3)/12</f>
        <v>0</v>
      </c>
      <c r="BA39" s="12">
        <f t="shared" ref="BA39:BA56" ca="1" si="32">SUM(E39:AZ39)</f>
        <v>293750.00000000006</v>
      </c>
      <c r="BB39" s="758">
        <f ca="1">SUM('Proforma L+H'!E68:H68)-BA39</f>
        <v>0</v>
      </c>
    </row>
    <row r="40" spans="1:54" hidden="1" outlineLevel="1" x14ac:dyDescent="0.2">
      <c r="A40" s="2"/>
      <c r="B40" s="163" t="str">
        <f>'Proforma L+H'!B69</f>
        <v>Internal Road: Base + Gravel Finish @ 45 Lots</v>
      </c>
      <c r="C40" s="71">
        <f>590000*1.25</f>
        <v>737500</v>
      </c>
      <c r="D40" s="71"/>
      <c r="E40" s="12">
        <f ca="1">OFFSET('Proforma L+H'!$E69,0,'L+H Monthly CF'!E$3)/12</f>
        <v>0</v>
      </c>
      <c r="F40" s="12">
        <f ca="1">OFFSET('Proforma L+H'!$E69,0,'L+H Monthly CF'!F$3)/12</f>
        <v>0</v>
      </c>
      <c r="G40" s="12">
        <f ca="1">OFFSET('Proforma L+H'!$E69,0,'L+H Monthly CF'!G$3)/12</f>
        <v>0</v>
      </c>
      <c r="H40" s="12">
        <f ca="1">OFFSET('Proforma L+H'!$E69,0,'L+H Monthly CF'!H$3)/12</f>
        <v>0</v>
      </c>
      <c r="I40" s="12">
        <f ca="1">OFFSET('Proforma L+H'!$E69,0,'L+H Monthly CF'!I$3)/12</f>
        <v>0</v>
      </c>
      <c r="J40" s="12">
        <f ca="1">OFFSET('Proforma L+H'!$E69,0,'L+H Monthly CF'!J$3)/12</f>
        <v>0</v>
      </c>
      <c r="K40" s="12">
        <f ca="1">OFFSET('Proforma L+H'!$E69,0,'L+H Monthly CF'!K$3)/12</f>
        <v>0</v>
      </c>
      <c r="L40" s="12">
        <f ca="1">OFFSET('Proforma L+H'!$E69,0,'L+H Monthly CF'!L$3)/12</f>
        <v>0</v>
      </c>
      <c r="M40" s="12">
        <f ca="1">OFFSET('Proforma L+H'!$E69,0,'L+H Monthly CF'!M$3)/12</f>
        <v>0</v>
      </c>
      <c r="N40" s="12">
        <f ca="1">OFFSET('Proforma L+H'!$E69,0,'L+H Monthly CF'!N$3)/12</f>
        <v>0</v>
      </c>
      <c r="O40" s="12">
        <f ca="1">OFFSET('Proforma L+H'!$E69,0,'L+H Monthly CF'!O$3)/12</f>
        <v>0</v>
      </c>
      <c r="P40" s="12">
        <f ca="1">OFFSET('Proforma L+H'!$E69,0,'L+H Monthly CF'!P$3)/12</f>
        <v>0</v>
      </c>
      <c r="Q40" s="12">
        <f ca="1">OFFSET('Proforma L+H'!$E69,0,'L+H Monthly CF'!Q$3)/12</f>
        <v>20486.111111111113</v>
      </c>
      <c r="R40" s="12">
        <f ca="1">OFFSET('Proforma L+H'!$E69,0,'L+H Monthly CF'!R$3)/12</f>
        <v>20486.111111111113</v>
      </c>
      <c r="S40" s="12">
        <f ca="1">OFFSET('Proforma L+H'!$E69,0,'L+H Monthly CF'!S$3)/12</f>
        <v>20486.111111111113</v>
      </c>
      <c r="T40" s="12">
        <f ca="1">OFFSET('Proforma L+H'!$E69,0,'L+H Monthly CF'!T$3)/12</f>
        <v>20486.111111111113</v>
      </c>
      <c r="U40" s="12">
        <f ca="1">OFFSET('Proforma L+H'!$E69,0,'L+H Monthly CF'!U$3)/12</f>
        <v>20486.111111111113</v>
      </c>
      <c r="V40" s="12">
        <f ca="1">OFFSET('Proforma L+H'!$E69,0,'L+H Monthly CF'!V$3)/12</f>
        <v>20486.111111111113</v>
      </c>
      <c r="W40" s="12">
        <f ca="1">OFFSET('Proforma L+H'!$E69,0,'L+H Monthly CF'!W$3)/12</f>
        <v>20486.111111111113</v>
      </c>
      <c r="X40" s="12">
        <f ca="1">OFFSET('Proforma L+H'!$E69,0,'L+H Monthly CF'!X$3)/12</f>
        <v>20486.111111111113</v>
      </c>
      <c r="Y40" s="12">
        <f ca="1">OFFSET('Proforma L+H'!$E69,0,'L+H Monthly CF'!Y$3)/12</f>
        <v>20486.111111111113</v>
      </c>
      <c r="Z40" s="12">
        <f ca="1">OFFSET('Proforma L+H'!$E69,0,'L+H Monthly CF'!Z$3)/12</f>
        <v>20486.111111111113</v>
      </c>
      <c r="AA40" s="12">
        <f ca="1">OFFSET('Proforma L+H'!$E69,0,'L+H Monthly CF'!AA$3)/12</f>
        <v>20486.111111111113</v>
      </c>
      <c r="AB40" s="12">
        <f ca="1">OFFSET('Proforma L+H'!$E69,0,'L+H Monthly CF'!AB$3)/12</f>
        <v>20486.111111111113</v>
      </c>
      <c r="AC40" s="12">
        <f ca="1">OFFSET('Proforma L+H'!$E69,0,'L+H Monthly CF'!AC$3)/12</f>
        <v>20486.111111111113</v>
      </c>
      <c r="AD40" s="12">
        <f ca="1">OFFSET('Proforma L+H'!$E69,0,'L+H Monthly CF'!AD$3)/12</f>
        <v>20486.111111111113</v>
      </c>
      <c r="AE40" s="12">
        <f ca="1">OFFSET('Proforma L+H'!$E69,0,'L+H Monthly CF'!AE$3)/12</f>
        <v>20486.111111111113</v>
      </c>
      <c r="AF40" s="12">
        <f ca="1">OFFSET('Proforma L+H'!$E69,0,'L+H Monthly CF'!AF$3)/12</f>
        <v>20486.111111111113</v>
      </c>
      <c r="AG40" s="12">
        <f ca="1">OFFSET('Proforma L+H'!$E69,0,'L+H Monthly CF'!AG$3)/12</f>
        <v>20486.111111111113</v>
      </c>
      <c r="AH40" s="12">
        <f ca="1">OFFSET('Proforma L+H'!$E69,0,'L+H Monthly CF'!AH$3)/12</f>
        <v>20486.111111111113</v>
      </c>
      <c r="AI40" s="12">
        <f ca="1">OFFSET('Proforma L+H'!$E69,0,'L+H Monthly CF'!AI$3)/12</f>
        <v>20486.111111111113</v>
      </c>
      <c r="AJ40" s="12">
        <f ca="1">OFFSET('Proforma L+H'!$E69,0,'L+H Monthly CF'!AJ$3)/12</f>
        <v>20486.111111111113</v>
      </c>
      <c r="AK40" s="12">
        <f ca="1">OFFSET('Proforma L+H'!$E69,0,'L+H Monthly CF'!AK$3)/12</f>
        <v>20486.111111111113</v>
      </c>
      <c r="AL40" s="12">
        <f ca="1">OFFSET('Proforma L+H'!$E69,0,'L+H Monthly CF'!AL$3)/12</f>
        <v>20486.111111111113</v>
      </c>
      <c r="AM40" s="12">
        <f ca="1">OFFSET('Proforma L+H'!$E69,0,'L+H Monthly CF'!AM$3)/12</f>
        <v>20486.111111111113</v>
      </c>
      <c r="AN40" s="12">
        <f ca="1">OFFSET('Proforma L+H'!$E69,0,'L+H Monthly CF'!AN$3)/12</f>
        <v>20486.111111111113</v>
      </c>
      <c r="AO40" s="12">
        <f ca="1">OFFSET('Proforma L+H'!$E69,0,'L+H Monthly CF'!AO$3)/12</f>
        <v>20486.111111111113</v>
      </c>
      <c r="AP40" s="12">
        <f ca="1">OFFSET('Proforma L+H'!$E69,0,'L+H Monthly CF'!AP$3)/12</f>
        <v>20486.111111111113</v>
      </c>
      <c r="AQ40" s="12">
        <f ca="1">OFFSET('Proforma L+H'!$E69,0,'L+H Monthly CF'!AQ$3)/12</f>
        <v>20486.111111111113</v>
      </c>
      <c r="AR40" s="12">
        <f ca="1">OFFSET('Proforma L+H'!$E69,0,'L+H Monthly CF'!AR$3)/12</f>
        <v>20486.111111111113</v>
      </c>
      <c r="AS40" s="12">
        <f ca="1">OFFSET('Proforma L+H'!$E69,0,'L+H Monthly CF'!AS$3)/12</f>
        <v>20486.111111111113</v>
      </c>
      <c r="AT40" s="12">
        <f ca="1">OFFSET('Proforma L+H'!$E69,0,'L+H Monthly CF'!AT$3)/12</f>
        <v>20486.111111111113</v>
      </c>
      <c r="AU40" s="12">
        <f ca="1">OFFSET('Proforma L+H'!$E69,0,'L+H Monthly CF'!AU$3)/12</f>
        <v>20486.111111111113</v>
      </c>
      <c r="AV40" s="12">
        <f ca="1">OFFSET('Proforma L+H'!$E69,0,'L+H Monthly CF'!AV$3)/12</f>
        <v>20486.111111111113</v>
      </c>
      <c r="AW40" s="12">
        <f ca="1">OFFSET('Proforma L+H'!$E69,0,'L+H Monthly CF'!AW$3)/12</f>
        <v>20486.111111111113</v>
      </c>
      <c r="AX40" s="12">
        <f ca="1">OFFSET('Proforma L+H'!$E69,0,'L+H Monthly CF'!AX$3)/12</f>
        <v>20486.111111111113</v>
      </c>
      <c r="AY40" s="12">
        <f ca="1">OFFSET('Proforma L+H'!$E69,0,'L+H Monthly CF'!AY$3)/12</f>
        <v>20486.111111111113</v>
      </c>
      <c r="AZ40" s="12">
        <f ca="1">OFFSET('Proforma L+H'!$E69,0,'L+H Monthly CF'!AZ$3)/12</f>
        <v>20486.111111111113</v>
      </c>
      <c r="BA40" s="12">
        <f t="shared" ca="1" si="32"/>
        <v>737500.00000000035</v>
      </c>
      <c r="BB40" s="758">
        <f ca="1">SUM('Proforma L+H'!E69:H69)-BA40</f>
        <v>0</v>
      </c>
    </row>
    <row r="41" spans="1:54" hidden="1" outlineLevel="1" x14ac:dyDescent="0.2">
      <c r="A41" s="2"/>
      <c r="B41" s="163" t="str">
        <f>'Proforma L+H'!B70</f>
        <v>Internal Road: Paving @ 45 Lots</v>
      </c>
      <c r="C41" s="71">
        <f>350000*1.25</f>
        <v>437500</v>
      </c>
      <c r="D41" s="71"/>
      <c r="E41" s="12">
        <f ca="1">OFFSET('Proforma L+H'!$E70,0,'L+H Monthly CF'!E$3)/12</f>
        <v>0</v>
      </c>
      <c r="F41" s="12">
        <f ca="1">OFFSET('Proforma L+H'!$E70,0,'L+H Monthly CF'!F$3)/12</f>
        <v>0</v>
      </c>
      <c r="G41" s="12">
        <f ca="1">OFFSET('Proforma L+H'!$E70,0,'L+H Monthly CF'!G$3)/12</f>
        <v>0</v>
      </c>
      <c r="H41" s="12">
        <f ca="1">OFFSET('Proforma L+H'!$E70,0,'L+H Monthly CF'!H$3)/12</f>
        <v>0</v>
      </c>
      <c r="I41" s="12">
        <f ca="1">OFFSET('Proforma L+H'!$E70,0,'L+H Monthly CF'!I$3)/12</f>
        <v>0</v>
      </c>
      <c r="J41" s="12">
        <f ca="1">OFFSET('Proforma L+H'!$E70,0,'L+H Monthly CF'!J$3)/12</f>
        <v>0</v>
      </c>
      <c r="K41" s="12">
        <f ca="1">OFFSET('Proforma L+H'!$E70,0,'L+H Monthly CF'!K$3)/12</f>
        <v>0</v>
      </c>
      <c r="L41" s="12">
        <f ca="1">OFFSET('Proforma L+H'!$E70,0,'L+H Monthly CF'!L$3)/12</f>
        <v>0</v>
      </c>
      <c r="M41" s="12">
        <f ca="1">OFFSET('Proforma L+H'!$E70,0,'L+H Monthly CF'!M$3)/12</f>
        <v>0</v>
      </c>
      <c r="N41" s="12">
        <f ca="1">OFFSET('Proforma L+H'!$E70,0,'L+H Monthly CF'!N$3)/12</f>
        <v>0</v>
      </c>
      <c r="O41" s="12">
        <f ca="1">OFFSET('Proforma L+H'!$E70,0,'L+H Monthly CF'!O$3)/12</f>
        <v>0</v>
      </c>
      <c r="P41" s="12">
        <f ca="1">OFFSET('Proforma L+H'!$E70,0,'L+H Monthly CF'!P$3)/12</f>
        <v>0</v>
      </c>
      <c r="Q41" s="12">
        <f ca="1">OFFSET('Proforma L+H'!$E70,0,'L+H Monthly CF'!Q$3)/12</f>
        <v>12152.777777777779</v>
      </c>
      <c r="R41" s="12">
        <f ca="1">OFFSET('Proforma L+H'!$E70,0,'L+H Monthly CF'!R$3)/12</f>
        <v>12152.777777777779</v>
      </c>
      <c r="S41" s="12">
        <f ca="1">OFFSET('Proforma L+H'!$E70,0,'L+H Monthly CF'!S$3)/12</f>
        <v>12152.777777777779</v>
      </c>
      <c r="T41" s="12">
        <f ca="1">OFFSET('Proforma L+H'!$E70,0,'L+H Monthly CF'!T$3)/12</f>
        <v>12152.777777777779</v>
      </c>
      <c r="U41" s="12">
        <f ca="1">OFFSET('Proforma L+H'!$E70,0,'L+H Monthly CF'!U$3)/12</f>
        <v>12152.777777777779</v>
      </c>
      <c r="V41" s="12">
        <f ca="1">OFFSET('Proforma L+H'!$E70,0,'L+H Monthly CF'!V$3)/12</f>
        <v>12152.777777777779</v>
      </c>
      <c r="W41" s="12">
        <f ca="1">OFFSET('Proforma L+H'!$E70,0,'L+H Monthly CF'!W$3)/12</f>
        <v>12152.777777777779</v>
      </c>
      <c r="X41" s="12">
        <f ca="1">OFFSET('Proforma L+H'!$E70,0,'L+H Monthly CF'!X$3)/12</f>
        <v>12152.777777777779</v>
      </c>
      <c r="Y41" s="12">
        <f ca="1">OFFSET('Proforma L+H'!$E70,0,'L+H Monthly CF'!Y$3)/12</f>
        <v>12152.777777777779</v>
      </c>
      <c r="Z41" s="12">
        <f ca="1">OFFSET('Proforma L+H'!$E70,0,'L+H Monthly CF'!Z$3)/12</f>
        <v>12152.777777777779</v>
      </c>
      <c r="AA41" s="12">
        <f ca="1">OFFSET('Proforma L+H'!$E70,0,'L+H Monthly CF'!AA$3)/12</f>
        <v>12152.777777777779</v>
      </c>
      <c r="AB41" s="12">
        <f ca="1">OFFSET('Proforma L+H'!$E70,0,'L+H Monthly CF'!AB$3)/12</f>
        <v>12152.777777777779</v>
      </c>
      <c r="AC41" s="12">
        <f ca="1">OFFSET('Proforma L+H'!$E70,0,'L+H Monthly CF'!AC$3)/12</f>
        <v>12152.777777777779</v>
      </c>
      <c r="AD41" s="12">
        <f ca="1">OFFSET('Proforma L+H'!$E70,0,'L+H Monthly CF'!AD$3)/12</f>
        <v>12152.777777777779</v>
      </c>
      <c r="AE41" s="12">
        <f ca="1">OFFSET('Proforma L+H'!$E70,0,'L+H Monthly CF'!AE$3)/12</f>
        <v>12152.777777777779</v>
      </c>
      <c r="AF41" s="12">
        <f ca="1">OFFSET('Proforma L+H'!$E70,0,'L+H Monthly CF'!AF$3)/12</f>
        <v>12152.777777777779</v>
      </c>
      <c r="AG41" s="12">
        <f ca="1">OFFSET('Proforma L+H'!$E70,0,'L+H Monthly CF'!AG$3)/12</f>
        <v>12152.777777777779</v>
      </c>
      <c r="AH41" s="12">
        <f ca="1">OFFSET('Proforma L+H'!$E70,0,'L+H Monthly CF'!AH$3)/12</f>
        <v>12152.777777777779</v>
      </c>
      <c r="AI41" s="12">
        <f ca="1">OFFSET('Proforma L+H'!$E70,0,'L+H Monthly CF'!AI$3)/12</f>
        <v>12152.777777777779</v>
      </c>
      <c r="AJ41" s="12">
        <f ca="1">OFFSET('Proforma L+H'!$E70,0,'L+H Monthly CF'!AJ$3)/12</f>
        <v>12152.777777777779</v>
      </c>
      <c r="AK41" s="12">
        <f ca="1">OFFSET('Proforma L+H'!$E70,0,'L+H Monthly CF'!AK$3)/12</f>
        <v>12152.777777777779</v>
      </c>
      <c r="AL41" s="12">
        <f ca="1">OFFSET('Proforma L+H'!$E70,0,'L+H Monthly CF'!AL$3)/12</f>
        <v>12152.777777777779</v>
      </c>
      <c r="AM41" s="12">
        <f ca="1">OFFSET('Proforma L+H'!$E70,0,'L+H Monthly CF'!AM$3)/12</f>
        <v>12152.777777777779</v>
      </c>
      <c r="AN41" s="12">
        <f ca="1">OFFSET('Proforma L+H'!$E70,0,'L+H Monthly CF'!AN$3)/12</f>
        <v>12152.777777777779</v>
      </c>
      <c r="AO41" s="12">
        <f ca="1">OFFSET('Proforma L+H'!$E70,0,'L+H Monthly CF'!AO$3)/12</f>
        <v>12152.777777777779</v>
      </c>
      <c r="AP41" s="12">
        <f ca="1">OFFSET('Proforma L+H'!$E70,0,'L+H Monthly CF'!AP$3)/12</f>
        <v>12152.777777777779</v>
      </c>
      <c r="AQ41" s="12">
        <f ca="1">OFFSET('Proforma L+H'!$E70,0,'L+H Monthly CF'!AQ$3)/12</f>
        <v>12152.777777777779</v>
      </c>
      <c r="AR41" s="12">
        <f ca="1">OFFSET('Proforma L+H'!$E70,0,'L+H Monthly CF'!AR$3)/12</f>
        <v>12152.777777777779</v>
      </c>
      <c r="AS41" s="12">
        <f ca="1">OFFSET('Proforma L+H'!$E70,0,'L+H Monthly CF'!AS$3)/12</f>
        <v>12152.777777777779</v>
      </c>
      <c r="AT41" s="12">
        <f ca="1">OFFSET('Proforma L+H'!$E70,0,'L+H Monthly CF'!AT$3)/12</f>
        <v>12152.777777777779</v>
      </c>
      <c r="AU41" s="12">
        <f ca="1">OFFSET('Proforma L+H'!$E70,0,'L+H Monthly CF'!AU$3)/12</f>
        <v>12152.777777777779</v>
      </c>
      <c r="AV41" s="12">
        <f ca="1">OFFSET('Proforma L+H'!$E70,0,'L+H Monthly CF'!AV$3)/12</f>
        <v>12152.777777777779</v>
      </c>
      <c r="AW41" s="12">
        <f ca="1">OFFSET('Proforma L+H'!$E70,0,'L+H Monthly CF'!AW$3)/12</f>
        <v>12152.777777777779</v>
      </c>
      <c r="AX41" s="12">
        <f ca="1">OFFSET('Proforma L+H'!$E70,0,'L+H Monthly CF'!AX$3)/12</f>
        <v>12152.777777777779</v>
      </c>
      <c r="AY41" s="12">
        <f ca="1">OFFSET('Proforma L+H'!$E70,0,'L+H Monthly CF'!AY$3)/12</f>
        <v>12152.777777777779</v>
      </c>
      <c r="AZ41" s="12">
        <f ca="1">OFFSET('Proforma L+H'!$E70,0,'L+H Monthly CF'!AZ$3)/12</f>
        <v>12152.777777777779</v>
      </c>
      <c r="BA41" s="12">
        <f t="shared" ca="1" si="32"/>
        <v>437499.99999999965</v>
      </c>
      <c r="BB41" s="758">
        <f ca="1">SUM('Proforma L+H'!E70:H70)-BA41</f>
        <v>0</v>
      </c>
    </row>
    <row r="42" spans="1:54" hidden="1" outlineLevel="1" x14ac:dyDescent="0.2">
      <c r="A42" s="2"/>
      <c r="B42" s="163" t="str">
        <f>'Proforma L+H'!B71</f>
        <v>County/USFS Road: BASE + GRAVEL FINISH @ end of existing</v>
      </c>
      <c r="C42" s="549">
        <f>500000*1.25</f>
        <v>625000</v>
      </c>
      <c r="D42" s="549"/>
      <c r="E42" s="12">
        <f ca="1">OFFSET('Proforma L+H'!$E71,0,'L+H Monthly CF'!E$3)/12</f>
        <v>26041.666666666668</v>
      </c>
      <c r="F42" s="12">
        <f ca="1">OFFSET('Proforma L+H'!$E71,0,'L+H Monthly CF'!F$3)/12</f>
        <v>26041.666666666668</v>
      </c>
      <c r="G42" s="12">
        <f ca="1">OFFSET('Proforma L+H'!$E71,0,'L+H Monthly CF'!G$3)/12</f>
        <v>26041.666666666668</v>
      </c>
      <c r="H42" s="12">
        <f ca="1">OFFSET('Proforma L+H'!$E71,0,'L+H Monthly CF'!H$3)/12</f>
        <v>26041.666666666668</v>
      </c>
      <c r="I42" s="12">
        <f ca="1">OFFSET('Proforma L+H'!$E71,0,'L+H Monthly CF'!I$3)/12</f>
        <v>26041.666666666668</v>
      </c>
      <c r="J42" s="12">
        <f ca="1">OFFSET('Proforma L+H'!$E71,0,'L+H Monthly CF'!J$3)/12</f>
        <v>26041.666666666668</v>
      </c>
      <c r="K42" s="12">
        <f ca="1">OFFSET('Proforma L+H'!$E71,0,'L+H Monthly CF'!K$3)/12</f>
        <v>26041.666666666668</v>
      </c>
      <c r="L42" s="12">
        <f ca="1">OFFSET('Proforma L+H'!$E71,0,'L+H Monthly CF'!L$3)/12</f>
        <v>26041.666666666668</v>
      </c>
      <c r="M42" s="12">
        <f ca="1">OFFSET('Proforma L+H'!$E71,0,'L+H Monthly CF'!M$3)/12</f>
        <v>26041.666666666668</v>
      </c>
      <c r="N42" s="12">
        <f ca="1">OFFSET('Proforma L+H'!$E71,0,'L+H Monthly CF'!N$3)/12</f>
        <v>26041.666666666668</v>
      </c>
      <c r="O42" s="12">
        <f ca="1">OFFSET('Proforma L+H'!$E71,0,'L+H Monthly CF'!O$3)/12</f>
        <v>26041.666666666668</v>
      </c>
      <c r="P42" s="12">
        <f ca="1">OFFSET('Proforma L+H'!$E71,0,'L+H Monthly CF'!P$3)/12</f>
        <v>26041.666666666668</v>
      </c>
      <c r="Q42" s="12">
        <f ca="1">OFFSET('Proforma L+H'!$E71,0,'L+H Monthly CF'!Q$3)/12</f>
        <v>0</v>
      </c>
      <c r="R42" s="12">
        <f ca="1">OFFSET('Proforma L+H'!$E71,0,'L+H Monthly CF'!R$3)/12</f>
        <v>0</v>
      </c>
      <c r="S42" s="12">
        <f ca="1">OFFSET('Proforma L+H'!$E71,0,'L+H Monthly CF'!S$3)/12</f>
        <v>0</v>
      </c>
      <c r="T42" s="12">
        <f ca="1">OFFSET('Proforma L+H'!$E71,0,'L+H Monthly CF'!T$3)/12</f>
        <v>0</v>
      </c>
      <c r="U42" s="12">
        <f ca="1">OFFSET('Proforma L+H'!$E71,0,'L+H Monthly CF'!U$3)/12</f>
        <v>0</v>
      </c>
      <c r="V42" s="12">
        <f ca="1">OFFSET('Proforma L+H'!$E71,0,'L+H Monthly CF'!V$3)/12</f>
        <v>0</v>
      </c>
      <c r="W42" s="12">
        <f ca="1">OFFSET('Proforma L+H'!$E71,0,'L+H Monthly CF'!W$3)/12</f>
        <v>0</v>
      </c>
      <c r="X42" s="12">
        <f ca="1">OFFSET('Proforma L+H'!$E71,0,'L+H Monthly CF'!X$3)/12</f>
        <v>0</v>
      </c>
      <c r="Y42" s="12">
        <f ca="1">OFFSET('Proforma L+H'!$E71,0,'L+H Monthly CF'!Y$3)/12</f>
        <v>0</v>
      </c>
      <c r="Z42" s="12">
        <f ca="1">OFFSET('Proforma L+H'!$E71,0,'L+H Monthly CF'!Z$3)/12</f>
        <v>0</v>
      </c>
      <c r="AA42" s="12">
        <f ca="1">OFFSET('Proforma L+H'!$E71,0,'L+H Monthly CF'!AA$3)/12</f>
        <v>0</v>
      </c>
      <c r="AB42" s="12">
        <f ca="1">OFFSET('Proforma L+H'!$E71,0,'L+H Monthly CF'!AB$3)/12</f>
        <v>0</v>
      </c>
      <c r="AC42" s="12">
        <f ca="1">OFFSET('Proforma L+H'!$E71,0,'L+H Monthly CF'!AC$3)/12</f>
        <v>26041.666666666668</v>
      </c>
      <c r="AD42" s="12">
        <f ca="1">OFFSET('Proforma L+H'!$E71,0,'L+H Monthly CF'!AD$3)/12</f>
        <v>26041.666666666668</v>
      </c>
      <c r="AE42" s="12">
        <f ca="1">OFFSET('Proforma L+H'!$E71,0,'L+H Monthly CF'!AE$3)/12</f>
        <v>26041.666666666668</v>
      </c>
      <c r="AF42" s="12">
        <f ca="1">OFFSET('Proforma L+H'!$E71,0,'L+H Monthly CF'!AF$3)/12</f>
        <v>26041.666666666668</v>
      </c>
      <c r="AG42" s="12">
        <f ca="1">OFFSET('Proforma L+H'!$E71,0,'L+H Monthly CF'!AG$3)/12</f>
        <v>26041.666666666668</v>
      </c>
      <c r="AH42" s="12">
        <f ca="1">OFFSET('Proforma L+H'!$E71,0,'L+H Monthly CF'!AH$3)/12</f>
        <v>26041.666666666668</v>
      </c>
      <c r="AI42" s="12">
        <f ca="1">OFFSET('Proforma L+H'!$E71,0,'L+H Monthly CF'!AI$3)/12</f>
        <v>26041.666666666668</v>
      </c>
      <c r="AJ42" s="12">
        <f ca="1">OFFSET('Proforma L+H'!$E71,0,'L+H Monthly CF'!AJ$3)/12</f>
        <v>26041.666666666668</v>
      </c>
      <c r="AK42" s="12">
        <f ca="1">OFFSET('Proforma L+H'!$E71,0,'L+H Monthly CF'!AK$3)/12</f>
        <v>26041.666666666668</v>
      </c>
      <c r="AL42" s="12">
        <f ca="1">OFFSET('Proforma L+H'!$E71,0,'L+H Monthly CF'!AL$3)/12</f>
        <v>26041.666666666668</v>
      </c>
      <c r="AM42" s="12">
        <f ca="1">OFFSET('Proforma L+H'!$E71,0,'L+H Monthly CF'!AM$3)/12</f>
        <v>26041.666666666668</v>
      </c>
      <c r="AN42" s="12">
        <f ca="1">OFFSET('Proforma L+H'!$E71,0,'L+H Monthly CF'!AN$3)/12</f>
        <v>26041.666666666668</v>
      </c>
      <c r="AO42" s="12">
        <f ca="1">OFFSET('Proforma L+H'!$E71,0,'L+H Monthly CF'!AO$3)/12</f>
        <v>0</v>
      </c>
      <c r="AP42" s="12">
        <f ca="1">OFFSET('Proforma L+H'!$E71,0,'L+H Monthly CF'!AP$3)/12</f>
        <v>0</v>
      </c>
      <c r="AQ42" s="12">
        <f ca="1">OFFSET('Proforma L+H'!$E71,0,'L+H Monthly CF'!AQ$3)/12</f>
        <v>0</v>
      </c>
      <c r="AR42" s="12">
        <f ca="1">OFFSET('Proforma L+H'!$E71,0,'L+H Monthly CF'!AR$3)/12</f>
        <v>0</v>
      </c>
      <c r="AS42" s="12">
        <f ca="1">OFFSET('Proforma L+H'!$E71,0,'L+H Monthly CF'!AS$3)/12</f>
        <v>0</v>
      </c>
      <c r="AT42" s="12">
        <f ca="1">OFFSET('Proforma L+H'!$E71,0,'L+H Monthly CF'!AT$3)/12</f>
        <v>0</v>
      </c>
      <c r="AU42" s="12">
        <f ca="1">OFFSET('Proforma L+H'!$E71,0,'L+H Monthly CF'!AU$3)/12</f>
        <v>0</v>
      </c>
      <c r="AV42" s="12">
        <f ca="1">OFFSET('Proforma L+H'!$E71,0,'L+H Monthly CF'!AV$3)/12</f>
        <v>0</v>
      </c>
      <c r="AW42" s="12">
        <f ca="1">OFFSET('Proforma L+H'!$E71,0,'L+H Monthly CF'!AW$3)/12</f>
        <v>0</v>
      </c>
      <c r="AX42" s="12">
        <f ca="1">OFFSET('Proforma L+H'!$E71,0,'L+H Monthly CF'!AX$3)/12</f>
        <v>0</v>
      </c>
      <c r="AY42" s="12">
        <f ca="1">OFFSET('Proforma L+H'!$E71,0,'L+H Monthly CF'!AY$3)/12</f>
        <v>0</v>
      </c>
      <c r="AZ42" s="12">
        <f ca="1">OFFSET('Proforma L+H'!$E71,0,'L+H Monthly CF'!AZ$3)/12</f>
        <v>0</v>
      </c>
      <c r="BA42" s="12">
        <f t="shared" ca="1" si="32"/>
        <v>625000</v>
      </c>
      <c r="BB42" s="758">
        <f ca="1">SUM('Proforma L+H'!E71:H71)-BA42</f>
        <v>0</v>
      </c>
    </row>
    <row r="43" spans="1:54" hidden="1" outlineLevel="1" x14ac:dyDescent="0.2">
      <c r="A43" s="2"/>
      <c r="B43" s="163" t="str">
        <f>'Proforma L+H'!B72</f>
        <v>County/USFS Road: PAVING @ end of existing to back gate</v>
      </c>
      <c r="C43" s="549">
        <f>500000*1.25</f>
        <v>625000</v>
      </c>
      <c r="D43" s="549"/>
      <c r="E43" s="12">
        <f ca="1">OFFSET('Proforma L+H'!$E72,0,'L+H Monthly CF'!E$3)/12</f>
        <v>0</v>
      </c>
      <c r="F43" s="12">
        <f ca="1">OFFSET('Proforma L+H'!$E72,0,'L+H Monthly CF'!F$3)/12</f>
        <v>0</v>
      </c>
      <c r="G43" s="12">
        <f ca="1">OFFSET('Proforma L+H'!$E72,0,'L+H Monthly CF'!G$3)/12</f>
        <v>0</v>
      </c>
      <c r="H43" s="12">
        <f ca="1">OFFSET('Proforma L+H'!$E72,0,'L+H Monthly CF'!H$3)/12</f>
        <v>0</v>
      </c>
      <c r="I43" s="12">
        <f ca="1">OFFSET('Proforma L+H'!$E72,0,'L+H Monthly CF'!I$3)/12</f>
        <v>0</v>
      </c>
      <c r="J43" s="12">
        <f ca="1">OFFSET('Proforma L+H'!$E72,0,'L+H Monthly CF'!J$3)/12</f>
        <v>0</v>
      </c>
      <c r="K43" s="12">
        <f ca="1">OFFSET('Proforma L+H'!$E72,0,'L+H Monthly CF'!K$3)/12</f>
        <v>0</v>
      </c>
      <c r="L43" s="12">
        <f ca="1">OFFSET('Proforma L+H'!$E72,0,'L+H Monthly CF'!L$3)/12</f>
        <v>0</v>
      </c>
      <c r="M43" s="12">
        <f ca="1">OFFSET('Proforma L+H'!$E72,0,'L+H Monthly CF'!M$3)/12</f>
        <v>0</v>
      </c>
      <c r="N43" s="12">
        <f ca="1">OFFSET('Proforma L+H'!$E72,0,'L+H Monthly CF'!N$3)/12</f>
        <v>0</v>
      </c>
      <c r="O43" s="12">
        <f ca="1">OFFSET('Proforma L+H'!$E72,0,'L+H Monthly CF'!O$3)/12</f>
        <v>0</v>
      </c>
      <c r="P43" s="12">
        <f ca="1">OFFSET('Proforma L+H'!$E72,0,'L+H Monthly CF'!P$3)/12</f>
        <v>0</v>
      </c>
      <c r="Q43" s="12">
        <f ca="1">OFFSET('Proforma L+H'!$E72,0,'L+H Monthly CF'!Q$3)/12</f>
        <v>26041.666666666668</v>
      </c>
      <c r="R43" s="12">
        <f ca="1">OFFSET('Proforma L+H'!$E72,0,'L+H Monthly CF'!R$3)/12</f>
        <v>26041.666666666668</v>
      </c>
      <c r="S43" s="12">
        <f ca="1">OFFSET('Proforma L+H'!$E72,0,'L+H Monthly CF'!S$3)/12</f>
        <v>26041.666666666668</v>
      </c>
      <c r="T43" s="12">
        <f ca="1">OFFSET('Proforma L+H'!$E72,0,'L+H Monthly CF'!T$3)/12</f>
        <v>26041.666666666668</v>
      </c>
      <c r="U43" s="12">
        <f ca="1">OFFSET('Proforma L+H'!$E72,0,'L+H Monthly CF'!U$3)/12</f>
        <v>26041.666666666668</v>
      </c>
      <c r="V43" s="12">
        <f ca="1">OFFSET('Proforma L+H'!$E72,0,'L+H Monthly CF'!V$3)/12</f>
        <v>26041.666666666668</v>
      </c>
      <c r="W43" s="12">
        <f ca="1">OFFSET('Proforma L+H'!$E72,0,'L+H Monthly CF'!W$3)/12</f>
        <v>26041.666666666668</v>
      </c>
      <c r="X43" s="12">
        <f ca="1">OFFSET('Proforma L+H'!$E72,0,'L+H Monthly CF'!X$3)/12</f>
        <v>26041.666666666668</v>
      </c>
      <c r="Y43" s="12">
        <f ca="1">OFFSET('Proforma L+H'!$E72,0,'L+H Monthly CF'!Y$3)/12</f>
        <v>26041.666666666668</v>
      </c>
      <c r="Z43" s="12">
        <f ca="1">OFFSET('Proforma L+H'!$E72,0,'L+H Monthly CF'!Z$3)/12</f>
        <v>26041.666666666668</v>
      </c>
      <c r="AA43" s="12">
        <f ca="1">OFFSET('Proforma L+H'!$E72,0,'L+H Monthly CF'!AA$3)/12</f>
        <v>26041.666666666668</v>
      </c>
      <c r="AB43" s="12">
        <f ca="1">OFFSET('Proforma L+H'!$E72,0,'L+H Monthly CF'!AB$3)/12</f>
        <v>26041.666666666668</v>
      </c>
      <c r="AC43" s="12">
        <f ca="1">OFFSET('Proforma L+H'!$E72,0,'L+H Monthly CF'!AC$3)/12</f>
        <v>0</v>
      </c>
      <c r="AD43" s="12">
        <f ca="1">OFFSET('Proforma L+H'!$E72,0,'L+H Monthly CF'!AD$3)/12</f>
        <v>0</v>
      </c>
      <c r="AE43" s="12">
        <f ca="1">OFFSET('Proforma L+H'!$E72,0,'L+H Monthly CF'!AE$3)/12</f>
        <v>0</v>
      </c>
      <c r="AF43" s="12">
        <f ca="1">OFFSET('Proforma L+H'!$E72,0,'L+H Monthly CF'!AF$3)/12</f>
        <v>0</v>
      </c>
      <c r="AG43" s="12">
        <f ca="1">OFFSET('Proforma L+H'!$E72,0,'L+H Monthly CF'!AG$3)/12</f>
        <v>0</v>
      </c>
      <c r="AH43" s="12">
        <f ca="1">OFFSET('Proforma L+H'!$E72,0,'L+H Monthly CF'!AH$3)/12</f>
        <v>0</v>
      </c>
      <c r="AI43" s="12">
        <f ca="1">OFFSET('Proforma L+H'!$E72,0,'L+H Monthly CF'!AI$3)/12</f>
        <v>0</v>
      </c>
      <c r="AJ43" s="12">
        <f ca="1">OFFSET('Proforma L+H'!$E72,0,'L+H Monthly CF'!AJ$3)/12</f>
        <v>0</v>
      </c>
      <c r="AK43" s="12">
        <f ca="1">OFFSET('Proforma L+H'!$E72,0,'L+H Monthly CF'!AK$3)/12</f>
        <v>0</v>
      </c>
      <c r="AL43" s="12">
        <f ca="1">OFFSET('Proforma L+H'!$E72,0,'L+H Monthly CF'!AL$3)/12</f>
        <v>0</v>
      </c>
      <c r="AM43" s="12">
        <f ca="1">OFFSET('Proforma L+H'!$E72,0,'L+H Monthly CF'!AM$3)/12</f>
        <v>0</v>
      </c>
      <c r="AN43" s="12">
        <f ca="1">OFFSET('Proforma L+H'!$E72,0,'L+H Monthly CF'!AN$3)/12</f>
        <v>0</v>
      </c>
      <c r="AO43" s="12">
        <f ca="1">OFFSET('Proforma L+H'!$E72,0,'L+H Monthly CF'!AO$3)/12</f>
        <v>26041.666666666668</v>
      </c>
      <c r="AP43" s="12">
        <f ca="1">OFFSET('Proforma L+H'!$E72,0,'L+H Monthly CF'!AP$3)/12</f>
        <v>26041.666666666668</v>
      </c>
      <c r="AQ43" s="12">
        <f ca="1">OFFSET('Proforma L+H'!$E72,0,'L+H Monthly CF'!AQ$3)/12</f>
        <v>26041.666666666668</v>
      </c>
      <c r="AR43" s="12">
        <f ca="1">OFFSET('Proforma L+H'!$E72,0,'L+H Monthly CF'!AR$3)/12</f>
        <v>26041.666666666668</v>
      </c>
      <c r="AS43" s="12">
        <f ca="1">OFFSET('Proforma L+H'!$E72,0,'L+H Monthly CF'!AS$3)/12</f>
        <v>26041.666666666668</v>
      </c>
      <c r="AT43" s="12">
        <f ca="1">OFFSET('Proforma L+H'!$E72,0,'L+H Monthly CF'!AT$3)/12</f>
        <v>26041.666666666668</v>
      </c>
      <c r="AU43" s="12">
        <f ca="1">OFFSET('Proforma L+H'!$E72,0,'L+H Monthly CF'!AU$3)/12</f>
        <v>26041.666666666668</v>
      </c>
      <c r="AV43" s="12">
        <f ca="1">OFFSET('Proforma L+H'!$E72,0,'L+H Monthly CF'!AV$3)/12</f>
        <v>26041.666666666668</v>
      </c>
      <c r="AW43" s="12">
        <f ca="1">OFFSET('Proforma L+H'!$E72,0,'L+H Monthly CF'!AW$3)/12</f>
        <v>26041.666666666668</v>
      </c>
      <c r="AX43" s="12">
        <f ca="1">OFFSET('Proforma L+H'!$E72,0,'L+H Monthly CF'!AX$3)/12</f>
        <v>26041.666666666668</v>
      </c>
      <c r="AY43" s="12">
        <f ca="1">OFFSET('Proforma L+H'!$E72,0,'L+H Monthly CF'!AY$3)/12</f>
        <v>26041.666666666668</v>
      </c>
      <c r="AZ43" s="12">
        <f ca="1">OFFSET('Proforma L+H'!$E72,0,'L+H Monthly CF'!AZ$3)/12</f>
        <v>26041.666666666668</v>
      </c>
      <c r="BA43" s="12">
        <f t="shared" ca="1" si="32"/>
        <v>625000</v>
      </c>
      <c r="BB43" s="758">
        <f ca="1">SUM('Proforma L+H'!E72:H72)-BA43</f>
        <v>0</v>
      </c>
    </row>
    <row r="44" spans="1:54" hidden="1" outlineLevel="1" x14ac:dyDescent="0.2">
      <c r="A44" s="2"/>
      <c r="B44" s="163" t="str">
        <f>'Proforma L+H'!B73</f>
        <v>Road: Bridges (1)  @ Spillway</v>
      </c>
      <c r="C44" s="71">
        <v>150000</v>
      </c>
      <c r="D44" s="71"/>
      <c r="E44" s="12">
        <f ca="1">OFFSET('Proforma L+H'!$E73,0,'L+H Monthly CF'!E$3)/12</f>
        <v>12500</v>
      </c>
      <c r="F44" s="12">
        <f ca="1">OFFSET('Proforma L+H'!$E73,0,'L+H Monthly CF'!F$3)/12</f>
        <v>12500</v>
      </c>
      <c r="G44" s="12">
        <f ca="1">OFFSET('Proforma L+H'!$E73,0,'L+H Monthly CF'!G$3)/12</f>
        <v>12500</v>
      </c>
      <c r="H44" s="12">
        <f ca="1">OFFSET('Proforma L+H'!$E73,0,'L+H Monthly CF'!H$3)/12</f>
        <v>12500</v>
      </c>
      <c r="I44" s="12">
        <f ca="1">OFFSET('Proforma L+H'!$E73,0,'L+H Monthly CF'!I$3)/12</f>
        <v>12500</v>
      </c>
      <c r="J44" s="12">
        <f ca="1">OFFSET('Proforma L+H'!$E73,0,'L+H Monthly CF'!J$3)/12</f>
        <v>12500</v>
      </c>
      <c r="K44" s="12">
        <f ca="1">OFFSET('Proforma L+H'!$E73,0,'L+H Monthly CF'!K$3)/12</f>
        <v>12500</v>
      </c>
      <c r="L44" s="12">
        <f ca="1">OFFSET('Proforma L+H'!$E73,0,'L+H Monthly CF'!L$3)/12</f>
        <v>12500</v>
      </c>
      <c r="M44" s="12">
        <f ca="1">OFFSET('Proforma L+H'!$E73,0,'L+H Monthly CF'!M$3)/12</f>
        <v>12500</v>
      </c>
      <c r="N44" s="12">
        <f ca="1">OFFSET('Proforma L+H'!$E73,0,'L+H Monthly CF'!N$3)/12</f>
        <v>12500</v>
      </c>
      <c r="O44" s="12">
        <f ca="1">OFFSET('Proforma L+H'!$E73,0,'L+H Monthly CF'!O$3)/12</f>
        <v>12500</v>
      </c>
      <c r="P44" s="12">
        <f ca="1">OFFSET('Proforma L+H'!$E73,0,'L+H Monthly CF'!P$3)/12</f>
        <v>12500</v>
      </c>
      <c r="Q44" s="12">
        <f ca="1">OFFSET('Proforma L+H'!$E73,0,'L+H Monthly CF'!Q$3)/12</f>
        <v>0</v>
      </c>
      <c r="R44" s="12">
        <f ca="1">OFFSET('Proforma L+H'!$E73,0,'L+H Monthly CF'!R$3)/12</f>
        <v>0</v>
      </c>
      <c r="S44" s="12">
        <f ca="1">OFFSET('Proforma L+H'!$E73,0,'L+H Monthly CF'!S$3)/12</f>
        <v>0</v>
      </c>
      <c r="T44" s="12">
        <f ca="1">OFFSET('Proforma L+H'!$E73,0,'L+H Monthly CF'!T$3)/12</f>
        <v>0</v>
      </c>
      <c r="U44" s="12">
        <f ca="1">OFFSET('Proforma L+H'!$E73,0,'L+H Monthly CF'!U$3)/12</f>
        <v>0</v>
      </c>
      <c r="V44" s="12">
        <f ca="1">OFFSET('Proforma L+H'!$E73,0,'L+H Monthly CF'!V$3)/12</f>
        <v>0</v>
      </c>
      <c r="W44" s="12">
        <f ca="1">OFFSET('Proforma L+H'!$E73,0,'L+H Monthly CF'!W$3)/12</f>
        <v>0</v>
      </c>
      <c r="X44" s="12">
        <f ca="1">OFFSET('Proforma L+H'!$E73,0,'L+H Monthly CF'!X$3)/12</f>
        <v>0</v>
      </c>
      <c r="Y44" s="12">
        <f ca="1">OFFSET('Proforma L+H'!$E73,0,'L+H Monthly CF'!Y$3)/12</f>
        <v>0</v>
      </c>
      <c r="Z44" s="12">
        <f ca="1">OFFSET('Proforma L+H'!$E73,0,'L+H Monthly CF'!Z$3)/12</f>
        <v>0</v>
      </c>
      <c r="AA44" s="12">
        <f ca="1">OFFSET('Proforma L+H'!$E73,0,'L+H Monthly CF'!AA$3)/12</f>
        <v>0</v>
      </c>
      <c r="AB44" s="12">
        <f ca="1">OFFSET('Proforma L+H'!$E73,0,'L+H Monthly CF'!AB$3)/12</f>
        <v>0</v>
      </c>
      <c r="AC44" s="12">
        <f ca="1">OFFSET('Proforma L+H'!$E73,0,'L+H Monthly CF'!AC$3)/12</f>
        <v>0</v>
      </c>
      <c r="AD44" s="12">
        <f ca="1">OFFSET('Proforma L+H'!$E73,0,'L+H Monthly CF'!AD$3)/12</f>
        <v>0</v>
      </c>
      <c r="AE44" s="12">
        <f ca="1">OFFSET('Proforma L+H'!$E73,0,'L+H Monthly CF'!AE$3)/12</f>
        <v>0</v>
      </c>
      <c r="AF44" s="12">
        <f ca="1">OFFSET('Proforma L+H'!$E73,0,'L+H Monthly CF'!AF$3)/12</f>
        <v>0</v>
      </c>
      <c r="AG44" s="12">
        <f ca="1">OFFSET('Proforma L+H'!$E73,0,'L+H Monthly CF'!AG$3)/12</f>
        <v>0</v>
      </c>
      <c r="AH44" s="12">
        <f ca="1">OFFSET('Proforma L+H'!$E73,0,'L+H Monthly CF'!AH$3)/12</f>
        <v>0</v>
      </c>
      <c r="AI44" s="12">
        <f ca="1">OFFSET('Proforma L+H'!$E73,0,'L+H Monthly CF'!AI$3)/12</f>
        <v>0</v>
      </c>
      <c r="AJ44" s="12">
        <f ca="1">OFFSET('Proforma L+H'!$E73,0,'L+H Monthly CF'!AJ$3)/12</f>
        <v>0</v>
      </c>
      <c r="AK44" s="12">
        <f ca="1">OFFSET('Proforma L+H'!$E73,0,'L+H Monthly CF'!AK$3)/12</f>
        <v>0</v>
      </c>
      <c r="AL44" s="12">
        <f ca="1">OFFSET('Proforma L+H'!$E73,0,'L+H Monthly CF'!AL$3)/12</f>
        <v>0</v>
      </c>
      <c r="AM44" s="12">
        <f ca="1">OFFSET('Proforma L+H'!$E73,0,'L+H Monthly CF'!AM$3)/12</f>
        <v>0</v>
      </c>
      <c r="AN44" s="12">
        <f ca="1">OFFSET('Proforma L+H'!$E73,0,'L+H Monthly CF'!AN$3)/12</f>
        <v>0</v>
      </c>
      <c r="AO44" s="12">
        <f ca="1">OFFSET('Proforma L+H'!$E73,0,'L+H Monthly CF'!AO$3)/12</f>
        <v>0</v>
      </c>
      <c r="AP44" s="12">
        <f ca="1">OFFSET('Proforma L+H'!$E73,0,'L+H Monthly CF'!AP$3)/12</f>
        <v>0</v>
      </c>
      <c r="AQ44" s="12">
        <f ca="1">OFFSET('Proforma L+H'!$E73,0,'L+H Monthly CF'!AQ$3)/12</f>
        <v>0</v>
      </c>
      <c r="AR44" s="12">
        <f ca="1">OFFSET('Proforma L+H'!$E73,0,'L+H Monthly CF'!AR$3)/12</f>
        <v>0</v>
      </c>
      <c r="AS44" s="12">
        <f ca="1">OFFSET('Proforma L+H'!$E73,0,'L+H Monthly CF'!AS$3)/12</f>
        <v>0</v>
      </c>
      <c r="AT44" s="12">
        <f ca="1">OFFSET('Proforma L+H'!$E73,0,'L+H Monthly CF'!AT$3)/12</f>
        <v>0</v>
      </c>
      <c r="AU44" s="12">
        <f ca="1">OFFSET('Proforma L+H'!$E73,0,'L+H Monthly CF'!AU$3)/12</f>
        <v>0</v>
      </c>
      <c r="AV44" s="12">
        <f ca="1">OFFSET('Proforma L+H'!$E73,0,'L+H Monthly CF'!AV$3)/12</f>
        <v>0</v>
      </c>
      <c r="AW44" s="12">
        <f ca="1">OFFSET('Proforma L+H'!$E73,0,'L+H Monthly CF'!AW$3)/12</f>
        <v>0</v>
      </c>
      <c r="AX44" s="12">
        <f ca="1">OFFSET('Proforma L+H'!$E73,0,'L+H Monthly CF'!AX$3)/12</f>
        <v>0</v>
      </c>
      <c r="AY44" s="12">
        <f ca="1">OFFSET('Proforma L+H'!$E73,0,'L+H Monthly CF'!AY$3)/12</f>
        <v>0</v>
      </c>
      <c r="AZ44" s="12">
        <f ca="1">OFFSET('Proforma L+H'!$E73,0,'L+H Monthly CF'!AZ$3)/12</f>
        <v>0</v>
      </c>
      <c r="BA44" s="12">
        <f t="shared" ca="1" si="32"/>
        <v>150000</v>
      </c>
      <c r="BB44" s="758">
        <f ca="1">SUM('Proforma L+H'!E73:H73)-BA44</f>
        <v>0</v>
      </c>
    </row>
    <row r="45" spans="1:54" hidden="1" outlineLevel="1" x14ac:dyDescent="0.2">
      <c r="A45" s="2"/>
      <c r="B45" s="163" t="str">
        <f>'Proforma L+H'!B74</f>
        <v>Utilities: County/USFS Power Trench+Line (4.5 miles)</v>
      </c>
      <c r="C45" s="549">
        <f>650000*1.25</f>
        <v>812500</v>
      </c>
      <c r="D45" s="549"/>
      <c r="E45" s="12">
        <f ca="1">OFFSET('Proforma L+H'!$E74,0,'L+H Monthly CF'!E$3)/12</f>
        <v>67708.333333333328</v>
      </c>
      <c r="F45" s="12">
        <f ca="1">OFFSET('Proforma L+H'!$E74,0,'L+H Monthly CF'!F$3)/12</f>
        <v>67708.333333333328</v>
      </c>
      <c r="G45" s="12">
        <f ca="1">OFFSET('Proforma L+H'!$E74,0,'L+H Monthly CF'!G$3)/12</f>
        <v>67708.333333333328</v>
      </c>
      <c r="H45" s="12">
        <f ca="1">OFFSET('Proforma L+H'!$E74,0,'L+H Monthly CF'!H$3)/12</f>
        <v>67708.333333333328</v>
      </c>
      <c r="I45" s="12">
        <f ca="1">OFFSET('Proforma L+H'!$E74,0,'L+H Monthly CF'!I$3)/12</f>
        <v>67708.333333333328</v>
      </c>
      <c r="J45" s="12">
        <f ca="1">OFFSET('Proforma L+H'!$E74,0,'L+H Monthly CF'!J$3)/12</f>
        <v>67708.333333333328</v>
      </c>
      <c r="K45" s="12">
        <f ca="1">OFFSET('Proforma L+H'!$E74,0,'L+H Monthly CF'!K$3)/12</f>
        <v>67708.333333333328</v>
      </c>
      <c r="L45" s="12">
        <f ca="1">OFFSET('Proforma L+H'!$E74,0,'L+H Monthly CF'!L$3)/12</f>
        <v>67708.333333333328</v>
      </c>
      <c r="M45" s="12">
        <f ca="1">OFFSET('Proforma L+H'!$E74,0,'L+H Monthly CF'!M$3)/12</f>
        <v>67708.333333333328</v>
      </c>
      <c r="N45" s="12">
        <f ca="1">OFFSET('Proforma L+H'!$E74,0,'L+H Monthly CF'!N$3)/12</f>
        <v>67708.333333333328</v>
      </c>
      <c r="O45" s="12">
        <f ca="1">OFFSET('Proforma L+H'!$E74,0,'L+H Monthly CF'!O$3)/12</f>
        <v>67708.333333333328</v>
      </c>
      <c r="P45" s="12">
        <f ca="1">OFFSET('Proforma L+H'!$E74,0,'L+H Monthly CF'!P$3)/12</f>
        <v>67708.333333333328</v>
      </c>
      <c r="Q45" s="12">
        <f ca="1">OFFSET('Proforma L+H'!$E74,0,'L+H Monthly CF'!Q$3)/12</f>
        <v>0</v>
      </c>
      <c r="R45" s="12">
        <f ca="1">OFFSET('Proforma L+H'!$E74,0,'L+H Monthly CF'!R$3)/12</f>
        <v>0</v>
      </c>
      <c r="S45" s="12">
        <f ca="1">OFFSET('Proforma L+H'!$E74,0,'L+H Monthly CF'!S$3)/12</f>
        <v>0</v>
      </c>
      <c r="T45" s="12">
        <f ca="1">OFFSET('Proforma L+H'!$E74,0,'L+H Monthly CF'!T$3)/12</f>
        <v>0</v>
      </c>
      <c r="U45" s="12">
        <f ca="1">OFFSET('Proforma L+H'!$E74,0,'L+H Monthly CF'!U$3)/12</f>
        <v>0</v>
      </c>
      <c r="V45" s="12">
        <f ca="1">OFFSET('Proforma L+H'!$E74,0,'L+H Monthly CF'!V$3)/12</f>
        <v>0</v>
      </c>
      <c r="W45" s="12">
        <f ca="1">OFFSET('Proforma L+H'!$E74,0,'L+H Monthly CF'!W$3)/12</f>
        <v>0</v>
      </c>
      <c r="X45" s="12">
        <f ca="1">OFFSET('Proforma L+H'!$E74,0,'L+H Monthly CF'!X$3)/12</f>
        <v>0</v>
      </c>
      <c r="Y45" s="12">
        <f ca="1">OFFSET('Proforma L+H'!$E74,0,'L+H Monthly CF'!Y$3)/12</f>
        <v>0</v>
      </c>
      <c r="Z45" s="12">
        <f ca="1">OFFSET('Proforma L+H'!$E74,0,'L+H Monthly CF'!Z$3)/12</f>
        <v>0</v>
      </c>
      <c r="AA45" s="12">
        <f ca="1">OFFSET('Proforma L+H'!$E74,0,'L+H Monthly CF'!AA$3)/12</f>
        <v>0</v>
      </c>
      <c r="AB45" s="12">
        <f ca="1">OFFSET('Proforma L+H'!$E74,0,'L+H Monthly CF'!AB$3)/12</f>
        <v>0</v>
      </c>
      <c r="AC45" s="12">
        <f ca="1">OFFSET('Proforma L+H'!$E74,0,'L+H Monthly CF'!AC$3)/12</f>
        <v>0</v>
      </c>
      <c r="AD45" s="12">
        <f ca="1">OFFSET('Proforma L+H'!$E74,0,'L+H Monthly CF'!AD$3)/12</f>
        <v>0</v>
      </c>
      <c r="AE45" s="12">
        <f ca="1">OFFSET('Proforma L+H'!$E74,0,'L+H Monthly CF'!AE$3)/12</f>
        <v>0</v>
      </c>
      <c r="AF45" s="12">
        <f ca="1">OFFSET('Proforma L+H'!$E74,0,'L+H Monthly CF'!AF$3)/12</f>
        <v>0</v>
      </c>
      <c r="AG45" s="12">
        <f ca="1">OFFSET('Proforma L+H'!$E74,0,'L+H Monthly CF'!AG$3)/12</f>
        <v>0</v>
      </c>
      <c r="AH45" s="12">
        <f ca="1">OFFSET('Proforma L+H'!$E74,0,'L+H Monthly CF'!AH$3)/12</f>
        <v>0</v>
      </c>
      <c r="AI45" s="12">
        <f ca="1">OFFSET('Proforma L+H'!$E74,0,'L+H Monthly CF'!AI$3)/12</f>
        <v>0</v>
      </c>
      <c r="AJ45" s="12">
        <f ca="1">OFFSET('Proforma L+H'!$E74,0,'L+H Monthly CF'!AJ$3)/12</f>
        <v>0</v>
      </c>
      <c r="AK45" s="12">
        <f ca="1">OFFSET('Proforma L+H'!$E74,0,'L+H Monthly CF'!AK$3)/12</f>
        <v>0</v>
      </c>
      <c r="AL45" s="12">
        <f ca="1">OFFSET('Proforma L+H'!$E74,0,'L+H Monthly CF'!AL$3)/12</f>
        <v>0</v>
      </c>
      <c r="AM45" s="12">
        <f ca="1">OFFSET('Proforma L+H'!$E74,0,'L+H Monthly CF'!AM$3)/12</f>
        <v>0</v>
      </c>
      <c r="AN45" s="12">
        <f ca="1">OFFSET('Proforma L+H'!$E74,0,'L+H Monthly CF'!AN$3)/12</f>
        <v>0</v>
      </c>
      <c r="AO45" s="12">
        <f ca="1">OFFSET('Proforma L+H'!$E74,0,'L+H Monthly CF'!AO$3)/12</f>
        <v>0</v>
      </c>
      <c r="AP45" s="12">
        <f ca="1">OFFSET('Proforma L+H'!$E74,0,'L+H Monthly CF'!AP$3)/12</f>
        <v>0</v>
      </c>
      <c r="AQ45" s="12">
        <f ca="1">OFFSET('Proforma L+H'!$E74,0,'L+H Monthly CF'!AQ$3)/12</f>
        <v>0</v>
      </c>
      <c r="AR45" s="12">
        <f ca="1">OFFSET('Proforma L+H'!$E74,0,'L+H Monthly CF'!AR$3)/12</f>
        <v>0</v>
      </c>
      <c r="AS45" s="12">
        <f ca="1">OFFSET('Proforma L+H'!$E74,0,'L+H Monthly CF'!AS$3)/12</f>
        <v>0</v>
      </c>
      <c r="AT45" s="12">
        <f ca="1">OFFSET('Proforma L+H'!$E74,0,'L+H Monthly CF'!AT$3)/12</f>
        <v>0</v>
      </c>
      <c r="AU45" s="12">
        <f ca="1">OFFSET('Proforma L+H'!$E74,0,'L+H Monthly CF'!AU$3)/12</f>
        <v>0</v>
      </c>
      <c r="AV45" s="12">
        <f ca="1">OFFSET('Proforma L+H'!$E74,0,'L+H Monthly CF'!AV$3)/12</f>
        <v>0</v>
      </c>
      <c r="AW45" s="12">
        <f ca="1">OFFSET('Proforma L+H'!$E74,0,'L+H Monthly CF'!AW$3)/12</f>
        <v>0</v>
      </c>
      <c r="AX45" s="12">
        <f ca="1">OFFSET('Proforma L+H'!$E74,0,'L+H Monthly CF'!AX$3)/12</f>
        <v>0</v>
      </c>
      <c r="AY45" s="12">
        <f ca="1">OFFSET('Proforma L+H'!$E74,0,'L+H Monthly CF'!AY$3)/12</f>
        <v>0</v>
      </c>
      <c r="AZ45" s="12">
        <f ca="1">OFFSET('Proforma L+H'!$E74,0,'L+H Monthly CF'!AZ$3)/12</f>
        <v>0</v>
      </c>
      <c r="BA45" s="12">
        <f t="shared" ca="1" si="32"/>
        <v>812500.00000000012</v>
      </c>
      <c r="BB45" s="758">
        <f ca="1">SUM('Proforma L+H'!E74:H74)-BA45</f>
        <v>0</v>
      </c>
    </row>
    <row r="46" spans="1:54" hidden="1" outlineLevel="1" x14ac:dyDescent="0.2">
      <c r="A46" s="2"/>
      <c r="B46" s="163" t="str">
        <f>'Proforma L+H'!B75</f>
        <v>Utilities: Power &amp; Transformers @ 45 Lots (8,500 LF)</v>
      </c>
      <c r="C46" s="71">
        <f>(105000*1.25)+15*4000</f>
        <v>191250</v>
      </c>
      <c r="D46" s="71"/>
      <c r="E46" s="12">
        <f ca="1">OFFSET('Proforma L+H'!$E75,0,'L+H Monthly CF'!E$3)/12</f>
        <v>0</v>
      </c>
      <c r="F46" s="12">
        <f ca="1">OFFSET('Proforma L+H'!$E75,0,'L+H Monthly CF'!F$3)/12</f>
        <v>0</v>
      </c>
      <c r="G46" s="12">
        <f ca="1">OFFSET('Proforma L+H'!$E75,0,'L+H Monthly CF'!G$3)/12</f>
        <v>0</v>
      </c>
      <c r="H46" s="12">
        <f ca="1">OFFSET('Proforma L+H'!$E75,0,'L+H Monthly CF'!H$3)/12</f>
        <v>0</v>
      </c>
      <c r="I46" s="12">
        <f ca="1">OFFSET('Proforma L+H'!$E75,0,'L+H Monthly CF'!I$3)/12</f>
        <v>0</v>
      </c>
      <c r="J46" s="12">
        <f ca="1">OFFSET('Proforma L+H'!$E75,0,'L+H Monthly CF'!J$3)/12</f>
        <v>0</v>
      </c>
      <c r="K46" s="12">
        <f ca="1">OFFSET('Proforma L+H'!$E75,0,'L+H Monthly CF'!K$3)/12</f>
        <v>0</v>
      </c>
      <c r="L46" s="12">
        <f ca="1">OFFSET('Proforma L+H'!$E75,0,'L+H Monthly CF'!L$3)/12</f>
        <v>0</v>
      </c>
      <c r="M46" s="12">
        <f ca="1">OFFSET('Proforma L+H'!$E75,0,'L+H Monthly CF'!M$3)/12</f>
        <v>0</v>
      </c>
      <c r="N46" s="12">
        <f ca="1">OFFSET('Proforma L+H'!$E75,0,'L+H Monthly CF'!N$3)/12</f>
        <v>0</v>
      </c>
      <c r="O46" s="12">
        <f ca="1">OFFSET('Proforma L+H'!$E75,0,'L+H Monthly CF'!O$3)/12</f>
        <v>0</v>
      </c>
      <c r="P46" s="12">
        <f ca="1">OFFSET('Proforma L+H'!$E75,0,'L+H Monthly CF'!P$3)/12</f>
        <v>0</v>
      </c>
      <c r="Q46" s="12">
        <f ca="1">OFFSET('Proforma L+H'!$E75,0,'L+H Monthly CF'!Q$3)/12</f>
        <v>5312.5</v>
      </c>
      <c r="R46" s="12">
        <f ca="1">OFFSET('Proforma L+H'!$E75,0,'L+H Monthly CF'!R$3)/12</f>
        <v>5312.5</v>
      </c>
      <c r="S46" s="12">
        <f ca="1">OFFSET('Proforma L+H'!$E75,0,'L+H Monthly CF'!S$3)/12</f>
        <v>5312.5</v>
      </c>
      <c r="T46" s="12">
        <f ca="1">OFFSET('Proforma L+H'!$E75,0,'L+H Monthly CF'!T$3)/12</f>
        <v>5312.5</v>
      </c>
      <c r="U46" s="12">
        <f ca="1">OFFSET('Proforma L+H'!$E75,0,'L+H Monthly CF'!U$3)/12</f>
        <v>5312.5</v>
      </c>
      <c r="V46" s="12">
        <f ca="1">OFFSET('Proforma L+H'!$E75,0,'L+H Monthly CF'!V$3)/12</f>
        <v>5312.5</v>
      </c>
      <c r="W46" s="12">
        <f ca="1">OFFSET('Proforma L+H'!$E75,0,'L+H Monthly CF'!W$3)/12</f>
        <v>5312.5</v>
      </c>
      <c r="X46" s="12">
        <f ca="1">OFFSET('Proforma L+H'!$E75,0,'L+H Monthly CF'!X$3)/12</f>
        <v>5312.5</v>
      </c>
      <c r="Y46" s="12">
        <f ca="1">OFFSET('Proforma L+H'!$E75,0,'L+H Monthly CF'!Y$3)/12</f>
        <v>5312.5</v>
      </c>
      <c r="Z46" s="12">
        <f ca="1">OFFSET('Proforma L+H'!$E75,0,'L+H Monthly CF'!Z$3)/12</f>
        <v>5312.5</v>
      </c>
      <c r="AA46" s="12">
        <f ca="1">OFFSET('Proforma L+H'!$E75,0,'L+H Monthly CF'!AA$3)/12</f>
        <v>5312.5</v>
      </c>
      <c r="AB46" s="12">
        <f ca="1">OFFSET('Proforma L+H'!$E75,0,'L+H Monthly CF'!AB$3)/12</f>
        <v>5312.5</v>
      </c>
      <c r="AC46" s="12">
        <f ca="1">OFFSET('Proforma L+H'!$E75,0,'L+H Monthly CF'!AC$3)/12</f>
        <v>5312.5</v>
      </c>
      <c r="AD46" s="12">
        <f ca="1">OFFSET('Proforma L+H'!$E75,0,'L+H Monthly CF'!AD$3)/12</f>
        <v>5312.5</v>
      </c>
      <c r="AE46" s="12">
        <f ca="1">OFFSET('Proforma L+H'!$E75,0,'L+H Monthly CF'!AE$3)/12</f>
        <v>5312.5</v>
      </c>
      <c r="AF46" s="12">
        <f ca="1">OFFSET('Proforma L+H'!$E75,0,'L+H Monthly CF'!AF$3)/12</f>
        <v>5312.5</v>
      </c>
      <c r="AG46" s="12">
        <f ca="1">OFFSET('Proforma L+H'!$E75,0,'L+H Monthly CF'!AG$3)/12</f>
        <v>5312.5</v>
      </c>
      <c r="AH46" s="12">
        <f ca="1">OFFSET('Proforma L+H'!$E75,0,'L+H Monthly CF'!AH$3)/12</f>
        <v>5312.5</v>
      </c>
      <c r="AI46" s="12">
        <f ca="1">OFFSET('Proforma L+H'!$E75,0,'L+H Monthly CF'!AI$3)/12</f>
        <v>5312.5</v>
      </c>
      <c r="AJ46" s="12">
        <f ca="1">OFFSET('Proforma L+H'!$E75,0,'L+H Monthly CF'!AJ$3)/12</f>
        <v>5312.5</v>
      </c>
      <c r="AK46" s="12">
        <f ca="1">OFFSET('Proforma L+H'!$E75,0,'L+H Monthly CF'!AK$3)/12</f>
        <v>5312.5</v>
      </c>
      <c r="AL46" s="12">
        <f ca="1">OFFSET('Proforma L+H'!$E75,0,'L+H Monthly CF'!AL$3)/12</f>
        <v>5312.5</v>
      </c>
      <c r="AM46" s="12">
        <f ca="1">OFFSET('Proforma L+H'!$E75,0,'L+H Monthly CF'!AM$3)/12</f>
        <v>5312.5</v>
      </c>
      <c r="AN46" s="12">
        <f ca="1">OFFSET('Proforma L+H'!$E75,0,'L+H Monthly CF'!AN$3)/12</f>
        <v>5312.5</v>
      </c>
      <c r="AO46" s="12">
        <f ca="1">OFFSET('Proforma L+H'!$E75,0,'L+H Monthly CF'!AO$3)/12</f>
        <v>5312.5</v>
      </c>
      <c r="AP46" s="12">
        <f ca="1">OFFSET('Proforma L+H'!$E75,0,'L+H Monthly CF'!AP$3)/12</f>
        <v>5312.5</v>
      </c>
      <c r="AQ46" s="12">
        <f ca="1">OFFSET('Proforma L+H'!$E75,0,'L+H Monthly CF'!AQ$3)/12</f>
        <v>5312.5</v>
      </c>
      <c r="AR46" s="12">
        <f ca="1">OFFSET('Proforma L+H'!$E75,0,'L+H Monthly CF'!AR$3)/12</f>
        <v>5312.5</v>
      </c>
      <c r="AS46" s="12">
        <f ca="1">OFFSET('Proforma L+H'!$E75,0,'L+H Monthly CF'!AS$3)/12</f>
        <v>5312.5</v>
      </c>
      <c r="AT46" s="12">
        <f ca="1">OFFSET('Proforma L+H'!$E75,0,'L+H Monthly CF'!AT$3)/12</f>
        <v>5312.5</v>
      </c>
      <c r="AU46" s="12">
        <f ca="1">OFFSET('Proforma L+H'!$E75,0,'L+H Monthly CF'!AU$3)/12</f>
        <v>5312.5</v>
      </c>
      <c r="AV46" s="12">
        <f ca="1">OFFSET('Proforma L+H'!$E75,0,'L+H Monthly CF'!AV$3)/12</f>
        <v>5312.5</v>
      </c>
      <c r="AW46" s="12">
        <f ca="1">OFFSET('Proforma L+H'!$E75,0,'L+H Monthly CF'!AW$3)/12</f>
        <v>5312.5</v>
      </c>
      <c r="AX46" s="12">
        <f ca="1">OFFSET('Proforma L+H'!$E75,0,'L+H Monthly CF'!AX$3)/12</f>
        <v>5312.5</v>
      </c>
      <c r="AY46" s="12">
        <f ca="1">OFFSET('Proforma L+H'!$E75,0,'L+H Monthly CF'!AY$3)/12</f>
        <v>5312.5</v>
      </c>
      <c r="AZ46" s="12">
        <f ca="1">OFFSET('Proforma L+H'!$E75,0,'L+H Monthly CF'!AZ$3)/12</f>
        <v>5312.5</v>
      </c>
      <c r="BA46" s="12">
        <f t="shared" ca="1" si="32"/>
        <v>191250</v>
      </c>
      <c r="BB46" s="758">
        <f ca="1">SUM('Proforma L+H'!E75:H75)-BA46</f>
        <v>0</v>
      </c>
    </row>
    <row r="47" spans="1:54" hidden="1" outlineLevel="1" x14ac:dyDescent="0.2">
      <c r="A47" s="2"/>
      <c r="B47" s="163" t="str">
        <f>'Proforma L+H'!B76</f>
        <v>Utilities: Comm. Distrib. @ 45 Lots (8,500 LF)</v>
      </c>
      <c r="C47" s="71">
        <f>(8500*15)*1.25</f>
        <v>159375</v>
      </c>
      <c r="D47" s="71"/>
      <c r="E47" s="12">
        <f ca="1">OFFSET('Proforma L+H'!$E76,0,'L+H Monthly CF'!E$3)/12</f>
        <v>0</v>
      </c>
      <c r="F47" s="12">
        <f ca="1">OFFSET('Proforma L+H'!$E76,0,'L+H Monthly CF'!F$3)/12</f>
        <v>0</v>
      </c>
      <c r="G47" s="12">
        <f ca="1">OFFSET('Proforma L+H'!$E76,0,'L+H Monthly CF'!G$3)/12</f>
        <v>0</v>
      </c>
      <c r="H47" s="12">
        <f ca="1">OFFSET('Proforma L+H'!$E76,0,'L+H Monthly CF'!H$3)/12</f>
        <v>0</v>
      </c>
      <c r="I47" s="12">
        <f ca="1">OFFSET('Proforma L+H'!$E76,0,'L+H Monthly CF'!I$3)/12</f>
        <v>0</v>
      </c>
      <c r="J47" s="12">
        <f ca="1">OFFSET('Proforma L+H'!$E76,0,'L+H Monthly CF'!J$3)/12</f>
        <v>0</v>
      </c>
      <c r="K47" s="12">
        <f ca="1">OFFSET('Proforma L+H'!$E76,0,'L+H Monthly CF'!K$3)/12</f>
        <v>0</v>
      </c>
      <c r="L47" s="12">
        <f ca="1">OFFSET('Proforma L+H'!$E76,0,'L+H Monthly CF'!L$3)/12</f>
        <v>0</v>
      </c>
      <c r="M47" s="12">
        <f ca="1">OFFSET('Proforma L+H'!$E76,0,'L+H Monthly CF'!M$3)/12</f>
        <v>0</v>
      </c>
      <c r="N47" s="12">
        <f ca="1">OFFSET('Proforma L+H'!$E76,0,'L+H Monthly CF'!N$3)/12</f>
        <v>0</v>
      </c>
      <c r="O47" s="12">
        <f ca="1">OFFSET('Proforma L+H'!$E76,0,'L+H Monthly CF'!O$3)/12</f>
        <v>0</v>
      </c>
      <c r="P47" s="12">
        <f ca="1">OFFSET('Proforma L+H'!$E76,0,'L+H Monthly CF'!P$3)/12</f>
        <v>0</v>
      </c>
      <c r="Q47" s="12">
        <f ca="1">OFFSET('Proforma L+H'!$E76,0,'L+H Monthly CF'!Q$3)/12</f>
        <v>4427.083333333333</v>
      </c>
      <c r="R47" s="12">
        <f ca="1">OFFSET('Proforma L+H'!$E76,0,'L+H Monthly CF'!R$3)/12</f>
        <v>4427.083333333333</v>
      </c>
      <c r="S47" s="12">
        <f ca="1">OFFSET('Proforma L+H'!$E76,0,'L+H Monthly CF'!S$3)/12</f>
        <v>4427.083333333333</v>
      </c>
      <c r="T47" s="12">
        <f ca="1">OFFSET('Proforma L+H'!$E76,0,'L+H Monthly CF'!T$3)/12</f>
        <v>4427.083333333333</v>
      </c>
      <c r="U47" s="12">
        <f ca="1">OFFSET('Proforma L+H'!$E76,0,'L+H Monthly CF'!U$3)/12</f>
        <v>4427.083333333333</v>
      </c>
      <c r="V47" s="12">
        <f ca="1">OFFSET('Proforma L+H'!$E76,0,'L+H Monthly CF'!V$3)/12</f>
        <v>4427.083333333333</v>
      </c>
      <c r="W47" s="12">
        <f ca="1">OFFSET('Proforma L+H'!$E76,0,'L+H Monthly CF'!W$3)/12</f>
        <v>4427.083333333333</v>
      </c>
      <c r="X47" s="12">
        <f ca="1">OFFSET('Proforma L+H'!$E76,0,'L+H Monthly CF'!X$3)/12</f>
        <v>4427.083333333333</v>
      </c>
      <c r="Y47" s="12">
        <f ca="1">OFFSET('Proforma L+H'!$E76,0,'L+H Monthly CF'!Y$3)/12</f>
        <v>4427.083333333333</v>
      </c>
      <c r="Z47" s="12">
        <f ca="1">OFFSET('Proforma L+H'!$E76,0,'L+H Monthly CF'!Z$3)/12</f>
        <v>4427.083333333333</v>
      </c>
      <c r="AA47" s="12">
        <f ca="1">OFFSET('Proforma L+H'!$E76,0,'L+H Monthly CF'!AA$3)/12</f>
        <v>4427.083333333333</v>
      </c>
      <c r="AB47" s="12">
        <f ca="1">OFFSET('Proforma L+H'!$E76,0,'L+H Monthly CF'!AB$3)/12</f>
        <v>4427.083333333333</v>
      </c>
      <c r="AC47" s="12">
        <f ca="1">OFFSET('Proforma L+H'!$E76,0,'L+H Monthly CF'!AC$3)/12</f>
        <v>4427.083333333333</v>
      </c>
      <c r="AD47" s="12">
        <f ca="1">OFFSET('Proforma L+H'!$E76,0,'L+H Monthly CF'!AD$3)/12</f>
        <v>4427.083333333333</v>
      </c>
      <c r="AE47" s="12">
        <f ca="1">OFFSET('Proforma L+H'!$E76,0,'L+H Monthly CF'!AE$3)/12</f>
        <v>4427.083333333333</v>
      </c>
      <c r="AF47" s="12">
        <f ca="1">OFFSET('Proforma L+H'!$E76,0,'L+H Monthly CF'!AF$3)/12</f>
        <v>4427.083333333333</v>
      </c>
      <c r="AG47" s="12">
        <f ca="1">OFFSET('Proforma L+H'!$E76,0,'L+H Monthly CF'!AG$3)/12</f>
        <v>4427.083333333333</v>
      </c>
      <c r="AH47" s="12">
        <f ca="1">OFFSET('Proforma L+H'!$E76,0,'L+H Monthly CF'!AH$3)/12</f>
        <v>4427.083333333333</v>
      </c>
      <c r="AI47" s="12">
        <f ca="1">OFFSET('Proforma L+H'!$E76,0,'L+H Monthly CF'!AI$3)/12</f>
        <v>4427.083333333333</v>
      </c>
      <c r="AJ47" s="12">
        <f ca="1">OFFSET('Proforma L+H'!$E76,0,'L+H Monthly CF'!AJ$3)/12</f>
        <v>4427.083333333333</v>
      </c>
      <c r="AK47" s="12">
        <f ca="1">OFFSET('Proforma L+H'!$E76,0,'L+H Monthly CF'!AK$3)/12</f>
        <v>4427.083333333333</v>
      </c>
      <c r="AL47" s="12">
        <f ca="1">OFFSET('Proforma L+H'!$E76,0,'L+H Monthly CF'!AL$3)/12</f>
        <v>4427.083333333333</v>
      </c>
      <c r="AM47" s="12">
        <f ca="1">OFFSET('Proforma L+H'!$E76,0,'L+H Monthly CF'!AM$3)/12</f>
        <v>4427.083333333333</v>
      </c>
      <c r="AN47" s="12">
        <f ca="1">OFFSET('Proforma L+H'!$E76,0,'L+H Monthly CF'!AN$3)/12</f>
        <v>4427.083333333333</v>
      </c>
      <c r="AO47" s="12">
        <f ca="1">OFFSET('Proforma L+H'!$E76,0,'L+H Monthly CF'!AO$3)/12</f>
        <v>4427.083333333333</v>
      </c>
      <c r="AP47" s="12">
        <f ca="1">OFFSET('Proforma L+H'!$E76,0,'L+H Monthly CF'!AP$3)/12</f>
        <v>4427.083333333333</v>
      </c>
      <c r="AQ47" s="12">
        <f ca="1">OFFSET('Proforma L+H'!$E76,0,'L+H Monthly CF'!AQ$3)/12</f>
        <v>4427.083333333333</v>
      </c>
      <c r="AR47" s="12">
        <f ca="1">OFFSET('Proforma L+H'!$E76,0,'L+H Monthly CF'!AR$3)/12</f>
        <v>4427.083333333333</v>
      </c>
      <c r="AS47" s="12">
        <f ca="1">OFFSET('Proforma L+H'!$E76,0,'L+H Monthly CF'!AS$3)/12</f>
        <v>4427.083333333333</v>
      </c>
      <c r="AT47" s="12">
        <f ca="1">OFFSET('Proforma L+H'!$E76,0,'L+H Monthly CF'!AT$3)/12</f>
        <v>4427.083333333333</v>
      </c>
      <c r="AU47" s="12">
        <f ca="1">OFFSET('Proforma L+H'!$E76,0,'L+H Monthly CF'!AU$3)/12</f>
        <v>4427.083333333333</v>
      </c>
      <c r="AV47" s="12">
        <f ca="1">OFFSET('Proforma L+H'!$E76,0,'L+H Monthly CF'!AV$3)/12</f>
        <v>4427.083333333333</v>
      </c>
      <c r="AW47" s="12">
        <f ca="1">OFFSET('Proforma L+H'!$E76,0,'L+H Monthly CF'!AW$3)/12</f>
        <v>4427.083333333333</v>
      </c>
      <c r="AX47" s="12">
        <f ca="1">OFFSET('Proforma L+H'!$E76,0,'L+H Monthly CF'!AX$3)/12</f>
        <v>4427.083333333333</v>
      </c>
      <c r="AY47" s="12">
        <f ca="1">OFFSET('Proforma L+H'!$E76,0,'L+H Monthly CF'!AY$3)/12</f>
        <v>4427.083333333333</v>
      </c>
      <c r="AZ47" s="12">
        <f ca="1">OFFSET('Proforma L+H'!$E76,0,'L+H Monthly CF'!AZ$3)/12</f>
        <v>4427.083333333333</v>
      </c>
      <c r="BA47" s="12">
        <f t="shared" ca="1" si="32"/>
        <v>159375</v>
      </c>
      <c r="BB47" s="758">
        <f ca="1">SUM('Proforma L+H'!E76:H76)-BA47</f>
        <v>0</v>
      </c>
    </row>
    <row r="48" spans="1:54" hidden="1" outlineLevel="1" x14ac:dyDescent="0.2">
      <c r="A48" s="2"/>
      <c r="B48" s="163" t="str">
        <f>'Proforma L+H'!B77</f>
        <v>Utilities: Water Main @ 45 Lots</v>
      </c>
      <c r="C48" s="71">
        <f>550000*1.25</f>
        <v>687500</v>
      </c>
      <c r="D48" s="71"/>
      <c r="E48" s="12">
        <f ca="1">OFFSET('Proforma L+H'!$E77,0,'L+H Monthly CF'!E$3)/12</f>
        <v>19097.222222222223</v>
      </c>
      <c r="F48" s="12">
        <f ca="1">OFFSET('Proforma L+H'!$E77,0,'L+H Monthly CF'!F$3)/12</f>
        <v>19097.222222222223</v>
      </c>
      <c r="G48" s="12">
        <f ca="1">OFFSET('Proforma L+H'!$E77,0,'L+H Monthly CF'!G$3)/12</f>
        <v>19097.222222222223</v>
      </c>
      <c r="H48" s="12">
        <f ca="1">OFFSET('Proforma L+H'!$E77,0,'L+H Monthly CF'!H$3)/12</f>
        <v>19097.222222222223</v>
      </c>
      <c r="I48" s="12">
        <f ca="1">OFFSET('Proforma L+H'!$E77,0,'L+H Monthly CF'!I$3)/12</f>
        <v>19097.222222222223</v>
      </c>
      <c r="J48" s="12">
        <f ca="1">OFFSET('Proforma L+H'!$E77,0,'L+H Monthly CF'!J$3)/12</f>
        <v>19097.222222222223</v>
      </c>
      <c r="K48" s="12">
        <f ca="1">OFFSET('Proforma L+H'!$E77,0,'L+H Monthly CF'!K$3)/12</f>
        <v>19097.222222222223</v>
      </c>
      <c r="L48" s="12">
        <f ca="1">OFFSET('Proforma L+H'!$E77,0,'L+H Monthly CF'!L$3)/12</f>
        <v>19097.222222222223</v>
      </c>
      <c r="M48" s="12">
        <f ca="1">OFFSET('Proforma L+H'!$E77,0,'L+H Monthly CF'!M$3)/12</f>
        <v>19097.222222222223</v>
      </c>
      <c r="N48" s="12">
        <f ca="1">OFFSET('Proforma L+H'!$E77,0,'L+H Monthly CF'!N$3)/12</f>
        <v>19097.222222222223</v>
      </c>
      <c r="O48" s="12">
        <f ca="1">OFFSET('Proforma L+H'!$E77,0,'L+H Monthly CF'!O$3)/12</f>
        <v>19097.222222222223</v>
      </c>
      <c r="P48" s="12">
        <f ca="1">OFFSET('Proforma L+H'!$E77,0,'L+H Monthly CF'!P$3)/12</f>
        <v>19097.222222222223</v>
      </c>
      <c r="Q48" s="12">
        <f ca="1">OFFSET('Proforma L+H'!$E77,0,'L+H Monthly CF'!Q$3)/12</f>
        <v>19097.222222222223</v>
      </c>
      <c r="R48" s="12">
        <f ca="1">OFFSET('Proforma L+H'!$E77,0,'L+H Monthly CF'!R$3)/12</f>
        <v>19097.222222222223</v>
      </c>
      <c r="S48" s="12">
        <f ca="1">OFFSET('Proforma L+H'!$E77,0,'L+H Monthly CF'!S$3)/12</f>
        <v>19097.222222222223</v>
      </c>
      <c r="T48" s="12">
        <f ca="1">OFFSET('Proforma L+H'!$E77,0,'L+H Monthly CF'!T$3)/12</f>
        <v>19097.222222222223</v>
      </c>
      <c r="U48" s="12">
        <f ca="1">OFFSET('Proforma L+H'!$E77,0,'L+H Monthly CF'!U$3)/12</f>
        <v>19097.222222222223</v>
      </c>
      <c r="V48" s="12">
        <f ca="1">OFFSET('Proforma L+H'!$E77,0,'L+H Monthly CF'!V$3)/12</f>
        <v>19097.222222222223</v>
      </c>
      <c r="W48" s="12">
        <f ca="1">OFFSET('Proforma L+H'!$E77,0,'L+H Monthly CF'!W$3)/12</f>
        <v>19097.222222222223</v>
      </c>
      <c r="X48" s="12">
        <f ca="1">OFFSET('Proforma L+H'!$E77,0,'L+H Monthly CF'!X$3)/12</f>
        <v>19097.222222222223</v>
      </c>
      <c r="Y48" s="12">
        <f ca="1">OFFSET('Proforma L+H'!$E77,0,'L+H Monthly CF'!Y$3)/12</f>
        <v>19097.222222222223</v>
      </c>
      <c r="Z48" s="12">
        <f ca="1">OFFSET('Proforma L+H'!$E77,0,'L+H Monthly CF'!Z$3)/12</f>
        <v>19097.222222222223</v>
      </c>
      <c r="AA48" s="12">
        <f ca="1">OFFSET('Proforma L+H'!$E77,0,'L+H Monthly CF'!AA$3)/12</f>
        <v>19097.222222222223</v>
      </c>
      <c r="AB48" s="12">
        <f ca="1">OFFSET('Proforma L+H'!$E77,0,'L+H Monthly CF'!AB$3)/12</f>
        <v>19097.222222222223</v>
      </c>
      <c r="AC48" s="12">
        <f ca="1">OFFSET('Proforma L+H'!$E77,0,'L+H Monthly CF'!AC$3)/12</f>
        <v>19097.222222222223</v>
      </c>
      <c r="AD48" s="12">
        <f ca="1">OFFSET('Proforma L+H'!$E77,0,'L+H Monthly CF'!AD$3)/12</f>
        <v>19097.222222222223</v>
      </c>
      <c r="AE48" s="12">
        <f ca="1">OFFSET('Proforma L+H'!$E77,0,'L+H Monthly CF'!AE$3)/12</f>
        <v>19097.222222222223</v>
      </c>
      <c r="AF48" s="12">
        <f ca="1">OFFSET('Proforma L+H'!$E77,0,'L+H Monthly CF'!AF$3)/12</f>
        <v>19097.222222222223</v>
      </c>
      <c r="AG48" s="12">
        <f ca="1">OFFSET('Proforma L+H'!$E77,0,'L+H Monthly CF'!AG$3)/12</f>
        <v>19097.222222222223</v>
      </c>
      <c r="AH48" s="12">
        <f ca="1">OFFSET('Proforma L+H'!$E77,0,'L+H Monthly CF'!AH$3)/12</f>
        <v>19097.222222222223</v>
      </c>
      <c r="AI48" s="12">
        <f ca="1">OFFSET('Proforma L+H'!$E77,0,'L+H Monthly CF'!AI$3)/12</f>
        <v>19097.222222222223</v>
      </c>
      <c r="AJ48" s="12">
        <f ca="1">OFFSET('Proforma L+H'!$E77,0,'L+H Monthly CF'!AJ$3)/12</f>
        <v>19097.222222222223</v>
      </c>
      <c r="AK48" s="12">
        <f ca="1">OFFSET('Proforma L+H'!$E77,0,'L+H Monthly CF'!AK$3)/12</f>
        <v>19097.222222222223</v>
      </c>
      <c r="AL48" s="12">
        <f ca="1">OFFSET('Proforma L+H'!$E77,0,'L+H Monthly CF'!AL$3)/12</f>
        <v>19097.222222222223</v>
      </c>
      <c r="AM48" s="12">
        <f ca="1">OFFSET('Proforma L+H'!$E77,0,'L+H Monthly CF'!AM$3)/12</f>
        <v>19097.222222222223</v>
      </c>
      <c r="AN48" s="12">
        <f ca="1">OFFSET('Proforma L+H'!$E77,0,'L+H Monthly CF'!AN$3)/12</f>
        <v>19097.222222222223</v>
      </c>
      <c r="AO48" s="12">
        <f ca="1">OFFSET('Proforma L+H'!$E77,0,'L+H Monthly CF'!AO$3)/12</f>
        <v>0</v>
      </c>
      <c r="AP48" s="12">
        <f ca="1">OFFSET('Proforma L+H'!$E77,0,'L+H Monthly CF'!AP$3)/12</f>
        <v>0</v>
      </c>
      <c r="AQ48" s="12">
        <f ca="1">OFFSET('Proforma L+H'!$E77,0,'L+H Monthly CF'!AQ$3)/12</f>
        <v>0</v>
      </c>
      <c r="AR48" s="12">
        <f ca="1">OFFSET('Proforma L+H'!$E77,0,'L+H Monthly CF'!AR$3)/12</f>
        <v>0</v>
      </c>
      <c r="AS48" s="12">
        <f ca="1">OFFSET('Proforma L+H'!$E77,0,'L+H Monthly CF'!AS$3)/12</f>
        <v>0</v>
      </c>
      <c r="AT48" s="12">
        <f ca="1">OFFSET('Proforma L+H'!$E77,0,'L+H Monthly CF'!AT$3)/12</f>
        <v>0</v>
      </c>
      <c r="AU48" s="12">
        <f ca="1">OFFSET('Proforma L+H'!$E77,0,'L+H Monthly CF'!AU$3)/12</f>
        <v>0</v>
      </c>
      <c r="AV48" s="12">
        <f ca="1">OFFSET('Proforma L+H'!$E77,0,'L+H Monthly CF'!AV$3)/12</f>
        <v>0</v>
      </c>
      <c r="AW48" s="12">
        <f ca="1">OFFSET('Proforma L+H'!$E77,0,'L+H Monthly CF'!AW$3)/12</f>
        <v>0</v>
      </c>
      <c r="AX48" s="12">
        <f ca="1">OFFSET('Proforma L+H'!$E77,0,'L+H Monthly CF'!AX$3)/12</f>
        <v>0</v>
      </c>
      <c r="AY48" s="12">
        <f ca="1">OFFSET('Proforma L+H'!$E77,0,'L+H Monthly CF'!AY$3)/12</f>
        <v>0</v>
      </c>
      <c r="AZ48" s="12">
        <f ca="1">OFFSET('Proforma L+H'!$E77,0,'L+H Monthly CF'!AZ$3)/12</f>
        <v>0</v>
      </c>
      <c r="BA48" s="12">
        <f t="shared" ca="1" si="32"/>
        <v>687500.00000000058</v>
      </c>
      <c r="BB48" s="758">
        <f ca="1">SUM('Proforma L+H'!E77:H77)-BA48</f>
        <v>0</v>
      </c>
    </row>
    <row r="49" spans="1:54" hidden="1" outlineLevel="1" x14ac:dyDescent="0.2">
      <c r="A49" s="2"/>
      <c r="B49" s="163" t="str">
        <f>'Proforma L+H'!B78</f>
        <v>Utilities: Water Wells, Pumps &amp; Backup Power Requirements</v>
      </c>
      <c r="C49" s="71">
        <f>1000000*1.25</f>
        <v>1250000</v>
      </c>
      <c r="D49" s="71"/>
      <c r="E49" s="12">
        <f ca="1">OFFSET('Proforma L+H'!$E78,0,'L+H Monthly CF'!E$3)/12</f>
        <v>52083.333333333336</v>
      </c>
      <c r="F49" s="12">
        <f ca="1">OFFSET('Proforma L+H'!$E78,0,'L+H Monthly CF'!F$3)/12</f>
        <v>52083.333333333336</v>
      </c>
      <c r="G49" s="12">
        <f ca="1">OFFSET('Proforma L+H'!$E78,0,'L+H Monthly CF'!G$3)/12</f>
        <v>52083.333333333336</v>
      </c>
      <c r="H49" s="12">
        <f ca="1">OFFSET('Proforma L+H'!$E78,0,'L+H Monthly CF'!H$3)/12</f>
        <v>52083.333333333336</v>
      </c>
      <c r="I49" s="12">
        <f ca="1">OFFSET('Proforma L+H'!$E78,0,'L+H Monthly CF'!I$3)/12</f>
        <v>52083.333333333336</v>
      </c>
      <c r="J49" s="12">
        <f ca="1">OFFSET('Proforma L+H'!$E78,0,'L+H Monthly CF'!J$3)/12</f>
        <v>52083.333333333336</v>
      </c>
      <c r="K49" s="12">
        <f ca="1">OFFSET('Proforma L+H'!$E78,0,'L+H Monthly CF'!K$3)/12</f>
        <v>52083.333333333336</v>
      </c>
      <c r="L49" s="12">
        <f ca="1">OFFSET('Proforma L+H'!$E78,0,'L+H Monthly CF'!L$3)/12</f>
        <v>52083.333333333336</v>
      </c>
      <c r="M49" s="12">
        <f ca="1">OFFSET('Proforma L+H'!$E78,0,'L+H Monthly CF'!M$3)/12</f>
        <v>52083.333333333336</v>
      </c>
      <c r="N49" s="12">
        <f ca="1">OFFSET('Proforma L+H'!$E78,0,'L+H Monthly CF'!N$3)/12</f>
        <v>52083.333333333336</v>
      </c>
      <c r="O49" s="12">
        <f ca="1">OFFSET('Proforma L+H'!$E78,0,'L+H Monthly CF'!O$3)/12</f>
        <v>52083.333333333336</v>
      </c>
      <c r="P49" s="12">
        <f ca="1">OFFSET('Proforma L+H'!$E78,0,'L+H Monthly CF'!P$3)/12</f>
        <v>52083.333333333336</v>
      </c>
      <c r="Q49" s="12">
        <f ca="1">OFFSET('Proforma L+H'!$E78,0,'L+H Monthly CF'!Q$3)/12</f>
        <v>52083.333333333336</v>
      </c>
      <c r="R49" s="12">
        <f ca="1">OFFSET('Proforma L+H'!$E78,0,'L+H Monthly CF'!R$3)/12</f>
        <v>52083.333333333336</v>
      </c>
      <c r="S49" s="12">
        <f ca="1">OFFSET('Proforma L+H'!$E78,0,'L+H Monthly CF'!S$3)/12</f>
        <v>52083.333333333336</v>
      </c>
      <c r="T49" s="12">
        <f ca="1">OFFSET('Proforma L+H'!$E78,0,'L+H Monthly CF'!T$3)/12</f>
        <v>52083.333333333336</v>
      </c>
      <c r="U49" s="12">
        <f ca="1">OFFSET('Proforma L+H'!$E78,0,'L+H Monthly CF'!U$3)/12</f>
        <v>52083.333333333336</v>
      </c>
      <c r="V49" s="12">
        <f ca="1">OFFSET('Proforma L+H'!$E78,0,'L+H Monthly CF'!V$3)/12</f>
        <v>52083.333333333336</v>
      </c>
      <c r="W49" s="12">
        <f ca="1">OFFSET('Proforma L+H'!$E78,0,'L+H Monthly CF'!W$3)/12</f>
        <v>52083.333333333336</v>
      </c>
      <c r="X49" s="12">
        <f ca="1">OFFSET('Proforma L+H'!$E78,0,'L+H Monthly CF'!X$3)/12</f>
        <v>52083.333333333336</v>
      </c>
      <c r="Y49" s="12">
        <f ca="1">OFFSET('Proforma L+H'!$E78,0,'L+H Monthly CF'!Y$3)/12</f>
        <v>52083.333333333336</v>
      </c>
      <c r="Z49" s="12">
        <f ca="1">OFFSET('Proforma L+H'!$E78,0,'L+H Monthly CF'!Z$3)/12</f>
        <v>52083.333333333336</v>
      </c>
      <c r="AA49" s="12">
        <f ca="1">OFFSET('Proforma L+H'!$E78,0,'L+H Monthly CF'!AA$3)/12</f>
        <v>52083.333333333336</v>
      </c>
      <c r="AB49" s="12">
        <f ca="1">OFFSET('Proforma L+H'!$E78,0,'L+H Monthly CF'!AB$3)/12</f>
        <v>52083.333333333336</v>
      </c>
      <c r="AC49" s="12">
        <f ca="1">OFFSET('Proforma L+H'!$E78,0,'L+H Monthly CF'!AC$3)/12</f>
        <v>0</v>
      </c>
      <c r="AD49" s="12">
        <f ca="1">OFFSET('Proforma L+H'!$E78,0,'L+H Monthly CF'!AD$3)/12</f>
        <v>0</v>
      </c>
      <c r="AE49" s="12">
        <f ca="1">OFFSET('Proforma L+H'!$E78,0,'L+H Monthly CF'!AE$3)/12</f>
        <v>0</v>
      </c>
      <c r="AF49" s="12">
        <f ca="1">OFFSET('Proforma L+H'!$E78,0,'L+H Monthly CF'!AF$3)/12</f>
        <v>0</v>
      </c>
      <c r="AG49" s="12">
        <f ca="1">OFFSET('Proforma L+H'!$E78,0,'L+H Monthly CF'!AG$3)/12</f>
        <v>0</v>
      </c>
      <c r="AH49" s="12">
        <f ca="1">OFFSET('Proforma L+H'!$E78,0,'L+H Monthly CF'!AH$3)/12</f>
        <v>0</v>
      </c>
      <c r="AI49" s="12">
        <f ca="1">OFFSET('Proforma L+H'!$E78,0,'L+H Monthly CF'!AI$3)/12</f>
        <v>0</v>
      </c>
      <c r="AJ49" s="12">
        <f ca="1">OFFSET('Proforma L+H'!$E78,0,'L+H Monthly CF'!AJ$3)/12</f>
        <v>0</v>
      </c>
      <c r="AK49" s="12">
        <f ca="1">OFFSET('Proforma L+H'!$E78,0,'L+H Monthly CF'!AK$3)/12</f>
        <v>0</v>
      </c>
      <c r="AL49" s="12">
        <f ca="1">OFFSET('Proforma L+H'!$E78,0,'L+H Monthly CF'!AL$3)/12</f>
        <v>0</v>
      </c>
      <c r="AM49" s="12">
        <f ca="1">OFFSET('Proforma L+H'!$E78,0,'L+H Monthly CF'!AM$3)/12</f>
        <v>0</v>
      </c>
      <c r="AN49" s="12">
        <f ca="1">OFFSET('Proforma L+H'!$E78,0,'L+H Monthly CF'!AN$3)/12</f>
        <v>0</v>
      </c>
      <c r="AO49" s="12">
        <f ca="1">OFFSET('Proforma L+H'!$E78,0,'L+H Monthly CF'!AO$3)/12</f>
        <v>0</v>
      </c>
      <c r="AP49" s="12">
        <f ca="1">OFFSET('Proforma L+H'!$E78,0,'L+H Monthly CF'!AP$3)/12</f>
        <v>0</v>
      </c>
      <c r="AQ49" s="12">
        <f ca="1">OFFSET('Proforma L+H'!$E78,0,'L+H Monthly CF'!AQ$3)/12</f>
        <v>0</v>
      </c>
      <c r="AR49" s="12">
        <f ca="1">OFFSET('Proforma L+H'!$E78,0,'L+H Monthly CF'!AR$3)/12</f>
        <v>0</v>
      </c>
      <c r="AS49" s="12">
        <f ca="1">OFFSET('Proforma L+H'!$E78,0,'L+H Monthly CF'!AS$3)/12</f>
        <v>0</v>
      </c>
      <c r="AT49" s="12">
        <f ca="1">OFFSET('Proforma L+H'!$E78,0,'L+H Monthly CF'!AT$3)/12</f>
        <v>0</v>
      </c>
      <c r="AU49" s="12">
        <f ca="1">OFFSET('Proforma L+H'!$E78,0,'L+H Monthly CF'!AU$3)/12</f>
        <v>0</v>
      </c>
      <c r="AV49" s="12">
        <f ca="1">OFFSET('Proforma L+H'!$E78,0,'L+H Monthly CF'!AV$3)/12</f>
        <v>0</v>
      </c>
      <c r="AW49" s="12">
        <f ca="1">OFFSET('Proforma L+H'!$E78,0,'L+H Monthly CF'!AW$3)/12</f>
        <v>0</v>
      </c>
      <c r="AX49" s="12">
        <f ca="1">OFFSET('Proforma L+H'!$E78,0,'L+H Monthly CF'!AX$3)/12</f>
        <v>0</v>
      </c>
      <c r="AY49" s="12">
        <f ca="1">OFFSET('Proforma L+H'!$E78,0,'L+H Monthly CF'!AY$3)/12</f>
        <v>0</v>
      </c>
      <c r="AZ49" s="12">
        <f ca="1">OFFSET('Proforma L+H'!$E78,0,'L+H Monthly CF'!AZ$3)/12</f>
        <v>0</v>
      </c>
      <c r="BA49" s="12">
        <f t="shared" ca="1" si="32"/>
        <v>1250000</v>
      </c>
      <c r="BB49" s="758">
        <f ca="1">SUM('Proforma L+H'!E78:H78)-BA49</f>
        <v>0</v>
      </c>
    </row>
    <row r="50" spans="1:54" hidden="1" outlineLevel="1" x14ac:dyDescent="0.2">
      <c r="A50" s="2"/>
      <c r="B50" s="163" t="str">
        <f>'Proforma L+H'!B79</f>
        <v>Utilities: Lift Station @ 45 Lots (8,500 LF)</v>
      </c>
      <c r="C50" s="71">
        <f>125000*1.25</f>
        <v>156250</v>
      </c>
      <c r="D50" s="71"/>
      <c r="E50" s="12">
        <f ca="1">OFFSET('Proforma L+H'!$E79,0,'L+H Monthly CF'!E$3)/12</f>
        <v>0</v>
      </c>
      <c r="F50" s="12">
        <f ca="1">OFFSET('Proforma L+H'!$E79,0,'L+H Monthly CF'!F$3)/12</f>
        <v>0</v>
      </c>
      <c r="G50" s="12">
        <f ca="1">OFFSET('Proforma L+H'!$E79,0,'L+H Monthly CF'!G$3)/12</f>
        <v>0</v>
      </c>
      <c r="H50" s="12">
        <f ca="1">OFFSET('Proforma L+H'!$E79,0,'L+H Monthly CF'!H$3)/12</f>
        <v>0</v>
      </c>
      <c r="I50" s="12">
        <f ca="1">OFFSET('Proforma L+H'!$E79,0,'L+H Monthly CF'!I$3)/12</f>
        <v>0</v>
      </c>
      <c r="J50" s="12">
        <f ca="1">OFFSET('Proforma L+H'!$E79,0,'L+H Monthly CF'!J$3)/12</f>
        <v>0</v>
      </c>
      <c r="K50" s="12">
        <f ca="1">OFFSET('Proforma L+H'!$E79,0,'L+H Monthly CF'!K$3)/12</f>
        <v>0</v>
      </c>
      <c r="L50" s="12">
        <f ca="1">OFFSET('Proforma L+H'!$E79,0,'L+H Monthly CF'!L$3)/12</f>
        <v>0</v>
      </c>
      <c r="M50" s="12">
        <f ca="1">OFFSET('Proforma L+H'!$E79,0,'L+H Monthly CF'!M$3)/12</f>
        <v>0</v>
      </c>
      <c r="N50" s="12">
        <f ca="1">OFFSET('Proforma L+H'!$E79,0,'L+H Monthly CF'!N$3)/12</f>
        <v>0</v>
      </c>
      <c r="O50" s="12">
        <f ca="1">OFFSET('Proforma L+H'!$E79,0,'L+H Monthly CF'!O$3)/12</f>
        <v>0</v>
      </c>
      <c r="P50" s="12">
        <f ca="1">OFFSET('Proforma L+H'!$E79,0,'L+H Monthly CF'!P$3)/12</f>
        <v>0</v>
      </c>
      <c r="Q50" s="12">
        <f ca="1">OFFSET('Proforma L+H'!$E79,0,'L+H Monthly CF'!Q$3)/12</f>
        <v>4340.2777777777783</v>
      </c>
      <c r="R50" s="12">
        <f ca="1">OFFSET('Proforma L+H'!$E79,0,'L+H Monthly CF'!R$3)/12</f>
        <v>4340.2777777777783</v>
      </c>
      <c r="S50" s="12">
        <f ca="1">OFFSET('Proforma L+H'!$E79,0,'L+H Monthly CF'!S$3)/12</f>
        <v>4340.2777777777783</v>
      </c>
      <c r="T50" s="12">
        <f ca="1">OFFSET('Proforma L+H'!$E79,0,'L+H Monthly CF'!T$3)/12</f>
        <v>4340.2777777777783</v>
      </c>
      <c r="U50" s="12">
        <f ca="1">OFFSET('Proforma L+H'!$E79,0,'L+H Monthly CF'!U$3)/12</f>
        <v>4340.2777777777783</v>
      </c>
      <c r="V50" s="12">
        <f ca="1">OFFSET('Proforma L+H'!$E79,0,'L+H Monthly CF'!V$3)/12</f>
        <v>4340.2777777777783</v>
      </c>
      <c r="W50" s="12">
        <f ca="1">OFFSET('Proforma L+H'!$E79,0,'L+H Monthly CF'!W$3)/12</f>
        <v>4340.2777777777783</v>
      </c>
      <c r="X50" s="12">
        <f ca="1">OFFSET('Proforma L+H'!$E79,0,'L+H Monthly CF'!X$3)/12</f>
        <v>4340.2777777777783</v>
      </c>
      <c r="Y50" s="12">
        <f ca="1">OFFSET('Proforma L+H'!$E79,0,'L+H Monthly CF'!Y$3)/12</f>
        <v>4340.2777777777783</v>
      </c>
      <c r="Z50" s="12">
        <f ca="1">OFFSET('Proforma L+H'!$E79,0,'L+H Monthly CF'!Z$3)/12</f>
        <v>4340.2777777777783</v>
      </c>
      <c r="AA50" s="12">
        <f ca="1">OFFSET('Proforma L+H'!$E79,0,'L+H Monthly CF'!AA$3)/12</f>
        <v>4340.2777777777783</v>
      </c>
      <c r="AB50" s="12">
        <f ca="1">OFFSET('Proforma L+H'!$E79,0,'L+H Monthly CF'!AB$3)/12</f>
        <v>4340.2777777777783</v>
      </c>
      <c r="AC50" s="12">
        <f ca="1">OFFSET('Proforma L+H'!$E79,0,'L+H Monthly CF'!AC$3)/12</f>
        <v>4340.2777777777783</v>
      </c>
      <c r="AD50" s="12">
        <f ca="1">OFFSET('Proforma L+H'!$E79,0,'L+H Monthly CF'!AD$3)/12</f>
        <v>4340.2777777777783</v>
      </c>
      <c r="AE50" s="12">
        <f ca="1">OFFSET('Proforma L+H'!$E79,0,'L+H Monthly CF'!AE$3)/12</f>
        <v>4340.2777777777783</v>
      </c>
      <c r="AF50" s="12">
        <f ca="1">OFFSET('Proforma L+H'!$E79,0,'L+H Monthly CF'!AF$3)/12</f>
        <v>4340.2777777777783</v>
      </c>
      <c r="AG50" s="12">
        <f ca="1">OFFSET('Proforma L+H'!$E79,0,'L+H Monthly CF'!AG$3)/12</f>
        <v>4340.2777777777783</v>
      </c>
      <c r="AH50" s="12">
        <f ca="1">OFFSET('Proforma L+H'!$E79,0,'L+H Monthly CF'!AH$3)/12</f>
        <v>4340.2777777777783</v>
      </c>
      <c r="AI50" s="12">
        <f ca="1">OFFSET('Proforma L+H'!$E79,0,'L+H Monthly CF'!AI$3)/12</f>
        <v>4340.2777777777783</v>
      </c>
      <c r="AJ50" s="12">
        <f ca="1">OFFSET('Proforma L+H'!$E79,0,'L+H Monthly CF'!AJ$3)/12</f>
        <v>4340.2777777777783</v>
      </c>
      <c r="AK50" s="12">
        <f ca="1">OFFSET('Proforma L+H'!$E79,0,'L+H Monthly CF'!AK$3)/12</f>
        <v>4340.2777777777783</v>
      </c>
      <c r="AL50" s="12">
        <f ca="1">OFFSET('Proforma L+H'!$E79,0,'L+H Monthly CF'!AL$3)/12</f>
        <v>4340.2777777777783</v>
      </c>
      <c r="AM50" s="12">
        <f ca="1">OFFSET('Proforma L+H'!$E79,0,'L+H Monthly CF'!AM$3)/12</f>
        <v>4340.2777777777783</v>
      </c>
      <c r="AN50" s="12">
        <f ca="1">OFFSET('Proforma L+H'!$E79,0,'L+H Monthly CF'!AN$3)/12</f>
        <v>4340.2777777777783</v>
      </c>
      <c r="AO50" s="12">
        <f ca="1">OFFSET('Proforma L+H'!$E79,0,'L+H Monthly CF'!AO$3)/12</f>
        <v>4340.2777777777783</v>
      </c>
      <c r="AP50" s="12">
        <f ca="1">OFFSET('Proforma L+H'!$E79,0,'L+H Monthly CF'!AP$3)/12</f>
        <v>4340.2777777777783</v>
      </c>
      <c r="AQ50" s="12">
        <f ca="1">OFFSET('Proforma L+H'!$E79,0,'L+H Monthly CF'!AQ$3)/12</f>
        <v>4340.2777777777783</v>
      </c>
      <c r="AR50" s="12">
        <f ca="1">OFFSET('Proforma L+H'!$E79,0,'L+H Monthly CF'!AR$3)/12</f>
        <v>4340.2777777777783</v>
      </c>
      <c r="AS50" s="12">
        <f ca="1">OFFSET('Proforma L+H'!$E79,0,'L+H Monthly CF'!AS$3)/12</f>
        <v>4340.2777777777783</v>
      </c>
      <c r="AT50" s="12">
        <f ca="1">OFFSET('Proforma L+H'!$E79,0,'L+H Monthly CF'!AT$3)/12</f>
        <v>4340.2777777777783</v>
      </c>
      <c r="AU50" s="12">
        <f ca="1">OFFSET('Proforma L+H'!$E79,0,'L+H Monthly CF'!AU$3)/12</f>
        <v>4340.2777777777783</v>
      </c>
      <c r="AV50" s="12">
        <f ca="1">OFFSET('Proforma L+H'!$E79,0,'L+H Monthly CF'!AV$3)/12</f>
        <v>4340.2777777777783</v>
      </c>
      <c r="AW50" s="12">
        <f ca="1">OFFSET('Proforma L+H'!$E79,0,'L+H Monthly CF'!AW$3)/12</f>
        <v>4340.2777777777783</v>
      </c>
      <c r="AX50" s="12">
        <f ca="1">OFFSET('Proforma L+H'!$E79,0,'L+H Monthly CF'!AX$3)/12</f>
        <v>4340.2777777777783</v>
      </c>
      <c r="AY50" s="12">
        <f ca="1">OFFSET('Proforma L+H'!$E79,0,'L+H Monthly CF'!AY$3)/12</f>
        <v>4340.2777777777783</v>
      </c>
      <c r="AZ50" s="12">
        <f ca="1">OFFSET('Proforma L+H'!$E79,0,'L+H Monthly CF'!AZ$3)/12</f>
        <v>4340.2777777777783</v>
      </c>
      <c r="BA50" s="12">
        <f t="shared" ca="1" si="32"/>
        <v>156250.00000000009</v>
      </c>
      <c r="BB50" s="758">
        <f ca="1">SUM('Proforma L+H'!E79:H79)-BA50</f>
        <v>0</v>
      </c>
    </row>
    <row r="51" spans="1:54" hidden="1" outlineLevel="1" x14ac:dyDescent="0.2">
      <c r="A51" s="2"/>
      <c r="B51" s="163" t="str">
        <f>'Proforma L+H'!B80</f>
        <v>Utilities: Sewer Treatment Drainfield Sys (4 EA)</v>
      </c>
      <c r="C51" s="71">
        <f>625000*1.25</f>
        <v>781250</v>
      </c>
      <c r="D51" s="71"/>
      <c r="E51" s="12">
        <f ca="1">OFFSET('Proforma L+H'!$E80,0,'L+H Monthly CF'!E$3)/12</f>
        <v>16276.041666666666</v>
      </c>
      <c r="F51" s="12">
        <f ca="1">OFFSET('Proforma L+H'!$E80,0,'L+H Monthly CF'!F$3)/12</f>
        <v>16276.041666666666</v>
      </c>
      <c r="G51" s="12">
        <f ca="1">OFFSET('Proforma L+H'!$E80,0,'L+H Monthly CF'!G$3)/12</f>
        <v>16276.041666666666</v>
      </c>
      <c r="H51" s="12">
        <f ca="1">OFFSET('Proforma L+H'!$E80,0,'L+H Monthly CF'!H$3)/12</f>
        <v>16276.041666666666</v>
      </c>
      <c r="I51" s="12">
        <f ca="1">OFFSET('Proforma L+H'!$E80,0,'L+H Monthly CF'!I$3)/12</f>
        <v>16276.041666666666</v>
      </c>
      <c r="J51" s="12">
        <f ca="1">OFFSET('Proforma L+H'!$E80,0,'L+H Monthly CF'!J$3)/12</f>
        <v>16276.041666666666</v>
      </c>
      <c r="K51" s="12">
        <f ca="1">OFFSET('Proforma L+H'!$E80,0,'L+H Monthly CF'!K$3)/12</f>
        <v>16276.041666666666</v>
      </c>
      <c r="L51" s="12">
        <f ca="1">OFFSET('Proforma L+H'!$E80,0,'L+H Monthly CF'!L$3)/12</f>
        <v>16276.041666666666</v>
      </c>
      <c r="M51" s="12">
        <f ca="1">OFFSET('Proforma L+H'!$E80,0,'L+H Monthly CF'!M$3)/12</f>
        <v>16276.041666666666</v>
      </c>
      <c r="N51" s="12">
        <f ca="1">OFFSET('Proforma L+H'!$E80,0,'L+H Monthly CF'!N$3)/12</f>
        <v>16276.041666666666</v>
      </c>
      <c r="O51" s="12">
        <f ca="1">OFFSET('Proforma L+H'!$E80,0,'L+H Monthly CF'!O$3)/12</f>
        <v>16276.041666666666</v>
      </c>
      <c r="P51" s="12">
        <f ca="1">OFFSET('Proforma L+H'!$E80,0,'L+H Monthly CF'!P$3)/12</f>
        <v>16276.041666666666</v>
      </c>
      <c r="Q51" s="12">
        <f ca="1">OFFSET('Proforma L+H'!$E80,0,'L+H Monthly CF'!Q$3)/12</f>
        <v>16276.041666666666</v>
      </c>
      <c r="R51" s="12">
        <f ca="1">OFFSET('Proforma L+H'!$E80,0,'L+H Monthly CF'!R$3)/12</f>
        <v>16276.041666666666</v>
      </c>
      <c r="S51" s="12">
        <f ca="1">OFFSET('Proforma L+H'!$E80,0,'L+H Monthly CF'!S$3)/12</f>
        <v>16276.041666666666</v>
      </c>
      <c r="T51" s="12">
        <f ca="1">OFFSET('Proforma L+H'!$E80,0,'L+H Monthly CF'!T$3)/12</f>
        <v>16276.041666666666</v>
      </c>
      <c r="U51" s="12">
        <f ca="1">OFFSET('Proforma L+H'!$E80,0,'L+H Monthly CF'!U$3)/12</f>
        <v>16276.041666666666</v>
      </c>
      <c r="V51" s="12">
        <f ca="1">OFFSET('Proforma L+H'!$E80,0,'L+H Monthly CF'!V$3)/12</f>
        <v>16276.041666666666</v>
      </c>
      <c r="W51" s="12">
        <f ca="1">OFFSET('Proforma L+H'!$E80,0,'L+H Monthly CF'!W$3)/12</f>
        <v>16276.041666666666</v>
      </c>
      <c r="X51" s="12">
        <f ca="1">OFFSET('Proforma L+H'!$E80,0,'L+H Monthly CF'!X$3)/12</f>
        <v>16276.041666666666</v>
      </c>
      <c r="Y51" s="12">
        <f ca="1">OFFSET('Proforma L+H'!$E80,0,'L+H Monthly CF'!Y$3)/12</f>
        <v>16276.041666666666</v>
      </c>
      <c r="Z51" s="12">
        <f ca="1">OFFSET('Proforma L+H'!$E80,0,'L+H Monthly CF'!Z$3)/12</f>
        <v>16276.041666666666</v>
      </c>
      <c r="AA51" s="12">
        <f ca="1">OFFSET('Proforma L+H'!$E80,0,'L+H Monthly CF'!AA$3)/12</f>
        <v>16276.041666666666</v>
      </c>
      <c r="AB51" s="12">
        <f ca="1">OFFSET('Proforma L+H'!$E80,0,'L+H Monthly CF'!AB$3)/12</f>
        <v>16276.041666666666</v>
      </c>
      <c r="AC51" s="12">
        <f ca="1">OFFSET('Proforma L+H'!$E80,0,'L+H Monthly CF'!AC$3)/12</f>
        <v>16276.041666666666</v>
      </c>
      <c r="AD51" s="12">
        <f ca="1">OFFSET('Proforma L+H'!$E80,0,'L+H Monthly CF'!AD$3)/12</f>
        <v>16276.041666666666</v>
      </c>
      <c r="AE51" s="12">
        <f ca="1">OFFSET('Proforma L+H'!$E80,0,'L+H Monthly CF'!AE$3)/12</f>
        <v>16276.041666666666</v>
      </c>
      <c r="AF51" s="12">
        <f ca="1">OFFSET('Proforma L+H'!$E80,0,'L+H Monthly CF'!AF$3)/12</f>
        <v>16276.041666666666</v>
      </c>
      <c r="AG51" s="12">
        <f ca="1">OFFSET('Proforma L+H'!$E80,0,'L+H Monthly CF'!AG$3)/12</f>
        <v>16276.041666666666</v>
      </c>
      <c r="AH51" s="12">
        <f ca="1">OFFSET('Proforma L+H'!$E80,0,'L+H Monthly CF'!AH$3)/12</f>
        <v>16276.041666666666</v>
      </c>
      <c r="AI51" s="12">
        <f ca="1">OFFSET('Proforma L+H'!$E80,0,'L+H Monthly CF'!AI$3)/12</f>
        <v>16276.041666666666</v>
      </c>
      <c r="AJ51" s="12">
        <f ca="1">OFFSET('Proforma L+H'!$E80,0,'L+H Monthly CF'!AJ$3)/12</f>
        <v>16276.041666666666</v>
      </c>
      <c r="AK51" s="12">
        <f ca="1">OFFSET('Proforma L+H'!$E80,0,'L+H Monthly CF'!AK$3)/12</f>
        <v>16276.041666666666</v>
      </c>
      <c r="AL51" s="12">
        <f ca="1">OFFSET('Proforma L+H'!$E80,0,'L+H Monthly CF'!AL$3)/12</f>
        <v>16276.041666666666</v>
      </c>
      <c r="AM51" s="12">
        <f ca="1">OFFSET('Proforma L+H'!$E80,0,'L+H Monthly CF'!AM$3)/12</f>
        <v>16276.041666666666</v>
      </c>
      <c r="AN51" s="12">
        <f ca="1">OFFSET('Proforma L+H'!$E80,0,'L+H Monthly CF'!AN$3)/12</f>
        <v>16276.041666666666</v>
      </c>
      <c r="AO51" s="12">
        <f ca="1">OFFSET('Proforma L+H'!$E80,0,'L+H Monthly CF'!AO$3)/12</f>
        <v>16276.041666666666</v>
      </c>
      <c r="AP51" s="12">
        <f ca="1">OFFSET('Proforma L+H'!$E80,0,'L+H Monthly CF'!AP$3)/12</f>
        <v>16276.041666666666</v>
      </c>
      <c r="AQ51" s="12">
        <f ca="1">OFFSET('Proforma L+H'!$E80,0,'L+H Monthly CF'!AQ$3)/12</f>
        <v>16276.041666666666</v>
      </c>
      <c r="AR51" s="12">
        <f ca="1">OFFSET('Proforma L+H'!$E80,0,'L+H Monthly CF'!AR$3)/12</f>
        <v>16276.041666666666</v>
      </c>
      <c r="AS51" s="12">
        <f ca="1">OFFSET('Proforma L+H'!$E80,0,'L+H Monthly CF'!AS$3)/12</f>
        <v>16276.041666666666</v>
      </c>
      <c r="AT51" s="12">
        <f ca="1">OFFSET('Proforma L+H'!$E80,0,'L+H Monthly CF'!AT$3)/12</f>
        <v>16276.041666666666</v>
      </c>
      <c r="AU51" s="12">
        <f ca="1">OFFSET('Proforma L+H'!$E80,0,'L+H Monthly CF'!AU$3)/12</f>
        <v>16276.041666666666</v>
      </c>
      <c r="AV51" s="12">
        <f ca="1">OFFSET('Proforma L+H'!$E80,0,'L+H Monthly CF'!AV$3)/12</f>
        <v>16276.041666666666</v>
      </c>
      <c r="AW51" s="12">
        <f ca="1">OFFSET('Proforma L+H'!$E80,0,'L+H Monthly CF'!AW$3)/12</f>
        <v>16276.041666666666</v>
      </c>
      <c r="AX51" s="12">
        <f ca="1">OFFSET('Proforma L+H'!$E80,0,'L+H Monthly CF'!AX$3)/12</f>
        <v>16276.041666666666</v>
      </c>
      <c r="AY51" s="12">
        <f ca="1">OFFSET('Proforma L+H'!$E80,0,'L+H Monthly CF'!AY$3)/12</f>
        <v>16276.041666666666</v>
      </c>
      <c r="AZ51" s="12">
        <f ca="1">OFFSET('Proforma L+H'!$E80,0,'L+H Monthly CF'!AZ$3)/12</f>
        <v>16276.041666666666</v>
      </c>
      <c r="BA51" s="12">
        <f t="shared" ca="1" si="32"/>
        <v>781249.99999999965</v>
      </c>
      <c r="BB51" s="758">
        <f ca="1">SUM('Proforma L+H'!E80:H80)-BA51</f>
        <v>0</v>
      </c>
    </row>
    <row r="52" spans="1:54" hidden="1" outlineLevel="1" x14ac:dyDescent="0.2">
      <c r="A52" s="2"/>
      <c r="B52" s="163" t="str">
        <f>'Proforma L+H'!B81</f>
        <v>Utilities: Geothermal Infrastructure @ 45 Lots</v>
      </c>
      <c r="C52" s="71">
        <f>175000*1.25</f>
        <v>218750</v>
      </c>
      <c r="D52" s="71"/>
      <c r="E52" s="12">
        <f ca="1">OFFSET('Proforma L+H'!$E81,0,'L+H Monthly CF'!E$3)/12</f>
        <v>0</v>
      </c>
      <c r="F52" s="12">
        <f ca="1">OFFSET('Proforma L+H'!$E81,0,'L+H Monthly CF'!F$3)/12</f>
        <v>0</v>
      </c>
      <c r="G52" s="12">
        <f ca="1">OFFSET('Proforma L+H'!$E81,0,'L+H Monthly CF'!G$3)/12</f>
        <v>0</v>
      </c>
      <c r="H52" s="12">
        <f ca="1">OFFSET('Proforma L+H'!$E81,0,'L+H Monthly CF'!H$3)/12</f>
        <v>0</v>
      </c>
      <c r="I52" s="12">
        <f ca="1">OFFSET('Proforma L+H'!$E81,0,'L+H Monthly CF'!I$3)/12</f>
        <v>0</v>
      </c>
      <c r="J52" s="12">
        <f ca="1">OFFSET('Proforma L+H'!$E81,0,'L+H Monthly CF'!J$3)/12</f>
        <v>0</v>
      </c>
      <c r="K52" s="12">
        <f ca="1">OFFSET('Proforma L+H'!$E81,0,'L+H Monthly CF'!K$3)/12</f>
        <v>0</v>
      </c>
      <c r="L52" s="12">
        <f ca="1">OFFSET('Proforma L+H'!$E81,0,'L+H Monthly CF'!L$3)/12</f>
        <v>0</v>
      </c>
      <c r="M52" s="12">
        <f ca="1">OFFSET('Proforma L+H'!$E81,0,'L+H Monthly CF'!M$3)/12</f>
        <v>0</v>
      </c>
      <c r="N52" s="12">
        <f ca="1">OFFSET('Proforma L+H'!$E81,0,'L+H Monthly CF'!N$3)/12</f>
        <v>0</v>
      </c>
      <c r="O52" s="12">
        <f ca="1">OFFSET('Proforma L+H'!$E81,0,'L+H Monthly CF'!O$3)/12</f>
        <v>0</v>
      </c>
      <c r="P52" s="12">
        <f ca="1">OFFSET('Proforma L+H'!$E81,0,'L+H Monthly CF'!P$3)/12</f>
        <v>0</v>
      </c>
      <c r="Q52" s="12">
        <f ca="1">OFFSET('Proforma L+H'!$E81,0,'L+H Monthly CF'!Q$3)/12</f>
        <v>6076.3888888888896</v>
      </c>
      <c r="R52" s="12">
        <f ca="1">OFFSET('Proforma L+H'!$E81,0,'L+H Monthly CF'!R$3)/12</f>
        <v>6076.3888888888896</v>
      </c>
      <c r="S52" s="12">
        <f ca="1">OFFSET('Proforma L+H'!$E81,0,'L+H Monthly CF'!S$3)/12</f>
        <v>6076.3888888888896</v>
      </c>
      <c r="T52" s="12">
        <f ca="1">OFFSET('Proforma L+H'!$E81,0,'L+H Monthly CF'!T$3)/12</f>
        <v>6076.3888888888896</v>
      </c>
      <c r="U52" s="12">
        <f ca="1">OFFSET('Proforma L+H'!$E81,0,'L+H Monthly CF'!U$3)/12</f>
        <v>6076.3888888888896</v>
      </c>
      <c r="V52" s="12">
        <f ca="1">OFFSET('Proforma L+H'!$E81,0,'L+H Monthly CF'!V$3)/12</f>
        <v>6076.3888888888896</v>
      </c>
      <c r="W52" s="12">
        <f ca="1">OFFSET('Proforma L+H'!$E81,0,'L+H Monthly CF'!W$3)/12</f>
        <v>6076.3888888888896</v>
      </c>
      <c r="X52" s="12">
        <f ca="1">OFFSET('Proforma L+H'!$E81,0,'L+H Monthly CF'!X$3)/12</f>
        <v>6076.3888888888896</v>
      </c>
      <c r="Y52" s="12">
        <f ca="1">OFFSET('Proforma L+H'!$E81,0,'L+H Monthly CF'!Y$3)/12</f>
        <v>6076.3888888888896</v>
      </c>
      <c r="Z52" s="12">
        <f ca="1">OFFSET('Proforma L+H'!$E81,0,'L+H Monthly CF'!Z$3)/12</f>
        <v>6076.3888888888896</v>
      </c>
      <c r="AA52" s="12">
        <f ca="1">OFFSET('Proforma L+H'!$E81,0,'L+H Monthly CF'!AA$3)/12</f>
        <v>6076.3888888888896</v>
      </c>
      <c r="AB52" s="12">
        <f ca="1">OFFSET('Proforma L+H'!$E81,0,'L+H Monthly CF'!AB$3)/12</f>
        <v>6076.3888888888896</v>
      </c>
      <c r="AC52" s="12">
        <f ca="1">OFFSET('Proforma L+H'!$E81,0,'L+H Monthly CF'!AC$3)/12</f>
        <v>6076.3888888888896</v>
      </c>
      <c r="AD52" s="12">
        <f ca="1">OFFSET('Proforma L+H'!$E81,0,'L+H Monthly CF'!AD$3)/12</f>
        <v>6076.3888888888896</v>
      </c>
      <c r="AE52" s="12">
        <f ca="1">OFFSET('Proforma L+H'!$E81,0,'L+H Monthly CF'!AE$3)/12</f>
        <v>6076.3888888888896</v>
      </c>
      <c r="AF52" s="12">
        <f ca="1">OFFSET('Proforma L+H'!$E81,0,'L+H Monthly CF'!AF$3)/12</f>
        <v>6076.3888888888896</v>
      </c>
      <c r="AG52" s="12">
        <f ca="1">OFFSET('Proforma L+H'!$E81,0,'L+H Monthly CF'!AG$3)/12</f>
        <v>6076.3888888888896</v>
      </c>
      <c r="AH52" s="12">
        <f ca="1">OFFSET('Proforma L+H'!$E81,0,'L+H Monthly CF'!AH$3)/12</f>
        <v>6076.3888888888896</v>
      </c>
      <c r="AI52" s="12">
        <f ca="1">OFFSET('Proforma L+H'!$E81,0,'L+H Monthly CF'!AI$3)/12</f>
        <v>6076.3888888888896</v>
      </c>
      <c r="AJ52" s="12">
        <f ca="1">OFFSET('Proforma L+H'!$E81,0,'L+H Monthly CF'!AJ$3)/12</f>
        <v>6076.3888888888896</v>
      </c>
      <c r="AK52" s="12">
        <f ca="1">OFFSET('Proforma L+H'!$E81,0,'L+H Monthly CF'!AK$3)/12</f>
        <v>6076.3888888888896</v>
      </c>
      <c r="AL52" s="12">
        <f ca="1">OFFSET('Proforma L+H'!$E81,0,'L+H Monthly CF'!AL$3)/12</f>
        <v>6076.3888888888896</v>
      </c>
      <c r="AM52" s="12">
        <f ca="1">OFFSET('Proforma L+H'!$E81,0,'L+H Monthly CF'!AM$3)/12</f>
        <v>6076.3888888888896</v>
      </c>
      <c r="AN52" s="12">
        <f ca="1">OFFSET('Proforma L+H'!$E81,0,'L+H Monthly CF'!AN$3)/12</f>
        <v>6076.3888888888896</v>
      </c>
      <c r="AO52" s="12">
        <f ca="1">OFFSET('Proforma L+H'!$E81,0,'L+H Monthly CF'!AO$3)/12</f>
        <v>6076.3888888888896</v>
      </c>
      <c r="AP52" s="12">
        <f ca="1">OFFSET('Proforma L+H'!$E81,0,'L+H Monthly CF'!AP$3)/12</f>
        <v>6076.3888888888896</v>
      </c>
      <c r="AQ52" s="12">
        <f ca="1">OFFSET('Proforma L+H'!$E81,0,'L+H Monthly CF'!AQ$3)/12</f>
        <v>6076.3888888888896</v>
      </c>
      <c r="AR52" s="12">
        <f ca="1">OFFSET('Proforma L+H'!$E81,0,'L+H Monthly CF'!AR$3)/12</f>
        <v>6076.3888888888896</v>
      </c>
      <c r="AS52" s="12">
        <f ca="1">OFFSET('Proforma L+H'!$E81,0,'L+H Monthly CF'!AS$3)/12</f>
        <v>6076.3888888888896</v>
      </c>
      <c r="AT52" s="12">
        <f ca="1">OFFSET('Proforma L+H'!$E81,0,'L+H Monthly CF'!AT$3)/12</f>
        <v>6076.3888888888896</v>
      </c>
      <c r="AU52" s="12">
        <f ca="1">OFFSET('Proforma L+H'!$E81,0,'L+H Monthly CF'!AU$3)/12</f>
        <v>6076.3888888888896</v>
      </c>
      <c r="AV52" s="12">
        <f ca="1">OFFSET('Proforma L+H'!$E81,0,'L+H Monthly CF'!AV$3)/12</f>
        <v>6076.3888888888896</v>
      </c>
      <c r="AW52" s="12">
        <f ca="1">OFFSET('Proforma L+H'!$E81,0,'L+H Monthly CF'!AW$3)/12</f>
        <v>6076.3888888888896</v>
      </c>
      <c r="AX52" s="12">
        <f ca="1">OFFSET('Proforma L+H'!$E81,0,'L+H Monthly CF'!AX$3)/12</f>
        <v>6076.3888888888896</v>
      </c>
      <c r="AY52" s="12">
        <f ca="1">OFFSET('Proforma L+H'!$E81,0,'L+H Monthly CF'!AY$3)/12</f>
        <v>6076.3888888888896</v>
      </c>
      <c r="AZ52" s="12">
        <f ca="1">OFFSET('Proforma L+H'!$E81,0,'L+H Monthly CF'!AZ$3)/12</f>
        <v>6076.3888888888896</v>
      </c>
      <c r="BA52" s="12">
        <f t="shared" ca="1" si="32"/>
        <v>218749.99999999983</v>
      </c>
      <c r="BB52" s="758">
        <f ca="1">SUM('Proforma L+H'!E81:H81)-BA52</f>
        <v>0</v>
      </c>
    </row>
    <row r="53" spans="1:54" hidden="1" outlineLevel="1" x14ac:dyDescent="0.2">
      <c r="A53" s="2"/>
      <c r="B53" s="163" t="str">
        <f>'Proforma L+H'!B82</f>
        <v>Landscape: Early Plantings in Public Areas</v>
      </c>
      <c r="C53" s="71">
        <v>750000</v>
      </c>
      <c r="D53" s="71"/>
      <c r="E53" s="12">
        <f ca="1">OFFSET('Proforma L+H'!$E82,0,'L+H Monthly CF'!E$3)/12</f>
        <v>0</v>
      </c>
      <c r="F53" s="12">
        <f ca="1">OFFSET('Proforma L+H'!$E82,0,'L+H Monthly CF'!F$3)/12</f>
        <v>0</v>
      </c>
      <c r="G53" s="12">
        <f ca="1">OFFSET('Proforma L+H'!$E82,0,'L+H Monthly CF'!G$3)/12</f>
        <v>0</v>
      </c>
      <c r="H53" s="12">
        <f ca="1">OFFSET('Proforma L+H'!$E82,0,'L+H Monthly CF'!H$3)/12</f>
        <v>0</v>
      </c>
      <c r="I53" s="12">
        <f ca="1">OFFSET('Proforma L+H'!$E82,0,'L+H Monthly CF'!I$3)/12</f>
        <v>0</v>
      </c>
      <c r="J53" s="12">
        <f ca="1">OFFSET('Proforma L+H'!$E82,0,'L+H Monthly CF'!J$3)/12</f>
        <v>0</v>
      </c>
      <c r="K53" s="12">
        <f ca="1">OFFSET('Proforma L+H'!$E82,0,'L+H Monthly CF'!K$3)/12</f>
        <v>0</v>
      </c>
      <c r="L53" s="12">
        <f ca="1">OFFSET('Proforma L+H'!$E82,0,'L+H Monthly CF'!L$3)/12</f>
        <v>0</v>
      </c>
      <c r="M53" s="12">
        <f ca="1">OFFSET('Proforma L+H'!$E82,0,'L+H Monthly CF'!M$3)/12</f>
        <v>0</v>
      </c>
      <c r="N53" s="12">
        <f ca="1">OFFSET('Proforma L+H'!$E82,0,'L+H Monthly CF'!N$3)/12</f>
        <v>0</v>
      </c>
      <c r="O53" s="12">
        <f ca="1">OFFSET('Proforma L+H'!$E82,0,'L+H Monthly CF'!O$3)/12</f>
        <v>0</v>
      </c>
      <c r="P53" s="12">
        <f ca="1">OFFSET('Proforma L+H'!$E82,0,'L+H Monthly CF'!P$3)/12</f>
        <v>0</v>
      </c>
      <c r="Q53" s="12">
        <f ca="1">OFFSET('Proforma L+H'!$E82,0,'L+H Monthly CF'!Q$3)/12</f>
        <v>20833.333333333332</v>
      </c>
      <c r="R53" s="12">
        <f ca="1">OFFSET('Proforma L+H'!$E82,0,'L+H Monthly CF'!R$3)/12</f>
        <v>20833.333333333332</v>
      </c>
      <c r="S53" s="12">
        <f ca="1">OFFSET('Proforma L+H'!$E82,0,'L+H Monthly CF'!S$3)/12</f>
        <v>20833.333333333332</v>
      </c>
      <c r="T53" s="12">
        <f ca="1">OFFSET('Proforma L+H'!$E82,0,'L+H Monthly CF'!T$3)/12</f>
        <v>20833.333333333332</v>
      </c>
      <c r="U53" s="12">
        <f ca="1">OFFSET('Proforma L+H'!$E82,0,'L+H Monthly CF'!U$3)/12</f>
        <v>20833.333333333332</v>
      </c>
      <c r="V53" s="12">
        <f ca="1">OFFSET('Proforma L+H'!$E82,0,'L+H Monthly CF'!V$3)/12</f>
        <v>20833.333333333332</v>
      </c>
      <c r="W53" s="12">
        <f ca="1">OFFSET('Proforma L+H'!$E82,0,'L+H Monthly CF'!W$3)/12</f>
        <v>20833.333333333332</v>
      </c>
      <c r="X53" s="12">
        <f ca="1">OFFSET('Proforma L+H'!$E82,0,'L+H Monthly CF'!X$3)/12</f>
        <v>20833.333333333332</v>
      </c>
      <c r="Y53" s="12">
        <f ca="1">OFFSET('Proforma L+H'!$E82,0,'L+H Monthly CF'!Y$3)/12</f>
        <v>20833.333333333332</v>
      </c>
      <c r="Z53" s="12">
        <f ca="1">OFFSET('Proforma L+H'!$E82,0,'L+H Monthly CF'!Z$3)/12</f>
        <v>20833.333333333332</v>
      </c>
      <c r="AA53" s="12">
        <f ca="1">OFFSET('Proforma L+H'!$E82,0,'L+H Monthly CF'!AA$3)/12</f>
        <v>20833.333333333332</v>
      </c>
      <c r="AB53" s="12">
        <f ca="1">OFFSET('Proforma L+H'!$E82,0,'L+H Monthly CF'!AB$3)/12</f>
        <v>20833.333333333332</v>
      </c>
      <c r="AC53" s="12">
        <f ca="1">OFFSET('Proforma L+H'!$E82,0,'L+H Monthly CF'!AC$3)/12</f>
        <v>20833.333333333332</v>
      </c>
      <c r="AD53" s="12">
        <f ca="1">OFFSET('Proforma L+H'!$E82,0,'L+H Monthly CF'!AD$3)/12</f>
        <v>20833.333333333332</v>
      </c>
      <c r="AE53" s="12">
        <f ca="1">OFFSET('Proforma L+H'!$E82,0,'L+H Monthly CF'!AE$3)/12</f>
        <v>20833.333333333332</v>
      </c>
      <c r="AF53" s="12">
        <f ca="1">OFFSET('Proforma L+H'!$E82,0,'L+H Monthly CF'!AF$3)/12</f>
        <v>20833.333333333332</v>
      </c>
      <c r="AG53" s="12">
        <f ca="1">OFFSET('Proforma L+H'!$E82,0,'L+H Monthly CF'!AG$3)/12</f>
        <v>20833.333333333332</v>
      </c>
      <c r="AH53" s="12">
        <f ca="1">OFFSET('Proforma L+H'!$E82,0,'L+H Monthly CF'!AH$3)/12</f>
        <v>20833.333333333332</v>
      </c>
      <c r="AI53" s="12">
        <f ca="1">OFFSET('Proforma L+H'!$E82,0,'L+H Monthly CF'!AI$3)/12</f>
        <v>20833.333333333332</v>
      </c>
      <c r="AJ53" s="12">
        <f ca="1">OFFSET('Proforma L+H'!$E82,0,'L+H Monthly CF'!AJ$3)/12</f>
        <v>20833.333333333332</v>
      </c>
      <c r="AK53" s="12">
        <f ca="1">OFFSET('Proforma L+H'!$E82,0,'L+H Monthly CF'!AK$3)/12</f>
        <v>20833.333333333332</v>
      </c>
      <c r="AL53" s="12">
        <f ca="1">OFFSET('Proforma L+H'!$E82,0,'L+H Monthly CF'!AL$3)/12</f>
        <v>20833.333333333332</v>
      </c>
      <c r="AM53" s="12">
        <f ca="1">OFFSET('Proforma L+H'!$E82,0,'L+H Monthly CF'!AM$3)/12</f>
        <v>20833.333333333332</v>
      </c>
      <c r="AN53" s="12">
        <f ca="1">OFFSET('Proforma L+H'!$E82,0,'L+H Monthly CF'!AN$3)/12</f>
        <v>20833.333333333332</v>
      </c>
      <c r="AO53" s="12">
        <f ca="1">OFFSET('Proforma L+H'!$E82,0,'L+H Monthly CF'!AO$3)/12</f>
        <v>20833.333333333332</v>
      </c>
      <c r="AP53" s="12">
        <f ca="1">OFFSET('Proforma L+H'!$E82,0,'L+H Monthly CF'!AP$3)/12</f>
        <v>20833.333333333332</v>
      </c>
      <c r="AQ53" s="12">
        <f ca="1">OFFSET('Proforma L+H'!$E82,0,'L+H Monthly CF'!AQ$3)/12</f>
        <v>20833.333333333332</v>
      </c>
      <c r="AR53" s="12">
        <f ca="1">OFFSET('Proforma L+H'!$E82,0,'L+H Monthly CF'!AR$3)/12</f>
        <v>20833.333333333332</v>
      </c>
      <c r="AS53" s="12">
        <f ca="1">OFFSET('Proforma L+H'!$E82,0,'L+H Monthly CF'!AS$3)/12</f>
        <v>20833.333333333332</v>
      </c>
      <c r="AT53" s="12">
        <f ca="1">OFFSET('Proforma L+H'!$E82,0,'L+H Monthly CF'!AT$3)/12</f>
        <v>20833.333333333332</v>
      </c>
      <c r="AU53" s="12">
        <f ca="1">OFFSET('Proforma L+H'!$E82,0,'L+H Monthly CF'!AU$3)/12</f>
        <v>20833.333333333332</v>
      </c>
      <c r="AV53" s="12">
        <f ca="1">OFFSET('Proforma L+H'!$E82,0,'L+H Monthly CF'!AV$3)/12</f>
        <v>20833.333333333332</v>
      </c>
      <c r="AW53" s="12">
        <f ca="1">OFFSET('Proforma L+H'!$E82,0,'L+H Monthly CF'!AW$3)/12</f>
        <v>20833.333333333332</v>
      </c>
      <c r="AX53" s="12">
        <f ca="1">OFFSET('Proforma L+H'!$E82,0,'L+H Monthly CF'!AX$3)/12</f>
        <v>20833.333333333332</v>
      </c>
      <c r="AY53" s="12">
        <f ca="1">OFFSET('Proforma L+H'!$E82,0,'L+H Monthly CF'!AY$3)/12</f>
        <v>20833.333333333332</v>
      </c>
      <c r="AZ53" s="12">
        <f ca="1">OFFSET('Proforma L+H'!$E82,0,'L+H Monthly CF'!AZ$3)/12</f>
        <v>20833.333333333332</v>
      </c>
      <c r="BA53" s="12">
        <f t="shared" ca="1" si="32"/>
        <v>750000.00000000023</v>
      </c>
      <c r="BB53" s="758">
        <f ca="1">SUM('Proforma L+H'!E82:H82)-BA53</f>
        <v>0</v>
      </c>
    </row>
    <row r="54" spans="1:54" hidden="1" outlineLevel="1" x14ac:dyDescent="0.2">
      <c r="A54" s="2"/>
      <c r="B54" s="163" t="str">
        <f>'Proforma L+H'!B83</f>
        <v>Construction Cost Escalation</v>
      </c>
      <c r="C54" s="84">
        <v>0.05</v>
      </c>
      <c r="D54" s="71"/>
      <c r="E54" s="61">
        <f ca="1">OFFSET('Proforma L+H'!$E83,0,'L+H Monthly CF'!E$3)/12</f>
        <v>9685.3298611111131</v>
      </c>
      <c r="F54" s="61">
        <f ca="1">OFFSET('Proforma L+H'!$E83,0,'L+H Monthly CF'!F$3)/12</f>
        <v>9685.3298611111131</v>
      </c>
      <c r="G54" s="61">
        <f ca="1">OFFSET('Proforma L+H'!$E83,0,'L+H Monthly CF'!G$3)/12</f>
        <v>9685.3298611111131</v>
      </c>
      <c r="H54" s="61">
        <f ca="1">OFFSET('Proforma L+H'!$E83,0,'L+H Monthly CF'!H$3)/12</f>
        <v>9685.3298611111131</v>
      </c>
      <c r="I54" s="61">
        <f ca="1">OFFSET('Proforma L+H'!$E83,0,'L+H Monthly CF'!I$3)/12</f>
        <v>9685.3298611111131</v>
      </c>
      <c r="J54" s="61">
        <f ca="1">OFFSET('Proforma L+H'!$E83,0,'L+H Monthly CF'!J$3)/12</f>
        <v>9685.3298611111131</v>
      </c>
      <c r="K54" s="61">
        <f ca="1">OFFSET('Proforma L+H'!$E83,0,'L+H Monthly CF'!K$3)/12</f>
        <v>9685.3298611111131</v>
      </c>
      <c r="L54" s="61">
        <f ca="1">OFFSET('Proforma L+H'!$E83,0,'L+H Monthly CF'!L$3)/12</f>
        <v>9685.3298611111131</v>
      </c>
      <c r="M54" s="12">
        <f ca="1">OFFSET('Proforma L+H'!$E83,0,'L+H Monthly CF'!M$3)/12</f>
        <v>9685.3298611111131</v>
      </c>
      <c r="N54" s="12">
        <f ca="1">OFFSET('Proforma L+H'!$E83,0,'L+H Monthly CF'!N$3)/12</f>
        <v>9685.3298611111131</v>
      </c>
      <c r="O54" s="12">
        <f ca="1">OFFSET('Proforma L+H'!$E83,0,'L+H Monthly CF'!O$3)/12</f>
        <v>9685.3298611111131</v>
      </c>
      <c r="P54" s="12">
        <f ca="1">OFFSET('Proforma L+H'!$E83,0,'L+H Monthly CF'!P$3)/12</f>
        <v>9685.3298611111131</v>
      </c>
      <c r="Q54" s="12">
        <f ca="1">OFFSET('Proforma L+H'!$E83,0,'L+H Monthly CF'!Q$3)/12</f>
        <v>10452.582465277779</v>
      </c>
      <c r="R54" s="12">
        <f ca="1">OFFSET('Proforma L+H'!$E83,0,'L+H Monthly CF'!R$3)/12</f>
        <v>10452.582465277779</v>
      </c>
      <c r="S54" s="12">
        <f ca="1">OFFSET('Proforma L+H'!$E83,0,'L+H Monthly CF'!S$3)/12</f>
        <v>10452.582465277779</v>
      </c>
      <c r="T54" s="12">
        <f ca="1">OFFSET('Proforma L+H'!$E83,0,'L+H Monthly CF'!T$3)/12</f>
        <v>10452.582465277779</v>
      </c>
      <c r="U54" s="12">
        <f ca="1">OFFSET('Proforma L+H'!$E83,0,'L+H Monthly CF'!U$3)/12</f>
        <v>10452.582465277779</v>
      </c>
      <c r="V54" s="12">
        <f ca="1">OFFSET('Proforma L+H'!$E83,0,'L+H Monthly CF'!V$3)/12</f>
        <v>10452.582465277779</v>
      </c>
      <c r="W54" s="12">
        <f ca="1">OFFSET('Proforma L+H'!$E83,0,'L+H Monthly CF'!W$3)/12</f>
        <v>10452.582465277779</v>
      </c>
      <c r="X54" s="12">
        <f ca="1">OFFSET('Proforma L+H'!$E83,0,'L+H Monthly CF'!X$3)/12</f>
        <v>10452.582465277779</v>
      </c>
      <c r="Y54" s="12">
        <f ca="1">OFFSET('Proforma L+H'!$E83,0,'L+H Monthly CF'!Y$3)/12</f>
        <v>10452.582465277779</v>
      </c>
      <c r="Z54" s="12">
        <f ca="1">OFFSET('Proforma L+H'!$E83,0,'L+H Monthly CF'!Z$3)/12</f>
        <v>10452.582465277779</v>
      </c>
      <c r="AA54" s="12">
        <f ca="1">OFFSET('Proforma L+H'!$E83,0,'L+H Monthly CF'!AA$3)/12</f>
        <v>10452.582465277779</v>
      </c>
      <c r="AB54" s="12">
        <f ca="1">OFFSET('Proforma L+H'!$E83,0,'L+H Monthly CF'!AB$3)/12</f>
        <v>10452.582465277779</v>
      </c>
      <c r="AC54" s="12">
        <f ca="1">OFFSET('Proforma L+H'!$E83,0,'L+H Monthly CF'!AC$3)/12</f>
        <v>8371.044921875</v>
      </c>
      <c r="AD54" s="12">
        <f ca="1">OFFSET('Proforma L+H'!$E83,0,'L+H Monthly CF'!AD$3)/12</f>
        <v>8371.044921875</v>
      </c>
      <c r="AE54" s="12">
        <f ca="1">OFFSET('Proforma L+H'!$E83,0,'L+H Monthly CF'!AE$3)/12</f>
        <v>8371.044921875</v>
      </c>
      <c r="AF54" s="12">
        <f ca="1">OFFSET('Proforma L+H'!$E83,0,'L+H Monthly CF'!AF$3)/12</f>
        <v>8371.044921875</v>
      </c>
      <c r="AG54" s="12">
        <f ca="1">OFFSET('Proforma L+H'!$E83,0,'L+H Monthly CF'!AG$3)/12</f>
        <v>8371.044921875</v>
      </c>
      <c r="AH54" s="12">
        <f ca="1">OFFSET('Proforma L+H'!$E83,0,'L+H Monthly CF'!AH$3)/12</f>
        <v>8371.044921875</v>
      </c>
      <c r="AI54" s="12">
        <f ca="1">OFFSET('Proforma L+H'!$E83,0,'L+H Monthly CF'!AI$3)/12</f>
        <v>8371.044921875</v>
      </c>
      <c r="AJ54" s="12">
        <f ca="1">OFFSET('Proforma L+H'!$E83,0,'L+H Monthly CF'!AJ$3)/12</f>
        <v>8371.044921875</v>
      </c>
      <c r="AK54" s="12">
        <f ca="1">OFFSET('Proforma L+H'!$E83,0,'L+H Monthly CF'!AK$3)/12</f>
        <v>8371.044921875</v>
      </c>
      <c r="AL54" s="12">
        <f ca="1">OFFSET('Proforma L+H'!$E83,0,'L+H Monthly CF'!AL$3)/12</f>
        <v>8371.044921875</v>
      </c>
      <c r="AM54" s="12">
        <f ca="1">OFFSET('Proforma L+H'!$E83,0,'L+H Monthly CF'!AM$3)/12</f>
        <v>8371.044921875</v>
      </c>
      <c r="AN54" s="12">
        <f ca="1">OFFSET('Proforma L+H'!$E83,0,'L+H Monthly CF'!AN$3)/12</f>
        <v>8371.044921875</v>
      </c>
      <c r="AO54" s="12">
        <f ca="1">OFFSET('Proforma L+H'!$E83,0,'L+H Monthly CF'!AO$3)/12</f>
        <v>7222.7568901909726</v>
      </c>
      <c r="AP54" s="12">
        <f ca="1">OFFSET('Proforma L+H'!$E83,0,'L+H Monthly CF'!AP$3)/12</f>
        <v>7222.7568901909726</v>
      </c>
      <c r="AQ54" s="12">
        <f ca="1">OFFSET('Proforma L+H'!$E83,0,'L+H Monthly CF'!AQ$3)/12</f>
        <v>7222.7568901909726</v>
      </c>
      <c r="AR54" s="12">
        <f ca="1">OFFSET('Proforma L+H'!$E83,0,'L+H Monthly CF'!AR$3)/12</f>
        <v>7222.7568901909726</v>
      </c>
      <c r="AS54" s="12">
        <f ca="1">OFFSET('Proforma L+H'!$E83,0,'L+H Monthly CF'!AS$3)/12</f>
        <v>7222.7568901909726</v>
      </c>
      <c r="AT54" s="12">
        <f ca="1">OFFSET('Proforma L+H'!$E83,0,'L+H Monthly CF'!AT$3)/12</f>
        <v>7222.7568901909726</v>
      </c>
      <c r="AU54" s="12">
        <f ca="1">OFFSET('Proforma L+H'!$E83,0,'L+H Monthly CF'!AU$3)/12</f>
        <v>7222.7568901909726</v>
      </c>
      <c r="AV54" s="12">
        <f ca="1">OFFSET('Proforma L+H'!$E83,0,'L+H Monthly CF'!AV$3)/12</f>
        <v>7222.7568901909726</v>
      </c>
      <c r="AW54" s="12">
        <f ca="1">OFFSET('Proforma L+H'!$E83,0,'L+H Monthly CF'!AW$3)/12</f>
        <v>7222.7568901909726</v>
      </c>
      <c r="AX54" s="12">
        <f ca="1">OFFSET('Proforma L+H'!$E83,0,'L+H Monthly CF'!AX$3)/12</f>
        <v>7222.7568901909726</v>
      </c>
      <c r="AY54" s="12">
        <f ca="1">OFFSET('Proforma L+H'!$E83,0,'L+H Monthly CF'!AY$3)/12</f>
        <v>7222.7568901909726</v>
      </c>
      <c r="AZ54" s="12">
        <f ca="1">OFFSET('Proforma L+H'!$E83,0,'L+H Monthly CF'!AZ$3)/12</f>
        <v>7222.7568901909726</v>
      </c>
      <c r="BA54" s="12">
        <f t="shared" ca="1" si="32"/>
        <v>428780.56966145866</v>
      </c>
      <c r="BB54" s="758">
        <f ca="1">SUM('Proforma L+H'!E83:H83)-BA54</f>
        <v>0</v>
      </c>
    </row>
    <row r="55" spans="1:54" hidden="1" outlineLevel="1" x14ac:dyDescent="0.2">
      <c r="A55" s="2"/>
      <c r="B55" s="168" t="str">
        <f>'Proforma L+H'!B84</f>
        <v>Developer Construction Contingency</v>
      </c>
      <c r="C55" s="54">
        <v>0.05</v>
      </c>
      <c r="D55" s="54"/>
      <c r="E55" s="22">
        <f ca="1">OFFSET('Proforma L+H'!$E84,0,'L+H Monthly CF'!E$3)/12</f>
        <v>9685.3298611111131</v>
      </c>
      <c r="F55" s="22">
        <f ca="1">OFFSET('Proforma L+H'!$E84,0,'L+H Monthly CF'!F$3)/12</f>
        <v>9685.3298611111131</v>
      </c>
      <c r="G55" s="22">
        <f ca="1">OFFSET('Proforma L+H'!$E84,0,'L+H Monthly CF'!G$3)/12</f>
        <v>9685.3298611111131</v>
      </c>
      <c r="H55" s="22">
        <f ca="1">OFFSET('Proforma L+H'!$E84,0,'L+H Monthly CF'!H$3)/12</f>
        <v>9685.3298611111131</v>
      </c>
      <c r="I55" s="22">
        <f ca="1">OFFSET('Proforma L+H'!$E84,0,'L+H Monthly CF'!I$3)/12</f>
        <v>9685.3298611111131</v>
      </c>
      <c r="J55" s="22">
        <f ca="1">OFFSET('Proforma L+H'!$E84,0,'L+H Monthly CF'!J$3)/12</f>
        <v>9685.3298611111131</v>
      </c>
      <c r="K55" s="22">
        <f ca="1">OFFSET('Proforma L+H'!$E84,0,'L+H Monthly CF'!K$3)/12</f>
        <v>9685.3298611111131</v>
      </c>
      <c r="L55" s="22">
        <f ca="1">OFFSET('Proforma L+H'!$E84,0,'L+H Monthly CF'!L$3)/12</f>
        <v>9685.3298611111131</v>
      </c>
      <c r="M55" s="22">
        <f ca="1">OFFSET('Proforma L+H'!$E84,0,'L+H Monthly CF'!M$3)/12</f>
        <v>9685.3298611111131</v>
      </c>
      <c r="N55" s="22">
        <f ca="1">OFFSET('Proforma L+H'!$E84,0,'L+H Monthly CF'!N$3)/12</f>
        <v>9685.3298611111131</v>
      </c>
      <c r="O55" s="22">
        <f ca="1">OFFSET('Proforma L+H'!$E84,0,'L+H Monthly CF'!O$3)/12</f>
        <v>9685.3298611111131</v>
      </c>
      <c r="P55" s="22">
        <f ca="1">OFFSET('Proforma L+H'!$E84,0,'L+H Monthly CF'!P$3)/12</f>
        <v>9685.3298611111131</v>
      </c>
      <c r="Q55" s="22">
        <f ca="1">OFFSET('Proforma L+H'!$E84,0,'L+H Monthly CF'!Q$3)/12</f>
        <v>9968.3159722222244</v>
      </c>
      <c r="R55" s="21">
        <f ca="1">OFFSET('Proforma L+H'!$E84,0,'L+H Monthly CF'!R$3)/12</f>
        <v>9968.3159722222244</v>
      </c>
      <c r="S55" s="21">
        <f ca="1">OFFSET('Proforma L+H'!$E84,0,'L+H Monthly CF'!S$3)/12</f>
        <v>9968.3159722222244</v>
      </c>
      <c r="T55" s="21">
        <f ca="1">OFFSET('Proforma L+H'!$E84,0,'L+H Monthly CF'!T$3)/12</f>
        <v>9968.3159722222244</v>
      </c>
      <c r="U55" s="21">
        <f ca="1">OFFSET('Proforma L+H'!$E84,0,'L+H Monthly CF'!U$3)/12</f>
        <v>9968.3159722222244</v>
      </c>
      <c r="V55" s="21">
        <f ca="1">OFFSET('Proforma L+H'!$E84,0,'L+H Monthly CF'!V$3)/12</f>
        <v>9968.3159722222244</v>
      </c>
      <c r="W55" s="21">
        <f ca="1">OFFSET('Proforma L+H'!$E84,0,'L+H Monthly CF'!W$3)/12</f>
        <v>9968.3159722222244</v>
      </c>
      <c r="X55" s="21">
        <f ca="1">OFFSET('Proforma L+H'!$E84,0,'L+H Monthly CF'!X$3)/12</f>
        <v>9968.3159722222244</v>
      </c>
      <c r="Y55" s="21">
        <f ca="1">OFFSET('Proforma L+H'!$E84,0,'L+H Monthly CF'!Y$3)/12</f>
        <v>9968.3159722222244</v>
      </c>
      <c r="Z55" s="21">
        <f ca="1">OFFSET('Proforma L+H'!$E84,0,'L+H Monthly CF'!Z$3)/12</f>
        <v>9968.3159722222244</v>
      </c>
      <c r="AA55" s="21">
        <f ca="1">OFFSET('Proforma L+H'!$E84,0,'L+H Monthly CF'!AA$3)/12</f>
        <v>9968.3159722222244</v>
      </c>
      <c r="AB55" s="21">
        <f ca="1">OFFSET('Proforma L+H'!$E84,0,'L+H Monthly CF'!AB$3)/12</f>
        <v>9968.3159722222244</v>
      </c>
      <c r="AC55" s="21">
        <f ca="1">OFFSET('Proforma L+H'!$E84,0,'L+H Monthly CF'!AC$3)/12</f>
        <v>7364.1493055555575</v>
      </c>
      <c r="AD55" s="21">
        <f ca="1">OFFSET('Proforma L+H'!$E84,0,'L+H Monthly CF'!AD$3)/12</f>
        <v>7364.1493055555575</v>
      </c>
      <c r="AE55" s="21">
        <f ca="1">OFFSET('Proforma L+H'!$E84,0,'L+H Monthly CF'!AE$3)/12</f>
        <v>7364.1493055555575</v>
      </c>
      <c r="AF55" s="21">
        <f ca="1">OFFSET('Proforma L+H'!$E84,0,'L+H Monthly CF'!AF$3)/12</f>
        <v>7364.1493055555575</v>
      </c>
      <c r="AG55" s="21">
        <f ca="1">OFFSET('Proforma L+H'!$E84,0,'L+H Monthly CF'!AG$3)/12</f>
        <v>7364.1493055555575</v>
      </c>
      <c r="AH55" s="21">
        <f ca="1">OFFSET('Proforma L+H'!$E84,0,'L+H Monthly CF'!AH$3)/12</f>
        <v>7364.1493055555575</v>
      </c>
      <c r="AI55" s="21">
        <f ca="1">OFFSET('Proforma L+H'!$E84,0,'L+H Monthly CF'!AI$3)/12</f>
        <v>7364.1493055555575</v>
      </c>
      <c r="AJ55" s="21">
        <f ca="1">OFFSET('Proforma L+H'!$E84,0,'L+H Monthly CF'!AJ$3)/12</f>
        <v>7364.1493055555575</v>
      </c>
      <c r="AK55" s="21">
        <f ca="1">OFFSET('Proforma L+H'!$E84,0,'L+H Monthly CF'!AK$3)/12</f>
        <v>7364.1493055555575</v>
      </c>
      <c r="AL55" s="21">
        <f ca="1">OFFSET('Proforma L+H'!$E84,0,'L+H Monthly CF'!AL$3)/12</f>
        <v>7364.1493055555575</v>
      </c>
      <c r="AM55" s="21">
        <f ca="1">OFFSET('Proforma L+H'!$E84,0,'L+H Monthly CF'!AM$3)/12</f>
        <v>7364.1493055555575</v>
      </c>
      <c r="AN55" s="21">
        <f ca="1">OFFSET('Proforma L+H'!$E84,0,'L+H Monthly CF'!AN$3)/12</f>
        <v>7364.1493055555575</v>
      </c>
      <c r="AO55" s="21">
        <f ca="1">OFFSET('Proforma L+H'!$E84,0,'L+H Monthly CF'!AO$3)/12</f>
        <v>5797.3090277777783</v>
      </c>
      <c r="AP55" s="21">
        <f ca="1">OFFSET('Proforma L+H'!$E84,0,'L+H Monthly CF'!AP$3)/12</f>
        <v>5797.3090277777783</v>
      </c>
      <c r="AQ55" s="21">
        <f ca="1">OFFSET('Proforma L+H'!$E84,0,'L+H Monthly CF'!AQ$3)/12</f>
        <v>5797.3090277777783</v>
      </c>
      <c r="AR55" s="21">
        <f ca="1">OFFSET('Proforma L+H'!$E84,0,'L+H Monthly CF'!AR$3)/12</f>
        <v>5797.3090277777783</v>
      </c>
      <c r="AS55" s="21">
        <f ca="1">OFFSET('Proforma L+H'!$E84,0,'L+H Monthly CF'!AS$3)/12</f>
        <v>5797.3090277777783</v>
      </c>
      <c r="AT55" s="21">
        <f ca="1">OFFSET('Proforma L+H'!$E84,0,'L+H Monthly CF'!AT$3)/12</f>
        <v>5797.3090277777783</v>
      </c>
      <c r="AU55" s="21">
        <f ca="1">OFFSET('Proforma L+H'!$E84,0,'L+H Monthly CF'!AU$3)/12</f>
        <v>5797.3090277777783</v>
      </c>
      <c r="AV55" s="21">
        <f ca="1">OFFSET('Proforma L+H'!$E84,0,'L+H Monthly CF'!AV$3)/12</f>
        <v>5797.3090277777783</v>
      </c>
      <c r="AW55" s="21">
        <f ca="1">OFFSET('Proforma L+H'!$E84,0,'L+H Monthly CF'!AW$3)/12</f>
        <v>5797.3090277777783</v>
      </c>
      <c r="AX55" s="21">
        <f ca="1">OFFSET('Proforma L+H'!$E84,0,'L+H Monthly CF'!AX$3)/12</f>
        <v>5797.3090277777783</v>
      </c>
      <c r="AY55" s="21">
        <f ca="1">OFFSET('Proforma L+H'!$E84,0,'L+H Monthly CF'!AY$3)/12</f>
        <v>5797.3090277777783</v>
      </c>
      <c r="AZ55" s="21">
        <f ca="1">OFFSET('Proforma L+H'!$E84,0,'L+H Monthly CF'!AZ$3)/12</f>
        <v>5797.3090277777783</v>
      </c>
      <c r="BA55" s="21">
        <f t="shared" ca="1" si="32"/>
        <v>393781.24999999971</v>
      </c>
      <c r="BB55" s="758">
        <f ca="1">SUM('Proforma L+H'!E84:H84)-BA55</f>
        <v>0</v>
      </c>
    </row>
    <row r="56" spans="1:54" collapsed="1" x14ac:dyDescent="0.2">
      <c r="A56" s="2"/>
      <c r="B56" s="85" t="str">
        <f>'Proforma L+H'!B85</f>
        <v>HARD COSTS - SITE, RESTORATION &amp; INFRASTRUCTURE</v>
      </c>
      <c r="C56" s="86"/>
      <c r="D56" s="86"/>
      <c r="E56" s="51">
        <f ca="1">OFFSET('Proforma L+H'!$E85,0,'L+H Monthly CF'!E$3)/12</f>
        <v>213077.2569444445</v>
      </c>
      <c r="F56" s="51">
        <f ca="1">OFFSET('Proforma L+H'!$E85,0,'L+H Monthly CF'!F$3)/12</f>
        <v>213077.2569444445</v>
      </c>
      <c r="G56" s="51">
        <f ca="1">OFFSET('Proforma L+H'!$E85,0,'L+H Monthly CF'!G$3)/12</f>
        <v>213077.2569444445</v>
      </c>
      <c r="H56" s="51">
        <f ca="1">OFFSET('Proforma L+H'!$E85,0,'L+H Monthly CF'!H$3)/12</f>
        <v>213077.2569444445</v>
      </c>
      <c r="I56" s="51">
        <f ca="1">OFFSET('Proforma L+H'!$E85,0,'L+H Monthly CF'!I$3)/12</f>
        <v>213077.2569444445</v>
      </c>
      <c r="J56" s="51">
        <f ca="1">OFFSET('Proforma L+H'!$E85,0,'L+H Monthly CF'!J$3)/12</f>
        <v>213077.2569444445</v>
      </c>
      <c r="K56" s="51">
        <f ca="1">OFFSET('Proforma L+H'!$E85,0,'L+H Monthly CF'!K$3)/12</f>
        <v>213077.2569444445</v>
      </c>
      <c r="L56" s="51">
        <f ca="1">OFFSET('Proforma L+H'!$E85,0,'L+H Monthly CF'!L$3)/12</f>
        <v>213077.2569444445</v>
      </c>
      <c r="M56" s="51">
        <f ca="1">OFFSET('Proforma L+H'!$E85,0,'L+H Monthly CF'!M$3)/12</f>
        <v>213077.2569444445</v>
      </c>
      <c r="N56" s="51">
        <f ca="1">OFFSET('Proforma L+H'!$E85,0,'L+H Monthly CF'!N$3)/12</f>
        <v>213077.2569444445</v>
      </c>
      <c r="O56" s="51">
        <f ca="1">OFFSET('Proforma L+H'!$E85,0,'L+H Monthly CF'!O$3)/12</f>
        <v>213077.2569444445</v>
      </c>
      <c r="P56" s="51">
        <f ca="1">OFFSET('Proforma L+H'!$E85,0,'L+H Monthly CF'!P$3)/12</f>
        <v>213077.2569444445</v>
      </c>
      <c r="Q56" s="51">
        <f ca="1">OFFSET('Proforma L+H'!$E85,0,'L+H Monthly CF'!Q$3)/12</f>
        <v>219787.21788194447</v>
      </c>
      <c r="R56" s="52">
        <f ca="1">OFFSET('Proforma L+H'!$E85,0,'L+H Monthly CF'!R$3)/12</f>
        <v>219787.21788194447</v>
      </c>
      <c r="S56" s="52">
        <f ca="1">OFFSET('Proforma L+H'!$E85,0,'L+H Monthly CF'!S$3)/12</f>
        <v>219787.21788194447</v>
      </c>
      <c r="T56" s="52">
        <f ca="1">OFFSET('Proforma L+H'!$E85,0,'L+H Monthly CF'!T$3)/12</f>
        <v>219787.21788194447</v>
      </c>
      <c r="U56" s="52">
        <f ca="1">OFFSET('Proforma L+H'!$E85,0,'L+H Monthly CF'!U$3)/12</f>
        <v>219787.21788194447</v>
      </c>
      <c r="V56" s="52">
        <f ca="1">OFFSET('Proforma L+H'!$E85,0,'L+H Monthly CF'!V$3)/12</f>
        <v>219787.21788194447</v>
      </c>
      <c r="W56" s="52">
        <f ca="1">OFFSET('Proforma L+H'!$E85,0,'L+H Monthly CF'!W$3)/12</f>
        <v>219787.21788194447</v>
      </c>
      <c r="X56" s="52">
        <f ca="1">OFFSET('Proforma L+H'!$E85,0,'L+H Monthly CF'!X$3)/12</f>
        <v>219787.21788194447</v>
      </c>
      <c r="Y56" s="52">
        <f ca="1">OFFSET('Proforma L+H'!$E85,0,'L+H Monthly CF'!Y$3)/12</f>
        <v>219787.21788194447</v>
      </c>
      <c r="Z56" s="52">
        <f ca="1">OFFSET('Proforma L+H'!$E85,0,'L+H Monthly CF'!Z$3)/12</f>
        <v>219787.21788194447</v>
      </c>
      <c r="AA56" s="52">
        <f ca="1">OFFSET('Proforma L+H'!$E85,0,'L+H Monthly CF'!AA$3)/12</f>
        <v>219787.21788194447</v>
      </c>
      <c r="AB56" s="52">
        <f ca="1">OFFSET('Proforma L+H'!$E85,0,'L+H Monthly CF'!AB$3)/12</f>
        <v>219787.21788194447</v>
      </c>
      <c r="AC56" s="52">
        <f ca="1">OFFSET('Proforma L+H'!$E85,0,'L+H Monthly CF'!AC$3)/12</f>
        <v>163018.18033854169</v>
      </c>
      <c r="AD56" s="52">
        <f ca="1">OFFSET('Proforma L+H'!$E85,0,'L+H Monthly CF'!AD$3)/12</f>
        <v>163018.18033854169</v>
      </c>
      <c r="AE56" s="52">
        <f ca="1">OFFSET('Proforma L+H'!$E85,0,'L+H Monthly CF'!AE$3)/12</f>
        <v>163018.18033854169</v>
      </c>
      <c r="AF56" s="52">
        <f ca="1">OFFSET('Proforma L+H'!$E85,0,'L+H Monthly CF'!AF$3)/12</f>
        <v>163018.18033854169</v>
      </c>
      <c r="AG56" s="52">
        <f ca="1">OFFSET('Proforma L+H'!$E85,0,'L+H Monthly CF'!AG$3)/12</f>
        <v>163018.18033854169</v>
      </c>
      <c r="AH56" s="52">
        <f ca="1">OFFSET('Proforma L+H'!$E85,0,'L+H Monthly CF'!AH$3)/12</f>
        <v>163018.18033854169</v>
      </c>
      <c r="AI56" s="52">
        <f ca="1">OFFSET('Proforma L+H'!$E85,0,'L+H Monthly CF'!AI$3)/12</f>
        <v>163018.18033854169</v>
      </c>
      <c r="AJ56" s="52">
        <f ca="1">OFFSET('Proforma L+H'!$E85,0,'L+H Monthly CF'!AJ$3)/12</f>
        <v>163018.18033854169</v>
      </c>
      <c r="AK56" s="52">
        <f ca="1">OFFSET('Proforma L+H'!$E85,0,'L+H Monthly CF'!AK$3)/12</f>
        <v>163018.18033854169</v>
      </c>
      <c r="AL56" s="52">
        <f ca="1">OFFSET('Proforma L+H'!$E85,0,'L+H Monthly CF'!AL$3)/12</f>
        <v>163018.18033854169</v>
      </c>
      <c r="AM56" s="52">
        <f ca="1">OFFSET('Proforma L+H'!$E85,0,'L+H Monthly CF'!AM$3)/12</f>
        <v>163018.18033854169</v>
      </c>
      <c r="AN56" s="52">
        <f ca="1">OFFSET('Proforma L+H'!$E85,0,'L+H Monthly CF'!AN$3)/12</f>
        <v>163018.18033854169</v>
      </c>
      <c r="AO56" s="52">
        <f ca="1">OFFSET('Proforma L+H'!$E85,0,'L+H Monthly CF'!AO$3)/12</f>
        <v>128966.24647352431</v>
      </c>
      <c r="AP56" s="52">
        <f ca="1">OFFSET('Proforma L+H'!$E85,0,'L+H Monthly CF'!AP$3)/12</f>
        <v>128966.24647352431</v>
      </c>
      <c r="AQ56" s="52">
        <f ca="1">OFFSET('Proforma L+H'!$E85,0,'L+H Monthly CF'!AQ$3)/12</f>
        <v>128966.24647352431</v>
      </c>
      <c r="AR56" s="52">
        <f ca="1">OFFSET('Proforma L+H'!$E85,0,'L+H Monthly CF'!AR$3)/12</f>
        <v>128966.24647352431</v>
      </c>
      <c r="AS56" s="52">
        <f ca="1">OFFSET('Proforma L+H'!$E85,0,'L+H Monthly CF'!AS$3)/12</f>
        <v>128966.24647352431</v>
      </c>
      <c r="AT56" s="52">
        <f ca="1">OFFSET('Proforma L+H'!$E85,0,'L+H Monthly CF'!AT$3)/12</f>
        <v>128966.24647352431</v>
      </c>
      <c r="AU56" s="52">
        <f ca="1">OFFSET('Proforma L+H'!$E85,0,'L+H Monthly CF'!AU$3)/12</f>
        <v>128966.24647352431</v>
      </c>
      <c r="AV56" s="52">
        <f ca="1">OFFSET('Proforma L+H'!$E85,0,'L+H Monthly CF'!AV$3)/12</f>
        <v>128966.24647352431</v>
      </c>
      <c r="AW56" s="52">
        <f ca="1">OFFSET('Proforma L+H'!$E85,0,'L+H Monthly CF'!AW$3)/12</f>
        <v>128966.24647352431</v>
      </c>
      <c r="AX56" s="52">
        <f ca="1">OFFSET('Proforma L+H'!$E85,0,'L+H Monthly CF'!AX$3)/12</f>
        <v>128966.24647352431</v>
      </c>
      <c r="AY56" s="52">
        <f ca="1">OFFSET('Proforma L+H'!$E85,0,'L+H Monthly CF'!AY$3)/12</f>
        <v>128966.24647352431</v>
      </c>
      <c r="AZ56" s="52">
        <f ca="1">OFFSET('Proforma L+H'!$E85,0,'L+H Monthly CF'!AZ$3)/12</f>
        <v>128966.24647352431</v>
      </c>
      <c r="BA56" s="52">
        <f t="shared" ca="1" si="32"/>
        <v>8698186.8196614664</v>
      </c>
      <c r="BB56" s="758">
        <f ca="1">SUM('Proforma L+H'!E85:H85)-BA56</f>
        <v>0</v>
      </c>
    </row>
    <row r="57" spans="1:54" hidden="1" outlineLevel="1" x14ac:dyDescent="0.2">
      <c r="A57" s="2"/>
      <c r="B57" s="162"/>
      <c r="C57" s="19"/>
      <c r="D57" s="19"/>
      <c r="E57" s="167"/>
      <c r="F57" s="167"/>
      <c r="G57" s="167"/>
      <c r="H57" s="167"/>
      <c r="I57" s="167"/>
      <c r="J57" s="167"/>
      <c r="K57" s="167"/>
      <c r="L57" s="167"/>
      <c r="M57" s="167"/>
      <c r="N57" s="167"/>
      <c r="O57" s="167"/>
      <c r="P57" s="167"/>
      <c r="Q57" s="167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</row>
    <row r="58" spans="1:54" hidden="1" outlineLevel="1" x14ac:dyDescent="0.2">
      <c r="A58" s="2"/>
      <c r="B58" s="87" t="str">
        <f>'Proforma L+H'!B87</f>
        <v>HARD COSTS - HOMES</v>
      </c>
      <c r="C58" s="19"/>
      <c r="D58" s="167"/>
      <c r="E58" s="167"/>
      <c r="F58" s="167"/>
      <c r="G58" s="167"/>
      <c r="H58" s="167"/>
      <c r="I58" s="167"/>
      <c r="J58" s="167"/>
      <c r="K58" s="167"/>
      <c r="L58" s="167"/>
      <c r="M58" s="167"/>
      <c r="N58" s="167"/>
      <c r="O58" s="167"/>
      <c r="P58" s="167"/>
      <c r="Q58" s="12"/>
    </row>
    <row r="59" spans="1:54" hidden="1" outlineLevel="1" x14ac:dyDescent="0.2">
      <c r="A59" s="2"/>
      <c r="B59" s="163" t="str">
        <f>'Proforma L+H'!B88</f>
        <v>Infrastructure (Utilities &amp; Driveway)</v>
      </c>
      <c r="C59" s="13">
        <v>100000</v>
      </c>
      <c r="D59" s="12"/>
      <c r="E59" s="12">
        <f ca="1">OFFSET('Proforma L+H'!$E88,0,'L+H Monthly CF'!E$3)/12</f>
        <v>31250</v>
      </c>
      <c r="F59" s="12">
        <f ca="1">OFFSET('Proforma L+H'!$E88,0,'L+H Monthly CF'!F$3)/12</f>
        <v>31250</v>
      </c>
      <c r="G59" s="12">
        <f ca="1">OFFSET('Proforma L+H'!$E88,0,'L+H Monthly CF'!G$3)/12</f>
        <v>31250</v>
      </c>
      <c r="H59" s="12">
        <f ca="1">OFFSET('Proforma L+H'!$E88,0,'L+H Monthly CF'!H$3)/12</f>
        <v>31250</v>
      </c>
      <c r="I59" s="12">
        <f ca="1">OFFSET('Proforma L+H'!$E88,0,'L+H Monthly CF'!I$3)/12</f>
        <v>31250</v>
      </c>
      <c r="J59" s="12">
        <f ca="1">OFFSET('Proforma L+H'!$E88,0,'L+H Monthly CF'!J$3)/12</f>
        <v>31250</v>
      </c>
      <c r="K59" s="12">
        <f ca="1">OFFSET('Proforma L+H'!$E88,0,'L+H Monthly CF'!K$3)/12</f>
        <v>31250</v>
      </c>
      <c r="L59" s="12">
        <f ca="1">OFFSET('Proforma L+H'!$E88,0,'L+H Monthly CF'!L$3)/12</f>
        <v>31250</v>
      </c>
      <c r="M59" s="12">
        <f ca="1">OFFSET('Proforma L+H'!$E88,0,'L+H Monthly CF'!M$3)/12</f>
        <v>31250</v>
      </c>
      <c r="N59" s="12">
        <f ca="1">OFFSET('Proforma L+H'!$E88,0,'L+H Monthly CF'!N$3)/12</f>
        <v>31250</v>
      </c>
      <c r="O59" s="12">
        <f ca="1">OFFSET('Proforma L+H'!$E88,0,'L+H Monthly CF'!O$3)/12</f>
        <v>31250</v>
      </c>
      <c r="P59" s="12">
        <f ca="1">OFFSET('Proforma L+H'!$E88,0,'L+H Monthly CF'!P$3)/12</f>
        <v>31250</v>
      </c>
      <c r="Q59" s="12">
        <f ca="1">OFFSET('Proforma L+H'!$E88,0,'L+H Monthly CF'!Q$3)/12</f>
        <v>72916.666666666672</v>
      </c>
      <c r="R59" s="12">
        <f ca="1">OFFSET('Proforma L+H'!$E88,0,'L+H Monthly CF'!R$3)/12</f>
        <v>72916.666666666672</v>
      </c>
      <c r="S59" s="12">
        <f ca="1">OFFSET('Proforma L+H'!$E88,0,'L+H Monthly CF'!S$3)/12</f>
        <v>72916.666666666672</v>
      </c>
      <c r="T59" s="12">
        <f ca="1">OFFSET('Proforma L+H'!$E88,0,'L+H Monthly CF'!T$3)/12</f>
        <v>72916.666666666672</v>
      </c>
      <c r="U59" s="12">
        <f ca="1">OFFSET('Proforma L+H'!$E88,0,'L+H Monthly CF'!U$3)/12</f>
        <v>72916.666666666672</v>
      </c>
      <c r="V59" s="12">
        <f ca="1">OFFSET('Proforma L+H'!$E88,0,'L+H Monthly CF'!V$3)/12</f>
        <v>72916.666666666672</v>
      </c>
      <c r="W59" s="12">
        <f ca="1">OFFSET('Proforma L+H'!$E88,0,'L+H Monthly CF'!W$3)/12</f>
        <v>72916.666666666672</v>
      </c>
      <c r="X59" s="12">
        <f ca="1">OFFSET('Proforma L+H'!$E88,0,'L+H Monthly CF'!X$3)/12</f>
        <v>72916.666666666672</v>
      </c>
      <c r="Y59" s="12">
        <f ca="1">OFFSET('Proforma L+H'!$E88,0,'L+H Monthly CF'!Y$3)/12</f>
        <v>72916.666666666672</v>
      </c>
      <c r="Z59" s="12">
        <f ca="1">OFFSET('Proforma L+H'!$E88,0,'L+H Monthly CF'!Z$3)/12</f>
        <v>72916.666666666672</v>
      </c>
      <c r="AA59" s="12">
        <f ca="1">OFFSET('Proforma L+H'!$E88,0,'L+H Monthly CF'!AA$3)/12</f>
        <v>72916.666666666672</v>
      </c>
      <c r="AB59" s="12">
        <f ca="1">OFFSET('Proforma L+H'!$E88,0,'L+H Monthly CF'!AB$3)/12</f>
        <v>72916.666666666672</v>
      </c>
      <c r="AC59" s="12">
        <f ca="1">OFFSET('Proforma L+H'!$E88,0,'L+H Monthly CF'!AC$3)/12</f>
        <v>114583.33333333333</v>
      </c>
      <c r="AD59" s="12">
        <f ca="1">OFFSET('Proforma L+H'!$E88,0,'L+H Monthly CF'!AD$3)/12</f>
        <v>114583.33333333333</v>
      </c>
      <c r="AE59" s="12">
        <f ca="1">OFFSET('Proforma L+H'!$E88,0,'L+H Monthly CF'!AE$3)/12</f>
        <v>114583.33333333333</v>
      </c>
      <c r="AF59" s="12">
        <f ca="1">OFFSET('Proforma L+H'!$E88,0,'L+H Monthly CF'!AF$3)/12</f>
        <v>114583.33333333333</v>
      </c>
      <c r="AG59" s="12">
        <f ca="1">OFFSET('Proforma L+H'!$E88,0,'L+H Monthly CF'!AG$3)/12</f>
        <v>114583.33333333333</v>
      </c>
      <c r="AH59" s="12">
        <f ca="1">OFFSET('Proforma L+H'!$E88,0,'L+H Monthly CF'!AH$3)/12</f>
        <v>114583.33333333333</v>
      </c>
      <c r="AI59" s="12">
        <f ca="1">OFFSET('Proforma L+H'!$E88,0,'L+H Monthly CF'!AI$3)/12</f>
        <v>114583.33333333333</v>
      </c>
      <c r="AJ59" s="12">
        <f ca="1">OFFSET('Proforma L+H'!$E88,0,'L+H Monthly CF'!AJ$3)/12</f>
        <v>114583.33333333333</v>
      </c>
      <c r="AK59" s="12">
        <f ca="1">OFFSET('Proforma L+H'!$E88,0,'L+H Monthly CF'!AK$3)/12</f>
        <v>114583.33333333333</v>
      </c>
      <c r="AL59" s="12">
        <f ca="1">OFFSET('Proforma L+H'!$E88,0,'L+H Monthly CF'!AL$3)/12</f>
        <v>114583.33333333333</v>
      </c>
      <c r="AM59" s="12">
        <f ca="1">OFFSET('Proforma L+H'!$E88,0,'L+H Monthly CF'!AM$3)/12</f>
        <v>114583.33333333333</v>
      </c>
      <c r="AN59" s="12">
        <f ca="1">OFFSET('Proforma L+H'!$E88,0,'L+H Monthly CF'!AN$3)/12</f>
        <v>114583.33333333333</v>
      </c>
      <c r="AO59" s="12">
        <f ca="1">OFFSET('Proforma L+H'!$E88,0,'L+H Monthly CF'!AO$3)/12</f>
        <v>125000</v>
      </c>
      <c r="AP59" s="12">
        <f ca="1">OFFSET('Proforma L+H'!$E88,0,'L+H Monthly CF'!AP$3)/12</f>
        <v>125000</v>
      </c>
      <c r="AQ59" s="12">
        <f ca="1">OFFSET('Proforma L+H'!$E88,0,'L+H Monthly CF'!AQ$3)/12</f>
        <v>125000</v>
      </c>
      <c r="AR59" s="12">
        <f ca="1">OFFSET('Proforma L+H'!$E88,0,'L+H Monthly CF'!AR$3)/12</f>
        <v>125000</v>
      </c>
      <c r="AS59" s="12">
        <f ca="1">OFFSET('Proforma L+H'!$E88,0,'L+H Monthly CF'!AS$3)/12</f>
        <v>125000</v>
      </c>
      <c r="AT59" s="12">
        <f ca="1">OFFSET('Proforma L+H'!$E88,0,'L+H Monthly CF'!AT$3)/12</f>
        <v>125000</v>
      </c>
      <c r="AU59" s="12">
        <f ca="1">OFFSET('Proforma L+H'!$E88,0,'L+H Monthly CF'!AU$3)/12</f>
        <v>125000</v>
      </c>
      <c r="AV59" s="12">
        <f ca="1">OFFSET('Proforma L+H'!$E88,0,'L+H Monthly CF'!AV$3)/12</f>
        <v>125000</v>
      </c>
      <c r="AW59" s="12">
        <f ca="1">OFFSET('Proforma L+H'!$E88,0,'L+H Monthly CF'!AW$3)/12</f>
        <v>125000</v>
      </c>
      <c r="AX59" s="12">
        <f ca="1">OFFSET('Proforma L+H'!$E88,0,'L+H Monthly CF'!AX$3)/12</f>
        <v>125000</v>
      </c>
      <c r="AY59" s="12">
        <f ca="1">OFFSET('Proforma L+H'!$E88,0,'L+H Monthly CF'!AY$3)/12</f>
        <v>125000</v>
      </c>
      <c r="AZ59" s="12">
        <f ca="1">OFFSET('Proforma L+H'!$E88,0,'L+H Monthly CF'!AZ$3)/12</f>
        <v>125000</v>
      </c>
      <c r="BA59" s="12">
        <f t="shared" ref="BA59:BA65" ca="1" si="33">SUM(E59:AZ59)</f>
        <v>4125000</v>
      </c>
      <c r="BB59" s="758">
        <f ca="1">SUM('Proforma L+H'!E88:H88)-BA59</f>
        <v>0</v>
      </c>
    </row>
    <row r="60" spans="1:54" hidden="1" outlineLevel="1" x14ac:dyDescent="0.2">
      <c r="A60" s="2"/>
      <c r="B60" s="163" t="str">
        <f>'Proforma L+H'!B89</f>
        <v>Vertical Construction Costs</v>
      </c>
      <c r="C60" s="13" t="e">
        <f>Assumptions!#REF!</f>
        <v>#REF!</v>
      </c>
      <c r="D60" s="12"/>
      <c r="E60" s="12">
        <f ca="1">OFFSET('Proforma L+H'!$E89,0,'L+H Monthly CF'!E$3)/12</f>
        <v>0</v>
      </c>
      <c r="F60" s="12">
        <f ca="1">OFFSET('Proforma L+H'!$E89,0,'L+H Monthly CF'!F$3)/12</f>
        <v>0</v>
      </c>
      <c r="G60" s="12">
        <f ca="1">OFFSET('Proforma L+H'!$E89,0,'L+H Monthly CF'!G$3)/12</f>
        <v>0</v>
      </c>
      <c r="H60" s="12">
        <f ca="1">OFFSET('Proforma L+H'!$E89,0,'L+H Monthly CF'!H$3)/12</f>
        <v>0</v>
      </c>
      <c r="I60" s="12">
        <f ca="1">OFFSET('Proforma L+H'!$E89,0,'L+H Monthly CF'!I$3)/12</f>
        <v>0</v>
      </c>
      <c r="J60" s="12">
        <f ca="1">OFFSET('Proforma L+H'!$E89,0,'L+H Monthly CF'!J$3)/12</f>
        <v>0</v>
      </c>
      <c r="K60" s="12">
        <f ca="1">OFFSET('Proforma L+H'!$E89,0,'L+H Monthly CF'!K$3)/12</f>
        <v>0</v>
      </c>
      <c r="L60" s="12">
        <f ca="1">OFFSET('Proforma L+H'!$E89,0,'L+H Monthly CF'!L$3)/12</f>
        <v>0</v>
      </c>
      <c r="M60" s="12">
        <f ca="1">OFFSET('Proforma L+H'!$E89,0,'L+H Monthly CF'!M$3)/12</f>
        <v>0</v>
      </c>
      <c r="N60" s="12">
        <f ca="1">OFFSET('Proforma L+H'!$E89,0,'L+H Monthly CF'!N$3)/12</f>
        <v>0</v>
      </c>
      <c r="O60" s="12">
        <f ca="1">OFFSET('Proforma L+H'!$E89,0,'L+H Monthly CF'!O$3)/12</f>
        <v>0</v>
      </c>
      <c r="P60" s="12">
        <f ca="1">OFFSET('Proforma L+H'!$E89,0,'L+H Monthly CF'!P$3)/12</f>
        <v>0</v>
      </c>
      <c r="Q60" s="12">
        <f ca="1">OFFSET('Proforma L+H'!$E89,0,'L+H Monthly CF'!Q$3)/12</f>
        <v>1239583.3333333333</v>
      </c>
      <c r="R60" s="12">
        <f ca="1">OFFSET('Proforma L+H'!$E89,0,'L+H Monthly CF'!R$3)/12</f>
        <v>1239583.3333333333</v>
      </c>
      <c r="S60" s="12">
        <f ca="1">OFFSET('Proforma L+H'!$E89,0,'L+H Monthly CF'!S$3)/12</f>
        <v>1239583.3333333333</v>
      </c>
      <c r="T60" s="12">
        <f ca="1">OFFSET('Proforma L+H'!$E89,0,'L+H Monthly CF'!T$3)/12</f>
        <v>1239583.3333333333</v>
      </c>
      <c r="U60" s="12">
        <f ca="1">OFFSET('Proforma L+H'!$E89,0,'L+H Monthly CF'!U$3)/12</f>
        <v>1239583.3333333333</v>
      </c>
      <c r="V60" s="12">
        <f ca="1">OFFSET('Proforma L+H'!$E89,0,'L+H Monthly CF'!V$3)/12</f>
        <v>1239583.3333333333</v>
      </c>
      <c r="W60" s="12">
        <f ca="1">OFFSET('Proforma L+H'!$E89,0,'L+H Monthly CF'!W$3)/12</f>
        <v>1239583.3333333333</v>
      </c>
      <c r="X60" s="12">
        <f ca="1">OFFSET('Proforma L+H'!$E89,0,'L+H Monthly CF'!X$3)/12</f>
        <v>1239583.3333333333</v>
      </c>
      <c r="Y60" s="12">
        <f ca="1">OFFSET('Proforma L+H'!$E89,0,'L+H Monthly CF'!Y$3)/12</f>
        <v>1239583.3333333333</v>
      </c>
      <c r="Z60" s="12">
        <f ca="1">OFFSET('Proforma L+H'!$E89,0,'L+H Monthly CF'!Z$3)/12</f>
        <v>1239583.3333333333</v>
      </c>
      <c r="AA60" s="12">
        <f ca="1">OFFSET('Proforma L+H'!$E89,0,'L+H Monthly CF'!AA$3)/12</f>
        <v>1239583.3333333333</v>
      </c>
      <c r="AB60" s="12">
        <f ca="1">OFFSET('Proforma L+H'!$E89,0,'L+H Monthly CF'!AB$3)/12</f>
        <v>1239583.3333333333</v>
      </c>
      <c r="AC60" s="12">
        <f ca="1">OFFSET('Proforma L+H'!$E89,0,'L+H Monthly CF'!AC$3)/12</f>
        <v>2302083.3333333335</v>
      </c>
      <c r="AD60" s="12">
        <f ca="1">OFFSET('Proforma L+H'!$E89,0,'L+H Monthly CF'!AD$3)/12</f>
        <v>2302083.3333333335</v>
      </c>
      <c r="AE60" s="12">
        <f ca="1">OFFSET('Proforma L+H'!$E89,0,'L+H Monthly CF'!AE$3)/12</f>
        <v>2302083.3333333335</v>
      </c>
      <c r="AF60" s="12">
        <f ca="1">OFFSET('Proforma L+H'!$E89,0,'L+H Monthly CF'!AF$3)/12</f>
        <v>2302083.3333333335</v>
      </c>
      <c r="AG60" s="12">
        <f ca="1">OFFSET('Proforma L+H'!$E89,0,'L+H Monthly CF'!AG$3)/12</f>
        <v>2302083.3333333335</v>
      </c>
      <c r="AH60" s="12">
        <f ca="1">OFFSET('Proforma L+H'!$E89,0,'L+H Monthly CF'!AH$3)/12</f>
        <v>2302083.3333333335</v>
      </c>
      <c r="AI60" s="12">
        <f ca="1">OFFSET('Proforma L+H'!$E89,0,'L+H Monthly CF'!AI$3)/12</f>
        <v>2302083.3333333335</v>
      </c>
      <c r="AJ60" s="12">
        <f ca="1">OFFSET('Proforma L+H'!$E89,0,'L+H Monthly CF'!AJ$3)/12</f>
        <v>2302083.3333333335</v>
      </c>
      <c r="AK60" s="12">
        <f ca="1">OFFSET('Proforma L+H'!$E89,0,'L+H Monthly CF'!AK$3)/12</f>
        <v>2302083.3333333335</v>
      </c>
      <c r="AL60" s="12">
        <f ca="1">OFFSET('Proforma L+H'!$E89,0,'L+H Monthly CF'!AL$3)/12</f>
        <v>2302083.3333333335</v>
      </c>
      <c r="AM60" s="12">
        <f ca="1">OFFSET('Proforma L+H'!$E89,0,'L+H Monthly CF'!AM$3)/12</f>
        <v>2302083.3333333335</v>
      </c>
      <c r="AN60" s="12">
        <f ca="1">OFFSET('Proforma L+H'!$E89,0,'L+H Monthly CF'!AN$3)/12</f>
        <v>2302083.3333333335</v>
      </c>
      <c r="AO60" s="12">
        <f ca="1">OFFSET('Proforma L+H'!$E89,0,'L+H Monthly CF'!AO$3)/12</f>
        <v>3807291.6666666665</v>
      </c>
      <c r="AP60" s="12">
        <f ca="1">OFFSET('Proforma L+H'!$E89,0,'L+H Monthly CF'!AP$3)/12</f>
        <v>3807291.6666666665</v>
      </c>
      <c r="AQ60" s="12">
        <f ca="1">OFFSET('Proforma L+H'!$E89,0,'L+H Monthly CF'!AQ$3)/12</f>
        <v>3807291.6666666665</v>
      </c>
      <c r="AR60" s="12">
        <f ca="1">OFFSET('Proforma L+H'!$E89,0,'L+H Monthly CF'!AR$3)/12</f>
        <v>3807291.6666666665</v>
      </c>
      <c r="AS60" s="12">
        <f ca="1">OFFSET('Proforma L+H'!$E89,0,'L+H Monthly CF'!AS$3)/12</f>
        <v>3807291.6666666665</v>
      </c>
      <c r="AT60" s="12">
        <f ca="1">OFFSET('Proforma L+H'!$E89,0,'L+H Monthly CF'!AT$3)/12</f>
        <v>3807291.6666666665</v>
      </c>
      <c r="AU60" s="12">
        <f ca="1">OFFSET('Proforma L+H'!$E89,0,'L+H Monthly CF'!AU$3)/12</f>
        <v>3807291.6666666665</v>
      </c>
      <c r="AV60" s="12">
        <f ca="1">OFFSET('Proforma L+H'!$E89,0,'L+H Monthly CF'!AV$3)/12</f>
        <v>3807291.6666666665</v>
      </c>
      <c r="AW60" s="12">
        <f ca="1">OFFSET('Proforma L+H'!$E89,0,'L+H Monthly CF'!AW$3)/12</f>
        <v>3807291.6666666665</v>
      </c>
      <c r="AX60" s="12">
        <f ca="1">OFFSET('Proforma L+H'!$E89,0,'L+H Monthly CF'!AX$3)/12</f>
        <v>3807291.6666666665</v>
      </c>
      <c r="AY60" s="12">
        <f ca="1">OFFSET('Proforma L+H'!$E89,0,'L+H Monthly CF'!AY$3)/12</f>
        <v>3807291.6666666665</v>
      </c>
      <c r="AZ60" s="12">
        <f ca="1">OFFSET('Proforma L+H'!$E89,0,'L+H Monthly CF'!AZ$3)/12</f>
        <v>3807291.6666666665</v>
      </c>
      <c r="BA60" s="12">
        <f t="shared" ca="1" si="33"/>
        <v>88187500.000000015</v>
      </c>
      <c r="BB60" s="758">
        <f ca="1">SUM('Proforma L+H'!E89:H89)-BA60</f>
        <v>0</v>
      </c>
    </row>
    <row r="61" spans="1:54" hidden="1" outlineLevel="1" x14ac:dyDescent="0.2">
      <c r="A61" s="2"/>
      <c r="B61" s="163" t="str">
        <f>'Proforma L+H'!B90</f>
        <v>Landscape / Hardscape</v>
      </c>
      <c r="C61" s="548">
        <v>150000</v>
      </c>
      <c r="D61" s="12"/>
      <c r="E61" s="12">
        <f ca="1">OFFSET('Proforma L+H'!$E90,0,'L+H Monthly CF'!E$3)/12</f>
        <v>0</v>
      </c>
      <c r="F61" s="12">
        <f ca="1">OFFSET('Proforma L+H'!$E90,0,'L+H Monthly CF'!F$3)/12</f>
        <v>0</v>
      </c>
      <c r="G61" s="12">
        <f ca="1">OFFSET('Proforma L+H'!$E90,0,'L+H Monthly CF'!G$3)/12</f>
        <v>0</v>
      </c>
      <c r="H61" s="12">
        <f ca="1">OFFSET('Proforma L+H'!$E90,0,'L+H Monthly CF'!H$3)/12</f>
        <v>0</v>
      </c>
      <c r="I61" s="12">
        <f ca="1">OFFSET('Proforma L+H'!$E90,0,'L+H Monthly CF'!I$3)/12</f>
        <v>0</v>
      </c>
      <c r="J61" s="12">
        <f ca="1">OFFSET('Proforma L+H'!$E90,0,'L+H Monthly CF'!J$3)/12</f>
        <v>0</v>
      </c>
      <c r="K61" s="12">
        <f ca="1">OFFSET('Proforma L+H'!$E90,0,'L+H Monthly CF'!K$3)/12</f>
        <v>0</v>
      </c>
      <c r="L61" s="12">
        <f ca="1">OFFSET('Proforma L+H'!$E90,0,'L+H Monthly CF'!L$3)/12</f>
        <v>0</v>
      </c>
      <c r="M61" s="12">
        <f ca="1">OFFSET('Proforma L+H'!$E90,0,'L+H Monthly CF'!M$3)/12</f>
        <v>0</v>
      </c>
      <c r="N61" s="12">
        <f ca="1">OFFSET('Proforma L+H'!$E90,0,'L+H Monthly CF'!N$3)/12</f>
        <v>0</v>
      </c>
      <c r="O61" s="12">
        <f ca="1">OFFSET('Proforma L+H'!$E90,0,'L+H Monthly CF'!O$3)/12</f>
        <v>0</v>
      </c>
      <c r="P61" s="12">
        <f ca="1">OFFSET('Proforma L+H'!$E90,0,'L+H Monthly CF'!P$3)/12</f>
        <v>0</v>
      </c>
      <c r="Q61" s="12">
        <f ca="1">OFFSET('Proforma L+H'!$E90,0,'L+H Monthly CF'!Q$3)/12</f>
        <v>0</v>
      </c>
      <c r="R61" s="12">
        <f ca="1">OFFSET('Proforma L+H'!$E90,0,'L+H Monthly CF'!R$3)/12</f>
        <v>0</v>
      </c>
      <c r="S61" s="12">
        <f ca="1">OFFSET('Proforma L+H'!$E90,0,'L+H Monthly CF'!S$3)/12</f>
        <v>0</v>
      </c>
      <c r="T61" s="12">
        <f ca="1">OFFSET('Proforma L+H'!$E90,0,'L+H Monthly CF'!T$3)/12</f>
        <v>0</v>
      </c>
      <c r="U61" s="12">
        <f ca="1">OFFSET('Proforma L+H'!$E90,0,'L+H Monthly CF'!U$3)/12</f>
        <v>0</v>
      </c>
      <c r="V61" s="12">
        <f ca="1">OFFSET('Proforma L+H'!$E90,0,'L+H Monthly CF'!V$3)/12</f>
        <v>0</v>
      </c>
      <c r="W61" s="12">
        <f ca="1">OFFSET('Proforma L+H'!$E90,0,'L+H Monthly CF'!W$3)/12</f>
        <v>0</v>
      </c>
      <c r="X61" s="12">
        <f ca="1">OFFSET('Proforma L+H'!$E90,0,'L+H Monthly CF'!X$3)/12</f>
        <v>0</v>
      </c>
      <c r="Y61" s="12">
        <f ca="1">OFFSET('Proforma L+H'!$E90,0,'L+H Monthly CF'!Y$3)/12</f>
        <v>0</v>
      </c>
      <c r="Z61" s="12">
        <f ca="1">OFFSET('Proforma L+H'!$E90,0,'L+H Monthly CF'!Z$3)/12</f>
        <v>0</v>
      </c>
      <c r="AA61" s="12">
        <f ca="1">OFFSET('Proforma L+H'!$E90,0,'L+H Monthly CF'!AA$3)/12</f>
        <v>0</v>
      </c>
      <c r="AB61" s="12">
        <f ca="1">OFFSET('Proforma L+H'!$E90,0,'L+H Monthly CF'!AB$3)/12</f>
        <v>0</v>
      </c>
      <c r="AC61" s="12">
        <f ca="1">OFFSET('Proforma L+H'!$E90,0,'L+H Monthly CF'!AC$3)/12</f>
        <v>62500</v>
      </c>
      <c r="AD61" s="12">
        <f ca="1">OFFSET('Proforma L+H'!$E90,0,'L+H Monthly CF'!AD$3)/12</f>
        <v>62500</v>
      </c>
      <c r="AE61" s="12">
        <f ca="1">OFFSET('Proforma L+H'!$E90,0,'L+H Monthly CF'!AE$3)/12</f>
        <v>62500</v>
      </c>
      <c r="AF61" s="12">
        <f ca="1">OFFSET('Proforma L+H'!$E90,0,'L+H Monthly CF'!AF$3)/12</f>
        <v>62500</v>
      </c>
      <c r="AG61" s="12">
        <f ca="1">OFFSET('Proforma L+H'!$E90,0,'L+H Monthly CF'!AG$3)/12</f>
        <v>62500</v>
      </c>
      <c r="AH61" s="12">
        <f ca="1">OFFSET('Proforma L+H'!$E90,0,'L+H Monthly CF'!AH$3)/12</f>
        <v>62500</v>
      </c>
      <c r="AI61" s="12">
        <f ca="1">OFFSET('Proforma L+H'!$E90,0,'L+H Monthly CF'!AI$3)/12</f>
        <v>62500</v>
      </c>
      <c r="AJ61" s="12">
        <f ca="1">OFFSET('Proforma L+H'!$E90,0,'L+H Monthly CF'!AJ$3)/12</f>
        <v>62500</v>
      </c>
      <c r="AK61" s="12">
        <f ca="1">OFFSET('Proforma L+H'!$E90,0,'L+H Monthly CF'!AK$3)/12</f>
        <v>62500</v>
      </c>
      <c r="AL61" s="12">
        <f ca="1">OFFSET('Proforma L+H'!$E90,0,'L+H Monthly CF'!AL$3)/12</f>
        <v>62500</v>
      </c>
      <c r="AM61" s="12">
        <f ca="1">OFFSET('Proforma L+H'!$E90,0,'L+H Monthly CF'!AM$3)/12</f>
        <v>62500</v>
      </c>
      <c r="AN61" s="12">
        <f ca="1">OFFSET('Proforma L+H'!$E90,0,'L+H Monthly CF'!AN$3)/12</f>
        <v>62500</v>
      </c>
      <c r="AO61" s="12">
        <f ca="1">OFFSET('Proforma L+H'!$E90,0,'L+H Monthly CF'!AO$3)/12</f>
        <v>125000</v>
      </c>
      <c r="AP61" s="12">
        <f ca="1">OFFSET('Proforma L+H'!$E90,0,'L+H Monthly CF'!AP$3)/12</f>
        <v>125000</v>
      </c>
      <c r="AQ61" s="12">
        <f ca="1">OFFSET('Proforma L+H'!$E90,0,'L+H Monthly CF'!AQ$3)/12</f>
        <v>125000</v>
      </c>
      <c r="AR61" s="12">
        <f ca="1">OFFSET('Proforma L+H'!$E90,0,'L+H Monthly CF'!AR$3)/12</f>
        <v>125000</v>
      </c>
      <c r="AS61" s="12">
        <f ca="1">OFFSET('Proforma L+H'!$E90,0,'L+H Monthly CF'!AS$3)/12</f>
        <v>125000</v>
      </c>
      <c r="AT61" s="12">
        <f ca="1">OFFSET('Proforma L+H'!$E90,0,'L+H Monthly CF'!AT$3)/12</f>
        <v>125000</v>
      </c>
      <c r="AU61" s="12">
        <f ca="1">OFFSET('Proforma L+H'!$E90,0,'L+H Monthly CF'!AU$3)/12</f>
        <v>125000</v>
      </c>
      <c r="AV61" s="12">
        <f ca="1">OFFSET('Proforma L+H'!$E90,0,'L+H Monthly CF'!AV$3)/12</f>
        <v>125000</v>
      </c>
      <c r="AW61" s="12">
        <f ca="1">OFFSET('Proforma L+H'!$E90,0,'L+H Monthly CF'!AW$3)/12</f>
        <v>125000</v>
      </c>
      <c r="AX61" s="12">
        <f ca="1">OFFSET('Proforma L+H'!$E90,0,'L+H Monthly CF'!AX$3)/12</f>
        <v>125000</v>
      </c>
      <c r="AY61" s="12">
        <f ca="1">OFFSET('Proforma L+H'!$E90,0,'L+H Monthly CF'!AY$3)/12</f>
        <v>125000</v>
      </c>
      <c r="AZ61" s="12">
        <f ca="1">OFFSET('Proforma L+H'!$E90,0,'L+H Monthly CF'!AZ$3)/12</f>
        <v>125000</v>
      </c>
      <c r="BA61" s="12">
        <f t="shared" ca="1" si="33"/>
        <v>2250000</v>
      </c>
      <c r="BB61" s="758">
        <f ca="1">SUM('Proforma L+H'!E90:H90)-BA61</f>
        <v>0</v>
      </c>
    </row>
    <row r="62" spans="1:54" hidden="1" outlineLevel="1" x14ac:dyDescent="0.2">
      <c r="A62" s="2"/>
      <c r="B62" s="163" t="str">
        <f>'Proforma L+H'!B91</f>
        <v>Construction Management</v>
      </c>
      <c r="C62" s="84">
        <v>3.5000000000000003E-2</v>
      </c>
      <c r="D62" s="12"/>
      <c r="E62" s="61">
        <f ca="1">OFFSET('Proforma L+H'!$E91,0,'L+H Monthly CF'!E$3)/12</f>
        <v>1093.7500000000002</v>
      </c>
      <c r="F62" s="61">
        <f ca="1">OFFSET('Proforma L+H'!$E91,0,'L+H Monthly CF'!F$3)/12</f>
        <v>1093.7500000000002</v>
      </c>
      <c r="G62" s="61">
        <f ca="1">OFFSET('Proforma L+H'!$E91,0,'L+H Monthly CF'!G$3)/12</f>
        <v>1093.7500000000002</v>
      </c>
      <c r="H62" s="61">
        <f ca="1">OFFSET('Proforma L+H'!$E91,0,'L+H Monthly CF'!H$3)/12</f>
        <v>1093.7500000000002</v>
      </c>
      <c r="I62" s="61">
        <f ca="1">OFFSET('Proforma L+H'!$E91,0,'L+H Monthly CF'!I$3)/12</f>
        <v>1093.7500000000002</v>
      </c>
      <c r="J62" s="61">
        <f ca="1">OFFSET('Proforma L+H'!$E91,0,'L+H Monthly CF'!J$3)/12</f>
        <v>1093.7500000000002</v>
      </c>
      <c r="K62" s="61">
        <f ca="1">OFFSET('Proforma L+H'!$E91,0,'L+H Monthly CF'!K$3)/12</f>
        <v>1093.7500000000002</v>
      </c>
      <c r="L62" s="61">
        <f ca="1">OFFSET('Proforma L+H'!$E91,0,'L+H Monthly CF'!L$3)/12</f>
        <v>1093.7500000000002</v>
      </c>
      <c r="M62" s="12">
        <f ca="1">OFFSET('Proforma L+H'!$E91,0,'L+H Monthly CF'!M$3)/12</f>
        <v>1093.7500000000002</v>
      </c>
      <c r="N62" s="12">
        <f ca="1">OFFSET('Proforma L+H'!$E91,0,'L+H Monthly CF'!N$3)/12</f>
        <v>1093.7500000000002</v>
      </c>
      <c r="O62" s="12">
        <f ca="1">OFFSET('Proforma L+H'!$E91,0,'L+H Monthly CF'!O$3)/12</f>
        <v>1093.7500000000002</v>
      </c>
      <c r="P62" s="12">
        <f ca="1">OFFSET('Proforma L+H'!$E91,0,'L+H Monthly CF'!P$3)/12</f>
        <v>1093.7500000000002</v>
      </c>
      <c r="Q62" s="12">
        <f ca="1">OFFSET('Proforma L+H'!$E91,0,'L+H Monthly CF'!Q$3)/12</f>
        <v>45937.5</v>
      </c>
      <c r="R62" s="12">
        <f ca="1">OFFSET('Proforma L+H'!$E91,0,'L+H Monthly CF'!R$3)/12</f>
        <v>45937.5</v>
      </c>
      <c r="S62" s="12">
        <f ca="1">OFFSET('Proforma L+H'!$E91,0,'L+H Monthly CF'!S$3)/12</f>
        <v>45937.5</v>
      </c>
      <c r="T62" s="12">
        <f ca="1">OFFSET('Proforma L+H'!$E91,0,'L+H Monthly CF'!T$3)/12</f>
        <v>45937.5</v>
      </c>
      <c r="U62" s="12">
        <f ca="1">OFFSET('Proforma L+H'!$E91,0,'L+H Monthly CF'!U$3)/12</f>
        <v>45937.5</v>
      </c>
      <c r="V62" s="12">
        <f ca="1">OFFSET('Proforma L+H'!$E91,0,'L+H Monthly CF'!V$3)/12</f>
        <v>45937.5</v>
      </c>
      <c r="W62" s="12">
        <f ca="1">OFFSET('Proforma L+H'!$E91,0,'L+H Monthly CF'!W$3)/12</f>
        <v>45937.5</v>
      </c>
      <c r="X62" s="12">
        <f ca="1">OFFSET('Proforma L+H'!$E91,0,'L+H Monthly CF'!X$3)/12</f>
        <v>45937.5</v>
      </c>
      <c r="Y62" s="12">
        <f ca="1">OFFSET('Proforma L+H'!$E91,0,'L+H Monthly CF'!Y$3)/12</f>
        <v>45937.5</v>
      </c>
      <c r="Z62" s="12">
        <f ca="1">OFFSET('Proforma L+H'!$E91,0,'L+H Monthly CF'!Z$3)/12</f>
        <v>45937.5</v>
      </c>
      <c r="AA62" s="12">
        <f ca="1">OFFSET('Proforma L+H'!$E91,0,'L+H Monthly CF'!AA$3)/12</f>
        <v>45937.5</v>
      </c>
      <c r="AB62" s="12">
        <f ca="1">OFFSET('Proforma L+H'!$E91,0,'L+H Monthly CF'!AB$3)/12</f>
        <v>45937.5</v>
      </c>
      <c r="AC62" s="12">
        <f ca="1">OFFSET('Proforma L+H'!$E91,0,'L+H Monthly CF'!AC$3)/12</f>
        <v>86770.833333333343</v>
      </c>
      <c r="AD62" s="12">
        <f ca="1">OFFSET('Proforma L+H'!$E91,0,'L+H Monthly CF'!AD$3)/12</f>
        <v>86770.833333333343</v>
      </c>
      <c r="AE62" s="12">
        <f ca="1">OFFSET('Proforma L+H'!$E91,0,'L+H Monthly CF'!AE$3)/12</f>
        <v>86770.833333333343</v>
      </c>
      <c r="AF62" s="12">
        <f ca="1">OFFSET('Proforma L+H'!$E91,0,'L+H Monthly CF'!AF$3)/12</f>
        <v>86770.833333333343</v>
      </c>
      <c r="AG62" s="12">
        <f ca="1">OFFSET('Proforma L+H'!$E91,0,'L+H Monthly CF'!AG$3)/12</f>
        <v>86770.833333333343</v>
      </c>
      <c r="AH62" s="12">
        <f ca="1">OFFSET('Proforma L+H'!$E91,0,'L+H Monthly CF'!AH$3)/12</f>
        <v>86770.833333333343</v>
      </c>
      <c r="AI62" s="12">
        <f ca="1">OFFSET('Proforma L+H'!$E91,0,'L+H Monthly CF'!AI$3)/12</f>
        <v>86770.833333333343</v>
      </c>
      <c r="AJ62" s="12">
        <f ca="1">OFFSET('Proforma L+H'!$E91,0,'L+H Monthly CF'!AJ$3)/12</f>
        <v>86770.833333333343</v>
      </c>
      <c r="AK62" s="12">
        <f ca="1">OFFSET('Proforma L+H'!$E91,0,'L+H Monthly CF'!AK$3)/12</f>
        <v>86770.833333333343</v>
      </c>
      <c r="AL62" s="12">
        <f ca="1">OFFSET('Proforma L+H'!$E91,0,'L+H Monthly CF'!AL$3)/12</f>
        <v>86770.833333333343</v>
      </c>
      <c r="AM62" s="12">
        <f ca="1">OFFSET('Proforma L+H'!$E91,0,'L+H Monthly CF'!AM$3)/12</f>
        <v>86770.833333333343</v>
      </c>
      <c r="AN62" s="12">
        <f ca="1">OFFSET('Proforma L+H'!$E91,0,'L+H Monthly CF'!AN$3)/12</f>
        <v>86770.833333333343</v>
      </c>
      <c r="AO62" s="12">
        <f ca="1">OFFSET('Proforma L+H'!$E91,0,'L+H Monthly CF'!AO$3)/12</f>
        <v>142005.20833333334</v>
      </c>
      <c r="AP62" s="12">
        <f ca="1">OFFSET('Proforma L+H'!$E91,0,'L+H Monthly CF'!AP$3)/12</f>
        <v>142005.20833333334</v>
      </c>
      <c r="AQ62" s="12">
        <f ca="1">OFFSET('Proforma L+H'!$E91,0,'L+H Monthly CF'!AQ$3)/12</f>
        <v>142005.20833333334</v>
      </c>
      <c r="AR62" s="12">
        <f ca="1">OFFSET('Proforma L+H'!$E91,0,'L+H Monthly CF'!AR$3)/12</f>
        <v>142005.20833333334</v>
      </c>
      <c r="AS62" s="12">
        <f ca="1">OFFSET('Proforma L+H'!$E91,0,'L+H Monthly CF'!AS$3)/12</f>
        <v>142005.20833333334</v>
      </c>
      <c r="AT62" s="12">
        <f ca="1">OFFSET('Proforma L+H'!$E91,0,'L+H Monthly CF'!AT$3)/12</f>
        <v>142005.20833333334</v>
      </c>
      <c r="AU62" s="12">
        <f ca="1">OFFSET('Proforma L+H'!$E91,0,'L+H Monthly CF'!AU$3)/12</f>
        <v>142005.20833333334</v>
      </c>
      <c r="AV62" s="12">
        <f ca="1">OFFSET('Proforma L+H'!$E91,0,'L+H Monthly CF'!AV$3)/12</f>
        <v>142005.20833333334</v>
      </c>
      <c r="AW62" s="12">
        <f ca="1">OFFSET('Proforma L+H'!$E91,0,'L+H Monthly CF'!AW$3)/12</f>
        <v>142005.20833333334</v>
      </c>
      <c r="AX62" s="12">
        <f ca="1">OFFSET('Proforma L+H'!$E91,0,'L+H Monthly CF'!AX$3)/12</f>
        <v>142005.20833333334</v>
      </c>
      <c r="AY62" s="12">
        <f ca="1">OFFSET('Proforma L+H'!$E91,0,'L+H Monthly CF'!AY$3)/12</f>
        <v>142005.20833333334</v>
      </c>
      <c r="AZ62" s="12">
        <f ca="1">OFFSET('Proforma L+H'!$E91,0,'L+H Monthly CF'!AZ$3)/12</f>
        <v>142005.20833333334</v>
      </c>
      <c r="BA62" s="12">
        <f t="shared" ca="1" si="33"/>
        <v>3309687.5000000009</v>
      </c>
      <c r="BB62" s="758">
        <f ca="1">SUM('Proforma L+H'!E91:H91)-BA62</f>
        <v>0</v>
      </c>
    </row>
    <row r="63" spans="1:54" hidden="1" outlineLevel="1" x14ac:dyDescent="0.2">
      <c r="A63" s="2"/>
      <c r="B63" s="163" t="str">
        <f>'Proforma L+H'!B92</f>
        <v>Construction Cost Escalation</v>
      </c>
      <c r="C63" s="84">
        <v>0.05</v>
      </c>
      <c r="D63" s="12"/>
      <c r="E63" s="61">
        <f ca="1">OFFSET('Proforma L+H'!$E92,0,'L+H Monthly CF'!E$3)/12</f>
        <v>1562.5</v>
      </c>
      <c r="F63" s="61">
        <f ca="1">OFFSET('Proforma L+H'!$E92,0,'L+H Monthly CF'!F$3)/12</f>
        <v>1562.5</v>
      </c>
      <c r="G63" s="61">
        <f ca="1">OFFSET('Proforma L+H'!$E92,0,'L+H Monthly CF'!G$3)/12</f>
        <v>1562.5</v>
      </c>
      <c r="H63" s="61">
        <f ca="1">OFFSET('Proforma L+H'!$E92,0,'L+H Monthly CF'!H$3)/12</f>
        <v>1562.5</v>
      </c>
      <c r="I63" s="61">
        <f ca="1">OFFSET('Proforma L+H'!$E92,0,'L+H Monthly CF'!I$3)/12</f>
        <v>1562.5</v>
      </c>
      <c r="J63" s="61">
        <f ca="1">OFFSET('Proforma L+H'!$E92,0,'L+H Monthly CF'!J$3)/12</f>
        <v>1562.5</v>
      </c>
      <c r="K63" s="61">
        <f ca="1">OFFSET('Proforma L+H'!$E92,0,'L+H Monthly CF'!K$3)/12</f>
        <v>1562.5</v>
      </c>
      <c r="L63">
        <f ca="1">OFFSET('Proforma L+H'!$E92,0,'L+H Monthly CF'!L$3)/12</f>
        <v>1562.5</v>
      </c>
      <c r="M63" s="12">
        <f ca="1">OFFSET('Proforma L+H'!$E92,0,'L+H Monthly CF'!M$3)/12</f>
        <v>1562.5</v>
      </c>
      <c r="N63" s="12">
        <f ca="1">OFFSET('Proforma L+H'!$E92,0,'L+H Monthly CF'!N$3)/12</f>
        <v>1562.5</v>
      </c>
      <c r="O63" s="12">
        <f ca="1">OFFSET('Proforma L+H'!$E92,0,'L+H Monthly CF'!O$3)/12</f>
        <v>1562.5</v>
      </c>
      <c r="P63" s="12">
        <f ca="1">OFFSET('Proforma L+H'!$E92,0,'L+H Monthly CF'!P$3)/12</f>
        <v>1562.5</v>
      </c>
      <c r="Q63" s="12">
        <f ca="1">OFFSET('Proforma L+H'!$E92,0,'L+H Monthly CF'!Q$3)/12</f>
        <v>65703.125</v>
      </c>
      <c r="R63" s="12">
        <f ca="1">OFFSET('Proforma L+H'!$E92,0,'L+H Monthly CF'!R$3)/12</f>
        <v>65703.125</v>
      </c>
      <c r="S63" s="12">
        <f ca="1">OFFSET('Proforma L+H'!$E92,0,'L+H Monthly CF'!S$3)/12</f>
        <v>65703.125</v>
      </c>
      <c r="T63" s="12">
        <f ca="1">OFFSET('Proforma L+H'!$E92,0,'L+H Monthly CF'!T$3)/12</f>
        <v>65703.125</v>
      </c>
      <c r="U63" s="12">
        <f ca="1">OFFSET('Proforma L+H'!$E92,0,'L+H Monthly CF'!U$3)/12</f>
        <v>65703.125</v>
      </c>
      <c r="V63" s="12">
        <f ca="1">OFFSET('Proforma L+H'!$E92,0,'L+H Monthly CF'!V$3)/12</f>
        <v>65703.125</v>
      </c>
      <c r="W63" s="12">
        <f ca="1">OFFSET('Proforma L+H'!$E92,0,'L+H Monthly CF'!W$3)/12</f>
        <v>65703.125</v>
      </c>
      <c r="X63" s="12">
        <f ca="1">OFFSET('Proforma L+H'!$E92,0,'L+H Monthly CF'!X$3)/12</f>
        <v>65703.125</v>
      </c>
      <c r="Y63" s="12">
        <f ca="1">OFFSET('Proforma L+H'!$E92,0,'L+H Monthly CF'!Y$3)/12</f>
        <v>65703.125</v>
      </c>
      <c r="Z63" s="12">
        <f ca="1">OFFSET('Proforma L+H'!$E92,0,'L+H Monthly CF'!Z$3)/12</f>
        <v>65703.125</v>
      </c>
      <c r="AA63" s="12">
        <f ca="1">OFFSET('Proforma L+H'!$E92,0,'L+H Monthly CF'!AA$3)/12</f>
        <v>65703.125</v>
      </c>
      <c r="AB63" s="12">
        <f ca="1">OFFSET('Proforma L+H'!$E92,0,'L+H Monthly CF'!AB$3)/12</f>
        <v>65703.125</v>
      </c>
      <c r="AC63" s="12">
        <f ca="1">OFFSET('Proforma L+H'!$E92,0,'L+H Monthly CF'!AC$3)/12</f>
        <v>127321.61458333333</v>
      </c>
      <c r="AD63" s="12">
        <f ca="1">OFFSET('Proforma L+H'!$E92,0,'L+H Monthly CF'!AD$3)/12</f>
        <v>127321.61458333333</v>
      </c>
      <c r="AE63" s="12">
        <f ca="1">OFFSET('Proforma L+H'!$E92,0,'L+H Monthly CF'!AE$3)/12</f>
        <v>127321.61458333333</v>
      </c>
      <c r="AF63" s="12">
        <f ca="1">OFFSET('Proforma L+H'!$E92,0,'L+H Monthly CF'!AF$3)/12</f>
        <v>127321.61458333333</v>
      </c>
      <c r="AG63" s="12">
        <f ca="1">OFFSET('Proforma L+H'!$E92,0,'L+H Monthly CF'!AG$3)/12</f>
        <v>127321.61458333333</v>
      </c>
      <c r="AH63" s="12">
        <f ca="1">OFFSET('Proforma L+H'!$E92,0,'L+H Monthly CF'!AH$3)/12</f>
        <v>127321.61458333333</v>
      </c>
      <c r="AI63" s="12">
        <f ca="1">OFFSET('Proforma L+H'!$E92,0,'L+H Monthly CF'!AI$3)/12</f>
        <v>127321.61458333333</v>
      </c>
      <c r="AJ63" s="12">
        <f ca="1">OFFSET('Proforma L+H'!$E92,0,'L+H Monthly CF'!AJ$3)/12</f>
        <v>127321.61458333333</v>
      </c>
      <c r="AK63" s="12">
        <f ca="1">OFFSET('Proforma L+H'!$E92,0,'L+H Monthly CF'!AK$3)/12</f>
        <v>127321.61458333333</v>
      </c>
      <c r="AL63" s="12">
        <f ca="1">OFFSET('Proforma L+H'!$E92,0,'L+H Monthly CF'!AL$3)/12</f>
        <v>127321.61458333333</v>
      </c>
      <c r="AM63" s="12">
        <f ca="1">OFFSET('Proforma L+H'!$E92,0,'L+H Monthly CF'!AM$3)/12</f>
        <v>127321.61458333333</v>
      </c>
      <c r="AN63" s="12">
        <f ca="1">OFFSET('Proforma L+H'!$E92,0,'L+H Monthly CF'!AN$3)/12</f>
        <v>127321.61458333333</v>
      </c>
      <c r="AO63" s="12">
        <f ca="1">OFFSET('Proforma L+H'!$E92,0,'L+H Monthly CF'!AO$3)/12</f>
        <v>212593.9453125</v>
      </c>
      <c r="AP63" s="12">
        <f ca="1">OFFSET('Proforma L+H'!$E92,0,'L+H Monthly CF'!AP$3)/12</f>
        <v>212593.9453125</v>
      </c>
      <c r="AQ63" s="12">
        <f ca="1">OFFSET('Proforma L+H'!$E92,0,'L+H Monthly CF'!AQ$3)/12</f>
        <v>212593.9453125</v>
      </c>
      <c r="AR63" s="12">
        <f ca="1">OFFSET('Proforma L+H'!$E92,0,'L+H Monthly CF'!AR$3)/12</f>
        <v>212593.9453125</v>
      </c>
      <c r="AS63" s="12">
        <f ca="1">OFFSET('Proforma L+H'!$E92,0,'L+H Monthly CF'!AS$3)/12</f>
        <v>212593.9453125</v>
      </c>
      <c r="AT63" s="12">
        <f ca="1">OFFSET('Proforma L+H'!$E92,0,'L+H Monthly CF'!AT$3)/12</f>
        <v>212593.9453125</v>
      </c>
      <c r="AU63" s="12">
        <f ca="1">OFFSET('Proforma L+H'!$E92,0,'L+H Monthly CF'!AU$3)/12</f>
        <v>212593.9453125</v>
      </c>
      <c r="AV63" s="12">
        <f ca="1">OFFSET('Proforma L+H'!$E92,0,'L+H Monthly CF'!AV$3)/12</f>
        <v>212593.9453125</v>
      </c>
      <c r="AW63" s="12">
        <f ca="1">OFFSET('Proforma L+H'!$E92,0,'L+H Monthly CF'!AW$3)/12</f>
        <v>212593.9453125</v>
      </c>
      <c r="AX63" s="12">
        <f ca="1">OFFSET('Proforma L+H'!$E92,0,'L+H Monthly CF'!AX$3)/12</f>
        <v>212593.9453125</v>
      </c>
      <c r="AY63" s="12">
        <f ca="1">OFFSET('Proforma L+H'!$E92,0,'L+H Monthly CF'!AY$3)/12</f>
        <v>212593.9453125</v>
      </c>
      <c r="AZ63" s="12">
        <f ca="1">OFFSET('Proforma L+H'!$E92,0,'L+H Monthly CF'!AZ$3)/12</f>
        <v>212593.9453125</v>
      </c>
      <c r="BA63" s="12">
        <f t="shared" ca="1" si="33"/>
        <v>4886174.21875</v>
      </c>
      <c r="BB63" s="758">
        <f ca="1">SUM('Proforma L+H'!E92:H92)-BA63</f>
        <v>0</v>
      </c>
    </row>
    <row r="64" spans="1:54" hidden="1" outlineLevel="1" x14ac:dyDescent="0.2">
      <c r="A64" s="2"/>
      <c r="B64" s="163" t="str">
        <f>'Proforma L+H'!B93</f>
        <v>Developer Construction Contingency</v>
      </c>
      <c r="C64" s="84">
        <v>3.5000000000000003E-2</v>
      </c>
      <c r="D64" s="11"/>
      <c r="E64" s="11">
        <f ca="1">OFFSET('Proforma L+H'!$E93,0,'L+H Monthly CF'!E$3)/12</f>
        <v>1093.7500000000002</v>
      </c>
      <c r="F64" s="11">
        <f ca="1">OFFSET('Proforma L+H'!$E93,0,'L+H Monthly CF'!F$3)/12</f>
        <v>1093.7500000000002</v>
      </c>
      <c r="G64" s="11">
        <f ca="1">OFFSET('Proforma L+H'!$E93,0,'L+H Monthly CF'!G$3)/12</f>
        <v>1093.7500000000002</v>
      </c>
      <c r="H64" s="11">
        <f ca="1">OFFSET('Proforma L+H'!$E93,0,'L+H Monthly CF'!H$3)/12</f>
        <v>1093.7500000000002</v>
      </c>
      <c r="I64" s="11">
        <f ca="1">OFFSET('Proforma L+H'!$E93,0,'L+H Monthly CF'!I$3)/12</f>
        <v>1093.7500000000002</v>
      </c>
      <c r="J64" s="11">
        <f ca="1">OFFSET('Proforma L+H'!$E93,0,'L+H Monthly CF'!J$3)/12</f>
        <v>1093.7500000000002</v>
      </c>
      <c r="K64" s="11">
        <f ca="1">OFFSET('Proforma L+H'!$E93,0,'L+H Monthly CF'!K$3)/12</f>
        <v>1093.7500000000002</v>
      </c>
      <c r="L64" s="11">
        <f ca="1">OFFSET('Proforma L+H'!$E93,0,'L+H Monthly CF'!L$3)/12</f>
        <v>1093.7500000000002</v>
      </c>
      <c r="M64" s="11">
        <f ca="1">OFFSET('Proforma L+H'!$E93,0,'L+H Monthly CF'!M$3)/12</f>
        <v>1093.7500000000002</v>
      </c>
      <c r="N64" s="11">
        <f ca="1">OFFSET('Proforma L+H'!$E93,0,'L+H Monthly CF'!N$3)/12</f>
        <v>1093.7500000000002</v>
      </c>
      <c r="O64" s="11">
        <f ca="1">OFFSET('Proforma L+H'!$E93,0,'L+H Monthly CF'!O$3)/12</f>
        <v>1093.7500000000002</v>
      </c>
      <c r="P64" s="11">
        <f ca="1">OFFSET('Proforma L+H'!$E93,0,'L+H Monthly CF'!P$3)/12</f>
        <v>1093.7500000000002</v>
      </c>
      <c r="Q64" s="11">
        <f ca="1">OFFSET('Proforma L+H'!$E93,0,'L+H Monthly CF'!Q$3)/12</f>
        <v>45937.5</v>
      </c>
      <c r="R64" s="12">
        <f ca="1">OFFSET('Proforma L+H'!$E93,0,'L+H Monthly CF'!R$3)/12</f>
        <v>45937.5</v>
      </c>
      <c r="S64" s="12">
        <f ca="1">OFFSET('Proforma L+H'!$E93,0,'L+H Monthly CF'!S$3)/12</f>
        <v>45937.5</v>
      </c>
      <c r="T64" s="12">
        <f ca="1">OFFSET('Proforma L+H'!$E93,0,'L+H Monthly CF'!T$3)/12</f>
        <v>45937.5</v>
      </c>
      <c r="U64" s="12">
        <f ca="1">OFFSET('Proforma L+H'!$E93,0,'L+H Monthly CF'!U$3)/12</f>
        <v>45937.5</v>
      </c>
      <c r="V64" s="12">
        <f ca="1">OFFSET('Proforma L+H'!$E93,0,'L+H Monthly CF'!V$3)/12</f>
        <v>45937.5</v>
      </c>
      <c r="W64" s="12">
        <f ca="1">OFFSET('Proforma L+H'!$E93,0,'L+H Monthly CF'!W$3)/12</f>
        <v>45937.5</v>
      </c>
      <c r="X64" s="12">
        <f ca="1">OFFSET('Proforma L+H'!$E93,0,'L+H Monthly CF'!X$3)/12</f>
        <v>45937.5</v>
      </c>
      <c r="Y64" s="12">
        <f ca="1">OFFSET('Proforma L+H'!$E93,0,'L+H Monthly CF'!Y$3)/12</f>
        <v>45937.5</v>
      </c>
      <c r="Z64" s="12">
        <f ca="1">OFFSET('Proforma L+H'!$E93,0,'L+H Monthly CF'!Z$3)/12</f>
        <v>45937.5</v>
      </c>
      <c r="AA64" s="12">
        <f ca="1">OFFSET('Proforma L+H'!$E93,0,'L+H Monthly CF'!AA$3)/12</f>
        <v>45937.5</v>
      </c>
      <c r="AB64" s="12">
        <f ca="1">OFFSET('Proforma L+H'!$E93,0,'L+H Monthly CF'!AB$3)/12</f>
        <v>45937.5</v>
      </c>
      <c r="AC64" s="12">
        <f ca="1">OFFSET('Proforma L+H'!$E93,0,'L+H Monthly CF'!AC$3)/12</f>
        <v>86770.833333333343</v>
      </c>
      <c r="AD64" s="12">
        <f ca="1">OFFSET('Proforma L+H'!$E93,0,'L+H Monthly CF'!AD$3)/12</f>
        <v>86770.833333333343</v>
      </c>
      <c r="AE64" s="12">
        <f ca="1">OFFSET('Proforma L+H'!$E93,0,'L+H Monthly CF'!AE$3)/12</f>
        <v>86770.833333333343</v>
      </c>
      <c r="AF64" s="12">
        <f ca="1">OFFSET('Proforma L+H'!$E93,0,'L+H Monthly CF'!AF$3)/12</f>
        <v>86770.833333333343</v>
      </c>
      <c r="AG64" s="12">
        <f ca="1">OFFSET('Proforma L+H'!$E93,0,'L+H Monthly CF'!AG$3)/12</f>
        <v>86770.833333333343</v>
      </c>
      <c r="AH64" s="12">
        <f ca="1">OFFSET('Proforma L+H'!$E93,0,'L+H Monthly CF'!AH$3)/12</f>
        <v>86770.833333333343</v>
      </c>
      <c r="AI64" s="12">
        <f ca="1">OFFSET('Proforma L+H'!$E93,0,'L+H Monthly CF'!AI$3)/12</f>
        <v>86770.833333333343</v>
      </c>
      <c r="AJ64" s="12">
        <f ca="1">OFFSET('Proforma L+H'!$E93,0,'L+H Monthly CF'!AJ$3)/12</f>
        <v>86770.833333333343</v>
      </c>
      <c r="AK64" s="12">
        <f ca="1">OFFSET('Proforma L+H'!$E93,0,'L+H Monthly CF'!AK$3)/12</f>
        <v>86770.833333333343</v>
      </c>
      <c r="AL64" s="12">
        <f ca="1">OFFSET('Proforma L+H'!$E93,0,'L+H Monthly CF'!AL$3)/12</f>
        <v>86770.833333333343</v>
      </c>
      <c r="AM64" s="12">
        <f ca="1">OFFSET('Proforma L+H'!$E93,0,'L+H Monthly CF'!AM$3)/12</f>
        <v>86770.833333333343</v>
      </c>
      <c r="AN64" s="12">
        <f ca="1">OFFSET('Proforma L+H'!$E93,0,'L+H Monthly CF'!AN$3)/12</f>
        <v>86770.833333333343</v>
      </c>
      <c r="AO64" s="12">
        <f ca="1">OFFSET('Proforma L+H'!$E93,0,'L+H Monthly CF'!AO$3)/12</f>
        <v>142005.20833333334</v>
      </c>
      <c r="AP64" s="12">
        <f ca="1">OFFSET('Proforma L+H'!$E93,0,'L+H Monthly CF'!AP$3)/12</f>
        <v>142005.20833333334</v>
      </c>
      <c r="AQ64" s="12">
        <f ca="1">OFFSET('Proforma L+H'!$E93,0,'L+H Monthly CF'!AQ$3)/12</f>
        <v>142005.20833333334</v>
      </c>
      <c r="AR64" s="12">
        <f ca="1">OFFSET('Proforma L+H'!$E93,0,'L+H Monthly CF'!AR$3)/12</f>
        <v>142005.20833333334</v>
      </c>
      <c r="AS64" s="12">
        <f ca="1">OFFSET('Proforma L+H'!$E93,0,'L+H Monthly CF'!AS$3)/12</f>
        <v>142005.20833333334</v>
      </c>
      <c r="AT64" s="12">
        <f ca="1">OFFSET('Proforma L+H'!$E93,0,'L+H Monthly CF'!AT$3)/12</f>
        <v>142005.20833333334</v>
      </c>
      <c r="AU64" s="12">
        <f ca="1">OFFSET('Proforma L+H'!$E93,0,'L+H Monthly CF'!AU$3)/12</f>
        <v>142005.20833333334</v>
      </c>
      <c r="AV64" s="12">
        <f ca="1">OFFSET('Proforma L+H'!$E93,0,'L+H Monthly CF'!AV$3)/12</f>
        <v>142005.20833333334</v>
      </c>
      <c r="AW64" s="12">
        <f ca="1">OFFSET('Proforma L+H'!$E93,0,'L+H Monthly CF'!AW$3)/12</f>
        <v>142005.20833333334</v>
      </c>
      <c r="AX64" s="12">
        <f ca="1">OFFSET('Proforma L+H'!$E93,0,'L+H Monthly CF'!AX$3)/12</f>
        <v>142005.20833333334</v>
      </c>
      <c r="AY64" s="12">
        <f ca="1">OFFSET('Proforma L+H'!$E93,0,'L+H Monthly CF'!AY$3)/12</f>
        <v>142005.20833333334</v>
      </c>
      <c r="AZ64" s="12">
        <f ca="1">OFFSET('Proforma L+H'!$E93,0,'L+H Monthly CF'!AZ$3)/12</f>
        <v>142005.20833333334</v>
      </c>
      <c r="BA64" s="12">
        <f t="shared" ca="1" si="33"/>
        <v>3309687.5000000009</v>
      </c>
      <c r="BB64" s="758">
        <f ca="1">SUM('Proforma L+H'!E93:H93)-BA64</f>
        <v>0</v>
      </c>
    </row>
    <row r="65" spans="1:54" collapsed="1" x14ac:dyDescent="0.2">
      <c r="A65" s="2"/>
      <c r="B65" s="85" t="str">
        <f>'Proforma L+H'!B94</f>
        <v>HARD COSTS - HOMES</v>
      </c>
      <c r="C65" s="86"/>
      <c r="D65" s="51"/>
      <c r="E65" s="51">
        <f ca="1">OFFSET('Proforma L+H'!$E94,0,'L+H Monthly CF'!E$3)/12</f>
        <v>35000</v>
      </c>
      <c r="F65" s="51">
        <f ca="1">OFFSET('Proforma L+H'!$E94,0,'L+H Monthly CF'!F$3)/12</f>
        <v>35000</v>
      </c>
      <c r="G65" s="51">
        <f ca="1">OFFSET('Proforma L+H'!$E94,0,'L+H Monthly CF'!G$3)/12</f>
        <v>35000</v>
      </c>
      <c r="H65" s="51">
        <f ca="1">OFFSET('Proforma L+H'!$E94,0,'L+H Monthly CF'!H$3)/12</f>
        <v>35000</v>
      </c>
      <c r="I65" s="51">
        <f ca="1">OFFSET('Proforma L+H'!$E94,0,'L+H Monthly CF'!I$3)/12</f>
        <v>35000</v>
      </c>
      <c r="J65" s="51">
        <f ca="1">OFFSET('Proforma L+H'!$E94,0,'L+H Monthly CF'!J$3)/12</f>
        <v>35000</v>
      </c>
      <c r="K65" s="51">
        <f ca="1">OFFSET('Proforma L+H'!$E94,0,'L+H Monthly CF'!K$3)/12</f>
        <v>35000</v>
      </c>
      <c r="L65" s="51">
        <f ca="1">OFFSET('Proforma L+H'!$E94,0,'L+H Monthly CF'!L$3)/12</f>
        <v>35000</v>
      </c>
      <c r="M65" s="51">
        <f ca="1">OFFSET('Proforma L+H'!$E94,0,'L+H Monthly CF'!M$3)/12</f>
        <v>35000</v>
      </c>
      <c r="N65" s="51">
        <f ca="1">OFFSET('Proforma L+H'!$E94,0,'L+H Monthly CF'!N$3)/12</f>
        <v>35000</v>
      </c>
      <c r="O65" s="51">
        <f ca="1">OFFSET('Proforma L+H'!$E94,0,'L+H Monthly CF'!O$3)/12</f>
        <v>35000</v>
      </c>
      <c r="P65" s="51">
        <f ca="1">OFFSET('Proforma L+H'!$E94,0,'L+H Monthly CF'!P$3)/12</f>
        <v>35000</v>
      </c>
      <c r="Q65" s="51">
        <f ca="1">OFFSET('Proforma L+H'!$E94,0,'L+H Monthly CF'!Q$3)/12</f>
        <v>1470078.125</v>
      </c>
      <c r="R65" s="52">
        <f ca="1">OFFSET('Proforma L+H'!$E94,0,'L+H Monthly CF'!R$3)/12</f>
        <v>1470078.125</v>
      </c>
      <c r="S65" s="52">
        <f ca="1">OFFSET('Proforma L+H'!$E94,0,'L+H Monthly CF'!S$3)/12</f>
        <v>1470078.125</v>
      </c>
      <c r="T65" s="52">
        <f ca="1">OFFSET('Proforma L+H'!$E94,0,'L+H Monthly CF'!T$3)/12</f>
        <v>1470078.125</v>
      </c>
      <c r="U65" s="52">
        <f ca="1">OFFSET('Proforma L+H'!$E94,0,'L+H Monthly CF'!U$3)/12</f>
        <v>1470078.125</v>
      </c>
      <c r="V65" s="52">
        <f ca="1">OFFSET('Proforma L+H'!$E94,0,'L+H Monthly CF'!V$3)/12</f>
        <v>1470078.125</v>
      </c>
      <c r="W65" s="52">
        <f ca="1">OFFSET('Proforma L+H'!$E94,0,'L+H Monthly CF'!W$3)/12</f>
        <v>1470078.125</v>
      </c>
      <c r="X65" s="52">
        <f ca="1">OFFSET('Proforma L+H'!$E94,0,'L+H Monthly CF'!X$3)/12</f>
        <v>1470078.125</v>
      </c>
      <c r="Y65" s="52">
        <f ca="1">OFFSET('Proforma L+H'!$E94,0,'L+H Monthly CF'!Y$3)/12</f>
        <v>1470078.125</v>
      </c>
      <c r="Z65" s="52">
        <f ca="1">OFFSET('Proforma L+H'!$E94,0,'L+H Monthly CF'!Z$3)/12</f>
        <v>1470078.125</v>
      </c>
      <c r="AA65" s="52">
        <f ca="1">OFFSET('Proforma L+H'!$E94,0,'L+H Monthly CF'!AA$3)/12</f>
        <v>1470078.125</v>
      </c>
      <c r="AB65" s="52">
        <f ca="1">OFFSET('Proforma L+H'!$E94,0,'L+H Monthly CF'!AB$3)/12</f>
        <v>1470078.125</v>
      </c>
      <c r="AC65" s="52">
        <f ca="1">OFFSET('Proforma L+H'!$E94,0,'L+H Monthly CF'!AC$3)/12</f>
        <v>2780029.9479166665</v>
      </c>
      <c r="AD65" s="52">
        <f ca="1">OFFSET('Proforma L+H'!$E94,0,'L+H Monthly CF'!AD$3)/12</f>
        <v>2780029.9479166665</v>
      </c>
      <c r="AE65" s="52">
        <f ca="1">OFFSET('Proforma L+H'!$E94,0,'L+H Monthly CF'!AE$3)/12</f>
        <v>2780029.9479166665</v>
      </c>
      <c r="AF65" s="52">
        <f ca="1">OFFSET('Proforma L+H'!$E94,0,'L+H Monthly CF'!AF$3)/12</f>
        <v>2780029.9479166665</v>
      </c>
      <c r="AG65" s="52">
        <f ca="1">OFFSET('Proforma L+H'!$E94,0,'L+H Monthly CF'!AG$3)/12</f>
        <v>2780029.9479166665</v>
      </c>
      <c r="AH65" s="52">
        <f ca="1">OFFSET('Proforma L+H'!$E94,0,'L+H Monthly CF'!AH$3)/12</f>
        <v>2780029.9479166665</v>
      </c>
      <c r="AI65" s="52">
        <f ca="1">OFFSET('Proforma L+H'!$E94,0,'L+H Monthly CF'!AI$3)/12</f>
        <v>2780029.9479166665</v>
      </c>
      <c r="AJ65" s="52">
        <f ca="1">OFFSET('Proforma L+H'!$E94,0,'L+H Monthly CF'!AJ$3)/12</f>
        <v>2780029.9479166665</v>
      </c>
      <c r="AK65" s="52">
        <f ca="1">OFFSET('Proforma L+H'!$E94,0,'L+H Monthly CF'!AK$3)/12</f>
        <v>2780029.9479166665</v>
      </c>
      <c r="AL65" s="52">
        <f ca="1">OFFSET('Proforma L+H'!$E94,0,'L+H Monthly CF'!AL$3)/12</f>
        <v>2780029.9479166665</v>
      </c>
      <c r="AM65" s="52">
        <f ca="1">OFFSET('Proforma L+H'!$E94,0,'L+H Monthly CF'!AM$3)/12</f>
        <v>2780029.9479166665</v>
      </c>
      <c r="AN65" s="52">
        <f ca="1">OFFSET('Proforma L+H'!$E94,0,'L+H Monthly CF'!AN$3)/12</f>
        <v>2780029.9479166665</v>
      </c>
      <c r="AO65" s="52">
        <f ca="1">OFFSET('Proforma L+H'!$E94,0,'L+H Monthly CF'!AO$3)/12</f>
        <v>4553896.028645833</v>
      </c>
      <c r="AP65" s="52">
        <f ca="1">OFFSET('Proforma L+H'!$E94,0,'L+H Monthly CF'!AP$3)/12</f>
        <v>4553896.028645833</v>
      </c>
      <c r="AQ65" s="52">
        <f ca="1">OFFSET('Proforma L+H'!$E94,0,'L+H Monthly CF'!AQ$3)/12</f>
        <v>4553896.028645833</v>
      </c>
      <c r="AR65" s="52">
        <f ca="1">OFFSET('Proforma L+H'!$E94,0,'L+H Monthly CF'!AR$3)/12</f>
        <v>4553896.028645833</v>
      </c>
      <c r="AS65" s="52">
        <f ca="1">OFFSET('Proforma L+H'!$E94,0,'L+H Monthly CF'!AS$3)/12</f>
        <v>4553896.028645833</v>
      </c>
      <c r="AT65" s="52">
        <f ca="1">OFFSET('Proforma L+H'!$E94,0,'L+H Monthly CF'!AT$3)/12</f>
        <v>4553896.028645833</v>
      </c>
      <c r="AU65" s="52">
        <f ca="1">OFFSET('Proforma L+H'!$E94,0,'L+H Monthly CF'!AU$3)/12</f>
        <v>4553896.028645833</v>
      </c>
      <c r="AV65" s="52">
        <f ca="1">OFFSET('Proforma L+H'!$E94,0,'L+H Monthly CF'!AV$3)/12</f>
        <v>4553896.028645833</v>
      </c>
      <c r="AW65" s="52">
        <f ca="1">OFFSET('Proforma L+H'!$E94,0,'L+H Monthly CF'!AW$3)/12</f>
        <v>4553896.028645833</v>
      </c>
      <c r="AX65" s="52">
        <f ca="1">OFFSET('Proforma L+H'!$E94,0,'L+H Monthly CF'!AX$3)/12</f>
        <v>4553896.028645833</v>
      </c>
      <c r="AY65" s="52">
        <f ca="1">OFFSET('Proforma L+H'!$E94,0,'L+H Monthly CF'!AY$3)/12</f>
        <v>4553896.028645833</v>
      </c>
      <c r="AZ65" s="52">
        <f ca="1">OFFSET('Proforma L+H'!$E94,0,'L+H Monthly CF'!AZ$3)/12</f>
        <v>4553896.028645833</v>
      </c>
      <c r="BA65" s="52">
        <f t="shared" ca="1" si="33"/>
        <v>106068049.21874996</v>
      </c>
      <c r="BB65" s="758">
        <f ca="1">SUM('Proforma L+H'!E94:H94)-BA65</f>
        <v>0</v>
      </c>
    </row>
    <row r="66" spans="1:54" hidden="1" outlineLevel="1" x14ac:dyDescent="0.2">
      <c r="A66" s="2"/>
      <c r="B66" s="162"/>
      <c r="C66" s="19"/>
      <c r="D66" s="167"/>
      <c r="E66" s="167"/>
      <c r="F66" s="167"/>
      <c r="G66" s="167"/>
      <c r="H66" s="167"/>
      <c r="I66" s="167"/>
      <c r="J66" s="167"/>
      <c r="K66" s="167"/>
      <c r="L66" s="167"/>
      <c r="M66" s="167"/>
      <c r="N66" s="167"/>
      <c r="O66" s="167"/>
      <c r="P66" s="167"/>
      <c r="Q66" s="12"/>
    </row>
    <row r="67" spans="1:54" hidden="1" outlineLevel="1" x14ac:dyDescent="0.2">
      <c r="A67" s="2"/>
      <c r="B67" s="81" t="str">
        <f>'Proforma L+H'!B96</f>
        <v>SOFT COSTS PROFESSIONALS - FINAL ENTITLEMENTS &amp; SITE INFRA.</v>
      </c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</row>
    <row r="68" spans="1:54" hidden="1" outlineLevel="1" x14ac:dyDescent="0.2">
      <c r="A68" s="2"/>
      <c r="B68" s="163" t="str">
        <f>'Proforma L+H'!B97</f>
        <v>Land Planning &amp; PUD App Prep/Revisions (15% of Cost)</v>
      </c>
      <c r="C68" s="10">
        <f>(SUM(C53:C53))*0.15</f>
        <v>112500</v>
      </c>
      <c r="D68" s="10"/>
      <c r="E68" s="67">
        <f ca="1">OFFSET('Proforma L+H'!$E97,0,'L+H Monthly CF'!E$3)/12</f>
        <v>7031.25</v>
      </c>
      <c r="F68" s="67">
        <f ca="1">OFFSET('Proforma L+H'!$E97,0,'L+H Monthly CF'!F$3)/12</f>
        <v>7031.25</v>
      </c>
      <c r="G68" s="67">
        <f ca="1">OFFSET('Proforma L+H'!$E97,0,'L+H Monthly CF'!G$3)/12</f>
        <v>7031.25</v>
      </c>
      <c r="H68" s="67">
        <f ca="1">OFFSET('Proforma L+H'!$E97,0,'L+H Monthly CF'!H$3)/12</f>
        <v>7031.25</v>
      </c>
      <c r="I68" s="32">
        <f ca="1">OFFSET('Proforma L+H'!$E97,0,'L+H Monthly CF'!I$3)/12</f>
        <v>7031.25</v>
      </c>
      <c r="J68" s="67">
        <f ca="1">OFFSET('Proforma L+H'!$E97,0,'L+H Monthly CF'!J$3)/12</f>
        <v>7031.25</v>
      </c>
      <c r="K68" s="32">
        <f ca="1">OFFSET('Proforma L+H'!$E97,0,'L+H Monthly CF'!K$3)/12</f>
        <v>7031.25</v>
      </c>
      <c r="L68" s="32">
        <f ca="1">OFFSET('Proforma L+H'!$E97,0,'L+H Monthly CF'!L$3)/12</f>
        <v>7031.25</v>
      </c>
      <c r="M68" s="32">
        <f ca="1">OFFSET('Proforma L+H'!$E97,0,'L+H Monthly CF'!M$3)/12</f>
        <v>7031.25</v>
      </c>
      <c r="N68" s="32">
        <f ca="1">OFFSET('Proforma L+H'!$E97,0,'L+H Monthly CF'!N$3)/12</f>
        <v>7031.25</v>
      </c>
      <c r="O68" s="32">
        <f ca="1">OFFSET('Proforma L+H'!$E97,0,'L+H Monthly CF'!O$3)/12</f>
        <v>7031.25</v>
      </c>
      <c r="P68" s="32">
        <f ca="1">OFFSET('Proforma L+H'!$E97,0,'L+H Monthly CF'!P$3)/12</f>
        <v>7031.25</v>
      </c>
      <c r="Q68" s="32">
        <f ca="1">OFFSET('Proforma L+H'!$E97,0,'L+H Monthly CF'!Q$3)/12</f>
        <v>2343.75</v>
      </c>
      <c r="R68" s="32">
        <f ca="1">OFFSET('Proforma L+H'!$E97,0,'L+H Monthly CF'!R$3)/12</f>
        <v>2343.75</v>
      </c>
      <c r="S68" s="32">
        <f ca="1">OFFSET('Proforma L+H'!$E97,0,'L+H Monthly CF'!S$3)/12</f>
        <v>2343.75</v>
      </c>
      <c r="T68" s="12">
        <f ca="1">OFFSET('Proforma L+H'!$E97,0,'L+H Monthly CF'!T$3)/12</f>
        <v>2343.75</v>
      </c>
      <c r="U68" s="12">
        <f ca="1">OFFSET('Proforma L+H'!$E97,0,'L+H Monthly CF'!U$3)/12</f>
        <v>2343.75</v>
      </c>
      <c r="V68" s="12">
        <f ca="1">OFFSET('Proforma L+H'!$E97,0,'L+H Monthly CF'!V$3)/12</f>
        <v>2343.75</v>
      </c>
      <c r="W68" s="12">
        <f ca="1">OFFSET('Proforma L+H'!$E97,0,'L+H Monthly CF'!W$3)/12</f>
        <v>2343.75</v>
      </c>
      <c r="X68" s="12">
        <f ca="1">OFFSET('Proforma L+H'!$E97,0,'L+H Monthly CF'!X$3)/12</f>
        <v>2343.75</v>
      </c>
      <c r="Y68" s="12">
        <f ca="1">OFFSET('Proforma L+H'!$E97,0,'L+H Monthly CF'!Y$3)/12</f>
        <v>2343.75</v>
      </c>
      <c r="Z68" s="12">
        <f ca="1">OFFSET('Proforma L+H'!$E97,0,'L+H Monthly CF'!Z$3)/12</f>
        <v>2343.75</v>
      </c>
      <c r="AA68" s="12">
        <f ca="1">OFFSET('Proforma L+H'!$E97,0,'L+H Monthly CF'!AA$3)/12</f>
        <v>2343.75</v>
      </c>
      <c r="AB68" s="12">
        <f ca="1">OFFSET('Proforma L+H'!$E97,0,'L+H Monthly CF'!AB$3)/12</f>
        <v>2343.75</v>
      </c>
      <c r="AC68" s="12">
        <f ca="1">OFFSET('Proforma L+H'!$E97,0,'L+H Monthly CF'!AC$3)/12</f>
        <v>0</v>
      </c>
      <c r="AD68" s="12">
        <f ca="1">OFFSET('Proforma L+H'!$E97,0,'L+H Monthly CF'!AD$3)/12</f>
        <v>0</v>
      </c>
      <c r="AE68" s="12">
        <f ca="1">OFFSET('Proforma L+H'!$E97,0,'L+H Monthly CF'!AE$3)/12</f>
        <v>0</v>
      </c>
      <c r="AF68" s="12">
        <f ca="1">OFFSET('Proforma L+H'!$E97,0,'L+H Monthly CF'!AF$3)/12</f>
        <v>0</v>
      </c>
      <c r="AG68" s="12">
        <f ca="1">OFFSET('Proforma L+H'!$E97,0,'L+H Monthly CF'!AG$3)/12</f>
        <v>0</v>
      </c>
      <c r="AH68" s="12">
        <f ca="1">OFFSET('Proforma L+H'!$E97,0,'L+H Monthly CF'!AH$3)/12</f>
        <v>0</v>
      </c>
      <c r="AI68" s="12">
        <f ca="1">OFFSET('Proforma L+H'!$E97,0,'L+H Monthly CF'!AI$3)/12</f>
        <v>0</v>
      </c>
      <c r="AJ68" s="12">
        <f ca="1">OFFSET('Proforma L+H'!$E97,0,'L+H Monthly CF'!AJ$3)/12</f>
        <v>0</v>
      </c>
      <c r="AK68" s="12">
        <f ca="1">OFFSET('Proforma L+H'!$E97,0,'L+H Monthly CF'!AK$3)/12</f>
        <v>0</v>
      </c>
      <c r="AL68" s="12">
        <f ca="1">OFFSET('Proforma L+H'!$E97,0,'L+H Monthly CF'!AL$3)/12</f>
        <v>0</v>
      </c>
      <c r="AM68" s="12">
        <f ca="1">OFFSET('Proforma L+H'!$E97,0,'L+H Monthly CF'!AM$3)/12</f>
        <v>0</v>
      </c>
      <c r="AN68" s="12">
        <f ca="1">OFFSET('Proforma L+H'!$E97,0,'L+H Monthly CF'!AN$3)/12</f>
        <v>0</v>
      </c>
      <c r="AO68" s="12">
        <f ca="1">OFFSET('Proforma L+H'!$E97,0,'L+H Monthly CF'!AO$3)/12</f>
        <v>0</v>
      </c>
      <c r="AP68" s="12">
        <f ca="1">OFFSET('Proforma L+H'!$E97,0,'L+H Monthly CF'!AP$3)/12</f>
        <v>0</v>
      </c>
      <c r="AQ68" s="12">
        <f ca="1">OFFSET('Proforma L+H'!$E97,0,'L+H Monthly CF'!AQ$3)/12</f>
        <v>0</v>
      </c>
      <c r="AR68" s="12">
        <f ca="1">OFFSET('Proforma L+H'!$E97,0,'L+H Monthly CF'!AR$3)/12</f>
        <v>0</v>
      </c>
      <c r="AS68" s="12">
        <f ca="1">OFFSET('Proforma L+H'!$E97,0,'L+H Monthly CF'!AS$3)/12</f>
        <v>0</v>
      </c>
      <c r="AT68" s="12">
        <f ca="1">OFFSET('Proforma L+H'!$E97,0,'L+H Monthly CF'!AT$3)/12</f>
        <v>0</v>
      </c>
      <c r="AU68" s="12">
        <f ca="1">OFFSET('Proforma L+H'!$E97,0,'L+H Monthly CF'!AU$3)/12</f>
        <v>0</v>
      </c>
      <c r="AV68" s="12">
        <f ca="1">OFFSET('Proforma L+H'!$E97,0,'L+H Monthly CF'!AV$3)/12</f>
        <v>0</v>
      </c>
      <c r="AW68" s="12">
        <f ca="1">OFFSET('Proforma L+H'!$E97,0,'L+H Monthly CF'!AW$3)/12</f>
        <v>0</v>
      </c>
      <c r="AX68" s="12">
        <f ca="1">OFFSET('Proforma L+H'!$E97,0,'L+H Monthly CF'!AX$3)/12</f>
        <v>0</v>
      </c>
      <c r="AY68" s="12">
        <f ca="1">OFFSET('Proforma L+H'!$E97,0,'L+H Monthly CF'!AY$3)/12</f>
        <v>0</v>
      </c>
      <c r="AZ68" s="12">
        <f ca="1">OFFSET('Proforma L+H'!$E97,0,'L+H Monthly CF'!AZ$3)/12</f>
        <v>0</v>
      </c>
      <c r="BA68" s="12">
        <f t="shared" ref="BA68:BA75" ca="1" si="34">SUM(E68:AZ68)</f>
        <v>112500</v>
      </c>
      <c r="BB68" s="758">
        <f ca="1">SUM('Proforma L+H'!E97:H97)-BA68</f>
        <v>0</v>
      </c>
    </row>
    <row r="69" spans="1:54" hidden="1" outlineLevel="1" x14ac:dyDescent="0.2">
      <c r="A69" s="2"/>
      <c r="B69" s="163" t="str">
        <f>'Proforma L+H'!B98</f>
        <v>Future Entitlement Management Overhead</v>
      </c>
      <c r="C69" s="10">
        <v>500000</v>
      </c>
      <c r="D69" s="10"/>
      <c r="E69" s="67">
        <f ca="1">OFFSET('Proforma L+H'!$E98,0,'L+H Monthly CF'!E$3)/12</f>
        <v>41666.666666666664</v>
      </c>
      <c r="F69" s="67">
        <f ca="1">OFFSET('Proforma L+H'!$E98,0,'L+H Monthly CF'!F$3)/12</f>
        <v>41666.666666666664</v>
      </c>
      <c r="G69" s="67">
        <f ca="1">OFFSET('Proforma L+H'!$E98,0,'L+H Monthly CF'!G$3)/12</f>
        <v>41666.666666666664</v>
      </c>
      <c r="H69" s="67">
        <f ca="1">OFFSET('Proforma L+H'!$E98,0,'L+H Monthly CF'!H$3)/12</f>
        <v>41666.666666666664</v>
      </c>
      <c r="I69" s="32">
        <f ca="1">OFFSET('Proforma L+H'!$E98,0,'L+H Monthly CF'!I$3)/12</f>
        <v>41666.666666666664</v>
      </c>
      <c r="J69" s="32">
        <f ca="1">OFFSET('Proforma L+H'!$E98,0,'L+H Monthly CF'!J$3)/12</f>
        <v>41666.666666666664</v>
      </c>
      <c r="K69" s="32">
        <f ca="1">OFFSET('Proforma L+H'!$E98,0,'L+H Monthly CF'!K$3)/12</f>
        <v>41666.666666666664</v>
      </c>
      <c r="L69" s="32">
        <f ca="1">OFFSET('Proforma L+H'!$E98,0,'L+H Monthly CF'!L$3)/12</f>
        <v>41666.666666666664</v>
      </c>
      <c r="M69" s="32">
        <f ca="1">OFFSET('Proforma L+H'!$E98,0,'L+H Monthly CF'!M$3)/12</f>
        <v>41666.666666666664</v>
      </c>
      <c r="N69" s="32">
        <f ca="1">OFFSET('Proforma L+H'!$E98,0,'L+H Monthly CF'!N$3)/12</f>
        <v>41666.666666666664</v>
      </c>
      <c r="O69" s="32">
        <f ca="1">OFFSET('Proforma L+H'!$E98,0,'L+H Monthly CF'!O$3)/12</f>
        <v>41666.666666666664</v>
      </c>
      <c r="P69" s="32">
        <f ca="1">OFFSET('Proforma L+H'!$E98,0,'L+H Monthly CF'!P$3)/12</f>
        <v>41666.666666666664</v>
      </c>
      <c r="Q69" s="32">
        <f ca="1">OFFSET('Proforma L+H'!$E98,0,'L+H Monthly CF'!Q$3)/12</f>
        <v>41666.666666666664</v>
      </c>
      <c r="R69" s="32">
        <f ca="1">OFFSET('Proforma L+H'!$E98,0,'L+H Monthly CF'!R$3)/12</f>
        <v>41666.666666666664</v>
      </c>
      <c r="S69" s="12">
        <f ca="1">OFFSET('Proforma L+H'!$E98,0,'L+H Monthly CF'!S$3)/12</f>
        <v>41666.666666666664</v>
      </c>
      <c r="T69" s="12">
        <f ca="1">OFFSET('Proforma L+H'!$E98,0,'L+H Monthly CF'!T$3)/12</f>
        <v>41666.666666666664</v>
      </c>
      <c r="U69" s="12">
        <f ca="1">OFFSET('Proforma L+H'!$E98,0,'L+H Monthly CF'!U$3)/12</f>
        <v>41666.666666666664</v>
      </c>
      <c r="V69" s="12">
        <f ca="1">OFFSET('Proforma L+H'!$E98,0,'L+H Monthly CF'!V$3)/12</f>
        <v>41666.666666666664</v>
      </c>
      <c r="W69" s="12">
        <f ca="1">OFFSET('Proforma L+H'!$E98,0,'L+H Monthly CF'!W$3)/12</f>
        <v>41666.666666666664</v>
      </c>
      <c r="X69" s="12">
        <f ca="1">OFFSET('Proforma L+H'!$E98,0,'L+H Monthly CF'!X$3)/12</f>
        <v>41666.666666666664</v>
      </c>
      <c r="Y69" s="12">
        <f ca="1">OFFSET('Proforma L+H'!$E98,0,'L+H Monthly CF'!Y$3)/12</f>
        <v>41666.666666666664</v>
      </c>
      <c r="Z69" s="12">
        <f ca="1">OFFSET('Proforma L+H'!$E98,0,'L+H Monthly CF'!Z$3)/12</f>
        <v>41666.666666666664</v>
      </c>
      <c r="AA69" s="12">
        <f ca="1">OFFSET('Proforma L+H'!$E98,0,'L+H Monthly CF'!AA$3)/12</f>
        <v>41666.666666666664</v>
      </c>
      <c r="AB69" s="12">
        <f ca="1">OFFSET('Proforma L+H'!$E98,0,'L+H Monthly CF'!AB$3)/12</f>
        <v>41666.666666666664</v>
      </c>
      <c r="AC69" s="12">
        <f ca="1">OFFSET('Proforma L+H'!$E98,0,'L+H Monthly CF'!AC$3)/12</f>
        <v>41666.666666666664</v>
      </c>
      <c r="AD69" s="12">
        <f ca="1">OFFSET('Proforma L+H'!$E98,0,'L+H Monthly CF'!AD$3)/12</f>
        <v>41666.666666666664</v>
      </c>
      <c r="AE69" s="12">
        <f ca="1">OFFSET('Proforma L+H'!$E98,0,'L+H Monthly CF'!AE$3)/12</f>
        <v>41666.666666666664</v>
      </c>
      <c r="AF69" s="12">
        <f ca="1">OFFSET('Proforma L+H'!$E98,0,'L+H Monthly CF'!AF$3)/12</f>
        <v>41666.666666666664</v>
      </c>
      <c r="AG69" s="12">
        <f ca="1">OFFSET('Proforma L+H'!$E98,0,'L+H Monthly CF'!AG$3)/12</f>
        <v>41666.666666666664</v>
      </c>
      <c r="AH69" s="12">
        <f ca="1">OFFSET('Proforma L+H'!$E98,0,'L+H Monthly CF'!AH$3)/12</f>
        <v>41666.666666666664</v>
      </c>
      <c r="AI69" s="12">
        <f ca="1">OFFSET('Proforma L+H'!$E98,0,'L+H Monthly CF'!AI$3)/12</f>
        <v>41666.666666666664</v>
      </c>
      <c r="AJ69" s="12">
        <f ca="1">OFFSET('Proforma L+H'!$E98,0,'L+H Monthly CF'!AJ$3)/12</f>
        <v>41666.666666666664</v>
      </c>
      <c r="AK69" s="12">
        <f ca="1">OFFSET('Proforma L+H'!$E98,0,'L+H Monthly CF'!AK$3)/12</f>
        <v>41666.666666666664</v>
      </c>
      <c r="AL69" s="12">
        <f ca="1">OFFSET('Proforma L+H'!$E98,0,'L+H Monthly CF'!AL$3)/12</f>
        <v>41666.666666666664</v>
      </c>
      <c r="AM69" s="12">
        <f ca="1">OFFSET('Proforma L+H'!$E98,0,'L+H Monthly CF'!AM$3)/12</f>
        <v>41666.666666666664</v>
      </c>
      <c r="AN69" s="12">
        <f ca="1">OFFSET('Proforma L+H'!$E98,0,'L+H Monthly CF'!AN$3)/12</f>
        <v>41666.666666666664</v>
      </c>
      <c r="AO69" s="12">
        <f ca="1">OFFSET('Proforma L+H'!$E98,0,'L+H Monthly CF'!AO$3)/12</f>
        <v>41666.666666666664</v>
      </c>
      <c r="AP69" s="12">
        <f ca="1">OFFSET('Proforma L+H'!$E98,0,'L+H Monthly CF'!AP$3)/12</f>
        <v>41666.666666666664</v>
      </c>
      <c r="AQ69" s="12">
        <f ca="1">OFFSET('Proforma L+H'!$E98,0,'L+H Monthly CF'!AQ$3)/12</f>
        <v>41666.666666666664</v>
      </c>
      <c r="AR69" s="12">
        <f ca="1">OFFSET('Proforma L+H'!$E98,0,'L+H Monthly CF'!AR$3)/12</f>
        <v>41666.666666666664</v>
      </c>
      <c r="AS69" s="12">
        <f ca="1">OFFSET('Proforma L+H'!$E98,0,'L+H Monthly CF'!AS$3)/12</f>
        <v>41666.666666666664</v>
      </c>
      <c r="AT69" s="12">
        <f ca="1">OFFSET('Proforma L+H'!$E98,0,'L+H Monthly CF'!AT$3)/12</f>
        <v>41666.666666666664</v>
      </c>
      <c r="AU69" s="12">
        <f ca="1">OFFSET('Proforma L+H'!$E98,0,'L+H Monthly CF'!AU$3)/12</f>
        <v>41666.666666666664</v>
      </c>
      <c r="AV69" s="12">
        <f ca="1">OFFSET('Proforma L+H'!$E98,0,'L+H Monthly CF'!AV$3)/12</f>
        <v>41666.666666666664</v>
      </c>
      <c r="AW69" s="12">
        <f ca="1">OFFSET('Proforma L+H'!$E98,0,'L+H Monthly CF'!AW$3)/12</f>
        <v>41666.666666666664</v>
      </c>
      <c r="AX69" s="12">
        <f ca="1">OFFSET('Proforma L+H'!$E98,0,'L+H Monthly CF'!AX$3)/12</f>
        <v>41666.666666666664</v>
      </c>
      <c r="AY69" s="12">
        <f ca="1">OFFSET('Proforma L+H'!$E98,0,'L+H Monthly CF'!AY$3)/12</f>
        <v>41666.666666666664</v>
      </c>
      <c r="AZ69" s="12">
        <f ca="1">OFFSET('Proforma L+H'!$E98,0,'L+H Monthly CF'!AZ$3)/12</f>
        <v>41666.666666666664</v>
      </c>
      <c r="BA69" s="12">
        <f t="shared" ca="1" si="34"/>
        <v>2000000.0000000014</v>
      </c>
      <c r="BB69" s="758">
        <f ca="1">SUM('Proforma L+H'!E98:H98)-BA69</f>
        <v>0</v>
      </c>
    </row>
    <row r="70" spans="1:54" hidden="1" outlineLevel="1" x14ac:dyDescent="0.2">
      <c r="A70" s="2"/>
      <c r="B70" s="163" t="str">
        <f>'Proforma L+H'!B99</f>
        <v>Civil, Surveying &amp; PUD App Prep/Revisions (10% of Infra Cost)</v>
      </c>
      <c r="C70" s="10">
        <f>(SUM(C39:C52))*0.1</f>
        <v>712562.5</v>
      </c>
      <c r="D70" s="10"/>
      <c r="E70" s="67">
        <f ca="1">OFFSET('Proforma L+H'!$E99,0,'L+H Monthly CF'!E$3)/12</f>
        <v>32659.114583333339</v>
      </c>
      <c r="F70" s="67">
        <f ca="1">OFFSET('Proforma L+H'!$E99,0,'L+H Monthly CF'!F$3)/12</f>
        <v>32659.114583333339</v>
      </c>
      <c r="G70" s="67">
        <f ca="1">OFFSET('Proforma L+H'!$E99,0,'L+H Monthly CF'!G$3)/12</f>
        <v>32659.114583333339</v>
      </c>
      <c r="H70" s="67">
        <f ca="1">OFFSET('Proforma L+H'!$E99,0,'L+H Monthly CF'!H$3)/12</f>
        <v>32659.114583333339</v>
      </c>
      <c r="I70" s="32">
        <f ca="1">OFFSET('Proforma L+H'!$E99,0,'L+H Monthly CF'!I$3)/12</f>
        <v>32659.114583333339</v>
      </c>
      <c r="J70" s="32">
        <f ca="1">OFFSET('Proforma L+H'!$E99,0,'L+H Monthly CF'!J$3)/12</f>
        <v>32659.114583333339</v>
      </c>
      <c r="K70" s="32">
        <f ca="1">OFFSET('Proforma L+H'!$E99,0,'L+H Monthly CF'!K$3)/12</f>
        <v>32659.114583333339</v>
      </c>
      <c r="L70" s="32">
        <f ca="1">OFFSET('Proforma L+H'!$E99,0,'L+H Monthly CF'!L$3)/12</f>
        <v>32659.114583333339</v>
      </c>
      <c r="M70" s="32">
        <f ca="1">OFFSET('Proforma L+H'!$E99,0,'L+H Monthly CF'!M$3)/12</f>
        <v>32659.114583333339</v>
      </c>
      <c r="N70" s="32">
        <f ca="1">OFFSET('Proforma L+H'!$E99,0,'L+H Monthly CF'!N$3)/12</f>
        <v>32659.114583333339</v>
      </c>
      <c r="O70" s="32">
        <f ca="1">OFFSET('Proforma L+H'!$E99,0,'L+H Monthly CF'!O$3)/12</f>
        <v>32659.114583333339</v>
      </c>
      <c r="P70" s="32">
        <f ca="1">OFFSET('Proforma L+H'!$E99,0,'L+H Monthly CF'!P$3)/12</f>
        <v>32659.114583333339</v>
      </c>
      <c r="Q70" s="32">
        <f ca="1">OFFSET('Proforma L+H'!$E99,0,'L+H Monthly CF'!Q$3)/12</f>
        <v>11876.041666666666</v>
      </c>
      <c r="R70" s="32">
        <f ca="1">OFFSET('Proforma L+H'!$E99,0,'L+H Monthly CF'!R$3)/12</f>
        <v>11876.041666666666</v>
      </c>
      <c r="S70" s="12">
        <f ca="1">OFFSET('Proforma L+H'!$E99,0,'L+H Monthly CF'!S$3)/12</f>
        <v>11876.041666666666</v>
      </c>
      <c r="T70" s="12">
        <f ca="1">OFFSET('Proforma L+H'!$E99,0,'L+H Monthly CF'!T$3)/12</f>
        <v>11876.041666666666</v>
      </c>
      <c r="U70" s="12">
        <f ca="1">OFFSET('Proforma L+H'!$E99,0,'L+H Monthly CF'!U$3)/12</f>
        <v>11876.041666666666</v>
      </c>
      <c r="V70" s="12">
        <f ca="1">OFFSET('Proforma L+H'!$E99,0,'L+H Monthly CF'!V$3)/12</f>
        <v>11876.041666666666</v>
      </c>
      <c r="W70" s="12">
        <f ca="1">OFFSET('Proforma L+H'!$E99,0,'L+H Monthly CF'!W$3)/12</f>
        <v>11876.041666666666</v>
      </c>
      <c r="X70" s="12">
        <f ca="1">OFFSET('Proforma L+H'!$E99,0,'L+H Monthly CF'!X$3)/12</f>
        <v>11876.041666666666</v>
      </c>
      <c r="Y70" s="12">
        <f ca="1">OFFSET('Proforma L+H'!$E99,0,'L+H Monthly CF'!Y$3)/12</f>
        <v>11876.041666666666</v>
      </c>
      <c r="Z70" s="12">
        <f ca="1">OFFSET('Proforma L+H'!$E99,0,'L+H Monthly CF'!Z$3)/12</f>
        <v>11876.041666666666</v>
      </c>
      <c r="AA70" s="12">
        <f ca="1">OFFSET('Proforma L+H'!$E99,0,'L+H Monthly CF'!AA$3)/12</f>
        <v>11876.041666666666</v>
      </c>
      <c r="AB70" s="12">
        <f ca="1">OFFSET('Proforma L+H'!$E99,0,'L+H Monthly CF'!AB$3)/12</f>
        <v>11876.041666666666</v>
      </c>
      <c r="AC70" s="12">
        <f ca="1">OFFSET('Proforma L+H'!$E99,0,'L+H Monthly CF'!AC$3)/12</f>
        <v>11876.041666666666</v>
      </c>
      <c r="AD70" s="12">
        <f ca="1">OFFSET('Proforma L+H'!$E99,0,'L+H Monthly CF'!AD$3)/12</f>
        <v>11876.041666666666</v>
      </c>
      <c r="AE70" s="12">
        <f ca="1">OFFSET('Proforma L+H'!$E99,0,'L+H Monthly CF'!AE$3)/12</f>
        <v>11876.041666666666</v>
      </c>
      <c r="AF70" s="12">
        <f ca="1">OFFSET('Proforma L+H'!$E99,0,'L+H Monthly CF'!AF$3)/12</f>
        <v>11876.041666666666</v>
      </c>
      <c r="AG70" s="12">
        <f ca="1">OFFSET('Proforma L+H'!$E99,0,'L+H Monthly CF'!AG$3)/12</f>
        <v>11876.041666666666</v>
      </c>
      <c r="AH70" s="12">
        <f ca="1">OFFSET('Proforma L+H'!$E99,0,'L+H Monthly CF'!AH$3)/12</f>
        <v>11876.041666666666</v>
      </c>
      <c r="AI70" s="12">
        <f ca="1">OFFSET('Proforma L+H'!$E99,0,'L+H Monthly CF'!AI$3)/12</f>
        <v>11876.041666666666</v>
      </c>
      <c r="AJ70" s="12">
        <f ca="1">OFFSET('Proforma L+H'!$E99,0,'L+H Monthly CF'!AJ$3)/12</f>
        <v>11876.041666666666</v>
      </c>
      <c r="AK70" s="12">
        <f ca="1">OFFSET('Proforma L+H'!$E99,0,'L+H Monthly CF'!AK$3)/12</f>
        <v>11876.041666666666</v>
      </c>
      <c r="AL70" s="12">
        <f ca="1">OFFSET('Proforma L+H'!$E99,0,'L+H Monthly CF'!AL$3)/12</f>
        <v>11876.041666666666</v>
      </c>
      <c r="AM70" s="12">
        <f ca="1">OFFSET('Proforma L+H'!$E99,0,'L+H Monthly CF'!AM$3)/12</f>
        <v>11876.041666666666</v>
      </c>
      <c r="AN70" s="12">
        <f ca="1">OFFSET('Proforma L+H'!$E99,0,'L+H Monthly CF'!AN$3)/12</f>
        <v>11876.041666666666</v>
      </c>
      <c r="AO70" s="12">
        <f ca="1">OFFSET('Proforma L+H'!$E99,0,'L+H Monthly CF'!AO$3)/12</f>
        <v>2969.0104166666665</v>
      </c>
      <c r="AP70" s="12">
        <f ca="1">OFFSET('Proforma L+H'!$E99,0,'L+H Monthly CF'!AP$3)/12</f>
        <v>2969.0104166666665</v>
      </c>
      <c r="AQ70" s="12">
        <f ca="1">OFFSET('Proforma L+H'!$E99,0,'L+H Monthly CF'!AQ$3)/12</f>
        <v>2969.0104166666665</v>
      </c>
      <c r="AR70" s="12">
        <f ca="1">OFFSET('Proforma L+H'!$E99,0,'L+H Monthly CF'!AR$3)/12</f>
        <v>2969.0104166666665</v>
      </c>
      <c r="AS70" s="12">
        <f ca="1">OFFSET('Proforma L+H'!$E99,0,'L+H Monthly CF'!AS$3)/12</f>
        <v>2969.0104166666665</v>
      </c>
      <c r="AT70" s="12">
        <f ca="1">OFFSET('Proforma L+H'!$E99,0,'L+H Monthly CF'!AT$3)/12</f>
        <v>2969.0104166666665</v>
      </c>
      <c r="AU70" s="12">
        <f ca="1">OFFSET('Proforma L+H'!$E99,0,'L+H Monthly CF'!AU$3)/12</f>
        <v>2969.0104166666665</v>
      </c>
      <c r="AV70" s="12">
        <f ca="1">OFFSET('Proforma L+H'!$E99,0,'L+H Monthly CF'!AV$3)/12</f>
        <v>2969.0104166666665</v>
      </c>
      <c r="AW70" s="12">
        <f ca="1">OFFSET('Proforma L+H'!$E99,0,'L+H Monthly CF'!AW$3)/12</f>
        <v>2969.0104166666665</v>
      </c>
      <c r="AX70" s="12">
        <f ca="1">OFFSET('Proforma L+H'!$E99,0,'L+H Monthly CF'!AX$3)/12</f>
        <v>2969.0104166666665</v>
      </c>
      <c r="AY70" s="12">
        <f ca="1">OFFSET('Proforma L+H'!$E99,0,'L+H Monthly CF'!AY$3)/12</f>
        <v>2969.0104166666665</v>
      </c>
      <c r="AZ70" s="12">
        <f ca="1">OFFSET('Proforma L+H'!$E99,0,'L+H Monthly CF'!AZ$3)/12</f>
        <v>2969.0104166666665</v>
      </c>
      <c r="BA70" s="12">
        <f t="shared" ca="1" si="34"/>
        <v>712562.4999999993</v>
      </c>
      <c r="BB70" s="758">
        <f ca="1">SUM('Proforma L+H'!E99:H99)-BA70</f>
        <v>0</v>
      </c>
    </row>
    <row r="71" spans="1:54" hidden="1" outlineLevel="1" x14ac:dyDescent="0.2">
      <c r="A71" s="2"/>
      <c r="B71" s="163" t="str">
        <f>'Proforma L+H'!B100</f>
        <v>Traffic, Enviro, Economist &amp; Misc. Studies</v>
      </c>
      <c r="C71" s="80">
        <v>300000</v>
      </c>
      <c r="D71" s="80"/>
      <c r="E71" s="67">
        <f ca="1">OFFSET('Proforma L+H'!$E100,0,'L+H Monthly CF'!E$3)/12</f>
        <v>25000</v>
      </c>
      <c r="F71" s="67">
        <f ca="1">OFFSET('Proforma L+H'!$E100,0,'L+H Monthly CF'!F$3)/12</f>
        <v>25000</v>
      </c>
      <c r="G71" s="32">
        <f ca="1">OFFSET('Proforma L+H'!$E100,0,'L+H Monthly CF'!G$3)/12</f>
        <v>25000</v>
      </c>
      <c r="H71" s="32">
        <f ca="1">OFFSET('Proforma L+H'!$E100,0,'L+H Monthly CF'!H$3)/12</f>
        <v>25000</v>
      </c>
      <c r="I71" s="32">
        <f ca="1">OFFSET('Proforma L+H'!$E100,0,'L+H Monthly CF'!I$3)/12</f>
        <v>25000</v>
      </c>
      <c r="J71" s="32">
        <f ca="1">OFFSET('Proforma L+H'!$E100,0,'L+H Monthly CF'!J$3)/12</f>
        <v>25000</v>
      </c>
      <c r="K71" s="32">
        <f ca="1">OFFSET('Proforma L+H'!$E100,0,'L+H Monthly CF'!K$3)/12</f>
        <v>25000</v>
      </c>
      <c r="L71" s="32">
        <f ca="1">OFFSET('Proforma L+H'!$E100,0,'L+H Monthly CF'!L$3)/12</f>
        <v>25000</v>
      </c>
      <c r="M71" s="32">
        <f ca="1">OFFSET('Proforma L+H'!$E100,0,'L+H Monthly CF'!M$3)/12</f>
        <v>25000</v>
      </c>
      <c r="N71" s="32">
        <f ca="1">OFFSET('Proforma L+H'!$E100,0,'L+H Monthly CF'!N$3)/12</f>
        <v>25000</v>
      </c>
      <c r="O71" s="32">
        <f ca="1">OFFSET('Proforma L+H'!$E100,0,'L+H Monthly CF'!O$3)/12</f>
        <v>25000</v>
      </c>
      <c r="P71" s="32">
        <f ca="1">OFFSET('Proforma L+H'!$E100,0,'L+H Monthly CF'!P$3)/12</f>
        <v>25000</v>
      </c>
      <c r="Q71" s="32">
        <f ca="1">OFFSET('Proforma L+H'!$E100,0,'L+H Monthly CF'!Q$3)/12</f>
        <v>0</v>
      </c>
      <c r="R71" s="32">
        <f ca="1">OFFSET('Proforma L+H'!$E100,0,'L+H Monthly CF'!R$3)/12</f>
        <v>0</v>
      </c>
      <c r="S71" s="12">
        <f ca="1">OFFSET('Proforma L+H'!$E100,0,'L+H Monthly CF'!S$3)/12</f>
        <v>0</v>
      </c>
      <c r="T71" s="12">
        <f ca="1">OFFSET('Proforma L+H'!$E100,0,'L+H Monthly CF'!T$3)/12</f>
        <v>0</v>
      </c>
      <c r="U71" s="12">
        <f ca="1">OFFSET('Proforma L+H'!$E100,0,'L+H Monthly CF'!U$3)/12</f>
        <v>0</v>
      </c>
      <c r="V71" s="12">
        <f ca="1">OFFSET('Proforma L+H'!$E100,0,'L+H Monthly CF'!V$3)/12</f>
        <v>0</v>
      </c>
      <c r="W71" s="12">
        <f ca="1">OFFSET('Proforma L+H'!$E100,0,'L+H Monthly CF'!W$3)/12</f>
        <v>0</v>
      </c>
      <c r="X71" s="12">
        <f ca="1">OFFSET('Proforma L+H'!$E100,0,'L+H Monthly CF'!X$3)/12</f>
        <v>0</v>
      </c>
      <c r="Y71" s="12">
        <f ca="1">OFFSET('Proforma L+H'!$E100,0,'L+H Monthly CF'!Y$3)/12</f>
        <v>0</v>
      </c>
      <c r="Z71" s="12">
        <f ca="1">OFFSET('Proforma L+H'!$E100,0,'L+H Monthly CF'!Z$3)/12</f>
        <v>0</v>
      </c>
      <c r="AA71" s="12">
        <f ca="1">OFFSET('Proforma L+H'!$E100,0,'L+H Monthly CF'!AA$3)/12</f>
        <v>0</v>
      </c>
      <c r="AB71" s="12">
        <f ca="1">OFFSET('Proforma L+H'!$E100,0,'L+H Monthly CF'!AB$3)/12</f>
        <v>0</v>
      </c>
      <c r="AC71" s="12">
        <f ca="1">OFFSET('Proforma L+H'!$E100,0,'L+H Monthly CF'!AC$3)/12</f>
        <v>0</v>
      </c>
      <c r="AD71" s="12">
        <f ca="1">OFFSET('Proforma L+H'!$E100,0,'L+H Monthly CF'!AD$3)/12</f>
        <v>0</v>
      </c>
      <c r="AE71" s="12">
        <f ca="1">OFFSET('Proforma L+H'!$E100,0,'L+H Monthly CF'!AE$3)/12</f>
        <v>0</v>
      </c>
      <c r="AF71" s="12">
        <f ca="1">OFFSET('Proforma L+H'!$E100,0,'L+H Monthly CF'!AF$3)/12</f>
        <v>0</v>
      </c>
      <c r="AG71" s="12">
        <f ca="1">OFFSET('Proforma L+H'!$E100,0,'L+H Monthly CF'!AG$3)/12</f>
        <v>0</v>
      </c>
      <c r="AH71" s="12">
        <f ca="1">OFFSET('Proforma L+H'!$E100,0,'L+H Monthly CF'!AH$3)/12</f>
        <v>0</v>
      </c>
      <c r="AI71" s="12">
        <f ca="1">OFFSET('Proforma L+H'!$E100,0,'L+H Monthly CF'!AI$3)/12</f>
        <v>0</v>
      </c>
      <c r="AJ71" s="12">
        <f ca="1">OFFSET('Proforma L+H'!$E100,0,'L+H Monthly CF'!AJ$3)/12</f>
        <v>0</v>
      </c>
      <c r="AK71" s="12">
        <f ca="1">OFFSET('Proforma L+H'!$E100,0,'L+H Monthly CF'!AK$3)/12</f>
        <v>0</v>
      </c>
      <c r="AL71" s="12">
        <f ca="1">OFFSET('Proforma L+H'!$E100,0,'L+H Monthly CF'!AL$3)/12</f>
        <v>0</v>
      </c>
      <c r="AM71" s="12">
        <f ca="1">OFFSET('Proforma L+H'!$E100,0,'L+H Monthly CF'!AM$3)/12</f>
        <v>0</v>
      </c>
      <c r="AN71" s="12">
        <f ca="1">OFFSET('Proforma L+H'!$E100,0,'L+H Monthly CF'!AN$3)/12</f>
        <v>0</v>
      </c>
      <c r="AO71" s="12">
        <f ca="1">OFFSET('Proforma L+H'!$E100,0,'L+H Monthly CF'!AO$3)/12</f>
        <v>0</v>
      </c>
      <c r="AP71" s="12">
        <f ca="1">OFFSET('Proforma L+H'!$E100,0,'L+H Monthly CF'!AP$3)/12</f>
        <v>0</v>
      </c>
      <c r="AQ71" s="12">
        <f ca="1">OFFSET('Proforma L+H'!$E100,0,'L+H Monthly CF'!AQ$3)/12</f>
        <v>0</v>
      </c>
      <c r="AR71" s="12">
        <f ca="1">OFFSET('Proforma L+H'!$E100,0,'L+H Monthly CF'!AR$3)/12</f>
        <v>0</v>
      </c>
      <c r="AS71" s="12">
        <f ca="1">OFFSET('Proforma L+H'!$E100,0,'L+H Monthly CF'!AS$3)/12</f>
        <v>0</v>
      </c>
      <c r="AT71" s="12">
        <f ca="1">OFFSET('Proforma L+H'!$E100,0,'L+H Monthly CF'!AT$3)/12</f>
        <v>0</v>
      </c>
      <c r="AU71" s="12">
        <f ca="1">OFFSET('Proforma L+H'!$E100,0,'L+H Monthly CF'!AU$3)/12</f>
        <v>0</v>
      </c>
      <c r="AV71" s="12">
        <f ca="1">OFFSET('Proforma L+H'!$E100,0,'L+H Monthly CF'!AV$3)/12</f>
        <v>0</v>
      </c>
      <c r="AW71" s="12">
        <f ca="1">OFFSET('Proforma L+H'!$E100,0,'L+H Monthly CF'!AW$3)/12</f>
        <v>0</v>
      </c>
      <c r="AX71" s="12">
        <f ca="1">OFFSET('Proforma L+H'!$E100,0,'L+H Monthly CF'!AX$3)/12</f>
        <v>0</v>
      </c>
      <c r="AY71" s="12">
        <f ca="1">OFFSET('Proforma L+H'!$E100,0,'L+H Monthly CF'!AY$3)/12</f>
        <v>0</v>
      </c>
      <c r="AZ71" s="12">
        <f ca="1">OFFSET('Proforma L+H'!$E100,0,'L+H Monthly CF'!AZ$3)/12</f>
        <v>0</v>
      </c>
      <c r="BA71" s="12">
        <f t="shared" ca="1" si="34"/>
        <v>300000</v>
      </c>
      <c r="BB71" s="758">
        <f ca="1">SUM('Proforma L+H'!E100:H100)-BA71</f>
        <v>0</v>
      </c>
    </row>
    <row r="72" spans="1:54" hidden="1" outlineLevel="1" x14ac:dyDescent="0.2">
      <c r="A72" s="2"/>
      <c r="B72" s="163" t="str">
        <f>'Proforma L+H'!B101</f>
        <v>Legal / Entitlement</v>
      </c>
      <c r="C72" s="10">
        <v>400000</v>
      </c>
      <c r="D72" s="10"/>
      <c r="E72" s="67">
        <f ca="1">OFFSET('Proforma L+H'!$E101,0,'L+H Monthly CF'!E$3)/12</f>
        <v>25000</v>
      </c>
      <c r="F72" s="67">
        <f ca="1">OFFSET('Proforma L+H'!$E101,0,'L+H Monthly CF'!F$3)/12</f>
        <v>25000</v>
      </c>
      <c r="G72" s="32">
        <f ca="1">OFFSET('Proforma L+H'!$E101,0,'L+H Monthly CF'!G$3)/12</f>
        <v>25000</v>
      </c>
      <c r="H72" s="32">
        <f ca="1">OFFSET('Proforma L+H'!$E101,0,'L+H Monthly CF'!H$3)/12</f>
        <v>25000</v>
      </c>
      <c r="I72" s="32">
        <f ca="1">OFFSET('Proforma L+H'!$E101,0,'L+H Monthly CF'!I$3)/12</f>
        <v>25000</v>
      </c>
      <c r="J72" s="32">
        <f ca="1">OFFSET('Proforma L+H'!$E101,0,'L+H Monthly CF'!J$3)/12</f>
        <v>25000</v>
      </c>
      <c r="K72" s="32">
        <f ca="1">OFFSET('Proforma L+H'!$E101,0,'L+H Monthly CF'!K$3)/12</f>
        <v>25000</v>
      </c>
      <c r="L72" s="32">
        <f ca="1">OFFSET('Proforma L+H'!$E101,0,'L+H Monthly CF'!L$3)/12</f>
        <v>25000</v>
      </c>
      <c r="M72" s="32">
        <f ca="1">OFFSET('Proforma L+H'!$E101,0,'L+H Monthly CF'!M$3)/12</f>
        <v>25000</v>
      </c>
      <c r="N72" s="32">
        <f ca="1">OFFSET('Proforma L+H'!$E101,0,'L+H Monthly CF'!N$3)/12</f>
        <v>25000</v>
      </c>
      <c r="O72" s="32">
        <f ca="1">OFFSET('Proforma L+H'!$E101,0,'L+H Monthly CF'!O$3)/12</f>
        <v>25000</v>
      </c>
      <c r="P72" s="32">
        <f ca="1">OFFSET('Proforma L+H'!$E101,0,'L+H Monthly CF'!P$3)/12</f>
        <v>25000</v>
      </c>
      <c r="Q72" s="32">
        <f ca="1">OFFSET('Proforma L+H'!$E101,0,'L+H Monthly CF'!Q$3)/12</f>
        <v>8333.3333333333339</v>
      </c>
      <c r="R72" s="32">
        <f ca="1">OFFSET('Proforma L+H'!$E101,0,'L+H Monthly CF'!R$3)/12</f>
        <v>8333.3333333333339</v>
      </c>
      <c r="S72" s="12">
        <f ca="1">OFFSET('Proforma L+H'!$E101,0,'L+H Monthly CF'!S$3)/12</f>
        <v>8333.3333333333339</v>
      </c>
      <c r="T72" s="12">
        <f ca="1">OFFSET('Proforma L+H'!$E101,0,'L+H Monthly CF'!T$3)/12</f>
        <v>8333.3333333333339</v>
      </c>
      <c r="U72" s="12">
        <f ca="1">OFFSET('Proforma L+H'!$E101,0,'L+H Monthly CF'!U$3)/12</f>
        <v>8333.3333333333339</v>
      </c>
      <c r="V72" s="12">
        <f ca="1">OFFSET('Proforma L+H'!$E101,0,'L+H Monthly CF'!V$3)/12</f>
        <v>8333.3333333333339</v>
      </c>
      <c r="W72" s="12">
        <f ca="1">OFFSET('Proforma L+H'!$E101,0,'L+H Monthly CF'!W$3)/12</f>
        <v>8333.3333333333339</v>
      </c>
      <c r="X72" s="12">
        <f ca="1">OFFSET('Proforma L+H'!$E101,0,'L+H Monthly CF'!X$3)/12</f>
        <v>8333.3333333333339</v>
      </c>
      <c r="Y72" s="12">
        <f ca="1">OFFSET('Proforma L+H'!$E101,0,'L+H Monthly CF'!Y$3)/12</f>
        <v>8333.3333333333339</v>
      </c>
      <c r="Z72" s="12">
        <f ca="1">OFFSET('Proforma L+H'!$E101,0,'L+H Monthly CF'!Z$3)/12</f>
        <v>8333.3333333333339</v>
      </c>
      <c r="AA72" s="12">
        <f ca="1">OFFSET('Proforma L+H'!$E101,0,'L+H Monthly CF'!AA$3)/12</f>
        <v>8333.3333333333339</v>
      </c>
      <c r="AB72" s="12">
        <f ca="1">OFFSET('Proforma L+H'!$E101,0,'L+H Monthly CF'!AB$3)/12</f>
        <v>8333.3333333333339</v>
      </c>
      <c r="AC72" s="12">
        <f ca="1">OFFSET('Proforma L+H'!$E101,0,'L+H Monthly CF'!AC$3)/12</f>
        <v>0</v>
      </c>
      <c r="AD72" s="12">
        <f ca="1">OFFSET('Proforma L+H'!$E101,0,'L+H Monthly CF'!AD$3)/12</f>
        <v>0</v>
      </c>
      <c r="AE72" s="12">
        <f ca="1">OFFSET('Proforma L+H'!$E101,0,'L+H Monthly CF'!AE$3)/12</f>
        <v>0</v>
      </c>
      <c r="AF72" s="12">
        <f ca="1">OFFSET('Proforma L+H'!$E101,0,'L+H Monthly CF'!AF$3)/12</f>
        <v>0</v>
      </c>
      <c r="AG72" s="12">
        <f ca="1">OFFSET('Proforma L+H'!$E101,0,'L+H Monthly CF'!AG$3)/12</f>
        <v>0</v>
      </c>
      <c r="AH72" s="12">
        <f ca="1">OFFSET('Proforma L+H'!$E101,0,'L+H Monthly CF'!AH$3)/12</f>
        <v>0</v>
      </c>
      <c r="AI72" s="12">
        <f ca="1">OFFSET('Proforma L+H'!$E101,0,'L+H Monthly CF'!AI$3)/12</f>
        <v>0</v>
      </c>
      <c r="AJ72" s="12">
        <f ca="1">OFFSET('Proforma L+H'!$E101,0,'L+H Monthly CF'!AJ$3)/12</f>
        <v>0</v>
      </c>
      <c r="AK72" s="12">
        <f ca="1">OFFSET('Proforma L+H'!$E101,0,'L+H Monthly CF'!AK$3)/12</f>
        <v>0</v>
      </c>
      <c r="AL72" s="12">
        <f ca="1">OFFSET('Proforma L+H'!$E101,0,'L+H Monthly CF'!AL$3)/12</f>
        <v>0</v>
      </c>
      <c r="AM72" s="12">
        <f ca="1">OFFSET('Proforma L+H'!$E101,0,'L+H Monthly CF'!AM$3)/12</f>
        <v>0</v>
      </c>
      <c r="AN72" s="12">
        <f ca="1">OFFSET('Proforma L+H'!$E101,0,'L+H Monthly CF'!AN$3)/12</f>
        <v>0</v>
      </c>
      <c r="AO72" s="12">
        <f ca="1">OFFSET('Proforma L+H'!$E101,0,'L+H Monthly CF'!AO$3)/12</f>
        <v>0</v>
      </c>
      <c r="AP72" s="12">
        <f ca="1">OFFSET('Proforma L+H'!$E101,0,'L+H Monthly CF'!AP$3)/12</f>
        <v>0</v>
      </c>
      <c r="AQ72" s="12">
        <f ca="1">OFFSET('Proforma L+H'!$E101,0,'L+H Monthly CF'!AQ$3)/12</f>
        <v>0</v>
      </c>
      <c r="AR72" s="12">
        <f ca="1">OFFSET('Proforma L+H'!$E101,0,'L+H Monthly CF'!AR$3)/12</f>
        <v>0</v>
      </c>
      <c r="AS72" s="12">
        <f ca="1">OFFSET('Proforma L+H'!$E101,0,'L+H Monthly CF'!AS$3)/12</f>
        <v>0</v>
      </c>
      <c r="AT72" s="12">
        <f ca="1">OFFSET('Proforma L+H'!$E101,0,'L+H Monthly CF'!AT$3)/12</f>
        <v>0</v>
      </c>
      <c r="AU72" s="12">
        <f ca="1">OFFSET('Proforma L+H'!$E101,0,'L+H Monthly CF'!AU$3)/12</f>
        <v>0</v>
      </c>
      <c r="AV72" s="12">
        <f ca="1">OFFSET('Proforma L+H'!$E101,0,'L+H Monthly CF'!AV$3)/12</f>
        <v>0</v>
      </c>
      <c r="AW72" s="12">
        <f ca="1">OFFSET('Proforma L+H'!$E101,0,'L+H Monthly CF'!AW$3)/12</f>
        <v>0</v>
      </c>
      <c r="AX72" s="12">
        <f ca="1">OFFSET('Proforma L+H'!$E101,0,'L+H Monthly CF'!AX$3)/12</f>
        <v>0</v>
      </c>
      <c r="AY72" s="12">
        <f ca="1">OFFSET('Proforma L+H'!$E101,0,'L+H Monthly CF'!AY$3)/12</f>
        <v>0</v>
      </c>
      <c r="AZ72" s="12">
        <f ca="1">OFFSET('Proforma L+H'!$E101,0,'L+H Monthly CF'!AZ$3)/12</f>
        <v>0</v>
      </c>
      <c r="BA72" s="12">
        <f t="shared" ca="1" si="34"/>
        <v>399999.99999999977</v>
      </c>
      <c r="BB72" s="758">
        <f ca="1">SUM('Proforma L+H'!E101:H101)-BA72</f>
        <v>0</v>
      </c>
    </row>
    <row r="73" spans="1:54" hidden="1" outlineLevel="1" x14ac:dyDescent="0.2">
      <c r="A73" s="2"/>
      <c r="B73" s="163" t="str">
        <f>'Proforma L+H'!B102</f>
        <v>Accounting &amp; CPA costs ($ per year)</v>
      </c>
      <c r="C73" s="10">
        <v>10000</v>
      </c>
      <c r="D73" s="10"/>
      <c r="E73" s="61">
        <f ca="1">OFFSET('Proforma L+H'!$E102,0,'L+H Monthly CF'!E$3)/12</f>
        <v>833.33333333333337</v>
      </c>
      <c r="F73" s="61">
        <f ca="1">OFFSET('Proforma L+H'!$E102,0,'L+H Monthly CF'!F$3)/12</f>
        <v>833.33333333333337</v>
      </c>
      <c r="G73" s="61">
        <f ca="1">OFFSET('Proforma L+H'!$E102,0,'L+H Monthly CF'!G$3)/12</f>
        <v>833.33333333333337</v>
      </c>
      <c r="H73" s="61">
        <f ca="1">OFFSET('Proforma L+H'!$E102,0,'L+H Monthly CF'!H$3)/12</f>
        <v>833.33333333333337</v>
      </c>
      <c r="I73" s="32">
        <f ca="1">OFFSET('Proforma L+H'!$E102,0,'L+H Monthly CF'!I$3)/12</f>
        <v>833.33333333333337</v>
      </c>
      <c r="J73" s="32">
        <f ca="1">OFFSET('Proforma L+H'!$E102,0,'L+H Monthly CF'!J$3)/12</f>
        <v>833.33333333333337</v>
      </c>
      <c r="K73" s="32">
        <f ca="1">OFFSET('Proforma L+H'!$E102,0,'L+H Monthly CF'!K$3)/12</f>
        <v>833.33333333333337</v>
      </c>
      <c r="L73" s="32">
        <f ca="1">OFFSET('Proforma L+H'!$E102,0,'L+H Monthly CF'!L$3)/12</f>
        <v>833.33333333333337</v>
      </c>
      <c r="M73" s="32">
        <f ca="1">OFFSET('Proforma L+H'!$E102,0,'L+H Monthly CF'!M$3)/12</f>
        <v>833.33333333333337</v>
      </c>
      <c r="N73" s="32">
        <f ca="1">OFFSET('Proforma L+H'!$E102,0,'L+H Monthly CF'!N$3)/12</f>
        <v>833.33333333333337</v>
      </c>
      <c r="O73" s="32">
        <f ca="1">OFFSET('Proforma L+H'!$E102,0,'L+H Monthly CF'!O$3)/12</f>
        <v>833.33333333333337</v>
      </c>
      <c r="P73" s="32">
        <f ca="1">OFFSET('Proforma L+H'!$E102,0,'L+H Monthly CF'!P$3)/12</f>
        <v>833.33333333333337</v>
      </c>
      <c r="Q73" s="32">
        <f ca="1">OFFSET('Proforma L+H'!$E102,0,'L+H Monthly CF'!Q$3)/12</f>
        <v>833.33333333333337</v>
      </c>
      <c r="R73" s="32">
        <f ca="1">OFFSET('Proforma L+H'!$E102,0,'L+H Monthly CF'!R$3)/12</f>
        <v>833.33333333333337</v>
      </c>
      <c r="S73" s="12">
        <f ca="1">OFFSET('Proforma L+H'!$E102,0,'L+H Monthly CF'!S$3)/12</f>
        <v>833.33333333333337</v>
      </c>
      <c r="T73" s="12">
        <f ca="1">OFFSET('Proforma L+H'!$E102,0,'L+H Monthly CF'!T$3)/12</f>
        <v>833.33333333333337</v>
      </c>
      <c r="U73" s="12">
        <f ca="1">OFFSET('Proforma L+H'!$E102,0,'L+H Monthly CF'!U$3)/12</f>
        <v>833.33333333333337</v>
      </c>
      <c r="V73" s="12">
        <f ca="1">OFFSET('Proforma L+H'!$E102,0,'L+H Monthly CF'!V$3)/12</f>
        <v>833.33333333333337</v>
      </c>
      <c r="W73" s="12">
        <f ca="1">OFFSET('Proforma L+H'!$E102,0,'L+H Monthly CF'!W$3)/12</f>
        <v>833.33333333333337</v>
      </c>
      <c r="X73" s="12">
        <f ca="1">OFFSET('Proforma L+H'!$E102,0,'L+H Monthly CF'!X$3)/12</f>
        <v>833.33333333333337</v>
      </c>
      <c r="Y73" s="12">
        <f ca="1">OFFSET('Proforma L+H'!$E102,0,'L+H Monthly CF'!Y$3)/12</f>
        <v>833.33333333333337</v>
      </c>
      <c r="Z73" s="12">
        <f ca="1">OFFSET('Proforma L+H'!$E102,0,'L+H Monthly CF'!Z$3)/12</f>
        <v>833.33333333333337</v>
      </c>
      <c r="AA73" s="12">
        <f ca="1">OFFSET('Proforma L+H'!$E102,0,'L+H Monthly CF'!AA$3)/12</f>
        <v>833.33333333333337</v>
      </c>
      <c r="AB73" s="12">
        <f ca="1">OFFSET('Proforma L+H'!$E102,0,'L+H Monthly CF'!AB$3)/12</f>
        <v>833.33333333333337</v>
      </c>
      <c r="AC73" s="12">
        <f ca="1">OFFSET('Proforma L+H'!$E102,0,'L+H Monthly CF'!AC$3)/12</f>
        <v>833.33333333333337</v>
      </c>
      <c r="AD73" s="12">
        <f ca="1">OFFSET('Proforma L+H'!$E102,0,'L+H Monthly CF'!AD$3)/12</f>
        <v>833.33333333333337</v>
      </c>
      <c r="AE73" s="12">
        <f ca="1">OFFSET('Proforma L+H'!$E102,0,'L+H Monthly CF'!AE$3)/12</f>
        <v>833.33333333333337</v>
      </c>
      <c r="AF73" s="12">
        <f ca="1">OFFSET('Proforma L+H'!$E102,0,'L+H Monthly CF'!AF$3)/12</f>
        <v>833.33333333333337</v>
      </c>
      <c r="AG73" s="12">
        <f ca="1">OFFSET('Proforma L+H'!$E102,0,'L+H Monthly CF'!AG$3)/12</f>
        <v>833.33333333333337</v>
      </c>
      <c r="AH73" s="12">
        <f ca="1">OFFSET('Proforma L+H'!$E102,0,'L+H Monthly CF'!AH$3)/12</f>
        <v>833.33333333333337</v>
      </c>
      <c r="AI73" s="12">
        <f ca="1">OFFSET('Proforma L+H'!$E102,0,'L+H Monthly CF'!AI$3)/12</f>
        <v>833.33333333333337</v>
      </c>
      <c r="AJ73" s="12">
        <f ca="1">OFFSET('Proforma L+H'!$E102,0,'L+H Monthly CF'!AJ$3)/12</f>
        <v>833.33333333333337</v>
      </c>
      <c r="AK73" s="12">
        <f ca="1">OFFSET('Proforma L+H'!$E102,0,'L+H Monthly CF'!AK$3)/12</f>
        <v>833.33333333333337</v>
      </c>
      <c r="AL73" s="12">
        <f ca="1">OFFSET('Proforma L+H'!$E102,0,'L+H Monthly CF'!AL$3)/12</f>
        <v>833.33333333333337</v>
      </c>
      <c r="AM73" s="12">
        <f ca="1">OFFSET('Proforma L+H'!$E102,0,'L+H Monthly CF'!AM$3)/12</f>
        <v>833.33333333333337</v>
      </c>
      <c r="AN73" s="12">
        <f ca="1">OFFSET('Proforma L+H'!$E102,0,'L+H Monthly CF'!AN$3)/12</f>
        <v>833.33333333333337</v>
      </c>
      <c r="AO73" s="12">
        <f ca="1">OFFSET('Proforma L+H'!$E102,0,'L+H Monthly CF'!AO$3)/12</f>
        <v>833.33333333333337</v>
      </c>
      <c r="AP73" s="12">
        <f ca="1">OFFSET('Proforma L+H'!$E102,0,'L+H Monthly CF'!AP$3)/12</f>
        <v>833.33333333333337</v>
      </c>
      <c r="AQ73" s="12">
        <f ca="1">OFFSET('Proforma L+H'!$E102,0,'L+H Monthly CF'!AQ$3)/12</f>
        <v>833.33333333333337</v>
      </c>
      <c r="AR73" s="12">
        <f ca="1">OFFSET('Proforma L+H'!$E102,0,'L+H Monthly CF'!AR$3)/12</f>
        <v>833.33333333333337</v>
      </c>
      <c r="AS73" s="12">
        <f ca="1">OFFSET('Proforma L+H'!$E102,0,'L+H Monthly CF'!AS$3)/12</f>
        <v>833.33333333333337</v>
      </c>
      <c r="AT73" s="12">
        <f ca="1">OFFSET('Proforma L+H'!$E102,0,'L+H Monthly CF'!AT$3)/12</f>
        <v>833.33333333333337</v>
      </c>
      <c r="AU73" s="12">
        <f ca="1">OFFSET('Proforma L+H'!$E102,0,'L+H Monthly CF'!AU$3)/12</f>
        <v>833.33333333333337</v>
      </c>
      <c r="AV73" s="12">
        <f ca="1">OFFSET('Proforma L+H'!$E102,0,'L+H Monthly CF'!AV$3)/12</f>
        <v>833.33333333333337</v>
      </c>
      <c r="AW73" s="12">
        <f ca="1">OFFSET('Proforma L+H'!$E102,0,'L+H Monthly CF'!AW$3)/12</f>
        <v>833.33333333333337</v>
      </c>
      <c r="AX73" s="12">
        <f ca="1">OFFSET('Proforma L+H'!$E102,0,'L+H Monthly CF'!AX$3)/12</f>
        <v>833.33333333333337</v>
      </c>
      <c r="AY73" s="12">
        <f ca="1">OFFSET('Proforma L+H'!$E102,0,'L+H Monthly CF'!AY$3)/12</f>
        <v>833.33333333333337</v>
      </c>
      <c r="AZ73" s="12">
        <f ca="1">OFFSET('Proforma L+H'!$E102,0,'L+H Monthly CF'!AZ$3)/12</f>
        <v>833.33333333333337</v>
      </c>
      <c r="BA73" s="12">
        <f t="shared" ca="1" si="34"/>
        <v>40000</v>
      </c>
      <c r="BB73" s="758">
        <f ca="1">SUM('Proforma L+H'!E102:H102)-BA73</f>
        <v>0</v>
      </c>
    </row>
    <row r="74" spans="1:54" hidden="1" outlineLevel="1" x14ac:dyDescent="0.2">
      <c r="A74" s="2"/>
      <c r="B74" s="168" t="str">
        <f>'Proforma L+H'!B103</f>
        <v>Professionals Contingency</v>
      </c>
      <c r="C74" s="547">
        <v>0.05</v>
      </c>
      <c r="D74" s="547"/>
      <c r="E74" s="22">
        <f ca="1">OFFSET('Proforma L+H'!$E103,0,'L+H Monthly CF'!E$3)/12</f>
        <v>6609.518229166667</v>
      </c>
      <c r="F74" s="22">
        <f ca="1">OFFSET('Proforma L+H'!$E103,0,'L+H Monthly CF'!F$3)/12</f>
        <v>6609.518229166667</v>
      </c>
      <c r="G74" s="22">
        <f ca="1">OFFSET('Proforma L+H'!$E103,0,'L+H Monthly CF'!G$3)/12</f>
        <v>6609.518229166667</v>
      </c>
      <c r="H74" s="22">
        <f ca="1">OFFSET('Proforma L+H'!$E103,0,'L+H Monthly CF'!H$3)/12</f>
        <v>6609.518229166667</v>
      </c>
      <c r="I74" s="22">
        <f ca="1">OFFSET('Proforma L+H'!$E103,0,'L+H Monthly CF'!I$3)/12</f>
        <v>6609.518229166667</v>
      </c>
      <c r="J74" s="22">
        <f ca="1">OFFSET('Proforma L+H'!$E103,0,'L+H Monthly CF'!J$3)/12</f>
        <v>6609.518229166667</v>
      </c>
      <c r="K74" s="22">
        <f ca="1">OFFSET('Proforma L+H'!$E103,0,'L+H Monthly CF'!K$3)/12</f>
        <v>6609.518229166667</v>
      </c>
      <c r="L74" s="22">
        <f ca="1">OFFSET('Proforma L+H'!$E103,0,'L+H Monthly CF'!L$3)/12</f>
        <v>6609.518229166667</v>
      </c>
      <c r="M74" s="22">
        <f ca="1">OFFSET('Proforma L+H'!$E103,0,'L+H Monthly CF'!M$3)/12</f>
        <v>6609.518229166667</v>
      </c>
      <c r="N74" s="22">
        <f ca="1">OFFSET('Proforma L+H'!$E103,0,'L+H Monthly CF'!N$3)/12</f>
        <v>6609.518229166667</v>
      </c>
      <c r="O74" s="22">
        <f ca="1">OFFSET('Proforma L+H'!$E103,0,'L+H Monthly CF'!O$3)/12</f>
        <v>6609.518229166667</v>
      </c>
      <c r="P74" s="22">
        <f ca="1">OFFSET('Proforma L+H'!$E103,0,'L+H Monthly CF'!P$3)/12</f>
        <v>6609.518229166667</v>
      </c>
      <c r="Q74" s="22">
        <f ca="1">OFFSET('Proforma L+H'!$E103,0,'L+H Monthly CF'!Q$3)/12</f>
        <v>3252.65625</v>
      </c>
      <c r="R74" s="21">
        <f ca="1">OFFSET('Proforma L+H'!$E103,0,'L+H Monthly CF'!R$3)/12</f>
        <v>3252.65625</v>
      </c>
      <c r="S74" s="21">
        <f ca="1">OFFSET('Proforma L+H'!$E103,0,'L+H Monthly CF'!S$3)/12</f>
        <v>3252.65625</v>
      </c>
      <c r="T74" s="21">
        <f ca="1">OFFSET('Proforma L+H'!$E103,0,'L+H Monthly CF'!T$3)/12</f>
        <v>3252.65625</v>
      </c>
      <c r="U74" s="21">
        <f ca="1">OFFSET('Proforma L+H'!$E103,0,'L+H Monthly CF'!U$3)/12</f>
        <v>3252.65625</v>
      </c>
      <c r="V74" s="21">
        <f ca="1">OFFSET('Proforma L+H'!$E103,0,'L+H Monthly CF'!V$3)/12</f>
        <v>3252.65625</v>
      </c>
      <c r="W74" s="21">
        <f ca="1">OFFSET('Proforma L+H'!$E103,0,'L+H Monthly CF'!W$3)/12</f>
        <v>3252.65625</v>
      </c>
      <c r="X74" s="21">
        <f ca="1">OFFSET('Proforma L+H'!$E103,0,'L+H Monthly CF'!X$3)/12</f>
        <v>3252.65625</v>
      </c>
      <c r="Y74" s="21">
        <f ca="1">OFFSET('Proforma L+H'!$E103,0,'L+H Monthly CF'!Y$3)/12</f>
        <v>3252.65625</v>
      </c>
      <c r="Z74" s="21">
        <f ca="1">OFFSET('Proforma L+H'!$E103,0,'L+H Monthly CF'!Z$3)/12</f>
        <v>3252.65625</v>
      </c>
      <c r="AA74" s="21">
        <f ca="1">OFFSET('Proforma L+H'!$E103,0,'L+H Monthly CF'!AA$3)/12</f>
        <v>3252.65625</v>
      </c>
      <c r="AB74" s="21">
        <f ca="1">OFFSET('Proforma L+H'!$E103,0,'L+H Monthly CF'!AB$3)/12</f>
        <v>3252.65625</v>
      </c>
      <c r="AC74" s="21">
        <f ca="1">OFFSET('Proforma L+H'!$E103,0,'L+H Monthly CF'!AC$3)/12</f>
        <v>2718.8020833333335</v>
      </c>
      <c r="AD74" s="21">
        <f ca="1">OFFSET('Proforma L+H'!$E103,0,'L+H Monthly CF'!AD$3)/12</f>
        <v>2718.8020833333335</v>
      </c>
      <c r="AE74" s="21">
        <f ca="1">OFFSET('Proforma L+H'!$E103,0,'L+H Monthly CF'!AE$3)/12</f>
        <v>2718.8020833333335</v>
      </c>
      <c r="AF74" s="21">
        <f ca="1">OFFSET('Proforma L+H'!$E103,0,'L+H Monthly CF'!AF$3)/12</f>
        <v>2718.8020833333335</v>
      </c>
      <c r="AG74" s="21">
        <f ca="1">OFFSET('Proforma L+H'!$E103,0,'L+H Monthly CF'!AG$3)/12</f>
        <v>2718.8020833333335</v>
      </c>
      <c r="AH74" s="21">
        <f ca="1">OFFSET('Proforma L+H'!$E103,0,'L+H Monthly CF'!AH$3)/12</f>
        <v>2718.8020833333335</v>
      </c>
      <c r="AI74" s="21">
        <f ca="1">OFFSET('Proforma L+H'!$E103,0,'L+H Monthly CF'!AI$3)/12</f>
        <v>2718.8020833333335</v>
      </c>
      <c r="AJ74" s="21">
        <f ca="1">OFFSET('Proforma L+H'!$E103,0,'L+H Monthly CF'!AJ$3)/12</f>
        <v>2718.8020833333335</v>
      </c>
      <c r="AK74" s="21">
        <f ca="1">OFFSET('Proforma L+H'!$E103,0,'L+H Monthly CF'!AK$3)/12</f>
        <v>2718.8020833333335</v>
      </c>
      <c r="AL74" s="21">
        <f ca="1">OFFSET('Proforma L+H'!$E103,0,'L+H Monthly CF'!AL$3)/12</f>
        <v>2718.8020833333335</v>
      </c>
      <c r="AM74" s="21">
        <f ca="1">OFFSET('Proforma L+H'!$E103,0,'L+H Monthly CF'!AM$3)/12</f>
        <v>2718.8020833333335</v>
      </c>
      <c r="AN74" s="21">
        <f ca="1">OFFSET('Proforma L+H'!$E103,0,'L+H Monthly CF'!AN$3)/12</f>
        <v>2718.8020833333335</v>
      </c>
      <c r="AO74" s="21">
        <f ca="1">OFFSET('Proforma L+H'!$E103,0,'L+H Monthly CF'!AO$3)/12</f>
        <v>2273.4505208333335</v>
      </c>
      <c r="AP74" s="21">
        <f ca="1">OFFSET('Proforma L+H'!$E103,0,'L+H Monthly CF'!AP$3)/12</f>
        <v>2273.4505208333335</v>
      </c>
      <c r="AQ74" s="21">
        <f ca="1">OFFSET('Proforma L+H'!$E103,0,'L+H Monthly CF'!AQ$3)/12</f>
        <v>2273.4505208333335</v>
      </c>
      <c r="AR74" s="21">
        <f ca="1">OFFSET('Proforma L+H'!$E103,0,'L+H Monthly CF'!AR$3)/12</f>
        <v>2273.4505208333335</v>
      </c>
      <c r="AS74" s="21">
        <f ca="1">OFFSET('Proforma L+H'!$E103,0,'L+H Monthly CF'!AS$3)/12</f>
        <v>2273.4505208333335</v>
      </c>
      <c r="AT74" s="21">
        <f ca="1">OFFSET('Proforma L+H'!$E103,0,'L+H Monthly CF'!AT$3)/12</f>
        <v>2273.4505208333335</v>
      </c>
      <c r="AU74" s="21">
        <f ca="1">OFFSET('Proforma L+H'!$E103,0,'L+H Monthly CF'!AU$3)/12</f>
        <v>2273.4505208333335</v>
      </c>
      <c r="AV74" s="21">
        <f ca="1">OFFSET('Proforma L+H'!$E103,0,'L+H Monthly CF'!AV$3)/12</f>
        <v>2273.4505208333335</v>
      </c>
      <c r="AW74" s="21">
        <f ca="1">OFFSET('Proforma L+H'!$E103,0,'L+H Monthly CF'!AW$3)/12</f>
        <v>2273.4505208333335</v>
      </c>
      <c r="AX74" s="21">
        <f ca="1">OFFSET('Proforma L+H'!$E103,0,'L+H Monthly CF'!AX$3)/12</f>
        <v>2273.4505208333335</v>
      </c>
      <c r="AY74" s="21">
        <f ca="1">OFFSET('Proforma L+H'!$E103,0,'L+H Monthly CF'!AY$3)/12</f>
        <v>2273.4505208333335</v>
      </c>
      <c r="AZ74" s="21">
        <f ca="1">OFFSET('Proforma L+H'!$E103,0,'L+H Monthly CF'!AZ$3)/12</f>
        <v>2273.4505208333335</v>
      </c>
      <c r="BA74" s="21">
        <f t="shared" ca="1" si="34"/>
        <v>178253.12500000017</v>
      </c>
      <c r="BB74" s="758">
        <f ca="1">SUM('Proforma L+H'!E103:H103)-BA74</f>
        <v>0</v>
      </c>
    </row>
    <row r="75" spans="1:54" collapsed="1" x14ac:dyDescent="0.2">
      <c r="A75" s="2"/>
      <c r="B75" s="49" t="str">
        <f>'Proforma L+H'!B104</f>
        <v>SOFT COSTS PROFESSIONALS - FINAL ENTITLEMENTS &amp; SITE INFRA.</v>
      </c>
      <c r="C75" s="164"/>
      <c r="D75" s="164"/>
      <c r="E75" s="51">
        <f ca="1">OFFSET('Proforma L+H'!$E104,0,'L+H Monthly CF'!E$3)/12</f>
        <v>138799.8828125</v>
      </c>
      <c r="F75" s="51">
        <f ca="1">OFFSET('Proforma L+H'!$E104,0,'L+H Monthly CF'!F$3)/12</f>
        <v>138799.8828125</v>
      </c>
      <c r="G75" s="51">
        <f ca="1">OFFSET('Proforma L+H'!$E104,0,'L+H Monthly CF'!G$3)/12</f>
        <v>138799.8828125</v>
      </c>
      <c r="H75" s="51">
        <f ca="1">OFFSET('Proforma L+H'!$E104,0,'L+H Monthly CF'!H$3)/12</f>
        <v>138799.8828125</v>
      </c>
      <c r="I75" s="51">
        <f ca="1">OFFSET('Proforma L+H'!$E104,0,'L+H Monthly CF'!I$3)/12</f>
        <v>138799.8828125</v>
      </c>
      <c r="J75" s="51">
        <f ca="1">OFFSET('Proforma L+H'!$E104,0,'L+H Monthly CF'!J$3)/12</f>
        <v>138799.8828125</v>
      </c>
      <c r="K75" s="51">
        <f ca="1">OFFSET('Proforma L+H'!$E104,0,'L+H Monthly CF'!K$3)/12</f>
        <v>138799.8828125</v>
      </c>
      <c r="L75" s="51">
        <f ca="1">OFFSET('Proforma L+H'!$E104,0,'L+H Monthly CF'!L$3)/12</f>
        <v>138799.8828125</v>
      </c>
      <c r="M75" s="51">
        <f ca="1">OFFSET('Proforma L+H'!$E104,0,'L+H Monthly CF'!M$3)/12</f>
        <v>138799.8828125</v>
      </c>
      <c r="N75" s="51">
        <f ca="1">OFFSET('Proforma L+H'!$E104,0,'L+H Monthly CF'!N$3)/12</f>
        <v>138799.8828125</v>
      </c>
      <c r="O75" s="51">
        <f ca="1">OFFSET('Proforma L+H'!$E104,0,'L+H Monthly CF'!O$3)/12</f>
        <v>138799.8828125</v>
      </c>
      <c r="P75" s="51">
        <f ca="1">OFFSET('Proforma L+H'!$E104,0,'L+H Monthly CF'!P$3)/12</f>
        <v>138799.8828125</v>
      </c>
      <c r="Q75" s="51">
        <f ca="1">OFFSET('Proforma L+H'!$E104,0,'L+H Monthly CF'!Q$3)/12</f>
        <v>68305.78125</v>
      </c>
      <c r="R75" s="52">
        <f ca="1">OFFSET('Proforma L+H'!$E104,0,'L+H Monthly CF'!R$3)/12</f>
        <v>68305.78125</v>
      </c>
      <c r="S75" s="52">
        <f ca="1">OFFSET('Proforma L+H'!$E104,0,'L+H Monthly CF'!S$3)/12</f>
        <v>68305.78125</v>
      </c>
      <c r="T75" s="52">
        <f ca="1">OFFSET('Proforma L+H'!$E104,0,'L+H Monthly CF'!T$3)/12</f>
        <v>68305.78125</v>
      </c>
      <c r="U75" s="52">
        <f ca="1">OFFSET('Proforma L+H'!$E104,0,'L+H Monthly CF'!U$3)/12</f>
        <v>68305.78125</v>
      </c>
      <c r="V75" s="52">
        <f ca="1">OFFSET('Proforma L+H'!$E104,0,'L+H Monthly CF'!V$3)/12</f>
        <v>68305.78125</v>
      </c>
      <c r="W75" s="52">
        <f ca="1">OFFSET('Proforma L+H'!$E104,0,'L+H Monthly CF'!W$3)/12</f>
        <v>68305.78125</v>
      </c>
      <c r="X75" s="52">
        <f ca="1">OFFSET('Proforma L+H'!$E104,0,'L+H Monthly CF'!X$3)/12</f>
        <v>68305.78125</v>
      </c>
      <c r="Y75" s="52">
        <f ca="1">OFFSET('Proforma L+H'!$E104,0,'L+H Monthly CF'!Y$3)/12</f>
        <v>68305.78125</v>
      </c>
      <c r="Z75" s="52">
        <f ca="1">OFFSET('Proforma L+H'!$E104,0,'L+H Monthly CF'!Z$3)/12</f>
        <v>68305.78125</v>
      </c>
      <c r="AA75" s="52">
        <f ca="1">OFFSET('Proforma L+H'!$E104,0,'L+H Monthly CF'!AA$3)/12</f>
        <v>68305.78125</v>
      </c>
      <c r="AB75" s="52">
        <f ca="1">OFFSET('Proforma L+H'!$E104,0,'L+H Monthly CF'!AB$3)/12</f>
        <v>68305.78125</v>
      </c>
      <c r="AC75" s="52">
        <f ca="1">OFFSET('Proforma L+H'!$E104,0,'L+H Monthly CF'!AC$3)/12</f>
        <v>57094.84375</v>
      </c>
      <c r="AD75" s="52">
        <f ca="1">OFFSET('Proforma L+H'!$E104,0,'L+H Monthly CF'!AD$3)/12</f>
        <v>57094.84375</v>
      </c>
      <c r="AE75" s="52">
        <f ca="1">OFFSET('Proforma L+H'!$E104,0,'L+H Monthly CF'!AE$3)/12</f>
        <v>57094.84375</v>
      </c>
      <c r="AF75" s="52">
        <f ca="1">OFFSET('Proforma L+H'!$E104,0,'L+H Monthly CF'!AF$3)/12</f>
        <v>57094.84375</v>
      </c>
      <c r="AG75" s="52">
        <f ca="1">OFFSET('Proforma L+H'!$E104,0,'L+H Monthly CF'!AG$3)/12</f>
        <v>57094.84375</v>
      </c>
      <c r="AH75" s="52">
        <f ca="1">OFFSET('Proforma L+H'!$E104,0,'L+H Monthly CF'!AH$3)/12</f>
        <v>57094.84375</v>
      </c>
      <c r="AI75" s="52">
        <f ca="1">OFFSET('Proforma L+H'!$E104,0,'L+H Monthly CF'!AI$3)/12</f>
        <v>57094.84375</v>
      </c>
      <c r="AJ75" s="52">
        <f ca="1">OFFSET('Proforma L+H'!$E104,0,'L+H Monthly CF'!AJ$3)/12</f>
        <v>57094.84375</v>
      </c>
      <c r="AK75" s="52">
        <f ca="1">OFFSET('Proforma L+H'!$E104,0,'L+H Monthly CF'!AK$3)/12</f>
        <v>57094.84375</v>
      </c>
      <c r="AL75" s="52">
        <f ca="1">OFFSET('Proforma L+H'!$E104,0,'L+H Monthly CF'!AL$3)/12</f>
        <v>57094.84375</v>
      </c>
      <c r="AM75" s="52">
        <f ca="1">OFFSET('Proforma L+H'!$E104,0,'L+H Monthly CF'!AM$3)/12</f>
        <v>57094.84375</v>
      </c>
      <c r="AN75" s="52">
        <f ca="1">OFFSET('Proforma L+H'!$E104,0,'L+H Monthly CF'!AN$3)/12</f>
        <v>57094.84375</v>
      </c>
      <c r="AO75" s="52">
        <f ca="1">OFFSET('Proforma L+H'!$E104,0,'L+H Monthly CF'!AO$3)/12</f>
        <v>47742.4609375</v>
      </c>
      <c r="AP75" s="52">
        <f ca="1">OFFSET('Proforma L+H'!$E104,0,'L+H Monthly CF'!AP$3)/12</f>
        <v>47742.4609375</v>
      </c>
      <c r="AQ75" s="52">
        <f ca="1">OFFSET('Proforma L+H'!$E104,0,'L+H Monthly CF'!AQ$3)/12</f>
        <v>47742.4609375</v>
      </c>
      <c r="AR75" s="52">
        <f ca="1">OFFSET('Proforma L+H'!$E104,0,'L+H Monthly CF'!AR$3)/12</f>
        <v>47742.4609375</v>
      </c>
      <c r="AS75" s="52">
        <f ca="1">OFFSET('Proforma L+H'!$E104,0,'L+H Monthly CF'!AS$3)/12</f>
        <v>47742.4609375</v>
      </c>
      <c r="AT75" s="52">
        <f ca="1">OFFSET('Proforma L+H'!$E104,0,'L+H Monthly CF'!AT$3)/12</f>
        <v>47742.4609375</v>
      </c>
      <c r="AU75" s="52">
        <f ca="1">OFFSET('Proforma L+H'!$E104,0,'L+H Monthly CF'!AU$3)/12</f>
        <v>47742.4609375</v>
      </c>
      <c r="AV75" s="52">
        <f ca="1">OFFSET('Proforma L+H'!$E104,0,'L+H Monthly CF'!AV$3)/12</f>
        <v>47742.4609375</v>
      </c>
      <c r="AW75" s="52">
        <f ca="1">OFFSET('Proforma L+H'!$E104,0,'L+H Monthly CF'!AW$3)/12</f>
        <v>47742.4609375</v>
      </c>
      <c r="AX75" s="52">
        <f ca="1">OFFSET('Proforma L+H'!$E104,0,'L+H Monthly CF'!AX$3)/12</f>
        <v>47742.4609375</v>
      </c>
      <c r="AY75" s="52">
        <f ca="1">OFFSET('Proforma L+H'!$E104,0,'L+H Monthly CF'!AY$3)/12</f>
        <v>47742.4609375</v>
      </c>
      <c r="AZ75" s="52">
        <f ca="1">OFFSET('Proforma L+H'!$E104,0,'L+H Monthly CF'!AZ$3)/12</f>
        <v>47742.4609375</v>
      </c>
      <c r="BA75" s="52">
        <f t="shared" ca="1" si="34"/>
        <v>3743315.625</v>
      </c>
      <c r="BB75" s="758">
        <f ca="1">SUM('Proforma L+H'!E104:H104)-BA75</f>
        <v>0</v>
      </c>
    </row>
    <row r="76" spans="1:54" hidden="1" outlineLevel="1" x14ac:dyDescent="0.2">
      <c r="A76" s="2"/>
      <c r="B76" s="162"/>
      <c r="C76" s="19"/>
      <c r="D76" s="167"/>
      <c r="E76" s="167"/>
      <c r="F76" s="167"/>
      <c r="G76" s="167"/>
      <c r="H76" s="167"/>
      <c r="I76" s="167"/>
      <c r="J76" s="167"/>
      <c r="K76" s="167"/>
      <c r="L76" s="167"/>
      <c r="M76" s="167"/>
      <c r="N76" s="167"/>
      <c r="O76" s="167"/>
      <c r="P76" s="167"/>
      <c r="Q76" s="12"/>
    </row>
    <row r="77" spans="1:54" hidden="1" outlineLevel="1" x14ac:dyDescent="0.2">
      <c r="A77" s="2"/>
      <c r="B77" s="81" t="str">
        <f>'Proforma L+H'!B106</f>
        <v>SOFT COSTS PROFESSIONALS - HOMES</v>
      </c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</row>
    <row r="78" spans="1:54" hidden="1" outlineLevel="1" x14ac:dyDescent="0.2">
      <c r="A78" s="2"/>
      <c r="B78" s="163" t="str">
        <f>'Proforma L+H'!B107</f>
        <v>Planning &amp; Arch Concepts (4 prototype designs, amenities, etc.)</v>
      </c>
      <c r="C78" s="10">
        <v>500000</v>
      </c>
      <c r="D78" s="32"/>
      <c r="E78" s="32">
        <f ca="1">OFFSET('Proforma L+H'!$E107,0,'L+H Monthly CF'!E$3)/12</f>
        <v>41666.666666666664</v>
      </c>
      <c r="F78" s="32">
        <f ca="1">OFFSET('Proforma L+H'!$E107,0,'L+H Monthly CF'!F$3)/12</f>
        <v>41666.666666666664</v>
      </c>
      <c r="G78" s="32">
        <f ca="1">OFFSET('Proforma L+H'!$E107,0,'L+H Monthly CF'!G$3)/12</f>
        <v>41666.666666666664</v>
      </c>
      <c r="H78" s="32">
        <f ca="1">OFFSET('Proforma L+H'!$E107,0,'L+H Monthly CF'!H$3)/12</f>
        <v>41666.666666666664</v>
      </c>
      <c r="I78" s="32">
        <f ca="1">OFFSET('Proforma L+H'!$E107,0,'L+H Monthly CF'!I$3)/12</f>
        <v>41666.666666666664</v>
      </c>
      <c r="J78" s="32">
        <f ca="1">OFFSET('Proforma L+H'!$E107,0,'L+H Monthly CF'!J$3)/12</f>
        <v>41666.666666666664</v>
      </c>
      <c r="K78" s="32">
        <f ca="1">OFFSET('Proforma L+H'!$E107,0,'L+H Monthly CF'!K$3)/12</f>
        <v>41666.666666666664</v>
      </c>
      <c r="L78">
        <f ca="1">OFFSET('Proforma L+H'!$E107,0,'L+H Monthly CF'!L$3)/12</f>
        <v>41666.666666666664</v>
      </c>
      <c r="M78" s="32">
        <f ca="1">OFFSET('Proforma L+H'!$E107,0,'L+H Monthly CF'!M$3)/12</f>
        <v>41666.666666666664</v>
      </c>
      <c r="N78" s="32">
        <f ca="1">OFFSET('Proforma L+H'!$E107,0,'L+H Monthly CF'!N$3)/12</f>
        <v>41666.666666666664</v>
      </c>
      <c r="O78" s="32">
        <f ca="1">OFFSET('Proforma L+H'!$E107,0,'L+H Monthly CF'!O$3)/12</f>
        <v>41666.666666666664</v>
      </c>
      <c r="P78" s="32">
        <f ca="1">OFFSET('Proforma L+H'!$E107,0,'L+H Monthly CF'!P$3)/12</f>
        <v>41666.666666666664</v>
      </c>
      <c r="Q78" s="32">
        <f ca="1">OFFSET('Proforma L+H'!$E107,0,'L+H Monthly CF'!Q$3)/12</f>
        <v>0</v>
      </c>
      <c r="R78" s="12">
        <f ca="1">OFFSET('Proforma L+H'!$E107,0,'L+H Monthly CF'!R$3)/12</f>
        <v>0</v>
      </c>
      <c r="S78" s="12">
        <f ca="1">OFFSET('Proforma L+H'!$E107,0,'L+H Monthly CF'!S$3)/12</f>
        <v>0</v>
      </c>
      <c r="T78" s="12">
        <f ca="1">OFFSET('Proforma L+H'!$E107,0,'L+H Monthly CF'!T$3)/12</f>
        <v>0</v>
      </c>
      <c r="U78" s="12">
        <f ca="1">OFFSET('Proforma L+H'!$E107,0,'L+H Monthly CF'!U$3)/12</f>
        <v>0</v>
      </c>
      <c r="V78" s="12">
        <f ca="1">OFFSET('Proforma L+H'!$E107,0,'L+H Monthly CF'!V$3)/12</f>
        <v>0</v>
      </c>
      <c r="W78" s="12">
        <f ca="1">OFFSET('Proforma L+H'!$E107,0,'L+H Monthly CF'!W$3)/12</f>
        <v>0</v>
      </c>
      <c r="X78" s="12">
        <f ca="1">OFFSET('Proforma L+H'!$E107,0,'L+H Monthly CF'!X$3)/12</f>
        <v>0</v>
      </c>
      <c r="Y78" s="12">
        <f ca="1">OFFSET('Proforma L+H'!$E107,0,'L+H Monthly CF'!Y$3)/12</f>
        <v>0</v>
      </c>
      <c r="Z78" s="12">
        <f ca="1">OFFSET('Proforma L+H'!$E107,0,'L+H Monthly CF'!Z$3)/12</f>
        <v>0</v>
      </c>
      <c r="AA78" s="12">
        <f ca="1">OFFSET('Proforma L+H'!$E107,0,'L+H Monthly CF'!AA$3)/12</f>
        <v>0</v>
      </c>
      <c r="AB78" s="12">
        <f ca="1">OFFSET('Proforma L+H'!$E107,0,'L+H Monthly CF'!AB$3)/12</f>
        <v>0</v>
      </c>
      <c r="AC78" s="12">
        <f ca="1">OFFSET('Proforma L+H'!$E107,0,'L+H Monthly CF'!AC$3)/12</f>
        <v>0</v>
      </c>
      <c r="AD78" s="12">
        <f ca="1">OFFSET('Proforma L+H'!$E107,0,'L+H Monthly CF'!AD$3)/12</f>
        <v>0</v>
      </c>
      <c r="AE78" s="12">
        <f ca="1">OFFSET('Proforma L+H'!$E107,0,'L+H Monthly CF'!AE$3)/12</f>
        <v>0</v>
      </c>
      <c r="AF78" s="12">
        <f ca="1">OFFSET('Proforma L+H'!$E107,0,'L+H Monthly CF'!AF$3)/12</f>
        <v>0</v>
      </c>
      <c r="AG78" s="12">
        <f ca="1">OFFSET('Proforma L+H'!$E107,0,'L+H Monthly CF'!AG$3)/12</f>
        <v>0</v>
      </c>
      <c r="AH78" s="12">
        <f ca="1">OFFSET('Proforma L+H'!$E107,0,'L+H Monthly CF'!AH$3)/12</f>
        <v>0</v>
      </c>
      <c r="AI78" s="12">
        <f ca="1">OFFSET('Proforma L+H'!$E107,0,'L+H Monthly CF'!AI$3)/12</f>
        <v>0</v>
      </c>
      <c r="AJ78" s="12">
        <f ca="1">OFFSET('Proforma L+H'!$E107,0,'L+H Monthly CF'!AJ$3)/12</f>
        <v>0</v>
      </c>
      <c r="AK78" s="12">
        <f ca="1">OFFSET('Proforma L+H'!$E107,0,'L+H Monthly CF'!AK$3)/12</f>
        <v>0</v>
      </c>
      <c r="AL78" s="12">
        <f ca="1">OFFSET('Proforma L+H'!$E107,0,'L+H Monthly CF'!AL$3)/12</f>
        <v>0</v>
      </c>
      <c r="AM78" s="12">
        <f ca="1">OFFSET('Proforma L+H'!$E107,0,'L+H Monthly CF'!AM$3)/12</f>
        <v>0</v>
      </c>
      <c r="AN78" s="12">
        <f ca="1">OFFSET('Proforma L+H'!$E107,0,'L+H Monthly CF'!AN$3)/12</f>
        <v>0</v>
      </c>
      <c r="AO78" s="12">
        <f ca="1">OFFSET('Proforma L+H'!$E107,0,'L+H Monthly CF'!AO$3)/12</f>
        <v>0</v>
      </c>
      <c r="AP78" s="12">
        <f ca="1">OFFSET('Proforma L+H'!$E107,0,'L+H Monthly CF'!AP$3)/12</f>
        <v>0</v>
      </c>
      <c r="AQ78" s="12">
        <f ca="1">OFFSET('Proforma L+H'!$E107,0,'L+H Monthly CF'!AQ$3)/12</f>
        <v>0</v>
      </c>
      <c r="AR78" s="12">
        <f ca="1">OFFSET('Proforma L+H'!$E107,0,'L+H Monthly CF'!AR$3)/12</f>
        <v>0</v>
      </c>
      <c r="AS78" s="12">
        <f ca="1">OFFSET('Proforma L+H'!$E107,0,'L+H Monthly CF'!AS$3)/12</f>
        <v>0</v>
      </c>
      <c r="AT78" s="12">
        <f ca="1">OFFSET('Proforma L+H'!$E107,0,'L+H Monthly CF'!AT$3)/12</f>
        <v>0</v>
      </c>
      <c r="AU78" s="12">
        <f ca="1">OFFSET('Proforma L+H'!$E107,0,'L+H Monthly CF'!AU$3)/12</f>
        <v>0</v>
      </c>
      <c r="AV78" s="12">
        <f ca="1">OFFSET('Proforma L+H'!$E107,0,'L+H Monthly CF'!AV$3)/12</f>
        <v>0</v>
      </c>
      <c r="AW78" s="12">
        <f ca="1">OFFSET('Proforma L+H'!$E107,0,'L+H Monthly CF'!AW$3)/12</f>
        <v>0</v>
      </c>
      <c r="AX78" s="12">
        <f ca="1">OFFSET('Proforma L+H'!$E107,0,'L+H Monthly CF'!AX$3)/12</f>
        <v>0</v>
      </c>
      <c r="AY78" s="12">
        <f ca="1">OFFSET('Proforma L+H'!$E107,0,'L+H Monthly CF'!AY$3)/12</f>
        <v>0</v>
      </c>
      <c r="AZ78" s="12">
        <f ca="1">OFFSET('Proforma L+H'!$E107,0,'L+H Monthly CF'!AZ$3)/12</f>
        <v>0</v>
      </c>
      <c r="BA78" s="12">
        <f t="shared" ref="BA78:BA89" ca="1" si="35">SUM(E78:AZ78)</f>
        <v>500000.00000000006</v>
      </c>
      <c r="BB78" s="758">
        <f ca="1">SUM('Proforma L+H'!E107:H107)-BA78</f>
        <v>0</v>
      </c>
    </row>
    <row r="79" spans="1:54" hidden="1" outlineLevel="1" x14ac:dyDescent="0.2">
      <c r="A79" s="2"/>
      <c r="B79" s="163" t="str">
        <f>'Proforma L+H'!B108</f>
        <v>Civil Engineering (Unit Infra. &amp; Geotech)</v>
      </c>
      <c r="C79" s="65">
        <v>0.05</v>
      </c>
      <c r="D79" s="32"/>
      <c r="E79" s="32">
        <f ca="1">OFFSET('Proforma L+H'!$E108,0,'L+H Monthly CF'!E$3)/12</f>
        <v>1562.5</v>
      </c>
      <c r="F79" s="32">
        <f ca="1">OFFSET('Proforma L+H'!$E108,0,'L+H Monthly CF'!F$3)/12</f>
        <v>1562.5</v>
      </c>
      <c r="G79" s="32">
        <f ca="1">OFFSET('Proforma L+H'!$E108,0,'L+H Monthly CF'!G$3)/12</f>
        <v>1562.5</v>
      </c>
      <c r="H79" s="32">
        <f ca="1">OFFSET('Proforma L+H'!$E108,0,'L+H Monthly CF'!H$3)/12</f>
        <v>1562.5</v>
      </c>
      <c r="I79" s="32">
        <f ca="1">OFFSET('Proforma L+H'!$E108,0,'L+H Monthly CF'!I$3)/12</f>
        <v>1562.5</v>
      </c>
      <c r="J79" s="32">
        <f ca="1">OFFSET('Proforma L+H'!$E108,0,'L+H Monthly CF'!J$3)/12</f>
        <v>1562.5</v>
      </c>
      <c r="K79" s="32">
        <f ca="1">OFFSET('Proforma L+H'!$E108,0,'L+H Monthly CF'!K$3)/12</f>
        <v>1562.5</v>
      </c>
      <c r="L79">
        <f ca="1">OFFSET('Proforma L+H'!$E108,0,'L+H Monthly CF'!L$3)/12</f>
        <v>1562.5</v>
      </c>
      <c r="M79" s="32">
        <f ca="1">OFFSET('Proforma L+H'!$E108,0,'L+H Monthly CF'!M$3)/12</f>
        <v>1562.5</v>
      </c>
      <c r="N79" s="32">
        <f ca="1">OFFSET('Proforma L+H'!$E108,0,'L+H Monthly CF'!N$3)/12</f>
        <v>1562.5</v>
      </c>
      <c r="O79" s="32">
        <f ca="1">OFFSET('Proforma L+H'!$E108,0,'L+H Monthly CF'!O$3)/12</f>
        <v>1562.5</v>
      </c>
      <c r="P79" s="32">
        <f ca="1">OFFSET('Proforma L+H'!$E108,0,'L+H Monthly CF'!P$3)/12</f>
        <v>1562.5</v>
      </c>
      <c r="Q79" s="32">
        <f ca="1">OFFSET('Proforma L+H'!$E108,0,'L+H Monthly CF'!Q$3)/12</f>
        <v>3645.8333333333335</v>
      </c>
      <c r="R79" s="12">
        <f ca="1">OFFSET('Proforma L+H'!$E108,0,'L+H Monthly CF'!R$3)/12</f>
        <v>3645.8333333333335</v>
      </c>
      <c r="S79" s="12">
        <f ca="1">OFFSET('Proforma L+H'!$E108,0,'L+H Monthly CF'!S$3)/12</f>
        <v>3645.8333333333335</v>
      </c>
      <c r="T79" s="12">
        <f ca="1">OFFSET('Proforma L+H'!$E108,0,'L+H Monthly CF'!T$3)/12</f>
        <v>3645.8333333333335</v>
      </c>
      <c r="U79" s="12">
        <f ca="1">OFFSET('Proforma L+H'!$E108,0,'L+H Monthly CF'!U$3)/12</f>
        <v>3645.8333333333335</v>
      </c>
      <c r="V79" s="12">
        <f ca="1">OFFSET('Proforma L+H'!$E108,0,'L+H Monthly CF'!V$3)/12</f>
        <v>3645.8333333333335</v>
      </c>
      <c r="W79" s="12">
        <f ca="1">OFFSET('Proforma L+H'!$E108,0,'L+H Monthly CF'!W$3)/12</f>
        <v>3645.8333333333335</v>
      </c>
      <c r="X79" s="12">
        <f ca="1">OFFSET('Proforma L+H'!$E108,0,'L+H Monthly CF'!X$3)/12</f>
        <v>3645.8333333333335</v>
      </c>
      <c r="Y79" s="12">
        <f ca="1">OFFSET('Proforma L+H'!$E108,0,'L+H Monthly CF'!Y$3)/12</f>
        <v>3645.8333333333335</v>
      </c>
      <c r="Z79" s="12">
        <f ca="1">OFFSET('Proforma L+H'!$E108,0,'L+H Monthly CF'!Z$3)/12</f>
        <v>3645.8333333333335</v>
      </c>
      <c r="AA79" s="12">
        <f ca="1">OFFSET('Proforma L+H'!$E108,0,'L+H Monthly CF'!AA$3)/12</f>
        <v>3645.8333333333335</v>
      </c>
      <c r="AB79" s="12">
        <f ca="1">OFFSET('Proforma L+H'!$E108,0,'L+H Monthly CF'!AB$3)/12</f>
        <v>3645.8333333333335</v>
      </c>
      <c r="AC79" s="12">
        <f ca="1">OFFSET('Proforma L+H'!$E108,0,'L+H Monthly CF'!AC$3)/12</f>
        <v>5729.166666666667</v>
      </c>
      <c r="AD79" s="12">
        <f ca="1">OFFSET('Proforma L+H'!$E108,0,'L+H Monthly CF'!AD$3)/12</f>
        <v>5729.166666666667</v>
      </c>
      <c r="AE79" s="12">
        <f ca="1">OFFSET('Proforma L+H'!$E108,0,'L+H Monthly CF'!AE$3)/12</f>
        <v>5729.166666666667</v>
      </c>
      <c r="AF79" s="12">
        <f ca="1">OFFSET('Proforma L+H'!$E108,0,'L+H Monthly CF'!AF$3)/12</f>
        <v>5729.166666666667</v>
      </c>
      <c r="AG79" s="12">
        <f ca="1">OFFSET('Proforma L+H'!$E108,0,'L+H Monthly CF'!AG$3)/12</f>
        <v>5729.166666666667</v>
      </c>
      <c r="AH79" s="12">
        <f ca="1">OFFSET('Proforma L+H'!$E108,0,'L+H Monthly CF'!AH$3)/12</f>
        <v>5729.166666666667</v>
      </c>
      <c r="AI79" s="12">
        <f ca="1">OFFSET('Proforma L+H'!$E108,0,'L+H Monthly CF'!AI$3)/12</f>
        <v>5729.166666666667</v>
      </c>
      <c r="AJ79" s="12">
        <f ca="1">OFFSET('Proforma L+H'!$E108,0,'L+H Monthly CF'!AJ$3)/12</f>
        <v>5729.166666666667</v>
      </c>
      <c r="AK79" s="12">
        <f ca="1">OFFSET('Proforma L+H'!$E108,0,'L+H Monthly CF'!AK$3)/12</f>
        <v>5729.166666666667</v>
      </c>
      <c r="AL79" s="12">
        <f ca="1">OFFSET('Proforma L+H'!$E108,0,'L+H Monthly CF'!AL$3)/12</f>
        <v>5729.166666666667</v>
      </c>
      <c r="AM79" s="12">
        <f ca="1">OFFSET('Proforma L+H'!$E108,0,'L+H Monthly CF'!AM$3)/12</f>
        <v>5729.166666666667</v>
      </c>
      <c r="AN79" s="12">
        <f ca="1">OFFSET('Proforma L+H'!$E108,0,'L+H Monthly CF'!AN$3)/12</f>
        <v>5729.166666666667</v>
      </c>
      <c r="AO79" s="12">
        <f ca="1">OFFSET('Proforma L+H'!$E108,0,'L+H Monthly CF'!AO$3)/12</f>
        <v>6250</v>
      </c>
      <c r="AP79" s="12">
        <f ca="1">OFFSET('Proforma L+H'!$E108,0,'L+H Monthly CF'!AP$3)/12</f>
        <v>6250</v>
      </c>
      <c r="AQ79" s="12">
        <f ca="1">OFFSET('Proforma L+H'!$E108,0,'L+H Monthly CF'!AQ$3)/12</f>
        <v>6250</v>
      </c>
      <c r="AR79" s="12">
        <f ca="1">OFFSET('Proforma L+H'!$E108,0,'L+H Monthly CF'!AR$3)/12</f>
        <v>6250</v>
      </c>
      <c r="AS79" s="12">
        <f ca="1">OFFSET('Proforma L+H'!$E108,0,'L+H Monthly CF'!AS$3)/12</f>
        <v>6250</v>
      </c>
      <c r="AT79" s="12">
        <f ca="1">OFFSET('Proforma L+H'!$E108,0,'L+H Monthly CF'!AT$3)/12</f>
        <v>6250</v>
      </c>
      <c r="AU79" s="12">
        <f ca="1">OFFSET('Proforma L+H'!$E108,0,'L+H Monthly CF'!AU$3)/12</f>
        <v>6250</v>
      </c>
      <c r="AV79" s="12">
        <f ca="1">OFFSET('Proforma L+H'!$E108,0,'L+H Monthly CF'!AV$3)/12</f>
        <v>6250</v>
      </c>
      <c r="AW79" s="12">
        <f ca="1">OFFSET('Proforma L+H'!$E108,0,'L+H Monthly CF'!AW$3)/12</f>
        <v>6250</v>
      </c>
      <c r="AX79" s="12">
        <f ca="1">OFFSET('Proforma L+H'!$E108,0,'L+H Monthly CF'!AX$3)/12</f>
        <v>6250</v>
      </c>
      <c r="AY79" s="12">
        <f ca="1">OFFSET('Proforma L+H'!$E108,0,'L+H Monthly CF'!AY$3)/12</f>
        <v>6250</v>
      </c>
      <c r="AZ79" s="12">
        <f ca="1">OFFSET('Proforma L+H'!$E108,0,'L+H Monthly CF'!AZ$3)/12</f>
        <v>6250</v>
      </c>
      <c r="BA79" s="12">
        <f t="shared" ca="1" si="35"/>
        <v>206250.00000000006</v>
      </c>
      <c r="BB79" s="758">
        <f ca="1">SUM('Proforma L+H'!E108:H108)-BA79</f>
        <v>0</v>
      </c>
    </row>
    <row r="80" spans="1:54" hidden="1" outlineLevel="1" x14ac:dyDescent="0.2">
      <c r="A80" s="2"/>
      <c r="B80" s="163" t="str">
        <f>'Proforma L+H'!B109</f>
        <v>Architectural Design &amp; CDs</v>
      </c>
      <c r="C80" s="65">
        <v>0.02</v>
      </c>
      <c r="D80" s="32"/>
      <c r="E80" s="32">
        <f ca="1">OFFSET('Proforma L+H'!$E109,0,'L+H Monthly CF'!E$3)/12</f>
        <v>0</v>
      </c>
      <c r="F80" s="32">
        <f ca="1">OFFSET('Proforma L+H'!$E109,0,'L+H Monthly CF'!F$3)/12</f>
        <v>0</v>
      </c>
      <c r="G80" s="32">
        <f ca="1">OFFSET('Proforma L+H'!$E109,0,'L+H Monthly CF'!G$3)/12</f>
        <v>0</v>
      </c>
      <c r="H80" s="32">
        <f ca="1">OFFSET('Proforma L+H'!$E109,0,'L+H Monthly CF'!H$3)/12</f>
        <v>0</v>
      </c>
      <c r="I80" s="32">
        <f ca="1">OFFSET('Proforma L+H'!$E109,0,'L+H Monthly CF'!I$3)/12</f>
        <v>0</v>
      </c>
      <c r="J80" s="32">
        <f ca="1">OFFSET('Proforma L+H'!$E109,0,'L+H Monthly CF'!J$3)/12</f>
        <v>0</v>
      </c>
      <c r="K80" s="32">
        <f ca="1">OFFSET('Proforma L+H'!$E109,0,'L+H Monthly CF'!K$3)/12</f>
        <v>0</v>
      </c>
      <c r="L80">
        <f ca="1">OFFSET('Proforma L+H'!$E109,0,'L+H Monthly CF'!L$3)/12</f>
        <v>0</v>
      </c>
      <c r="M80" s="32">
        <f ca="1">OFFSET('Proforma L+H'!$E109,0,'L+H Monthly CF'!M$3)/12</f>
        <v>0</v>
      </c>
      <c r="N80" s="32">
        <f ca="1">OFFSET('Proforma L+H'!$E109,0,'L+H Monthly CF'!N$3)/12</f>
        <v>0</v>
      </c>
      <c r="O80" s="32">
        <f ca="1">OFFSET('Proforma L+H'!$E109,0,'L+H Monthly CF'!O$3)/12</f>
        <v>0</v>
      </c>
      <c r="P80" s="32">
        <f ca="1">OFFSET('Proforma L+H'!$E109,0,'L+H Monthly CF'!P$3)/12</f>
        <v>0</v>
      </c>
      <c r="Q80" s="32">
        <f ca="1">OFFSET('Proforma L+H'!$E109,0,'L+H Monthly CF'!Q$3)/12</f>
        <v>24791.666666666668</v>
      </c>
      <c r="R80" s="12">
        <f ca="1">OFFSET('Proforma L+H'!$E109,0,'L+H Monthly CF'!R$3)/12</f>
        <v>24791.666666666668</v>
      </c>
      <c r="S80" s="12">
        <f ca="1">OFFSET('Proforma L+H'!$E109,0,'L+H Monthly CF'!S$3)/12</f>
        <v>24791.666666666668</v>
      </c>
      <c r="T80" s="12">
        <f ca="1">OFFSET('Proforma L+H'!$E109,0,'L+H Monthly CF'!T$3)/12</f>
        <v>24791.666666666668</v>
      </c>
      <c r="U80" s="12">
        <f ca="1">OFFSET('Proforma L+H'!$E109,0,'L+H Monthly CF'!U$3)/12</f>
        <v>24791.666666666668</v>
      </c>
      <c r="V80" s="12">
        <f ca="1">OFFSET('Proforma L+H'!$E109,0,'L+H Monthly CF'!V$3)/12</f>
        <v>24791.666666666668</v>
      </c>
      <c r="W80" s="12">
        <f ca="1">OFFSET('Proforma L+H'!$E109,0,'L+H Monthly CF'!W$3)/12</f>
        <v>24791.666666666668</v>
      </c>
      <c r="X80" s="12">
        <f ca="1">OFFSET('Proforma L+H'!$E109,0,'L+H Monthly CF'!X$3)/12</f>
        <v>24791.666666666668</v>
      </c>
      <c r="Y80" s="12">
        <f ca="1">OFFSET('Proforma L+H'!$E109,0,'L+H Monthly CF'!Y$3)/12</f>
        <v>24791.666666666668</v>
      </c>
      <c r="Z80" s="12">
        <f ca="1">OFFSET('Proforma L+H'!$E109,0,'L+H Monthly CF'!Z$3)/12</f>
        <v>24791.666666666668</v>
      </c>
      <c r="AA80" s="12">
        <f ca="1">OFFSET('Proforma L+H'!$E109,0,'L+H Monthly CF'!AA$3)/12</f>
        <v>24791.666666666668</v>
      </c>
      <c r="AB80" s="12">
        <f ca="1">OFFSET('Proforma L+H'!$E109,0,'L+H Monthly CF'!AB$3)/12</f>
        <v>24791.666666666668</v>
      </c>
      <c r="AC80" s="12">
        <f ca="1">OFFSET('Proforma L+H'!$E109,0,'L+H Monthly CF'!AC$3)/12</f>
        <v>46041.666666666664</v>
      </c>
      <c r="AD80" s="12">
        <f ca="1">OFFSET('Proforma L+H'!$E109,0,'L+H Monthly CF'!AD$3)/12</f>
        <v>46041.666666666664</v>
      </c>
      <c r="AE80" s="12">
        <f ca="1">OFFSET('Proforma L+H'!$E109,0,'L+H Monthly CF'!AE$3)/12</f>
        <v>46041.666666666664</v>
      </c>
      <c r="AF80" s="12">
        <f ca="1">OFFSET('Proforma L+H'!$E109,0,'L+H Monthly CF'!AF$3)/12</f>
        <v>46041.666666666664</v>
      </c>
      <c r="AG80" s="12">
        <f ca="1">OFFSET('Proforma L+H'!$E109,0,'L+H Monthly CF'!AG$3)/12</f>
        <v>46041.666666666664</v>
      </c>
      <c r="AH80" s="12">
        <f ca="1">OFFSET('Proforma L+H'!$E109,0,'L+H Monthly CF'!AH$3)/12</f>
        <v>46041.666666666664</v>
      </c>
      <c r="AI80" s="12">
        <f ca="1">OFFSET('Proforma L+H'!$E109,0,'L+H Monthly CF'!AI$3)/12</f>
        <v>46041.666666666664</v>
      </c>
      <c r="AJ80" s="12">
        <f ca="1">OFFSET('Proforma L+H'!$E109,0,'L+H Monthly CF'!AJ$3)/12</f>
        <v>46041.666666666664</v>
      </c>
      <c r="AK80" s="12">
        <f ca="1">OFFSET('Proforma L+H'!$E109,0,'L+H Monthly CF'!AK$3)/12</f>
        <v>46041.666666666664</v>
      </c>
      <c r="AL80" s="12">
        <f ca="1">OFFSET('Proforma L+H'!$E109,0,'L+H Monthly CF'!AL$3)/12</f>
        <v>46041.666666666664</v>
      </c>
      <c r="AM80" s="12">
        <f ca="1">OFFSET('Proforma L+H'!$E109,0,'L+H Monthly CF'!AM$3)/12</f>
        <v>46041.666666666664</v>
      </c>
      <c r="AN80" s="12">
        <f ca="1">OFFSET('Proforma L+H'!$E109,0,'L+H Monthly CF'!AN$3)/12</f>
        <v>46041.666666666664</v>
      </c>
      <c r="AO80" s="12">
        <f ca="1">OFFSET('Proforma L+H'!$E109,0,'L+H Monthly CF'!AO$3)/12</f>
        <v>76145.833333333328</v>
      </c>
      <c r="AP80" s="12">
        <f ca="1">OFFSET('Proforma L+H'!$E109,0,'L+H Monthly CF'!AP$3)/12</f>
        <v>76145.833333333328</v>
      </c>
      <c r="AQ80" s="12">
        <f ca="1">OFFSET('Proforma L+H'!$E109,0,'L+H Monthly CF'!AQ$3)/12</f>
        <v>76145.833333333328</v>
      </c>
      <c r="AR80" s="12">
        <f ca="1">OFFSET('Proforma L+H'!$E109,0,'L+H Monthly CF'!AR$3)/12</f>
        <v>76145.833333333328</v>
      </c>
      <c r="AS80" s="12">
        <f ca="1">OFFSET('Proforma L+H'!$E109,0,'L+H Monthly CF'!AS$3)/12</f>
        <v>76145.833333333328</v>
      </c>
      <c r="AT80" s="12">
        <f ca="1">OFFSET('Proforma L+H'!$E109,0,'L+H Monthly CF'!AT$3)/12</f>
        <v>76145.833333333328</v>
      </c>
      <c r="AU80" s="12">
        <f ca="1">OFFSET('Proforma L+H'!$E109,0,'L+H Monthly CF'!AU$3)/12</f>
        <v>76145.833333333328</v>
      </c>
      <c r="AV80" s="12">
        <f ca="1">OFFSET('Proforma L+H'!$E109,0,'L+H Monthly CF'!AV$3)/12</f>
        <v>76145.833333333328</v>
      </c>
      <c r="AW80" s="12">
        <f ca="1">OFFSET('Proforma L+H'!$E109,0,'L+H Monthly CF'!AW$3)/12</f>
        <v>76145.833333333328</v>
      </c>
      <c r="AX80" s="12">
        <f ca="1">OFFSET('Proforma L+H'!$E109,0,'L+H Monthly CF'!AX$3)/12</f>
        <v>76145.833333333328</v>
      </c>
      <c r="AY80" s="12">
        <f ca="1">OFFSET('Proforma L+H'!$E109,0,'L+H Monthly CF'!AY$3)/12</f>
        <v>76145.833333333328</v>
      </c>
      <c r="AZ80" s="12">
        <f ca="1">OFFSET('Proforma L+H'!$E109,0,'L+H Monthly CF'!AZ$3)/12</f>
        <v>76145.833333333328</v>
      </c>
      <c r="BA80" s="12">
        <f t="shared" ca="1" si="35"/>
        <v>1763749.9999999991</v>
      </c>
      <c r="BB80" s="758">
        <f ca="1">SUM('Proforma L+H'!E109:H109)-BA80</f>
        <v>0</v>
      </c>
    </row>
    <row r="81" spans="1:54" hidden="1" outlineLevel="1" x14ac:dyDescent="0.2">
      <c r="A81" s="2"/>
      <c r="B81" s="163" t="str">
        <f>'Proforma L+H'!B110</f>
        <v>Architectural C/A</v>
      </c>
      <c r="C81" s="10">
        <v>10000</v>
      </c>
      <c r="D81" s="10"/>
      <c r="E81" s="32">
        <f ca="1">OFFSET('Proforma L+H'!$E110,0,'L+H Monthly CF'!E$3)/12</f>
        <v>0</v>
      </c>
      <c r="F81" s="32">
        <f ca="1">OFFSET('Proforma L+H'!$E110,0,'L+H Monthly CF'!F$3)/12</f>
        <v>0</v>
      </c>
      <c r="G81" s="32">
        <f ca="1">OFFSET('Proforma L+H'!$E110,0,'L+H Monthly CF'!G$3)/12</f>
        <v>0</v>
      </c>
      <c r="H81" s="32">
        <f ca="1">OFFSET('Proforma L+H'!$E110,0,'L+H Monthly CF'!H$3)/12</f>
        <v>0</v>
      </c>
      <c r="I81" s="32">
        <f ca="1">OFFSET('Proforma L+H'!$E110,0,'L+H Monthly CF'!I$3)/12</f>
        <v>0</v>
      </c>
      <c r="J81" s="32">
        <f ca="1">OFFSET('Proforma L+H'!$E110,0,'L+H Monthly CF'!J$3)/12</f>
        <v>0</v>
      </c>
      <c r="K81" s="32">
        <f ca="1">OFFSET('Proforma L+H'!$E110,0,'L+H Monthly CF'!K$3)/12</f>
        <v>0</v>
      </c>
      <c r="L81" s="32">
        <f ca="1">OFFSET('Proforma L+H'!$E110,0,'L+H Monthly CF'!L$3)/12</f>
        <v>0</v>
      </c>
      <c r="M81" s="32">
        <f ca="1">OFFSET('Proforma L+H'!$E110,0,'L+H Monthly CF'!M$3)/12</f>
        <v>0</v>
      </c>
      <c r="N81" s="32">
        <f ca="1">OFFSET('Proforma L+H'!$E110,0,'L+H Monthly CF'!N$3)/12</f>
        <v>0</v>
      </c>
      <c r="O81" s="32">
        <f ca="1">OFFSET('Proforma L+H'!$E110,0,'L+H Monthly CF'!O$3)/12</f>
        <v>0</v>
      </c>
      <c r="P81" s="32">
        <f ca="1">OFFSET('Proforma L+H'!$E110,0,'L+H Monthly CF'!P$3)/12</f>
        <v>0</v>
      </c>
      <c r="Q81" s="32">
        <f ca="1">OFFSET('Proforma L+H'!$E110,0,'L+H Monthly CF'!Q$3)/12</f>
        <v>4166.666666666667</v>
      </c>
      <c r="R81" s="12">
        <f ca="1">OFFSET('Proforma L+H'!$E110,0,'L+H Monthly CF'!R$3)/12</f>
        <v>4166.666666666667</v>
      </c>
      <c r="S81" s="12">
        <f ca="1">OFFSET('Proforma L+H'!$E110,0,'L+H Monthly CF'!S$3)/12</f>
        <v>4166.666666666667</v>
      </c>
      <c r="T81" s="12">
        <f ca="1">OFFSET('Proforma L+H'!$E110,0,'L+H Monthly CF'!T$3)/12</f>
        <v>4166.666666666667</v>
      </c>
      <c r="U81" s="12">
        <f ca="1">OFFSET('Proforma L+H'!$E110,0,'L+H Monthly CF'!U$3)/12</f>
        <v>4166.666666666667</v>
      </c>
      <c r="V81" s="12">
        <f ca="1">OFFSET('Proforma L+H'!$E110,0,'L+H Monthly CF'!V$3)/12</f>
        <v>4166.666666666667</v>
      </c>
      <c r="W81" s="12">
        <f ca="1">OFFSET('Proforma L+H'!$E110,0,'L+H Monthly CF'!W$3)/12</f>
        <v>4166.666666666667</v>
      </c>
      <c r="X81" s="12">
        <f ca="1">OFFSET('Proforma L+H'!$E110,0,'L+H Monthly CF'!X$3)/12</f>
        <v>4166.666666666667</v>
      </c>
      <c r="Y81" s="12">
        <f ca="1">OFFSET('Proforma L+H'!$E110,0,'L+H Monthly CF'!Y$3)/12</f>
        <v>4166.666666666667</v>
      </c>
      <c r="Z81" s="12">
        <f ca="1">OFFSET('Proforma L+H'!$E110,0,'L+H Monthly CF'!Z$3)/12</f>
        <v>4166.666666666667</v>
      </c>
      <c r="AA81" s="12">
        <f ca="1">OFFSET('Proforma L+H'!$E110,0,'L+H Monthly CF'!AA$3)/12</f>
        <v>4166.666666666667</v>
      </c>
      <c r="AB81" s="12">
        <f ca="1">OFFSET('Proforma L+H'!$E110,0,'L+H Monthly CF'!AB$3)/12</f>
        <v>4166.666666666667</v>
      </c>
      <c r="AC81" s="12">
        <f ca="1">OFFSET('Proforma L+H'!$E110,0,'L+H Monthly CF'!AC$3)/12</f>
        <v>8333.3333333333339</v>
      </c>
      <c r="AD81" s="12">
        <f ca="1">OFFSET('Proforma L+H'!$E110,0,'L+H Monthly CF'!AD$3)/12</f>
        <v>8333.3333333333339</v>
      </c>
      <c r="AE81" s="12">
        <f ca="1">OFFSET('Proforma L+H'!$E110,0,'L+H Monthly CF'!AE$3)/12</f>
        <v>8333.3333333333339</v>
      </c>
      <c r="AF81" s="12">
        <f ca="1">OFFSET('Proforma L+H'!$E110,0,'L+H Monthly CF'!AF$3)/12</f>
        <v>8333.3333333333339</v>
      </c>
      <c r="AG81" s="12">
        <f ca="1">OFFSET('Proforma L+H'!$E110,0,'L+H Monthly CF'!AG$3)/12</f>
        <v>8333.3333333333339</v>
      </c>
      <c r="AH81" s="12">
        <f ca="1">OFFSET('Proforma L+H'!$E110,0,'L+H Monthly CF'!AH$3)/12</f>
        <v>8333.3333333333339</v>
      </c>
      <c r="AI81" s="12">
        <f ca="1">OFFSET('Proforma L+H'!$E110,0,'L+H Monthly CF'!AI$3)/12</f>
        <v>8333.3333333333339</v>
      </c>
      <c r="AJ81" s="12">
        <f ca="1">OFFSET('Proforma L+H'!$E110,0,'L+H Monthly CF'!AJ$3)/12</f>
        <v>8333.3333333333339</v>
      </c>
      <c r="AK81" s="12">
        <f ca="1">OFFSET('Proforma L+H'!$E110,0,'L+H Monthly CF'!AK$3)/12</f>
        <v>8333.3333333333339</v>
      </c>
      <c r="AL81" s="12">
        <f ca="1">OFFSET('Proforma L+H'!$E110,0,'L+H Monthly CF'!AL$3)/12</f>
        <v>8333.3333333333339</v>
      </c>
      <c r="AM81" s="12">
        <f ca="1">OFFSET('Proforma L+H'!$E110,0,'L+H Monthly CF'!AM$3)/12</f>
        <v>8333.3333333333339</v>
      </c>
      <c r="AN81" s="12">
        <f ca="1">OFFSET('Proforma L+H'!$E110,0,'L+H Monthly CF'!AN$3)/12</f>
        <v>8333.3333333333339</v>
      </c>
      <c r="AO81" s="12">
        <f ca="1">OFFSET('Proforma L+H'!$E110,0,'L+H Monthly CF'!AO$3)/12</f>
        <v>12500</v>
      </c>
      <c r="AP81" s="12">
        <f ca="1">OFFSET('Proforma L+H'!$E110,0,'L+H Monthly CF'!AP$3)/12</f>
        <v>12500</v>
      </c>
      <c r="AQ81" s="12">
        <f ca="1">OFFSET('Proforma L+H'!$E110,0,'L+H Monthly CF'!AQ$3)/12</f>
        <v>12500</v>
      </c>
      <c r="AR81" s="12">
        <f ca="1">OFFSET('Proforma L+H'!$E110,0,'L+H Monthly CF'!AR$3)/12</f>
        <v>12500</v>
      </c>
      <c r="AS81" s="12">
        <f ca="1">OFFSET('Proforma L+H'!$E110,0,'L+H Monthly CF'!AS$3)/12</f>
        <v>12500</v>
      </c>
      <c r="AT81" s="12">
        <f ca="1">OFFSET('Proforma L+H'!$E110,0,'L+H Monthly CF'!AT$3)/12</f>
        <v>12500</v>
      </c>
      <c r="AU81" s="12">
        <f ca="1">OFFSET('Proforma L+H'!$E110,0,'L+H Monthly CF'!AU$3)/12</f>
        <v>12500</v>
      </c>
      <c r="AV81" s="12">
        <f ca="1">OFFSET('Proforma L+H'!$E110,0,'L+H Monthly CF'!AV$3)/12</f>
        <v>12500</v>
      </c>
      <c r="AW81" s="12">
        <f ca="1">OFFSET('Proforma L+H'!$E110,0,'L+H Monthly CF'!AW$3)/12</f>
        <v>12500</v>
      </c>
      <c r="AX81" s="12">
        <f ca="1">OFFSET('Proforma L+H'!$E110,0,'L+H Monthly CF'!AX$3)/12</f>
        <v>12500</v>
      </c>
      <c r="AY81" s="12">
        <f ca="1">OFFSET('Proforma L+H'!$E110,0,'L+H Monthly CF'!AY$3)/12</f>
        <v>12500</v>
      </c>
      <c r="AZ81" s="12">
        <f ca="1">OFFSET('Proforma L+H'!$E110,0,'L+H Monthly CF'!AZ$3)/12</f>
        <v>12500</v>
      </c>
      <c r="BA81" s="12">
        <f t="shared" ca="1" si="35"/>
        <v>300000</v>
      </c>
      <c r="BB81" s="758">
        <f ca="1">SUM('Proforma L+H'!E110:H110)-BA81</f>
        <v>0</v>
      </c>
    </row>
    <row r="82" spans="1:54" hidden="1" outlineLevel="1" x14ac:dyDescent="0.2">
      <c r="A82" s="2"/>
      <c r="B82" s="163" t="str">
        <f>'Proforma L+H'!B111</f>
        <v>Landscape Architecture Design &amp; CDs</v>
      </c>
      <c r="C82" s="65">
        <v>0.05</v>
      </c>
      <c r="D82" s="32"/>
      <c r="E82" s="32">
        <f ca="1">OFFSET('Proforma L+H'!$E111,0,'L+H Monthly CF'!E$3)/12</f>
        <v>0</v>
      </c>
      <c r="F82" s="32">
        <f ca="1">OFFSET('Proforma L+H'!$E111,0,'L+H Monthly CF'!F$3)/12</f>
        <v>0</v>
      </c>
      <c r="G82" s="32">
        <f ca="1">OFFSET('Proforma L+H'!$E111,0,'L+H Monthly CF'!G$3)/12</f>
        <v>0</v>
      </c>
      <c r="H82" s="32">
        <f ca="1">OFFSET('Proforma L+H'!$E111,0,'L+H Monthly CF'!H$3)/12</f>
        <v>0</v>
      </c>
      <c r="I82" s="32">
        <f ca="1">OFFSET('Proforma L+H'!$E111,0,'L+H Monthly CF'!I$3)/12</f>
        <v>0</v>
      </c>
      <c r="J82" s="32">
        <f ca="1">OFFSET('Proforma L+H'!$E111,0,'L+H Monthly CF'!J$3)/12</f>
        <v>0</v>
      </c>
      <c r="K82" s="32">
        <f ca="1">OFFSET('Proforma L+H'!$E111,0,'L+H Monthly CF'!K$3)/12</f>
        <v>0</v>
      </c>
      <c r="L82" s="32">
        <f ca="1">OFFSET('Proforma L+H'!$E111,0,'L+H Monthly CF'!L$3)/12</f>
        <v>0</v>
      </c>
      <c r="M82" s="32">
        <f ca="1">OFFSET('Proforma L+H'!$E111,0,'L+H Monthly CF'!M$3)/12</f>
        <v>0</v>
      </c>
      <c r="N82" s="32">
        <f ca="1">OFFSET('Proforma L+H'!$E111,0,'L+H Monthly CF'!N$3)/12</f>
        <v>0</v>
      </c>
      <c r="O82" s="32">
        <f ca="1">OFFSET('Proforma L+H'!$E111,0,'L+H Monthly CF'!O$3)/12</f>
        <v>0</v>
      </c>
      <c r="P82" s="32">
        <f ca="1">OFFSET('Proforma L+H'!$E111,0,'L+H Monthly CF'!P$3)/12</f>
        <v>0</v>
      </c>
      <c r="Q82" s="32">
        <f ca="1">OFFSET('Proforma L+H'!$E111,0,'L+H Monthly CF'!Q$3)/12</f>
        <v>3125</v>
      </c>
      <c r="R82" s="12">
        <f ca="1">OFFSET('Proforma L+H'!$E111,0,'L+H Monthly CF'!R$3)/12</f>
        <v>3125</v>
      </c>
      <c r="S82" s="12">
        <f ca="1">OFFSET('Proforma L+H'!$E111,0,'L+H Monthly CF'!S$3)/12</f>
        <v>3125</v>
      </c>
      <c r="T82" s="12">
        <f ca="1">OFFSET('Proforma L+H'!$E111,0,'L+H Monthly CF'!T$3)/12</f>
        <v>3125</v>
      </c>
      <c r="U82" s="12">
        <f ca="1">OFFSET('Proforma L+H'!$E111,0,'L+H Monthly CF'!U$3)/12</f>
        <v>3125</v>
      </c>
      <c r="V82" s="12">
        <f ca="1">OFFSET('Proforma L+H'!$E111,0,'L+H Monthly CF'!V$3)/12</f>
        <v>3125</v>
      </c>
      <c r="W82" s="12">
        <f ca="1">OFFSET('Proforma L+H'!$E111,0,'L+H Monthly CF'!W$3)/12</f>
        <v>3125</v>
      </c>
      <c r="X82" s="12">
        <f ca="1">OFFSET('Proforma L+H'!$E111,0,'L+H Monthly CF'!X$3)/12</f>
        <v>3125</v>
      </c>
      <c r="Y82" s="12">
        <f ca="1">OFFSET('Proforma L+H'!$E111,0,'L+H Monthly CF'!Y$3)/12</f>
        <v>3125</v>
      </c>
      <c r="Z82" s="12">
        <f ca="1">OFFSET('Proforma L+H'!$E111,0,'L+H Monthly CF'!Z$3)/12</f>
        <v>3125</v>
      </c>
      <c r="AA82" s="12">
        <f ca="1">OFFSET('Proforma L+H'!$E111,0,'L+H Monthly CF'!AA$3)/12</f>
        <v>3125</v>
      </c>
      <c r="AB82" s="12">
        <f ca="1">OFFSET('Proforma L+H'!$E111,0,'L+H Monthly CF'!AB$3)/12</f>
        <v>3125</v>
      </c>
      <c r="AC82" s="12">
        <f ca="1">OFFSET('Proforma L+H'!$E111,0,'L+H Monthly CF'!AC$3)/12</f>
        <v>6250</v>
      </c>
      <c r="AD82" s="12">
        <f ca="1">OFFSET('Proforma L+H'!$E111,0,'L+H Monthly CF'!AD$3)/12</f>
        <v>6250</v>
      </c>
      <c r="AE82" s="12">
        <f ca="1">OFFSET('Proforma L+H'!$E111,0,'L+H Monthly CF'!AE$3)/12</f>
        <v>6250</v>
      </c>
      <c r="AF82" s="12">
        <f ca="1">OFFSET('Proforma L+H'!$E111,0,'L+H Monthly CF'!AF$3)/12</f>
        <v>6250</v>
      </c>
      <c r="AG82" s="12">
        <f ca="1">OFFSET('Proforma L+H'!$E111,0,'L+H Monthly CF'!AG$3)/12</f>
        <v>6250</v>
      </c>
      <c r="AH82" s="12">
        <f ca="1">OFFSET('Proforma L+H'!$E111,0,'L+H Monthly CF'!AH$3)/12</f>
        <v>6250</v>
      </c>
      <c r="AI82" s="12">
        <f ca="1">OFFSET('Proforma L+H'!$E111,0,'L+H Monthly CF'!AI$3)/12</f>
        <v>6250</v>
      </c>
      <c r="AJ82" s="12">
        <f ca="1">OFFSET('Proforma L+H'!$E111,0,'L+H Monthly CF'!AJ$3)/12</f>
        <v>6250</v>
      </c>
      <c r="AK82" s="12">
        <f ca="1">OFFSET('Proforma L+H'!$E111,0,'L+H Monthly CF'!AK$3)/12</f>
        <v>6250</v>
      </c>
      <c r="AL82" s="12">
        <f ca="1">OFFSET('Proforma L+H'!$E111,0,'L+H Monthly CF'!AL$3)/12</f>
        <v>6250</v>
      </c>
      <c r="AM82" s="12">
        <f ca="1">OFFSET('Proforma L+H'!$E111,0,'L+H Monthly CF'!AM$3)/12</f>
        <v>6250</v>
      </c>
      <c r="AN82" s="12">
        <f ca="1">OFFSET('Proforma L+H'!$E111,0,'L+H Monthly CF'!AN$3)/12</f>
        <v>6250</v>
      </c>
      <c r="AO82" s="12">
        <f ca="1">OFFSET('Proforma L+H'!$E111,0,'L+H Monthly CF'!AO$3)/12</f>
        <v>9375</v>
      </c>
      <c r="AP82" s="12">
        <f ca="1">OFFSET('Proforma L+H'!$E111,0,'L+H Monthly CF'!AP$3)/12</f>
        <v>9375</v>
      </c>
      <c r="AQ82" s="12">
        <f ca="1">OFFSET('Proforma L+H'!$E111,0,'L+H Monthly CF'!AQ$3)/12</f>
        <v>9375</v>
      </c>
      <c r="AR82" s="12">
        <f ca="1">OFFSET('Proforma L+H'!$E111,0,'L+H Monthly CF'!AR$3)/12</f>
        <v>9375</v>
      </c>
      <c r="AS82" s="12">
        <f ca="1">OFFSET('Proforma L+H'!$E111,0,'L+H Monthly CF'!AS$3)/12</f>
        <v>9375</v>
      </c>
      <c r="AT82" s="12">
        <f ca="1">OFFSET('Proforma L+H'!$E111,0,'L+H Monthly CF'!AT$3)/12</f>
        <v>9375</v>
      </c>
      <c r="AU82" s="12">
        <f ca="1">OFFSET('Proforma L+H'!$E111,0,'L+H Monthly CF'!AU$3)/12</f>
        <v>9375</v>
      </c>
      <c r="AV82" s="12">
        <f ca="1">OFFSET('Proforma L+H'!$E111,0,'L+H Monthly CF'!AV$3)/12</f>
        <v>9375</v>
      </c>
      <c r="AW82" s="12">
        <f ca="1">OFFSET('Proforma L+H'!$E111,0,'L+H Monthly CF'!AW$3)/12</f>
        <v>9375</v>
      </c>
      <c r="AX82" s="12">
        <f ca="1">OFFSET('Proforma L+H'!$E111,0,'L+H Monthly CF'!AX$3)/12</f>
        <v>9375</v>
      </c>
      <c r="AY82" s="12">
        <f ca="1">OFFSET('Proforma L+H'!$E111,0,'L+H Monthly CF'!AY$3)/12</f>
        <v>9375</v>
      </c>
      <c r="AZ82" s="12">
        <f ca="1">OFFSET('Proforma L+H'!$E111,0,'L+H Monthly CF'!AZ$3)/12</f>
        <v>9375</v>
      </c>
      <c r="BA82" s="12">
        <f t="shared" ca="1" si="35"/>
        <v>225000</v>
      </c>
      <c r="BB82" s="758">
        <f ca="1">SUM('Proforma L+H'!E111:H111)-BA82</f>
        <v>0</v>
      </c>
    </row>
    <row r="83" spans="1:54" hidden="1" outlineLevel="1" x14ac:dyDescent="0.2">
      <c r="A83" s="2"/>
      <c r="B83" s="163" t="str">
        <f>'Proforma L+H'!B112</f>
        <v>Landscape Arch. C/A</v>
      </c>
      <c r="C83" s="10">
        <v>3500</v>
      </c>
      <c r="D83" s="32"/>
      <c r="E83" s="32">
        <f ca="1">OFFSET('Proforma L+H'!$E112,0,'L+H Monthly CF'!E$3)/12</f>
        <v>0</v>
      </c>
      <c r="F83" s="32">
        <f ca="1">OFFSET('Proforma L+H'!$E112,0,'L+H Monthly CF'!F$3)/12</f>
        <v>0</v>
      </c>
      <c r="G83" s="32">
        <f ca="1">OFFSET('Proforma L+H'!$E112,0,'L+H Monthly CF'!G$3)/12</f>
        <v>0</v>
      </c>
      <c r="H83" s="32">
        <f ca="1">OFFSET('Proforma L+H'!$E112,0,'L+H Monthly CF'!H$3)/12</f>
        <v>0</v>
      </c>
      <c r="I83" s="32">
        <f ca="1">OFFSET('Proforma L+H'!$E112,0,'L+H Monthly CF'!I$3)/12</f>
        <v>0</v>
      </c>
      <c r="J83" s="32">
        <f ca="1">OFFSET('Proforma L+H'!$E112,0,'L+H Monthly CF'!J$3)/12</f>
        <v>0</v>
      </c>
      <c r="K83" s="32">
        <f ca="1">OFFSET('Proforma L+H'!$E112,0,'L+H Monthly CF'!K$3)/12</f>
        <v>0</v>
      </c>
      <c r="L83" s="32">
        <f ca="1">OFFSET('Proforma L+H'!$E112,0,'L+H Monthly CF'!L$3)/12</f>
        <v>0</v>
      </c>
      <c r="M83" s="32">
        <f ca="1">OFFSET('Proforma L+H'!$E112,0,'L+H Monthly CF'!M$3)/12</f>
        <v>0</v>
      </c>
      <c r="N83" s="32">
        <f ca="1">OFFSET('Proforma L+H'!$E112,0,'L+H Monthly CF'!N$3)/12</f>
        <v>0</v>
      </c>
      <c r="O83" s="32">
        <f ca="1">OFFSET('Proforma L+H'!$E112,0,'L+H Monthly CF'!O$3)/12</f>
        <v>0</v>
      </c>
      <c r="P83" s="32">
        <f ca="1">OFFSET('Proforma L+H'!$E112,0,'L+H Monthly CF'!P$3)/12</f>
        <v>0</v>
      </c>
      <c r="Q83" s="32">
        <f ca="1">OFFSET('Proforma L+H'!$E112,0,'L+H Monthly CF'!Q$3)/12</f>
        <v>1458.3333333333333</v>
      </c>
      <c r="R83" s="12">
        <f ca="1">OFFSET('Proforma L+H'!$E112,0,'L+H Monthly CF'!R$3)/12</f>
        <v>1458.3333333333333</v>
      </c>
      <c r="S83" s="12">
        <f ca="1">OFFSET('Proforma L+H'!$E112,0,'L+H Monthly CF'!S$3)/12</f>
        <v>1458.3333333333333</v>
      </c>
      <c r="T83" s="12">
        <f ca="1">OFFSET('Proforma L+H'!$E112,0,'L+H Monthly CF'!T$3)/12</f>
        <v>1458.3333333333333</v>
      </c>
      <c r="U83" s="12">
        <f ca="1">OFFSET('Proforma L+H'!$E112,0,'L+H Monthly CF'!U$3)/12</f>
        <v>1458.3333333333333</v>
      </c>
      <c r="V83" s="12">
        <f ca="1">OFFSET('Proforma L+H'!$E112,0,'L+H Monthly CF'!V$3)/12</f>
        <v>1458.3333333333333</v>
      </c>
      <c r="W83" s="12">
        <f ca="1">OFFSET('Proforma L+H'!$E112,0,'L+H Monthly CF'!W$3)/12</f>
        <v>1458.3333333333333</v>
      </c>
      <c r="X83" s="12">
        <f ca="1">OFFSET('Proforma L+H'!$E112,0,'L+H Monthly CF'!X$3)/12</f>
        <v>1458.3333333333333</v>
      </c>
      <c r="Y83" s="12">
        <f ca="1">OFFSET('Proforma L+H'!$E112,0,'L+H Monthly CF'!Y$3)/12</f>
        <v>1458.3333333333333</v>
      </c>
      <c r="Z83" s="12">
        <f ca="1">OFFSET('Proforma L+H'!$E112,0,'L+H Monthly CF'!Z$3)/12</f>
        <v>1458.3333333333333</v>
      </c>
      <c r="AA83" s="12">
        <f ca="1">OFFSET('Proforma L+H'!$E112,0,'L+H Monthly CF'!AA$3)/12</f>
        <v>1458.3333333333333</v>
      </c>
      <c r="AB83" s="12">
        <f ca="1">OFFSET('Proforma L+H'!$E112,0,'L+H Monthly CF'!AB$3)/12</f>
        <v>1458.3333333333333</v>
      </c>
      <c r="AC83" s="12">
        <f ca="1">OFFSET('Proforma L+H'!$E112,0,'L+H Monthly CF'!AC$3)/12</f>
        <v>2916.6666666666665</v>
      </c>
      <c r="AD83" s="12">
        <f ca="1">OFFSET('Proforma L+H'!$E112,0,'L+H Monthly CF'!AD$3)/12</f>
        <v>2916.6666666666665</v>
      </c>
      <c r="AE83" s="12">
        <f ca="1">OFFSET('Proforma L+H'!$E112,0,'L+H Monthly CF'!AE$3)/12</f>
        <v>2916.6666666666665</v>
      </c>
      <c r="AF83" s="12">
        <f ca="1">OFFSET('Proforma L+H'!$E112,0,'L+H Monthly CF'!AF$3)/12</f>
        <v>2916.6666666666665</v>
      </c>
      <c r="AG83" s="12">
        <f ca="1">OFFSET('Proforma L+H'!$E112,0,'L+H Monthly CF'!AG$3)/12</f>
        <v>2916.6666666666665</v>
      </c>
      <c r="AH83" s="12">
        <f ca="1">OFFSET('Proforma L+H'!$E112,0,'L+H Monthly CF'!AH$3)/12</f>
        <v>2916.6666666666665</v>
      </c>
      <c r="AI83" s="12">
        <f ca="1">OFFSET('Proforma L+H'!$E112,0,'L+H Monthly CF'!AI$3)/12</f>
        <v>2916.6666666666665</v>
      </c>
      <c r="AJ83" s="12">
        <f ca="1">OFFSET('Proforma L+H'!$E112,0,'L+H Monthly CF'!AJ$3)/12</f>
        <v>2916.6666666666665</v>
      </c>
      <c r="AK83" s="12">
        <f ca="1">OFFSET('Proforma L+H'!$E112,0,'L+H Monthly CF'!AK$3)/12</f>
        <v>2916.6666666666665</v>
      </c>
      <c r="AL83" s="12">
        <f ca="1">OFFSET('Proforma L+H'!$E112,0,'L+H Monthly CF'!AL$3)/12</f>
        <v>2916.6666666666665</v>
      </c>
      <c r="AM83" s="12">
        <f ca="1">OFFSET('Proforma L+H'!$E112,0,'L+H Monthly CF'!AM$3)/12</f>
        <v>2916.6666666666665</v>
      </c>
      <c r="AN83" s="12">
        <f ca="1">OFFSET('Proforma L+H'!$E112,0,'L+H Monthly CF'!AN$3)/12</f>
        <v>2916.6666666666665</v>
      </c>
      <c r="AO83" s="12">
        <f ca="1">OFFSET('Proforma L+H'!$E112,0,'L+H Monthly CF'!AO$3)/12</f>
        <v>4375</v>
      </c>
      <c r="AP83" s="12">
        <f ca="1">OFFSET('Proforma L+H'!$E112,0,'L+H Monthly CF'!AP$3)/12</f>
        <v>4375</v>
      </c>
      <c r="AQ83" s="12">
        <f ca="1">OFFSET('Proforma L+H'!$E112,0,'L+H Monthly CF'!AQ$3)/12</f>
        <v>4375</v>
      </c>
      <c r="AR83" s="12">
        <f ca="1">OFFSET('Proforma L+H'!$E112,0,'L+H Monthly CF'!AR$3)/12</f>
        <v>4375</v>
      </c>
      <c r="AS83" s="12">
        <f ca="1">OFFSET('Proforma L+H'!$E112,0,'L+H Monthly CF'!AS$3)/12</f>
        <v>4375</v>
      </c>
      <c r="AT83" s="12">
        <f ca="1">OFFSET('Proforma L+H'!$E112,0,'L+H Monthly CF'!AT$3)/12</f>
        <v>4375</v>
      </c>
      <c r="AU83" s="12">
        <f ca="1">OFFSET('Proforma L+H'!$E112,0,'L+H Monthly CF'!AU$3)/12</f>
        <v>4375</v>
      </c>
      <c r="AV83" s="12">
        <f ca="1">OFFSET('Proforma L+H'!$E112,0,'L+H Monthly CF'!AV$3)/12</f>
        <v>4375</v>
      </c>
      <c r="AW83" s="12">
        <f ca="1">OFFSET('Proforma L+H'!$E112,0,'L+H Monthly CF'!AW$3)/12</f>
        <v>4375</v>
      </c>
      <c r="AX83" s="12">
        <f ca="1">OFFSET('Proforma L+H'!$E112,0,'L+H Monthly CF'!AX$3)/12</f>
        <v>4375</v>
      </c>
      <c r="AY83" s="12">
        <f ca="1">OFFSET('Proforma L+H'!$E112,0,'L+H Monthly CF'!AY$3)/12</f>
        <v>4375</v>
      </c>
      <c r="AZ83" s="12">
        <f ca="1">OFFSET('Proforma L+H'!$E112,0,'L+H Monthly CF'!AZ$3)/12</f>
        <v>4375</v>
      </c>
      <c r="BA83" s="12">
        <f t="shared" ca="1" si="35"/>
        <v>105000</v>
      </c>
      <c r="BB83" s="758">
        <f ca="1">SUM('Proforma L+H'!E112:H112)-BA83</f>
        <v>0</v>
      </c>
    </row>
    <row r="84" spans="1:54" hidden="1" outlineLevel="1" x14ac:dyDescent="0.2">
      <c r="A84" s="2"/>
      <c r="B84" s="163" t="str">
        <f>'Proforma L+H'!B113</f>
        <v>Structural Engineering</v>
      </c>
      <c r="C84" s="64">
        <v>2.25</v>
      </c>
      <c r="D84" s="10"/>
      <c r="E84" s="12">
        <f ca="1">OFFSET('Proforma L+H'!$E113,0,'L+H Monthly CF'!E$3)/12</f>
        <v>0</v>
      </c>
      <c r="F84" s="12">
        <f ca="1">OFFSET('Proforma L+H'!$E113,0,'L+H Monthly CF'!F$3)/12</f>
        <v>0</v>
      </c>
      <c r="G84" s="12">
        <f ca="1">OFFSET('Proforma L+H'!$E113,0,'L+H Monthly CF'!G$3)/12</f>
        <v>0</v>
      </c>
      <c r="H84" s="12">
        <f ca="1">OFFSET('Proforma L+H'!$E113,0,'L+H Monthly CF'!H$3)/12</f>
        <v>0</v>
      </c>
      <c r="I84" s="12">
        <f ca="1">OFFSET('Proforma L+H'!$E113,0,'L+H Monthly CF'!I$3)/12</f>
        <v>0</v>
      </c>
      <c r="J84" s="12">
        <f ca="1">OFFSET('Proforma L+H'!$E113,0,'L+H Monthly CF'!J$3)/12</f>
        <v>0</v>
      </c>
      <c r="K84" s="12">
        <f ca="1">OFFSET('Proforma L+H'!$E113,0,'L+H Monthly CF'!K$3)/12</f>
        <v>0</v>
      </c>
      <c r="L84" s="12">
        <f ca="1">OFFSET('Proforma L+H'!$E113,0,'L+H Monthly CF'!L$3)/12</f>
        <v>0</v>
      </c>
      <c r="M84" s="12">
        <f ca="1">OFFSET('Proforma L+H'!$E113,0,'L+H Monthly CF'!M$3)/12</f>
        <v>0</v>
      </c>
      <c r="N84" s="12">
        <f ca="1">OFFSET('Proforma L+H'!$E113,0,'L+H Monthly CF'!N$3)/12</f>
        <v>0</v>
      </c>
      <c r="O84" s="12">
        <f ca="1">OFFSET('Proforma L+H'!$E113,0,'L+H Monthly CF'!O$3)/12</f>
        <v>0</v>
      </c>
      <c r="P84" s="12">
        <f ca="1">OFFSET('Proforma L+H'!$E113,0,'L+H Monthly CF'!P$3)/12</f>
        <v>0</v>
      </c>
      <c r="Q84" s="12">
        <f ca="1">OFFSET('Proforma L+H'!$E113,0,'L+H Monthly CF'!Q$3)/12</f>
        <v>3281.25</v>
      </c>
      <c r="R84" s="12">
        <f ca="1">OFFSET('Proforma L+H'!$E113,0,'L+H Monthly CF'!R$3)/12</f>
        <v>3281.25</v>
      </c>
      <c r="S84" s="12">
        <f ca="1">OFFSET('Proforma L+H'!$E113,0,'L+H Monthly CF'!S$3)/12</f>
        <v>3281.25</v>
      </c>
      <c r="T84" s="12">
        <f ca="1">OFFSET('Proforma L+H'!$E113,0,'L+H Monthly CF'!T$3)/12</f>
        <v>3281.25</v>
      </c>
      <c r="U84" s="12">
        <f ca="1">OFFSET('Proforma L+H'!$E113,0,'L+H Monthly CF'!U$3)/12</f>
        <v>3281.25</v>
      </c>
      <c r="V84" s="12">
        <f ca="1">OFFSET('Proforma L+H'!$E113,0,'L+H Monthly CF'!V$3)/12</f>
        <v>3281.25</v>
      </c>
      <c r="W84" s="12">
        <f ca="1">OFFSET('Proforma L+H'!$E113,0,'L+H Monthly CF'!W$3)/12</f>
        <v>3281.25</v>
      </c>
      <c r="X84" s="12">
        <f ca="1">OFFSET('Proforma L+H'!$E113,0,'L+H Monthly CF'!X$3)/12</f>
        <v>3281.25</v>
      </c>
      <c r="Y84" s="12">
        <f ca="1">OFFSET('Proforma L+H'!$E113,0,'L+H Monthly CF'!Y$3)/12</f>
        <v>3281.25</v>
      </c>
      <c r="Z84" s="12">
        <f ca="1">OFFSET('Proforma L+H'!$E113,0,'L+H Monthly CF'!Z$3)/12</f>
        <v>3281.25</v>
      </c>
      <c r="AA84" s="12">
        <f ca="1">OFFSET('Proforma L+H'!$E113,0,'L+H Monthly CF'!AA$3)/12</f>
        <v>3281.25</v>
      </c>
      <c r="AB84" s="12">
        <f ca="1">OFFSET('Proforma L+H'!$E113,0,'L+H Monthly CF'!AB$3)/12</f>
        <v>3281.25</v>
      </c>
      <c r="AC84" s="12">
        <f ca="1">OFFSET('Proforma L+H'!$E113,0,'L+H Monthly CF'!AC$3)/12</f>
        <v>6093.75</v>
      </c>
      <c r="AD84" s="12">
        <f ca="1">OFFSET('Proforma L+H'!$E113,0,'L+H Monthly CF'!AD$3)/12</f>
        <v>6093.75</v>
      </c>
      <c r="AE84" s="12">
        <f ca="1">OFFSET('Proforma L+H'!$E113,0,'L+H Monthly CF'!AE$3)/12</f>
        <v>6093.75</v>
      </c>
      <c r="AF84" s="12">
        <f ca="1">OFFSET('Proforma L+H'!$E113,0,'L+H Monthly CF'!AF$3)/12</f>
        <v>6093.75</v>
      </c>
      <c r="AG84" s="12">
        <f ca="1">OFFSET('Proforma L+H'!$E113,0,'L+H Monthly CF'!AG$3)/12</f>
        <v>6093.75</v>
      </c>
      <c r="AH84" s="12">
        <f ca="1">OFFSET('Proforma L+H'!$E113,0,'L+H Monthly CF'!AH$3)/12</f>
        <v>6093.75</v>
      </c>
      <c r="AI84" s="12">
        <f ca="1">OFFSET('Proforma L+H'!$E113,0,'L+H Monthly CF'!AI$3)/12</f>
        <v>6093.75</v>
      </c>
      <c r="AJ84" s="12">
        <f ca="1">OFFSET('Proforma L+H'!$E113,0,'L+H Monthly CF'!AJ$3)/12</f>
        <v>6093.75</v>
      </c>
      <c r="AK84" s="12">
        <f ca="1">OFFSET('Proforma L+H'!$E113,0,'L+H Monthly CF'!AK$3)/12</f>
        <v>6093.75</v>
      </c>
      <c r="AL84" s="12">
        <f ca="1">OFFSET('Proforma L+H'!$E113,0,'L+H Monthly CF'!AL$3)/12</f>
        <v>6093.75</v>
      </c>
      <c r="AM84" s="12">
        <f ca="1">OFFSET('Proforma L+H'!$E113,0,'L+H Monthly CF'!AM$3)/12</f>
        <v>6093.75</v>
      </c>
      <c r="AN84" s="12">
        <f ca="1">OFFSET('Proforma L+H'!$E113,0,'L+H Monthly CF'!AN$3)/12</f>
        <v>6093.75</v>
      </c>
      <c r="AO84" s="12">
        <f ca="1">OFFSET('Proforma L+H'!$E113,0,'L+H Monthly CF'!AO$3)/12</f>
        <v>10078.125</v>
      </c>
      <c r="AP84" s="12">
        <f ca="1">OFFSET('Proforma L+H'!$E113,0,'L+H Monthly CF'!AP$3)/12</f>
        <v>10078.125</v>
      </c>
      <c r="AQ84" s="12">
        <f ca="1">OFFSET('Proforma L+H'!$E113,0,'L+H Monthly CF'!AQ$3)/12</f>
        <v>10078.125</v>
      </c>
      <c r="AR84" s="12">
        <f ca="1">OFFSET('Proforma L+H'!$E113,0,'L+H Monthly CF'!AR$3)/12</f>
        <v>10078.125</v>
      </c>
      <c r="AS84" s="12">
        <f ca="1">OFFSET('Proforma L+H'!$E113,0,'L+H Monthly CF'!AS$3)/12</f>
        <v>10078.125</v>
      </c>
      <c r="AT84" s="12">
        <f ca="1">OFFSET('Proforma L+H'!$E113,0,'L+H Monthly CF'!AT$3)/12</f>
        <v>10078.125</v>
      </c>
      <c r="AU84" s="12">
        <f ca="1">OFFSET('Proforma L+H'!$E113,0,'L+H Monthly CF'!AU$3)/12</f>
        <v>10078.125</v>
      </c>
      <c r="AV84" s="12">
        <f ca="1">OFFSET('Proforma L+H'!$E113,0,'L+H Monthly CF'!AV$3)/12</f>
        <v>10078.125</v>
      </c>
      <c r="AW84" s="12">
        <f ca="1">OFFSET('Proforma L+H'!$E113,0,'L+H Monthly CF'!AW$3)/12</f>
        <v>10078.125</v>
      </c>
      <c r="AX84" s="12">
        <f ca="1">OFFSET('Proforma L+H'!$E113,0,'L+H Monthly CF'!AX$3)/12</f>
        <v>10078.125</v>
      </c>
      <c r="AY84" s="12">
        <f ca="1">OFFSET('Proforma L+H'!$E113,0,'L+H Monthly CF'!AY$3)/12</f>
        <v>10078.125</v>
      </c>
      <c r="AZ84" s="12">
        <f ca="1">OFFSET('Proforma L+H'!$E113,0,'L+H Monthly CF'!AZ$3)/12</f>
        <v>10078.125</v>
      </c>
      <c r="BA84" s="12">
        <f t="shared" ca="1" si="35"/>
        <v>233437.5</v>
      </c>
      <c r="BB84" s="758">
        <f ca="1">SUM('Proforma L+H'!E113:H113)-BA84</f>
        <v>0</v>
      </c>
    </row>
    <row r="85" spans="1:54" hidden="1" outlineLevel="1" x14ac:dyDescent="0.2">
      <c r="A85" s="2"/>
      <c r="B85" s="163" t="str">
        <f>'Proforma L+H'!B114</f>
        <v>Interior Design</v>
      </c>
      <c r="C85" s="69">
        <v>3.5000000000000001E-3</v>
      </c>
      <c r="D85" s="10"/>
      <c r="E85" s="32">
        <f ca="1">OFFSET('Proforma L+H'!$E114,0,'L+H Monthly CF'!E$3)/12</f>
        <v>0</v>
      </c>
      <c r="F85" s="32">
        <f ca="1">OFFSET('Proforma L+H'!$E114,0,'L+H Monthly CF'!F$3)/12</f>
        <v>0</v>
      </c>
      <c r="G85" s="32">
        <f ca="1">OFFSET('Proforma L+H'!$E114,0,'L+H Monthly CF'!G$3)/12</f>
        <v>0</v>
      </c>
      <c r="H85" s="32">
        <f ca="1">OFFSET('Proforma L+H'!$E114,0,'L+H Monthly CF'!H$3)/12</f>
        <v>0</v>
      </c>
      <c r="I85" s="32">
        <f ca="1">OFFSET('Proforma L+H'!$E114,0,'L+H Monthly CF'!I$3)/12</f>
        <v>0</v>
      </c>
      <c r="J85" s="32">
        <f ca="1">OFFSET('Proforma L+H'!$E114,0,'L+H Monthly CF'!J$3)/12</f>
        <v>0</v>
      </c>
      <c r="K85" s="32">
        <f ca="1">OFFSET('Proforma L+H'!$E114,0,'L+H Monthly CF'!K$3)/12</f>
        <v>0</v>
      </c>
      <c r="L85">
        <f ca="1">OFFSET('Proforma L+H'!$E114,0,'L+H Monthly CF'!L$3)/12</f>
        <v>0</v>
      </c>
      <c r="M85" s="32">
        <f ca="1">OFFSET('Proforma L+H'!$E114,0,'L+H Monthly CF'!M$3)/12</f>
        <v>0</v>
      </c>
      <c r="N85" s="32">
        <f ca="1">OFFSET('Proforma L+H'!$E114,0,'L+H Monthly CF'!N$3)/12</f>
        <v>0</v>
      </c>
      <c r="O85" s="32">
        <f ca="1">OFFSET('Proforma L+H'!$E114,0,'L+H Monthly CF'!O$3)/12</f>
        <v>0</v>
      </c>
      <c r="P85" s="32">
        <f ca="1">OFFSET('Proforma L+H'!$E114,0,'L+H Monthly CF'!P$3)/12</f>
        <v>0</v>
      </c>
      <c r="Q85" s="32">
        <f ca="1">OFFSET('Proforma L+H'!$E114,0,'L+H Monthly CF'!Q$3)/12</f>
        <v>4338.541666666667</v>
      </c>
      <c r="R85" s="12">
        <f ca="1">OFFSET('Proforma L+H'!$E114,0,'L+H Monthly CF'!R$3)/12</f>
        <v>4338.541666666667</v>
      </c>
      <c r="S85" s="12">
        <f ca="1">OFFSET('Proforma L+H'!$E114,0,'L+H Monthly CF'!S$3)/12</f>
        <v>4338.541666666667</v>
      </c>
      <c r="T85" s="12">
        <f ca="1">OFFSET('Proforma L+H'!$E114,0,'L+H Monthly CF'!T$3)/12</f>
        <v>4338.541666666667</v>
      </c>
      <c r="U85" s="12">
        <f ca="1">OFFSET('Proforma L+H'!$E114,0,'L+H Monthly CF'!U$3)/12</f>
        <v>4338.541666666667</v>
      </c>
      <c r="V85" s="12">
        <f ca="1">OFFSET('Proforma L+H'!$E114,0,'L+H Monthly CF'!V$3)/12</f>
        <v>4338.541666666667</v>
      </c>
      <c r="W85" s="12">
        <f ca="1">OFFSET('Proforma L+H'!$E114,0,'L+H Monthly CF'!W$3)/12</f>
        <v>4338.541666666667</v>
      </c>
      <c r="X85" s="12">
        <f ca="1">OFFSET('Proforma L+H'!$E114,0,'L+H Monthly CF'!X$3)/12</f>
        <v>4338.541666666667</v>
      </c>
      <c r="Y85" s="12">
        <f ca="1">OFFSET('Proforma L+H'!$E114,0,'L+H Monthly CF'!Y$3)/12</f>
        <v>4338.541666666667</v>
      </c>
      <c r="Z85" s="12">
        <f ca="1">OFFSET('Proforma L+H'!$E114,0,'L+H Monthly CF'!Z$3)/12</f>
        <v>4338.541666666667</v>
      </c>
      <c r="AA85" s="12">
        <f ca="1">OFFSET('Proforma L+H'!$E114,0,'L+H Monthly CF'!AA$3)/12</f>
        <v>4338.541666666667</v>
      </c>
      <c r="AB85" s="12">
        <f ca="1">OFFSET('Proforma L+H'!$E114,0,'L+H Monthly CF'!AB$3)/12</f>
        <v>4338.541666666667</v>
      </c>
      <c r="AC85" s="12">
        <f ca="1">OFFSET('Proforma L+H'!$E114,0,'L+H Monthly CF'!AC$3)/12</f>
        <v>8057.291666666667</v>
      </c>
      <c r="AD85" s="12">
        <f ca="1">OFFSET('Proforma L+H'!$E114,0,'L+H Monthly CF'!AD$3)/12</f>
        <v>8057.291666666667</v>
      </c>
      <c r="AE85" s="12">
        <f ca="1">OFFSET('Proforma L+H'!$E114,0,'L+H Monthly CF'!AE$3)/12</f>
        <v>8057.291666666667</v>
      </c>
      <c r="AF85" s="12">
        <f ca="1">OFFSET('Proforma L+H'!$E114,0,'L+H Monthly CF'!AF$3)/12</f>
        <v>8057.291666666667</v>
      </c>
      <c r="AG85" s="12">
        <f ca="1">OFFSET('Proforma L+H'!$E114,0,'L+H Monthly CF'!AG$3)/12</f>
        <v>8057.291666666667</v>
      </c>
      <c r="AH85" s="12">
        <f ca="1">OFFSET('Proforma L+H'!$E114,0,'L+H Monthly CF'!AH$3)/12</f>
        <v>8057.291666666667</v>
      </c>
      <c r="AI85" s="12">
        <f ca="1">OFFSET('Proforma L+H'!$E114,0,'L+H Monthly CF'!AI$3)/12</f>
        <v>8057.291666666667</v>
      </c>
      <c r="AJ85" s="12">
        <f ca="1">OFFSET('Proforma L+H'!$E114,0,'L+H Monthly CF'!AJ$3)/12</f>
        <v>8057.291666666667</v>
      </c>
      <c r="AK85" s="12">
        <f ca="1">OFFSET('Proforma L+H'!$E114,0,'L+H Monthly CF'!AK$3)/12</f>
        <v>8057.291666666667</v>
      </c>
      <c r="AL85" s="12">
        <f ca="1">OFFSET('Proforma L+H'!$E114,0,'L+H Monthly CF'!AL$3)/12</f>
        <v>8057.291666666667</v>
      </c>
      <c r="AM85" s="12">
        <f ca="1">OFFSET('Proforma L+H'!$E114,0,'L+H Monthly CF'!AM$3)/12</f>
        <v>8057.291666666667</v>
      </c>
      <c r="AN85" s="12">
        <f ca="1">OFFSET('Proforma L+H'!$E114,0,'L+H Monthly CF'!AN$3)/12</f>
        <v>8057.291666666667</v>
      </c>
      <c r="AO85" s="12">
        <f ca="1">OFFSET('Proforma L+H'!$E114,0,'L+H Monthly CF'!AO$3)/12</f>
        <v>13325.520833333334</v>
      </c>
      <c r="AP85" s="12">
        <f ca="1">OFFSET('Proforma L+H'!$E114,0,'L+H Monthly CF'!AP$3)/12</f>
        <v>13325.520833333334</v>
      </c>
      <c r="AQ85" s="12">
        <f ca="1">OFFSET('Proforma L+H'!$E114,0,'L+H Monthly CF'!AQ$3)/12</f>
        <v>13325.520833333334</v>
      </c>
      <c r="AR85" s="12">
        <f ca="1">OFFSET('Proforma L+H'!$E114,0,'L+H Monthly CF'!AR$3)/12</f>
        <v>13325.520833333334</v>
      </c>
      <c r="AS85" s="12">
        <f ca="1">OFFSET('Proforma L+H'!$E114,0,'L+H Monthly CF'!AS$3)/12</f>
        <v>13325.520833333334</v>
      </c>
      <c r="AT85" s="12">
        <f ca="1">OFFSET('Proforma L+H'!$E114,0,'L+H Monthly CF'!AT$3)/12</f>
        <v>13325.520833333334</v>
      </c>
      <c r="AU85" s="12">
        <f ca="1">OFFSET('Proforma L+H'!$E114,0,'L+H Monthly CF'!AU$3)/12</f>
        <v>13325.520833333334</v>
      </c>
      <c r="AV85" s="12">
        <f ca="1">OFFSET('Proforma L+H'!$E114,0,'L+H Monthly CF'!AV$3)/12</f>
        <v>13325.520833333334</v>
      </c>
      <c r="AW85" s="12">
        <f ca="1">OFFSET('Proforma L+H'!$E114,0,'L+H Monthly CF'!AW$3)/12</f>
        <v>13325.520833333334</v>
      </c>
      <c r="AX85" s="12">
        <f ca="1">OFFSET('Proforma L+H'!$E114,0,'L+H Monthly CF'!AX$3)/12</f>
        <v>13325.520833333334</v>
      </c>
      <c r="AY85" s="12">
        <f ca="1">OFFSET('Proforma L+H'!$E114,0,'L+H Monthly CF'!AY$3)/12</f>
        <v>13325.520833333334</v>
      </c>
      <c r="AZ85" s="12">
        <f ca="1">OFFSET('Proforma L+H'!$E114,0,'L+H Monthly CF'!AZ$3)/12</f>
        <v>13325.520833333334</v>
      </c>
      <c r="BA85" s="12">
        <f t="shared" ca="1" si="35"/>
        <v>308656.25</v>
      </c>
      <c r="BB85" s="758">
        <f ca="1">SUM('Proforma L+H'!E114:H114)-BA85</f>
        <v>0</v>
      </c>
    </row>
    <row r="86" spans="1:54" hidden="1" outlineLevel="1" x14ac:dyDescent="0.2">
      <c r="A86" s="2"/>
      <c r="B86" s="163" t="str">
        <f>'Proforma L+H'!B115</f>
        <v>Preconstruction Estimating</v>
      </c>
      <c r="C86" s="69">
        <v>2.5000000000000001E-3</v>
      </c>
      <c r="D86" s="10"/>
      <c r="E86" s="32">
        <f ca="1">OFFSET('Proforma L+H'!$E115,0,'L+H Monthly CF'!E$3)/12</f>
        <v>0</v>
      </c>
      <c r="F86" s="32">
        <f ca="1">OFFSET('Proforma L+H'!$E115,0,'L+H Monthly CF'!F$3)/12</f>
        <v>0</v>
      </c>
      <c r="G86" s="32">
        <f ca="1">OFFSET('Proforma L+H'!$E115,0,'L+H Monthly CF'!G$3)/12</f>
        <v>0</v>
      </c>
      <c r="H86" s="32">
        <f ca="1">OFFSET('Proforma L+H'!$E115,0,'L+H Monthly CF'!H$3)/12</f>
        <v>0</v>
      </c>
      <c r="I86" s="32">
        <f ca="1">OFFSET('Proforma L+H'!$E115,0,'L+H Monthly CF'!I$3)/12</f>
        <v>0</v>
      </c>
      <c r="J86" s="32">
        <f ca="1">OFFSET('Proforma L+H'!$E115,0,'L+H Monthly CF'!J$3)/12</f>
        <v>0</v>
      </c>
      <c r="K86" s="32">
        <f ca="1">OFFSET('Proforma L+H'!$E115,0,'L+H Monthly CF'!K$3)/12</f>
        <v>0</v>
      </c>
      <c r="L86">
        <f ca="1">OFFSET('Proforma L+H'!$E115,0,'L+H Monthly CF'!L$3)/12</f>
        <v>0</v>
      </c>
      <c r="M86" s="32">
        <f ca="1">OFFSET('Proforma L+H'!$E115,0,'L+H Monthly CF'!M$3)/12</f>
        <v>0</v>
      </c>
      <c r="N86" s="32">
        <f ca="1">OFFSET('Proforma L+H'!$E115,0,'L+H Monthly CF'!N$3)/12</f>
        <v>0</v>
      </c>
      <c r="O86" s="32">
        <f ca="1">OFFSET('Proforma L+H'!$E115,0,'L+H Monthly CF'!O$3)/12</f>
        <v>0</v>
      </c>
      <c r="P86" s="32">
        <f ca="1">OFFSET('Proforma L+H'!$E115,0,'L+H Monthly CF'!P$3)/12</f>
        <v>0</v>
      </c>
      <c r="Q86" s="32">
        <f ca="1">OFFSET('Proforma L+H'!$E115,0,'L+H Monthly CF'!Q$3)/12</f>
        <v>3098.9583333333335</v>
      </c>
      <c r="R86" s="12">
        <f ca="1">OFFSET('Proforma L+H'!$E115,0,'L+H Monthly CF'!R$3)/12</f>
        <v>3098.9583333333335</v>
      </c>
      <c r="S86" s="12">
        <f ca="1">OFFSET('Proforma L+H'!$E115,0,'L+H Monthly CF'!S$3)/12</f>
        <v>3098.9583333333335</v>
      </c>
      <c r="T86" s="12">
        <f ca="1">OFFSET('Proforma L+H'!$E115,0,'L+H Monthly CF'!T$3)/12</f>
        <v>3098.9583333333335</v>
      </c>
      <c r="U86" s="12">
        <f ca="1">OFFSET('Proforma L+H'!$E115,0,'L+H Monthly CF'!U$3)/12</f>
        <v>3098.9583333333335</v>
      </c>
      <c r="V86" s="12">
        <f ca="1">OFFSET('Proforma L+H'!$E115,0,'L+H Monthly CF'!V$3)/12</f>
        <v>3098.9583333333335</v>
      </c>
      <c r="W86" s="12">
        <f ca="1">OFFSET('Proforma L+H'!$E115,0,'L+H Monthly CF'!W$3)/12</f>
        <v>3098.9583333333335</v>
      </c>
      <c r="X86" s="12">
        <f ca="1">OFFSET('Proforma L+H'!$E115,0,'L+H Monthly CF'!X$3)/12</f>
        <v>3098.9583333333335</v>
      </c>
      <c r="Y86" s="12">
        <f ca="1">OFFSET('Proforma L+H'!$E115,0,'L+H Monthly CF'!Y$3)/12</f>
        <v>3098.9583333333335</v>
      </c>
      <c r="Z86" s="12">
        <f ca="1">OFFSET('Proforma L+H'!$E115,0,'L+H Monthly CF'!Z$3)/12</f>
        <v>3098.9583333333335</v>
      </c>
      <c r="AA86" s="12">
        <f ca="1">OFFSET('Proforma L+H'!$E115,0,'L+H Monthly CF'!AA$3)/12</f>
        <v>3098.9583333333335</v>
      </c>
      <c r="AB86" s="12">
        <f ca="1">OFFSET('Proforma L+H'!$E115,0,'L+H Monthly CF'!AB$3)/12</f>
        <v>3098.9583333333335</v>
      </c>
      <c r="AC86" s="12">
        <f ca="1">OFFSET('Proforma L+H'!$E115,0,'L+H Monthly CF'!AC$3)/12</f>
        <v>5755.208333333333</v>
      </c>
      <c r="AD86" s="12">
        <f ca="1">OFFSET('Proforma L+H'!$E115,0,'L+H Monthly CF'!AD$3)/12</f>
        <v>5755.208333333333</v>
      </c>
      <c r="AE86" s="12">
        <f ca="1">OFFSET('Proforma L+H'!$E115,0,'L+H Monthly CF'!AE$3)/12</f>
        <v>5755.208333333333</v>
      </c>
      <c r="AF86" s="12">
        <f ca="1">OFFSET('Proforma L+H'!$E115,0,'L+H Monthly CF'!AF$3)/12</f>
        <v>5755.208333333333</v>
      </c>
      <c r="AG86" s="12">
        <f ca="1">OFFSET('Proforma L+H'!$E115,0,'L+H Monthly CF'!AG$3)/12</f>
        <v>5755.208333333333</v>
      </c>
      <c r="AH86" s="12">
        <f ca="1">OFFSET('Proforma L+H'!$E115,0,'L+H Monthly CF'!AH$3)/12</f>
        <v>5755.208333333333</v>
      </c>
      <c r="AI86" s="12">
        <f ca="1">OFFSET('Proforma L+H'!$E115,0,'L+H Monthly CF'!AI$3)/12</f>
        <v>5755.208333333333</v>
      </c>
      <c r="AJ86" s="12">
        <f ca="1">OFFSET('Proforma L+H'!$E115,0,'L+H Monthly CF'!AJ$3)/12</f>
        <v>5755.208333333333</v>
      </c>
      <c r="AK86" s="12">
        <f ca="1">OFFSET('Proforma L+H'!$E115,0,'L+H Monthly CF'!AK$3)/12</f>
        <v>5755.208333333333</v>
      </c>
      <c r="AL86" s="12">
        <f ca="1">OFFSET('Proforma L+H'!$E115,0,'L+H Monthly CF'!AL$3)/12</f>
        <v>5755.208333333333</v>
      </c>
      <c r="AM86" s="12">
        <f ca="1">OFFSET('Proforma L+H'!$E115,0,'L+H Monthly CF'!AM$3)/12</f>
        <v>5755.208333333333</v>
      </c>
      <c r="AN86" s="12">
        <f ca="1">OFFSET('Proforma L+H'!$E115,0,'L+H Monthly CF'!AN$3)/12</f>
        <v>5755.208333333333</v>
      </c>
      <c r="AO86" s="12">
        <f ca="1">OFFSET('Proforma L+H'!$E115,0,'L+H Monthly CF'!AO$3)/12</f>
        <v>9518.2291666666661</v>
      </c>
      <c r="AP86" s="12">
        <f ca="1">OFFSET('Proforma L+H'!$E115,0,'L+H Monthly CF'!AP$3)/12</f>
        <v>9518.2291666666661</v>
      </c>
      <c r="AQ86" s="12">
        <f ca="1">OFFSET('Proforma L+H'!$E115,0,'L+H Monthly CF'!AQ$3)/12</f>
        <v>9518.2291666666661</v>
      </c>
      <c r="AR86" s="12">
        <f ca="1">OFFSET('Proforma L+H'!$E115,0,'L+H Monthly CF'!AR$3)/12</f>
        <v>9518.2291666666661</v>
      </c>
      <c r="AS86" s="12">
        <f ca="1">OFFSET('Proforma L+H'!$E115,0,'L+H Monthly CF'!AS$3)/12</f>
        <v>9518.2291666666661</v>
      </c>
      <c r="AT86" s="12">
        <f ca="1">OFFSET('Proforma L+H'!$E115,0,'L+H Monthly CF'!AT$3)/12</f>
        <v>9518.2291666666661</v>
      </c>
      <c r="AU86" s="12">
        <f ca="1">OFFSET('Proforma L+H'!$E115,0,'L+H Monthly CF'!AU$3)/12</f>
        <v>9518.2291666666661</v>
      </c>
      <c r="AV86" s="12">
        <f ca="1">OFFSET('Proforma L+H'!$E115,0,'L+H Monthly CF'!AV$3)/12</f>
        <v>9518.2291666666661</v>
      </c>
      <c r="AW86" s="12">
        <f ca="1">OFFSET('Proforma L+H'!$E115,0,'L+H Monthly CF'!AW$3)/12</f>
        <v>9518.2291666666661</v>
      </c>
      <c r="AX86" s="12">
        <f ca="1">OFFSET('Proforma L+H'!$E115,0,'L+H Monthly CF'!AX$3)/12</f>
        <v>9518.2291666666661</v>
      </c>
      <c r="AY86" s="12">
        <f ca="1">OFFSET('Proforma L+H'!$E115,0,'L+H Monthly CF'!AY$3)/12</f>
        <v>9518.2291666666661</v>
      </c>
      <c r="AZ86" s="12">
        <f ca="1">OFFSET('Proforma L+H'!$E115,0,'L+H Monthly CF'!AZ$3)/12</f>
        <v>9518.2291666666661</v>
      </c>
      <c r="BA86" s="12">
        <f t="shared" ca="1" si="35"/>
        <v>220468.74999999988</v>
      </c>
      <c r="BB86" s="758">
        <f ca="1">SUM('Proforma L+H'!E115:H115)-BA86</f>
        <v>0</v>
      </c>
    </row>
    <row r="87" spans="1:54" hidden="1" outlineLevel="1" x14ac:dyDescent="0.2">
      <c r="A87" s="2"/>
      <c r="B87" s="163" t="str">
        <f>'Proforma L+H'!B116</f>
        <v>BIM / VDC</v>
      </c>
      <c r="C87" s="69">
        <v>2.5000000000000001E-3</v>
      </c>
      <c r="D87" s="10"/>
      <c r="E87" s="32">
        <f ca="1">OFFSET('Proforma L+H'!$E116,0,'L+H Monthly CF'!E$3)/12</f>
        <v>0</v>
      </c>
      <c r="F87" s="32">
        <f ca="1">OFFSET('Proforma L+H'!$E116,0,'L+H Monthly CF'!F$3)/12</f>
        <v>0</v>
      </c>
      <c r="G87" s="32">
        <f ca="1">OFFSET('Proforma L+H'!$E116,0,'L+H Monthly CF'!G$3)/12</f>
        <v>0</v>
      </c>
      <c r="H87" s="32">
        <f ca="1">OFFSET('Proforma L+H'!$E116,0,'L+H Monthly CF'!H$3)/12</f>
        <v>0</v>
      </c>
      <c r="I87" s="32">
        <f ca="1">OFFSET('Proforma L+H'!$E116,0,'L+H Monthly CF'!I$3)/12</f>
        <v>0</v>
      </c>
      <c r="J87" s="32">
        <f ca="1">OFFSET('Proforma L+H'!$E116,0,'L+H Monthly CF'!J$3)/12</f>
        <v>0</v>
      </c>
      <c r="K87" s="32">
        <f ca="1">OFFSET('Proforma L+H'!$E116,0,'L+H Monthly CF'!K$3)/12</f>
        <v>0</v>
      </c>
      <c r="L87">
        <f ca="1">OFFSET('Proforma L+H'!$E116,0,'L+H Monthly CF'!L$3)/12</f>
        <v>0</v>
      </c>
      <c r="M87" s="32">
        <f ca="1">OFFSET('Proforma L+H'!$E116,0,'L+H Monthly CF'!M$3)/12</f>
        <v>0</v>
      </c>
      <c r="N87" s="32">
        <f ca="1">OFFSET('Proforma L+H'!$E116,0,'L+H Monthly CF'!N$3)/12</f>
        <v>0</v>
      </c>
      <c r="O87" s="32">
        <f ca="1">OFFSET('Proforma L+H'!$E116,0,'L+H Monthly CF'!O$3)/12</f>
        <v>0</v>
      </c>
      <c r="P87" s="32">
        <f ca="1">OFFSET('Proforma L+H'!$E116,0,'L+H Monthly CF'!P$3)/12</f>
        <v>0</v>
      </c>
      <c r="Q87" s="32">
        <f ca="1">OFFSET('Proforma L+H'!$E116,0,'L+H Monthly CF'!Q$3)/12</f>
        <v>3098.9583333333335</v>
      </c>
      <c r="R87" s="12">
        <f ca="1">OFFSET('Proforma L+H'!$E116,0,'L+H Monthly CF'!R$3)/12</f>
        <v>3098.9583333333335</v>
      </c>
      <c r="S87" s="12">
        <f ca="1">OFFSET('Proforma L+H'!$E116,0,'L+H Monthly CF'!S$3)/12</f>
        <v>3098.9583333333335</v>
      </c>
      <c r="T87" s="12">
        <f ca="1">OFFSET('Proforma L+H'!$E116,0,'L+H Monthly CF'!T$3)/12</f>
        <v>3098.9583333333335</v>
      </c>
      <c r="U87" s="12">
        <f ca="1">OFFSET('Proforma L+H'!$E116,0,'L+H Monthly CF'!U$3)/12</f>
        <v>3098.9583333333335</v>
      </c>
      <c r="V87" s="12">
        <f ca="1">OFFSET('Proforma L+H'!$E116,0,'L+H Monthly CF'!V$3)/12</f>
        <v>3098.9583333333335</v>
      </c>
      <c r="W87" s="12">
        <f ca="1">OFFSET('Proforma L+H'!$E116,0,'L+H Monthly CF'!W$3)/12</f>
        <v>3098.9583333333335</v>
      </c>
      <c r="X87" s="12">
        <f ca="1">OFFSET('Proforma L+H'!$E116,0,'L+H Monthly CF'!X$3)/12</f>
        <v>3098.9583333333335</v>
      </c>
      <c r="Y87" s="12">
        <f ca="1">OFFSET('Proforma L+H'!$E116,0,'L+H Monthly CF'!Y$3)/12</f>
        <v>3098.9583333333335</v>
      </c>
      <c r="Z87" s="12">
        <f ca="1">OFFSET('Proforma L+H'!$E116,0,'L+H Monthly CF'!Z$3)/12</f>
        <v>3098.9583333333335</v>
      </c>
      <c r="AA87" s="12">
        <f ca="1">OFFSET('Proforma L+H'!$E116,0,'L+H Monthly CF'!AA$3)/12</f>
        <v>3098.9583333333335</v>
      </c>
      <c r="AB87" s="12">
        <f ca="1">OFFSET('Proforma L+H'!$E116,0,'L+H Monthly CF'!AB$3)/12</f>
        <v>3098.9583333333335</v>
      </c>
      <c r="AC87" s="12">
        <f ca="1">OFFSET('Proforma L+H'!$E116,0,'L+H Monthly CF'!AC$3)/12</f>
        <v>5755.208333333333</v>
      </c>
      <c r="AD87" s="12">
        <f ca="1">OFFSET('Proforma L+H'!$E116,0,'L+H Monthly CF'!AD$3)/12</f>
        <v>5755.208333333333</v>
      </c>
      <c r="AE87" s="12">
        <f ca="1">OFFSET('Proforma L+H'!$E116,0,'L+H Monthly CF'!AE$3)/12</f>
        <v>5755.208333333333</v>
      </c>
      <c r="AF87" s="12">
        <f ca="1">OFFSET('Proforma L+H'!$E116,0,'L+H Monthly CF'!AF$3)/12</f>
        <v>5755.208333333333</v>
      </c>
      <c r="AG87" s="12">
        <f ca="1">OFFSET('Proforma L+H'!$E116,0,'L+H Monthly CF'!AG$3)/12</f>
        <v>5755.208333333333</v>
      </c>
      <c r="AH87" s="12">
        <f ca="1">OFFSET('Proforma L+H'!$E116,0,'L+H Monthly CF'!AH$3)/12</f>
        <v>5755.208333333333</v>
      </c>
      <c r="AI87" s="12">
        <f ca="1">OFFSET('Proforma L+H'!$E116,0,'L+H Monthly CF'!AI$3)/12</f>
        <v>5755.208333333333</v>
      </c>
      <c r="AJ87" s="12">
        <f ca="1">OFFSET('Proforma L+H'!$E116,0,'L+H Monthly CF'!AJ$3)/12</f>
        <v>5755.208333333333</v>
      </c>
      <c r="AK87" s="12">
        <f ca="1">OFFSET('Proforma L+H'!$E116,0,'L+H Monthly CF'!AK$3)/12</f>
        <v>5755.208333333333</v>
      </c>
      <c r="AL87" s="12">
        <f ca="1">OFFSET('Proforma L+H'!$E116,0,'L+H Monthly CF'!AL$3)/12</f>
        <v>5755.208333333333</v>
      </c>
      <c r="AM87" s="12">
        <f ca="1">OFFSET('Proforma L+H'!$E116,0,'L+H Monthly CF'!AM$3)/12</f>
        <v>5755.208333333333</v>
      </c>
      <c r="AN87" s="12">
        <f ca="1">OFFSET('Proforma L+H'!$E116,0,'L+H Monthly CF'!AN$3)/12</f>
        <v>5755.208333333333</v>
      </c>
      <c r="AO87" s="12">
        <f ca="1">OFFSET('Proforma L+H'!$E116,0,'L+H Monthly CF'!AO$3)/12</f>
        <v>9518.2291666666661</v>
      </c>
      <c r="AP87" s="12">
        <f ca="1">OFFSET('Proforma L+H'!$E116,0,'L+H Monthly CF'!AP$3)/12</f>
        <v>9518.2291666666661</v>
      </c>
      <c r="AQ87" s="12">
        <f ca="1">OFFSET('Proforma L+H'!$E116,0,'L+H Monthly CF'!AQ$3)/12</f>
        <v>9518.2291666666661</v>
      </c>
      <c r="AR87" s="12">
        <f ca="1">OFFSET('Proforma L+H'!$E116,0,'L+H Monthly CF'!AR$3)/12</f>
        <v>9518.2291666666661</v>
      </c>
      <c r="AS87" s="12">
        <f ca="1">OFFSET('Proforma L+H'!$E116,0,'L+H Monthly CF'!AS$3)/12</f>
        <v>9518.2291666666661</v>
      </c>
      <c r="AT87" s="12">
        <f ca="1">OFFSET('Proforma L+H'!$E116,0,'L+H Monthly CF'!AT$3)/12</f>
        <v>9518.2291666666661</v>
      </c>
      <c r="AU87" s="12">
        <f ca="1">OFFSET('Proforma L+H'!$E116,0,'L+H Monthly CF'!AU$3)/12</f>
        <v>9518.2291666666661</v>
      </c>
      <c r="AV87" s="12">
        <f ca="1">OFFSET('Proforma L+H'!$E116,0,'L+H Monthly CF'!AV$3)/12</f>
        <v>9518.2291666666661</v>
      </c>
      <c r="AW87" s="12">
        <f ca="1">OFFSET('Proforma L+H'!$E116,0,'L+H Monthly CF'!AW$3)/12</f>
        <v>9518.2291666666661</v>
      </c>
      <c r="AX87" s="12">
        <f ca="1">OFFSET('Proforma L+H'!$E116,0,'L+H Monthly CF'!AX$3)/12</f>
        <v>9518.2291666666661</v>
      </c>
      <c r="AY87" s="12">
        <f ca="1">OFFSET('Proforma L+H'!$E116,0,'L+H Monthly CF'!AY$3)/12</f>
        <v>9518.2291666666661</v>
      </c>
      <c r="AZ87" s="12">
        <f ca="1">OFFSET('Proforma L+H'!$E116,0,'L+H Monthly CF'!AZ$3)/12</f>
        <v>9518.2291666666661</v>
      </c>
      <c r="BA87" s="12">
        <f t="shared" ca="1" si="35"/>
        <v>220468.74999999988</v>
      </c>
      <c r="BB87" s="758">
        <f ca="1">SUM('Proforma L+H'!E116:H116)-BA87</f>
        <v>0</v>
      </c>
    </row>
    <row r="88" spans="1:54" hidden="1" outlineLevel="1" x14ac:dyDescent="0.2">
      <c r="A88" s="2"/>
      <c r="B88" s="168" t="str">
        <f>'Proforma L+H'!B117</f>
        <v>Professionals Contingency</v>
      </c>
      <c r="C88" s="54">
        <v>0.05</v>
      </c>
      <c r="D88" s="22"/>
      <c r="E88" s="22">
        <f ca="1">OFFSET('Proforma L+H'!$E117,0,'L+H Monthly CF'!E$3)/12</f>
        <v>78.125</v>
      </c>
      <c r="F88" s="22">
        <f ca="1">OFFSET('Proforma L+H'!$E117,0,'L+H Monthly CF'!F$3)/12</f>
        <v>78.125</v>
      </c>
      <c r="G88" s="22">
        <f ca="1">OFFSET('Proforma L+H'!$E117,0,'L+H Monthly CF'!G$3)/12</f>
        <v>78.125</v>
      </c>
      <c r="H88" s="22">
        <f ca="1">OFFSET('Proforma L+H'!$E117,0,'L+H Monthly CF'!H$3)/12</f>
        <v>78.125</v>
      </c>
      <c r="I88" s="22">
        <f ca="1">OFFSET('Proforma L+H'!$E117,0,'L+H Monthly CF'!I$3)/12</f>
        <v>78.125</v>
      </c>
      <c r="J88" s="22">
        <f ca="1">OFFSET('Proforma L+H'!$E117,0,'L+H Monthly CF'!J$3)/12</f>
        <v>78.125</v>
      </c>
      <c r="K88" s="22">
        <f ca="1">OFFSET('Proforma L+H'!$E117,0,'L+H Monthly CF'!K$3)/12</f>
        <v>78.125</v>
      </c>
      <c r="L88">
        <f ca="1">OFFSET('Proforma L+H'!$E117,0,'L+H Monthly CF'!L$3)/12</f>
        <v>78.125</v>
      </c>
      <c r="M88" s="22">
        <f ca="1">OFFSET('Proforma L+H'!$E117,0,'L+H Monthly CF'!M$3)/12</f>
        <v>78.125</v>
      </c>
      <c r="N88" s="22">
        <f ca="1">OFFSET('Proforma L+H'!$E117,0,'L+H Monthly CF'!N$3)/12</f>
        <v>78.125</v>
      </c>
      <c r="O88" s="22">
        <f ca="1">OFFSET('Proforma L+H'!$E117,0,'L+H Monthly CF'!O$3)/12</f>
        <v>78.125</v>
      </c>
      <c r="P88" s="22">
        <f ca="1">OFFSET('Proforma L+H'!$E117,0,'L+H Monthly CF'!P$3)/12</f>
        <v>78.125</v>
      </c>
      <c r="Q88" s="22">
        <f ca="1">OFFSET('Proforma L+H'!$E117,0,'L+H Monthly CF'!Q$3)/12</f>
        <v>2550.2604166666665</v>
      </c>
      <c r="R88" s="21">
        <f ca="1">OFFSET('Proforma L+H'!$E117,0,'L+H Monthly CF'!R$3)/12</f>
        <v>2550.2604166666665</v>
      </c>
      <c r="S88" s="21">
        <f ca="1">OFFSET('Proforma L+H'!$E117,0,'L+H Monthly CF'!S$3)/12</f>
        <v>2550.2604166666665</v>
      </c>
      <c r="T88" s="21">
        <f ca="1">OFFSET('Proforma L+H'!$E117,0,'L+H Monthly CF'!T$3)/12</f>
        <v>2550.2604166666665</v>
      </c>
      <c r="U88" s="21">
        <f ca="1">OFFSET('Proforma L+H'!$E117,0,'L+H Monthly CF'!U$3)/12</f>
        <v>2550.2604166666665</v>
      </c>
      <c r="V88" s="21">
        <f ca="1">OFFSET('Proforma L+H'!$E117,0,'L+H Monthly CF'!V$3)/12</f>
        <v>2550.2604166666665</v>
      </c>
      <c r="W88" s="21">
        <f ca="1">OFFSET('Proforma L+H'!$E117,0,'L+H Monthly CF'!W$3)/12</f>
        <v>2550.2604166666665</v>
      </c>
      <c r="X88" s="21">
        <f ca="1">OFFSET('Proforma L+H'!$E117,0,'L+H Monthly CF'!X$3)/12</f>
        <v>2550.2604166666665</v>
      </c>
      <c r="Y88" s="21">
        <f ca="1">OFFSET('Proforma L+H'!$E117,0,'L+H Monthly CF'!Y$3)/12</f>
        <v>2550.2604166666665</v>
      </c>
      <c r="Z88" s="21">
        <f ca="1">OFFSET('Proforma L+H'!$E117,0,'L+H Monthly CF'!Z$3)/12</f>
        <v>2550.2604166666665</v>
      </c>
      <c r="AA88" s="21">
        <f ca="1">OFFSET('Proforma L+H'!$E117,0,'L+H Monthly CF'!AA$3)/12</f>
        <v>2550.2604166666665</v>
      </c>
      <c r="AB88" s="21">
        <f ca="1">OFFSET('Proforma L+H'!$E117,0,'L+H Monthly CF'!AB$3)/12</f>
        <v>2550.2604166666665</v>
      </c>
      <c r="AC88" s="21">
        <f ca="1">OFFSET('Proforma L+H'!$E117,0,'L+H Monthly CF'!AC$3)/12</f>
        <v>4746.614583333333</v>
      </c>
      <c r="AD88" s="21">
        <f ca="1">OFFSET('Proforma L+H'!$E117,0,'L+H Monthly CF'!AD$3)/12</f>
        <v>4746.614583333333</v>
      </c>
      <c r="AE88" s="21">
        <f ca="1">OFFSET('Proforma L+H'!$E117,0,'L+H Monthly CF'!AE$3)/12</f>
        <v>4746.614583333333</v>
      </c>
      <c r="AF88" s="21">
        <f ca="1">OFFSET('Proforma L+H'!$E117,0,'L+H Monthly CF'!AF$3)/12</f>
        <v>4746.614583333333</v>
      </c>
      <c r="AG88" s="21">
        <f ca="1">OFFSET('Proforma L+H'!$E117,0,'L+H Monthly CF'!AG$3)/12</f>
        <v>4746.614583333333</v>
      </c>
      <c r="AH88" s="21">
        <f ca="1">OFFSET('Proforma L+H'!$E117,0,'L+H Monthly CF'!AH$3)/12</f>
        <v>4746.614583333333</v>
      </c>
      <c r="AI88" s="21">
        <f ca="1">OFFSET('Proforma L+H'!$E117,0,'L+H Monthly CF'!AI$3)/12</f>
        <v>4746.614583333333</v>
      </c>
      <c r="AJ88" s="21">
        <f ca="1">OFFSET('Proforma L+H'!$E117,0,'L+H Monthly CF'!AJ$3)/12</f>
        <v>4746.614583333333</v>
      </c>
      <c r="AK88" s="21">
        <f ca="1">OFFSET('Proforma L+H'!$E117,0,'L+H Monthly CF'!AK$3)/12</f>
        <v>4746.614583333333</v>
      </c>
      <c r="AL88" s="21">
        <f ca="1">OFFSET('Proforma L+H'!$E117,0,'L+H Monthly CF'!AL$3)/12</f>
        <v>4746.614583333333</v>
      </c>
      <c r="AM88" s="21">
        <f ca="1">OFFSET('Proforma L+H'!$E117,0,'L+H Monthly CF'!AM$3)/12</f>
        <v>4746.614583333333</v>
      </c>
      <c r="AN88" s="21">
        <f ca="1">OFFSET('Proforma L+H'!$E117,0,'L+H Monthly CF'!AN$3)/12</f>
        <v>4746.614583333333</v>
      </c>
      <c r="AO88" s="21">
        <f ca="1">OFFSET('Proforma L+H'!$E117,0,'L+H Monthly CF'!AO$3)/12</f>
        <v>7554.296875</v>
      </c>
      <c r="AP88" s="21">
        <f ca="1">OFFSET('Proforma L+H'!$E117,0,'L+H Monthly CF'!AP$3)/12</f>
        <v>7554.296875</v>
      </c>
      <c r="AQ88" s="21">
        <f ca="1">OFFSET('Proforma L+H'!$E117,0,'L+H Monthly CF'!AQ$3)/12</f>
        <v>7554.296875</v>
      </c>
      <c r="AR88" s="21">
        <f ca="1">OFFSET('Proforma L+H'!$E117,0,'L+H Monthly CF'!AR$3)/12</f>
        <v>7554.296875</v>
      </c>
      <c r="AS88" s="21">
        <f ca="1">OFFSET('Proforma L+H'!$E117,0,'L+H Monthly CF'!AS$3)/12</f>
        <v>7554.296875</v>
      </c>
      <c r="AT88" s="21">
        <f ca="1">OFFSET('Proforma L+H'!$E117,0,'L+H Monthly CF'!AT$3)/12</f>
        <v>7554.296875</v>
      </c>
      <c r="AU88" s="21">
        <f ca="1">OFFSET('Proforma L+H'!$E117,0,'L+H Monthly CF'!AU$3)/12</f>
        <v>7554.296875</v>
      </c>
      <c r="AV88" s="21">
        <f ca="1">OFFSET('Proforma L+H'!$E117,0,'L+H Monthly CF'!AV$3)/12</f>
        <v>7554.296875</v>
      </c>
      <c r="AW88" s="21">
        <f ca="1">OFFSET('Proforma L+H'!$E117,0,'L+H Monthly CF'!AW$3)/12</f>
        <v>7554.296875</v>
      </c>
      <c r="AX88" s="21">
        <f ca="1">OFFSET('Proforma L+H'!$E117,0,'L+H Monthly CF'!AX$3)/12</f>
        <v>7554.296875</v>
      </c>
      <c r="AY88" s="21">
        <f ca="1">OFFSET('Proforma L+H'!$E117,0,'L+H Monthly CF'!AY$3)/12</f>
        <v>7554.296875</v>
      </c>
      <c r="AZ88" s="21">
        <f ca="1">OFFSET('Proforma L+H'!$E117,0,'L+H Monthly CF'!AZ$3)/12</f>
        <v>7554.296875</v>
      </c>
      <c r="BA88" s="21">
        <f t="shared" ca="1" si="35"/>
        <v>179151.5625</v>
      </c>
      <c r="BB88" s="758">
        <f ca="1">SUM('Proforma L+H'!E117:H117)-BA88</f>
        <v>0</v>
      </c>
    </row>
    <row r="89" spans="1:54" collapsed="1" x14ac:dyDescent="0.2">
      <c r="A89" s="2"/>
      <c r="B89" s="49" t="str">
        <f>'Proforma L+H'!B118</f>
        <v>SOFT COSTS PROFESSIONALS - HOMES</v>
      </c>
      <c r="C89" s="164"/>
      <c r="D89" s="51"/>
      <c r="E89" s="51">
        <f ca="1">OFFSET('Proforma L+H'!$E118,0,'L+H Monthly CF'!E$3)/12</f>
        <v>43307.291666666664</v>
      </c>
      <c r="F89" s="51">
        <f ca="1">OFFSET('Proforma L+H'!$E118,0,'L+H Monthly CF'!F$3)/12</f>
        <v>43307.291666666664</v>
      </c>
      <c r="G89" s="51">
        <f ca="1">OFFSET('Proforma L+H'!$E118,0,'L+H Monthly CF'!G$3)/12</f>
        <v>43307.291666666664</v>
      </c>
      <c r="H89" s="51">
        <f ca="1">OFFSET('Proforma L+H'!$E118,0,'L+H Monthly CF'!H$3)/12</f>
        <v>43307.291666666664</v>
      </c>
      <c r="I89" s="51">
        <f ca="1">OFFSET('Proforma L+H'!$E118,0,'L+H Monthly CF'!I$3)/12</f>
        <v>43307.291666666664</v>
      </c>
      <c r="J89" s="51">
        <f ca="1">OFFSET('Proforma L+H'!$E118,0,'L+H Monthly CF'!J$3)/12</f>
        <v>43307.291666666664</v>
      </c>
      <c r="K89" s="51">
        <f ca="1">OFFSET('Proforma L+H'!$E118,0,'L+H Monthly CF'!K$3)/12</f>
        <v>43307.291666666664</v>
      </c>
      <c r="L89" s="51">
        <f ca="1">OFFSET('Proforma L+H'!$E118,0,'L+H Monthly CF'!L$3)/12</f>
        <v>43307.291666666664</v>
      </c>
      <c r="M89" s="51">
        <f ca="1">OFFSET('Proforma L+H'!$E118,0,'L+H Monthly CF'!M$3)/12</f>
        <v>43307.291666666664</v>
      </c>
      <c r="N89" s="51">
        <f ca="1">OFFSET('Proforma L+H'!$E118,0,'L+H Monthly CF'!N$3)/12</f>
        <v>43307.291666666664</v>
      </c>
      <c r="O89" s="51">
        <f ca="1">OFFSET('Proforma L+H'!$E118,0,'L+H Monthly CF'!O$3)/12</f>
        <v>43307.291666666664</v>
      </c>
      <c r="P89" s="51">
        <f ca="1">OFFSET('Proforma L+H'!$E118,0,'L+H Monthly CF'!P$3)/12</f>
        <v>43307.291666666664</v>
      </c>
      <c r="Q89" s="51">
        <f ca="1">OFFSET('Proforma L+H'!$E118,0,'L+H Monthly CF'!Q$3)/12</f>
        <v>53555.46875</v>
      </c>
      <c r="R89" s="107">
        <f ca="1">OFFSET('Proforma L+H'!$E118,0,'L+H Monthly CF'!R$3)/12</f>
        <v>53555.46875</v>
      </c>
      <c r="S89" s="107">
        <f ca="1">OFFSET('Proforma L+H'!$E118,0,'L+H Monthly CF'!S$3)/12</f>
        <v>53555.46875</v>
      </c>
      <c r="T89" s="107">
        <f ca="1">OFFSET('Proforma L+H'!$E118,0,'L+H Monthly CF'!T$3)/12</f>
        <v>53555.46875</v>
      </c>
      <c r="U89" s="107">
        <f ca="1">OFFSET('Proforma L+H'!$E118,0,'L+H Monthly CF'!U$3)/12</f>
        <v>53555.46875</v>
      </c>
      <c r="V89" s="107">
        <f ca="1">OFFSET('Proforma L+H'!$E118,0,'L+H Monthly CF'!V$3)/12</f>
        <v>53555.46875</v>
      </c>
      <c r="W89" s="107">
        <f ca="1">OFFSET('Proforma L+H'!$E118,0,'L+H Monthly CF'!W$3)/12</f>
        <v>53555.46875</v>
      </c>
      <c r="X89" s="107">
        <f ca="1">OFFSET('Proforma L+H'!$E118,0,'L+H Monthly CF'!X$3)/12</f>
        <v>53555.46875</v>
      </c>
      <c r="Y89" s="107">
        <f ca="1">OFFSET('Proforma L+H'!$E118,0,'L+H Monthly CF'!Y$3)/12</f>
        <v>53555.46875</v>
      </c>
      <c r="Z89" s="107">
        <f ca="1">OFFSET('Proforma L+H'!$E118,0,'L+H Monthly CF'!Z$3)/12</f>
        <v>53555.46875</v>
      </c>
      <c r="AA89" s="107">
        <f ca="1">OFFSET('Proforma L+H'!$E118,0,'L+H Monthly CF'!AA$3)/12</f>
        <v>53555.46875</v>
      </c>
      <c r="AB89" s="107">
        <f ca="1">OFFSET('Proforma L+H'!$E118,0,'L+H Monthly CF'!AB$3)/12</f>
        <v>53555.46875</v>
      </c>
      <c r="AC89" s="107">
        <f ca="1">OFFSET('Proforma L+H'!$E118,0,'L+H Monthly CF'!AC$3)/12</f>
        <v>99678.90625</v>
      </c>
      <c r="AD89" s="107">
        <f ca="1">OFFSET('Proforma L+H'!$E118,0,'L+H Monthly CF'!AD$3)/12</f>
        <v>99678.90625</v>
      </c>
      <c r="AE89" s="107">
        <f ca="1">OFFSET('Proforma L+H'!$E118,0,'L+H Monthly CF'!AE$3)/12</f>
        <v>99678.90625</v>
      </c>
      <c r="AF89" s="107">
        <f ca="1">OFFSET('Proforma L+H'!$E118,0,'L+H Monthly CF'!AF$3)/12</f>
        <v>99678.90625</v>
      </c>
      <c r="AG89" s="107">
        <f ca="1">OFFSET('Proforma L+H'!$E118,0,'L+H Monthly CF'!AG$3)/12</f>
        <v>99678.90625</v>
      </c>
      <c r="AH89" s="107">
        <f ca="1">OFFSET('Proforma L+H'!$E118,0,'L+H Monthly CF'!AH$3)/12</f>
        <v>99678.90625</v>
      </c>
      <c r="AI89" s="107">
        <f ca="1">OFFSET('Proforma L+H'!$E118,0,'L+H Monthly CF'!AI$3)/12</f>
        <v>99678.90625</v>
      </c>
      <c r="AJ89" s="107">
        <f ca="1">OFFSET('Proforma L+H'!$E118,0,'L+H Monthly CF'!AJ$3)/12</f>
        <v>99678.90625</v>
      </c>
      <c r="AK89" s="107">
        <f ca="1">OFFSET('Proforma L+H'!$E118,0,'L+H Monthly CF'!AK$3)/12</f>
        <v>99678.90625</v>
      </c>
      <c r="AL89" s="107">
        <f ca="1">OFFSET('Proforma L+H'!$E118,0,'L+H Monthly CF'!AL$3)/12</f>
        <v>99678.90625</v>
      </c>
      <c r="AM89" s="107">
        <f ca="1">OFFSET('Proforma L+H'!$E118,0,'L+H Monthly CF'!AM$3)/12</f>
        <v>99678.90625</v>
      </c>
      <c r="AN89" s="107">
        <f ca="1">OFFSET('Proforma L+H'!$E118,0,'L+H Monthly CF'!AN$3)/12</f>
        <v>99678.90625</v>
      </c>
      <c r="AO89" s="107">
        <f ca="1">OFFSET('Proforma L+H'!$E118,0,'L+H Monthly CF'!AO$3)/12</f>
        <v>158640.234375</v>
      </c>
      <c r="AP89" s="107">
        <f ca="1">OFFSET('Proforma L+H'!$E118,0,'L+H Monthly CF'!AP$3)/12</f>
        <v>158640.234375</v>
      </c>
      <c r="AQ89" s="107">
        <f ca="1">OFFSET('Proforma L+H'!$E118,0,'L+H Monthly CF'!AQ$3)/12</f>
        <v>158640.234375</v>
      </c>
      <c r="AR89" s="107">
        <f ca="1">OFFSET('Proforma L+H'!$E118,0,'L+H Monthly CF'!AR$3)/12</f>
        <v>158640.234375</v>
      </c>
      <c r="AS89" s="107">
        <f ca="1">OFFSET('Proforma L+H'!$E118,0,'L+H Monthly CF'!AS$3)/12</f>
        <v>158640.234375</v>
      </c>
      <c r="AT89" s="107">
        <f ca="1">OFFSET('Proforma L+H'!$E118,0,'L+H Monthly CF'!AT$3)/12</f>
        <v>158640.234375</v>
      </c>
      <c r="AU89" s="107">
        <f ca="1">OFFSET('Proforma L+H'!$E118,0,'L+H Monthly CF'!AU$3)/12</f>
        <v>158640.234375</v>
      </c>
      <c r="AV89" s="107">
        <f ca="1">OFFSET('Proforma L+H'!$E118,0,'L+H Monthly CF'!AV$3)/12</f>
        <v>158640.234375</v>
      </c>
      <c r="AW89" s="107">
        <f ca="1">OFFSET('Proforma L+H'!$E118,0,'L+H Monthly CF'!AW$3)/12</f>
        <v>158640.234375</v>
      </c>
      <c r="AX89" s="107">
        <f ca="1">OFFSET('Proforma L+H'!$E118,0,'L+H Monthly CF'!AX$3)/12</f>
        <v>158640.234375</v>
      </c>
      <c r="AY89" s="107">
        <f ca="1">OFFSET('Proforma L+H'!$E118,0,'L+H Monthly CF'!AY$3)/12</f>
        <v>158640.234375</v>
      </c>
      <c r="AZ89" s="107">
        <f ca="1">OFFSET('Proforma L+H'!$E118,0,'L+H Monthly CF'!AZ$3)/12</f>
        <v>158640.234375</v>
      </c>
      <c r="BA89" s="107">
        <f t="shared" ca="1" si="35"/>
        <v>4262182.8125</v>
      </c>
      <c r="BB89" s="758">
        <f ca="1">SUM('Proforma L+H'!E118:H118)-BA89</f>
        <v>0</v>
      </c>
    </row>
    <row r="90" spans="1:54" hidden="1" outlineLevel="1" x14ac:dyDescent="0.2">
      <c r="A90" s="2"/>
    </row>
    <row r="91" spans="1:54" hidden="1" outlineLevel="1" x14ac:dyDescent="0.2">
      <c r="A91" s="2"/>
      <c r="B91" s="81" t="str">
        <f>'Proforma L+H'!B120</f>
        <v>SOFT COSTS - SALES</v>
      </c>
    </row>
    <row r="92" spans="1:54" hidden="1" outlineLevel="1" x14ac:dyDescent="0.2">
      <c r="A92" s="2"/>
      <c r="B92" s="163" t="str">
        <f>'Proforma L+H'!B121</f>
        <v>Cost of Sale - RE Fees</v>
      </c>
      <c r="C92" s="43">
        <v>0.05</v>
      </c>
      <c r="D92" s="43"/>
      <c r="E92" s="11">
        <f ca="1">OFFSET('Proforma L+H'!$E121,0,'L+H Monthly CF'!E$3)/12</f>
        <v>0</v>
      </c>
      <c r="F92" s="11">
        <f ca="1">OFFSET('Proforma L+H'!$E121,0,'L+H Monthly CF'!F$3)/12</f>
        <v>0</v>
      </c>
      <c r="G92" s="11">
        <f ca="1">OFFSET('Proforma L+H'!$E121,0,'L+H Monthly CF'!G$3)/12</f>
        <v>0</v>
      </c>
      <c r="H92" s="11">
        <f ca="1">OFFSET('Proforma L+H'!$E121,0,'L+H Monthly CF'!H$3)/12</f>
        <v>0</v>
      </c>
      <c r="I92" s="11">
        <f ca="1">OFFSET('Proforma L+H'!$E121,0,'L+H Monthly CF'!I$3)/12</f>
        <v>0</v>
      </c>
      <c r="J92" s="11">
        <f ca="1">OFFSET('Proforma L+H'!$E121,0,'L+H Monthly CF'!J$3)/12</f>
        <v>0</v>
      </c>
      <c r="K92" s="11">
        <f ca="1">OFFSET('Proforma L+H'!$E121,0,'L+H Monthly CF'!K$3)/12</f>
        <v>0</v>
      </c>
      <c r="L92" s="11">
        <f ca="1">OFFSET('Proforma L+H'!$E121,0,'L+H Monthly CF'!L$3)/12</f>
        <v>0</v>
      </c>
      <c r="M92" s="11">
        <f ca="1">OFFSET('Proforma L+H'!$E121,0,'L+H Monthly CF'!M$3)/12</f>
        <v>0</v>
      </c>
      <c r="N92" s="11">
        <f ca="1">OFFSET('Proforma L+H'!$E121,0,'L+H Monthly CF'!N$3)/12</f>
        <v>0</v>
      </c>
      <c r="O92" s="11">
        <f ca="1">OFFSET('Proforma L+H'!$E121,0,'L+H Monthly CF'!O$3)/12</f>
        <v>0</v>
      </c>
      <c r="P92" s="11">
        <f ca="1">OFFSET('Proforma L+H'!$E121,0,'L+H Monthly CF'!P$3)/12</f>
        <v>0</v>
      </c>
      <c r="Q92" s="11">
        <f ca="1">OFFSET('Proforma L+H'!$E121,0,'L+H Monthly CF'!Q$3)/12</f>
        <v>20901.5625</v>
      </c>
      <c r="R92" s="12">
        <f ca="1">OFFSET('Proforma L+H'!$E121,0,'L+H Monthly CF'!R$3)/12</f>
        <v>20901.5625</v>
      </c>
      <c r="S92" s="12">
        <f ca="1">OFFSET('Proforma L+H'!$E121,0,'L+H Monthly CF'!S$3)/12</f>
        <v>20901.5625</v>
      </c>
      <c r="T92" s="12">
        <f ca="1">OFFSET('Proforma L+H'!$E121,0,'L+H Monthly CF'!T$3)/12</f>
        <v>20901.5625</v>
      </c>
      <c r="U92" s="12">
        <f ca="1">OFFSET('Proforma L+H'!$E121,0,'L+H Monthly CF'!U$3)/12</f>
        <v>20901.5625</v>
      </c>
      <c r="V92" s="12">
        <f ca="1">OFFSET('Proforma L+H'!$E121,0,'L+H Monthly CF'!V$3)/12</f>
        <v>20901.5625</v>
      </c>
      <c r="W92" s="12">
        <f ca="1">OFFSET('Proforma L+H'!$E121,0,'L+H Monthly CF'!W$3)/12</f>
        <v>20901.5625</v>
      </c>
      <c r="X92" s="12">
        <f ca="1">OFFSET('Proforma L+H'!$E121,0,'L+H Monthly CF'!X$3)/12</f>
        <v>20901.5625</v>
      </c>
      <c r="Y92" s="12">
        <f ca="1">OFFSET('Proforma L+H'!$E121,0,'L+H Monthly CF'!Y$3)/12</f>
        <v>20901.5625</v>
      </c>
      <c r="Z92" s="12">
        <f ca="1">OFFSET('Proforma L+H'!$E121,0,'L+H Monthly CF'!Z$3)/12</f>
        <v>20901.5625</v>
      </c>
      <c r="AA92" s="12">
        <f ca="1">OFFSET('Proforma L+H'!$E121,0,'L+H Monthly CF'!AA$3)/12</f>
        <v>20901.5625</v>
      </c>
      <c r="AB92" s="12">
        <f ca="1">OFFSET('Proforma L+H'!$E121,0,'L+H Monthly CF'!AB$3)/12</f>
        <v>20901.5625</v>
      </c>
      <c r="AC92" s="12">
        <f ca="1">OFFSET('Proforma L+H'!$E121,0,'L+H Monthly CF'!AC$3)/12</f>
        <v>144402.890625</v>
      </c>
      <c r="AD92" s="12">
        <f ca="1">OFFSET('Proforma L+H'!$E121,0,'L+H Monthly CF'!AD$3)/12</f>
        <v>144402.890625</v>
      </c>
      <c r="AE92" s="12">
        <f ca="1">OFFSET('Proforma L+H'!$E121,0,'L+H Monthly CF'!AE$3)/12</f>
        <v>144402.890625</v>
      </c>
      <c r="AF92" s="12">
        <f ca="1">OFFSET('Proforma L+H'!$E121,0,'L+H Monthly CF'!AF$3)/12</f>
        <v>144402.890625</v>
      </c>
      <c r="AG92" s="12">
        <f ca="1">OFFSET('Proforma L+H'!$E121,0,'L+H Monthly CF'!AG$3)/12</f>
        <v>144402.890625</v>
      </c>
      <c r="AH92" s="12">
        <f ca="1">OFFSET('Proforma L+H'!$E121,0,'L+H Monthly CF'!AH$3)/12</f>
        <v>144402.890625</v>
      </c>
      <c r="AI92" s="12">
        <f ca="1">OFFSET('Proforma L+H'!$E121,0,'L+H Monthly CF'!AI$3)/12</f>
        <v>144402.890625</v>
      </c>
      <c r="AJ92" s="12">
        <f ca="1">OFFSET('Proforma L+H'!$E121,0,'L+H Monthly CF'!AJ$3)/12</f>
        <v>144402.890625</v>
      </c>
      <c r="AK92" s="12">
        <f ca="1">OFFSET('Proforma L+H'!$E121,0,'L+H Monthly CF'!AK$3)/12</f>
        <v>144402.890625</v>
      </c>
      <c r="AL92" s="12">
        <f ca="1">OFFSET('Proforma L+H'!$E121,0,'L+H Monthly CF'!AL$3)/12</f>
        <v>144402.890625</v>
      </c>
      <c r="AM92" s="12">
        <f ca="1">OFFSET('Proforma L+H'!$E121,0,'L+H Monthly CF'!AM$3)/12</f>
        <v>144402.890625</v>
      </c>
      <c r="AN92" s="12">
        <f ca="1">OFFSET('Proforma L+H'!$E121,0,'L+H Monthly CF'!AN$3)/12</f>
        <v>144402.890625</v>
      </c>
      <c r="AO92" s="12">
        <f ca="1">OFFSET('Proforma L+H'!$E121,0,'L+H Monthly CF'!AO$3)/12</f>
        <v>282007.26562500006</v>
      </c>
      <c r="AP92" s="12">
        <f ca="1">OFFSET('Proforma L+H'!$E121,0,'L+H Monthly CF'!AP$3)/12</f>
        <v>282007.26562500006</v>
      </c>
      <c r="AQ92" s="12">
        <f ca="1">OFFSET('Proforma L+H'!$E121,0,'L+H Monthly CF'!AQ$3)/12</f>
        <v>282007.26562500006</v>
      </c>
      <c r="AR92" s="12">
        <f ca="1">OFFSET('Proforma L+H'!$E121,0,'L+H Monthly CF'!AR$3)/12</f>
        <v>282007.26562500006</v>
      </c>
      <c r="AS92" s="12">
        <f ca="1">OFFSET('Proforma L+H'!$E121,0,'L+H Monthly CF'!AS$3)/12</f>
        <v>282007.26562500006</v>
      </c>
      <c r="AT92" s="12">
        <f ca="1">OFFSET('Proforma L+H'!$E121,0,'L+H Monthly CF'!AT$3)/12</f>
        <v>282007.26562500006</v>
      </c>
      <c r="AU92" s="12">
        <f ca="1">OFFSET('Proforma L+H'!$E121,0,'L+H Monthly CF'!AU$3)/12</f>
        <v>282007.26562500006</v>
      </c>
      <c r="AV92" s="12">
        <f ca="1">OFFSET('Proforma L+H'!$E121,0,'L+H Monthly CF'!AV$3)/12</f>
        <v>282007.26562500006</v>
      </c>
      <c r="AW92" s="12">
        <f ca="1">OFFSET('Proforma L+H'!$E121,0,'L+H Monthly CF'!AW$3)/12</f>
        <v>282007.26562500006</v>
      </c>
      <c r="AX92" s="12">
        <f ca="1">OFFSET('Proforma L+H'!$E121,0,'L+H Monthly CF'!AX$3)/12</f>
        <v>282007.26562500006</v>
      </c>
      <c r="AY92" s="12">
        <f ca="1">OFFSET('Proforma L+H'!$E121,0,'L+H Monthly CF'!AY$3)/12</f>
        <v>282007.26562500006</v>
      </c>
      <c r="AZ92" s="12">
        <f ca="1">OFFSET('Proforma L+H'!$E121,0,'L+H Monthly CF'!AZ$3)/12</f>
        <v>282007.26562500006</v>
      </c>
      <c r="BA92" s="12">
        <f t="shared" ref="BA92:BA95" ca="1" si="36">SUM(E92:AZ92)</f>
        <v>5367740.625</v>
      </c>
      <c r="BB92" s="758">
        <f ca="1">SUM('Proforma L+H'!E121:H121)-BA92</f>
        <v>0</v>
      </c>
    </row>
    <row r="93" spans="1:54" hidden="1" outlineLevel="1" x14ac:dyDescent="0.2">
      <c r="A93" s="2"/>
      <c r="B93" s="163" t="str">
        <f>'Proforma L+H'!B122</f>
        <v>Hard Marketing Costs</v>
      </c>
      <c r="C93" s="10">
        <v>75000</v>
      </c>
      <c r="D93" s="88"/>
      <c r="E93" s="11">
        <f ca="1">OFFSET('Proforma L+H'!$E122,0,'L+H Monthly CF'!E$3)/12</f>
        <v>12500</v>
      </c>
      <c r="F93" s="11">
        <f ca="1">OFFSET('Proforma L+H'!$E122,0,'L+H Monthly CF'!F$3)/12</f>
        <v>12500</v>
      </c>
      <c r="G93" s="11">
        <f ca="1">OFFSET('Proforma L+H'!$E122,0,'L+H Monthly CF'!G$3)/12</f>
        <v>12500</v>
      </c>
      <c r="H93" s="11">
        <f ca="1">OFFSET('Proforma L+H'!$E122,0,'L+H Monthly CF'!H$3)/12</f>
        <v>12500</v>
      </c>
      <c r="I93" s="11">
        <f ca="1">OFFSET('Proforma L+H'!$E122,0,'L+H Monthly CF'!I$3)/12</f>
        <v>12500</v>
      </c>
      <c r="J93" s="11">
        <f ca="1">OFFSET('Proforma L+H'!$E122,0,'L+H Monthly CF'!J$3)/12</f>
        <v>12500</v>
      </c>
      <c r="K93" s="11">
        <f ca="1">OFFSET('Proforma L+H'!$E122,0,'L+H Monthly CF'!K$3)/12</f>
        <v>12500</v>
      </c>
      <c r="L93" s="11">
        <f ca="1">OFFSET('Proforma L+H'!$E122,0,'L+H Monthly CF'!L$3)/12</f>
        <v>12500</v>
      </c>
      <c r="M93" s="11">
        <f ca="1">OFFSET('Proforma L+H'!$E122,0,'L+H Monthly CF'!M$3)/12</f>
        <v>12500</v>
      </c>
      <c r="N93" s="11">
        <f ca="1">OFFSET('Proforma L+H'!$E122,0,'L+H Monthly CF'!N$3)/12</f>
        <v>12500</v>
      </c>
      <c r="O93" s="11">
        <f ca="1">OFFSET('Proforma L+H'!$E122,0,'L+H Monthly CF'!O$3)/12</f>
        <v>12500</v>
      </c>
      <c r="P93" s="11">
        <f ca="1">OFFSET('Proforma L+H'!$E122,0,'L+H Monthly CF'!P$3)/12</f>
        <v>12500</v>
      </c>
      <c r="Q93" s="11">
        <f ca="1">OFFSET('Proforma L+H'!$E122,0,'L+H Monthly CF'!Q$3)/12</f>
        <v>18750</v>
      </c>
      <c r="R93" s="12">
        <f ca="1">OFFSET('Proforma L+H'!$E122,0,'L+H Monthly CF'!R$3)/12</f>
        <v>18750</v>
      </c>
      <c r="S93" s="12">
        <f ca="1">OFFSET('Proforma L+H'!$E122,0,'L+H Monthly CF'!S$3)/12</f>
        <v>18750</v>
      </c>
      <c r="T93" s="12">
        <f ca="1">OFFSET('Proforma L+H'!$E122,0,'L+H Monthly CF'!T$3)/12</f>
        <v>18750</v>
      </c>
      <c r="U93" s="12">
        <f ca="1">OFFSET('Proforma L+H'!$E122,0,'L+H Monthly CF'!U$3)/12</f>
        <v>18750</v>
      </c>
      <c r="V93" s="12">
        <f ca="1">OFFSET('Proforma L+H'!$E122,0,'L+H Monthly CF'!V$3)/12</f>
        <v>18750</v>
      </c>
      <c r="W93" s="12">
        <f ca="1">OFFSET('Proforma L+H'!$E122,0,'L+H Monthly CF'!W$3)/12</f>
        <v>18750</v>
      </c>
      <c r="X93" s="12">
        <f ca="1">OFFSET('Proforma L+H'!$E122,0,'L+H Monthly CF'!X$3)/12</f>
        <v>18750</v>
      </c>
      <c r="Y93" s="12">
        <f ca="1">OFFSET('Proforma L+H'!$E122,0,'L+H Monthly CF'!Y$3)/12</f>
        <v>18750</v>
      </c>
      <c r="Z93" s="12">
        <f ca="1">OFFSET('Proforma L+H'!$E122,0,'L+H Monthly CF'!Z$3)/12</f>
        <v>18750</v>
      </c>
      <c r="AA93" s="12">
        <f ca="1">OFFSET('Proforma L+H'!$E122,0,'L+H Monthly CF'!AA$3)/12</f>
        <v>18750</v>
      </c>
      <c r="AB93" s="12">
        <f ca="1">OFFSET('Proforma L+H'!$E122,0,'L+H Monthly CF'!AB$3)/12</f>
        <v>18750</v>
      </c>
      <c r="AC93" s="12">
        <f ca="1">OFFSET('Proforma L+H'!$E122,0,'L+H Monthly CF'!AC$3)/12</f>
        <v>12500</v>
      </c>
      <c r="AD93" s="12">
        <f ca="1">OFFSET('Proforma L+H'!$E122,0,'L+H Monthly CF'!AD$3)/12</f>
        <v>12500</v>
      </c>
      <c r="AE93" s="12">
        <f ca="1">OFFSET('Proforma L+H'!$E122,0,'L+H Monthly CF'!AE$3)/12</f>
        <v>12500</v>
      </c>
      <c r="AF93" s="12">
        <f ca="1">OFFSET('Proforma L+H'!$E122,0,'L+H Monthly CF'!AF$3)/12</f>
        <v>12500</v>
      </c>
      <c r="AG93" s="12">
        <f ca="1">OFFSET('Proforma L+H'!$E122,0,'L+H Monthly CF'!AG$3)/12</f>
        <v>12500</v>
      </c>
      <c r="AH93" s="12">
        <f ca="1">OFFSET('Proforma L+H'!$E122,0,'L+H Monthly CF'!AH$3)/12</f>
        <v>12500</v>
      </c>
      <c r="AI93" s="12">
        <f ca="1">OFFSET('Proforma L+H'!$E122,0,'L+H Monthly CF'!AI$3)/12</f>
        <v>12500</v>
      </c>
      <c r="AJ93" s="12">
        <f ca="1">OFFSET('Proforma L+H'!$E122,0,'L+H Monthly CF'!AJ$3)/12</f>
        <v>12500</v>
      </c>
      <c r="AK93" s="12">
        <f ca="1">OFFSET('Proforma L+H'!$E122,0,'L+H Monthly CF'!AK$3)/12</f>
        <v>12500</v>
      </c>
      <c r="AL93" s="12">
        <f ca="1">OFFSET('Proforma L+H'!$E122,0,'L+H Monthly CF'!AL$3)/12</f>
        <v>12500</v>
      </c>
      <c r="AM93" s="12">
        <f ca="1">OFFSET('Proforma L+H'!$E122,0,'L+H Monthly CF'!AM$3)/12</f>
        <v>12500</v>
      </c>
      <c r="AN93" s="12">
        <f ca="1">OFFSET('Proforma L+H'!$E122,0,'L+H Monthly CF'!AN$3)/12</f>
        <v>12500</v>
      </c>
      <c r="AO93" s="12">
        <f ca="1">OFFSET('Proforma L+H'!$E122,0,'L+H Monthly CF'!AO$3)/12</f>
        <v>6250</v>
      </c>
      <c r="AP93" s="12">
        <f ca="1">OFFSET('Proforma L+H'!$E122,0,'L+H Monthly CF'!AP$3)/12</f>
        <v>6250</v>
      </c>
      <c r="AQ93" s="12">
        <f ca="1">OFFSET('Proforma L+H'!$E122,0,'L+H Monthly CF'!AQ$3)/12</f>
        <v>6250</v>
      </c>
      <c r="AR93" s="12">
        <f ca="1">OFFSET('Proforma L+H'!$E122,0,'L+H Monthly CF'!AR$3)/12</f>
        <v>6250</v>
      </c>
      <c r="AS93" s="12">
        <f ca="1">OFFSET('Proforma L+H'!$E122,0,'L+H Monthly CF'!AS$3)/12</f>
        <v>6250</v>
      </c>
      <c r="AT93" s="12">
        <f ca="1">OFFSET('Proforma L+H'!$E122,0,'L+H Monthly CF'!AT$3)/12</f>
        <v>6250</v>
      </c>
      <c r="AU93" s="12">
        <f ca="1">OFFSET('Proforma L+H'!$E122,0,'L+H Monthly CF'!AU$3)/12</f>
        <v>6250</v>
      </c>
      <c r="AV93" s="12">
        <f ca="1">OFFSET('Proforma L+H'!$E122,0,'L+H Monthly CF'!AV$3)/12</f>
        <v>6250</v>
      </c>
      <c r="AW93" s="12">
        <f ca="1">OFFSET('Proforma L+H'!$E122,0,'L+H Monthly CF'!AW$3)/12</f>
        <v>6250</v>
      </c>
      <c r="AX93" s="12">
        <f ca="1">OFFSET('Proforma L+H'!$E122,0,'L+H Monthly CF'!AX$3)/12</f>
        <v>6250</v>
      </c>
      <c r="AY93" s="12">
        <f ca="1">OFFSET('Proforma L+H'!$E122,0,'L+H Monthly CF'!AY$3)/12</f>
        <v>6250</v>
      </c>
      <c r="AZ93" s="12">
        <f ca="1">OFFSET('Proforma L+H'!$E122,0,'L+H Monthly CF'!AZ$3)/12</f>
        <v>6250</v>
      </c>
      <c r="BA93" s="12">
        <f t="shared" ca="1" si="36"/>
        <v>600000</v>
      </c>
      <c r="BB93" s="758">
        <f ca="1">SUM('Proforma L+H'!E122:H122)-BA93</f>
        <v>0</v>
      </c>
    </row>
    <row r="94" spans="1:54" ht="15.5" hidden="1" customHeight="1" collapsed="1" x14ac:dyDescent="0.2">
      <c r="A94" s="2"/>
      <c r="B94" s="168" t="str">
        <f>'Proforma L+H'!B123</f>
        <v>Model Home Furnishings (Sell Furnished)</v>
      </c>
      <c r="C94" s="222"/>
      <c r="D94" s="222"/>
      <c r="E94" s="222">
        <f ca="1">OFFSET('Proforma L+H'!$E123,0,'L+H Monthly CF'!E$3)/12</f>
        <v>0</v>
      </c>
      <c r="F94" s="222">
        <f ca="1">OFFSET('Proforma L+H'!$E123,0,'L+H Monthly CF'!F$3)/12</f>
        <v>0</v>
      </c>
      <c r="G94" s="222">
        <f ca="1">OFFSET('Proforma L+H'!$E123,0,'L+H Monthly CF'!G$3)/12</f>
        <v>0</v>
      </c>
      <c r="H94" s="222">
        <f ca="1">OFFSET('Proforma L+H'!$E123,0,'L+H Monthly CF'!H$3)/12</f>
        <v>0</v>
      </c>
      <c r="I94" s="222">
        <f ca="1">OFFSET('Proforma L+H'!$E123,0,'L+H Monthly CF'!I$3)/12</f>
        <v>0</v>
      </c>
      <c r="J94" s="21">
        <f ca="1">OFFSET('Proforma L+H'!$E123,0,'L+H Monthly CF'!J$3)/12</f>
        <v>0</v>
      </c>
      <c r="K94" s="21">
        <f ca="1">OFFSET('Proforma L+H'!$E123,0,'L+H Monthly CF'!K$3)/12</f>
        <v>0</v>
      </c>
      <c r="L94" s="222">
        <f ca="1">OFFSET('Proforma L+H'!$E123,0,'L+H Monthly CF'!L$3)/12</f>
        <v>0</v>
      </c>
      <c r="M94" s="222">
        <f ca="1">OFFSET('Proforma L+H'!$E123,0,'L+H Monthly CF'!M$3)/12</f>
        <v>0</v>
      </c>
      <c r="N94" s="22">
        <f ca="1">OFFSET('Proforma L+H'!$E123,0,'L+H Monthly CF'!N$3)/12</f>
        <v>0</v>
      </c>
      <c r="O94" s="22">
        <f ca="1">OFFSET('Proforma L+H'!$E123,0,'L+H Monthly CF'!O$3)/12</f>
        <v>0</v>
      </c>
      <c r="P94" s="222">
        <f ca="1">OFFSET('Proforma L+H'!$E123,0,'L+H Monthly CF'!P$3)/12</f>
        <v>0</v>
      </c>
      <c r="Q94" s="222">
        <f ca="1">OFFSET('Proforma L+H'!$E123,0,'L+H Monthly CF'!Q$3)/12</f>
        <v>0</v>
      </c>
      <c r="R94" s="21">
        <f ca="1">OFFSET('Proforma L+H'!$E123,0,'L+H Monthly CF'!R$3)/12</f>
        <v>0</v>
      </c>
      <c r="S94" s="21">
        <f ca="1">OFFSET('Proforma L+H'!$E123,0,'L+H Monthly CF'!S$3)/12</f>
        <v>0</v>
      </c>
      <c r="T94" s="21">
        <f ca="1">OFFSET('Proforma L+H'!$E123,0,'L+H Monthly CF'!T$3)/12</f>
        <v>0</v>
      </c>
      <c r="U94" s="21">
        <f ca="1">OFFSET('Proforma L+H'!$E123,0,'L+H Monthly CF'!U$3)/12</f>
        <v>0</v>
      </c>
      <c r="V94" s="21">
        <f ca="1">OFFSET('Proforma L+H'!$E123,0,'L+H Monthly CF'!V$3)/12</f>
        <v>0</v>
      </c>
      <c r="W94" s="21">
        <f ca="1">OFFSET('Proforma L+H'!$E123,0,'L+H Monthly CF'!W$3)/12</f>
        <v>0</v>
      </c>
      <c r="X94" s="21">
        <f ca="1">OFFSET('Proforma L+H'!$E123,0,'L+H Monthly CF'!X$3)/12</f>
        <v>0</v>
      </c>
      <c r="Y94" s="21">
        <f ca="1">OFFSET('Proforma L+H'!$E123,0,'L+H Monthly CF'!Y$3)/12</f>
        <v>0</v>
      </c>
      <c r="Z94" s="21">
        <f ca="1">OFFSET('Proforma L+H'!$E123,0,'L+H Monthly CF'!Z$3)/12</f>
        <v>0</v>
      </c>
      <c r="AA94" s="21">
        <f ca="1">OFFSET('Proforma L+H'!$E123,0,'L+H Monthly CF'!AA$3)/12</f>
        <v>0</v>
      </c>
      <c r="AB94" s="21">
        <f ca="1">OFFSET('Proforma L+H'!$E123,0,'L+H Monthly CF'!AB$3)/12</f>
        <v>0</v>
      </c>
      <c r="AC94" s="21">
        <f ca="1">OFFSET('Proforma L+H'!$E123,0,'L+H Monthly CF'!AC$3)/12</f>
        <v>0</v>
      </c>
      <c r="AD94" s="21">
        <f ca="1">OFFSET('Proforma L+H'!$E123,0,'L+H Monthly CF'!AD$3)/12</f>
        <v>0</v>
      </c>
      <c r="AE94" s="21">
        <f ca="1">OFFSET('Proforma L+H'!$E123,0,'L+H Monthly CF'!AE$3)/12</f>
        <v>0</v>
      </c>
      <c r="AF94" s="21">
        <f ca="1">OFFSET('Proforma L+H'!$E123,0,'L+H Monthly CF'!AF$3)/12</f>
        <v>0</v>
      </c>
      <c r="AG94" s="21">
        <f ca="1">OFFSET('Proforma L+H'!$E123,0,'L+H Monthly CF'!AG$3)/12</f>
        <v>0</v>
      </c>
      <c r="AH94" s="21">
        <f ca="1">OFFSET('Proforma L+H'!$E123,0,'L+H Monthly CF'!AH$3)/12</f>
        <v>0</v>
      </c>
      <c r="AI94" s="21">
        <f ca="1">OFFSET('Proforma L+H'!$E123,0,'L+H Monthly CF'!AI$3)/12</f>
        <v>0</v>
      </c>
      <c r="AJ94" s="21">
        <f ca="1">OFFSET('Proforma L+H'!$E123,0,'L+H Monthly CF'!AJ$3)/12</f>
        <v>0</v>
      </c>
      <c r="AK94" s="21">
        <f ca="1">OFFSET('Proforma L+H'!$E123,0,'L+H Monthly CF'!AK$3)/12</f>
        <v>0</v>
      </c>
      <c r="AL94" s="21">
        <f ca="1">OFFSET('Proforma L+H'!$E123,0,'L+H Monthly CF'!AL$3)/12</f>
        <v>0</v>
      </c>
      <c r="AM94" s="21">
        <f ca="1">OFFSET('Proforma L+H'!$E123,0,'L+H Monthly CF'!AM$3)/12</f>
        <v>0</v>
      </c>
      <c r="AN94" s="21">
        <f ca="1">OFFSET('Proforma L+H'!$E123,0,'L+H Monthly CF'!AN$3)/12</f>
        <v>0</v>
      </c>
      <c r="AO94" s="21">
        <f ca="1">OFFSET('Proforma L+H'!$E123,0,'L+H Monthly CF'!AO$3)/12</f>
        <v>0</v>
      </c>
      <c r="AP94" s="21">
        <f ca="1">OFFSET('Proforma L+H'!$E123,0,'L+H Monthly CF'!AP$3)/12</f>
        <v>0</v>
      </c>
      <c r="AQ94" s="21">
        <f ca="1">OFFSET('Proforma L+H'!$E123,0,'L+H Monthly CF'!AQ$3)/12</f>
        <v>0</v>
      </c>
      <c r="AR94" s="21">
        <f ca="1">OFFSET('Proforma L+H'!$E123,0,'L+H Monthly CF'!AR$3)/12</f>
        <v>0</v>
      </c>
      <c r="AS94" s="21">
        <f ca="1">OFFSET('Proforma L+H'!$E123,0,'L+H Monthly CF'!AS$3)/12</f>
        <v>0</v>
      </c>
      <c r="AT94" s="21">
        <f ca="1">OFFSET('Proforma L+H'!$E123,0,'L+H Monthly CF'!AT$3)/12</f>
        <v>0</v>
      </c>
      <c r="AU94" s="21">
        <f ca="1">OFFSET('Proforma L+H'!$E123,0,'L+H Monthly CF'!AU$3)/12</f>
        <v>0</v>
      </c>
      <c r="AV94" s="21">
        <f ca="1">OFFSET('Proforma L+H'!$E123,0,'L+H Monthly CF'!AV$3)/12</f>
        <v>0</v>
      </c>
      <c r="AW94" s="21">
        <f ca="1">OFFSET('Proforma L+H'!$E123,0,'L+H Monthly CF'!AW$3)/12</f>
        <v>0</v>
      </c>
      <c r="AX94" s="21">
        <f ca="1">OFFSET('Proforma L+H'!$E123,0,'L+H Monthly CF'!AX$3)/12</f>
        <v>0</v>
      </c>
      <c r="AY94" s="21">
        <f ca="1">OFFSET('Proforma L+H'!$E123,0,'L+H Monthly CF'!AY$3)/12</f>
        <v>0</v>
      </c>
      <c r="AZ94" s="21">
        <f ca="1">OFFSET('Proforma L+H'!$E123,0,'L+H Monthly CF'!AZ$3)/12</f>
        <v>0</v>
      </c>
      <c r="BA94" s="21">
        <f t="shared" ca="1" si="36"/>
        <v>0</v>
      </c>
      <c r="BB94" s="758">
        <f ca="1">SUM('Proforma L+H'!E123:H123)-BA94</f>
        <v>0</v>
      </c>
    </row>
    <row r="95" spans="1:54" x14ac:dyDescent="0.2">
      <c r="A95" s="2"/>
      <c r="B95" s="49" t="str">
        <f>'Proforma L+H'!B124</f>
        <v>SOFT COSTS - SALES</v>
      </c>
      <c r="C95" s="164"/>
      <c r="D95" s="164"/>
      <c r="E95" s="52">
        <f ca="1">OFFSET('Proforma L+H'!$E124,0,'L+H Monthly CF'!E$3)/12</f>
        <v>12500</v>
      </c>
      <c r="F95" s="52">
        <f ca="1">OFFSET('Proforma L+H'!$E124,0,'L+H Monthly CF'!F$3)/12</f>
        <v>12500</v>
      </c>
      <c r="G95" s="52">
        <f ca="1">OFFSET('Proforma L+H'!$E124,0,'L+H Monthly CF'!G$3)/12</f>
        <v>12500</v>
      </c>
      <c r="H95" s="52">
        <f ca="1">OFFSET('Proforma L+H'!$E124,0,'L+H Monthly CF'!H$3)/12</f>
        <v>12500</v>
      </c>
      <c r="I95" s="52">
        <f ca="1">OFFSET('Proforma L+H'!$E124,0,'L+H Monthly CF'!I$3)/12</f>
        <v>12500</v>
      </c>
      <c r="J95" s="52">
        <f ca="1">OFFSET('Proforma L+H'!$E124,0,'L+H Monthly CF'!J$3)/12</f>
        <v>12500</v>
      </c>
      <c r="K95" s="52">
        <f ca="1">OFFSET('Proforma L+H'!$E124,0,'L+H Monthly CF'!K$3)/12</f>
        <v>12500</v>
      </c>
      <c r="L95" s="52">
        <f ca="1">OFFSET('Proforma L+H'!$E124,0,'L+H Monthly CF'!L$3)/12</f>
        <v>12500</v>
      </c>
      <c r="M95" s="52">
        <f ca="1">OFFSET('Proforma L+H'!$E124,0,'L+H Monthly CF'!M$3)/12</f>
        <v>12500</v>
      </c>
      <c r="N95" s="52">
        <f ca="1">OFFSET('Proforma L+H'!$E124,0,'L+H Monthly CF'!N$3)/12</f>
        <v>12500</v>
      </c>
      <c r="O95" s="52">
        <f ca="1">OFFSET('Proforma L+H'!$E124,0,'L+H Monthly CF'!O$3)/12</f>
        <v>12500</v>
      </c>
      <c r="P95" s="52">
        <f ca="1">OFFSET('Proforma L+H'!$E124,0,'L+H Monthly CF'!P$3)/12</f>
        <v>12500</v>
      </c>
      <c r="Q95" s="52">
        <f ca="1">OFFSET('Proforma L+H'!$E124,0,'L+H Monthly CF'!Q$3)/12</f>
        <v>39651.5625</v>
      </c>
      <c r="R95" s="52">
        <f ca="1">OFFSET('Proforma L+H'!$E124,0,'L+H Monthly CF'!R$3)/12</f>
        <v>39651.5625</v>
      </c>
      <c r="S95" s="52">
        <f ca="1">OFFSET('Proforma L+H'!$E124,0,'L+H Monthly CF'!S$3)/12</f>
        <v>39651.5625</v>
      </c>
      <c r="T95" s="52">
        <f ca="1">OFFSET('Proforma L+H'!$E124,0,'L+H Monthly CF'!T$3)/12</f>
        <v>39651.5625</v>
      </c>
      <c r="U95" s="52">
        <f ca="1">OFFSET('Proforma L+H'!$E124,0,'L+H Monthly CF'!U$3)/12</f>
        <v>39651.5625</v>
      </c>
      <c r="V95" s="52">
        <f ca="1">OFFSET('Proforma L+H'!$E124,0,'L+H Monthly CF'!V$3)/12</f>
        <v>39651.5625</v>
      </c>
      <c r="W95" s="52">
        <f ca="1">OFFSET('Proforma L+H'!$E124,0,'L+H Monthly CF'!W$3)/12</f>
        <v>39651.5625</v>
      </c>
      <c r="X95" s="52">
        <f ca="1">OFFSET('Proforma L+H'!$E124,0,'L+H Monthly CF'!X$3)/12</f>
        <v>39651.5625</v>
      </c>
      <c r="Y95" s="52">
        <f ca="1">OFFSET('Proforma L+H'!$E124,0,'L+H Monthly CF'!Y$3)/12</f>
        <v>39651.5625</v>
      </c>
      <c r="Z95" s="52">
        <f ca="1">OFFSET('Proforma L+H'!$E124,0,'L+H Monthly CF'!Z$3)/12</f>
        <v>39651.5625</v>
      </c>
      <c r="AA95" s="52">
        <f ca="1">OFFSET('Proforma L+H'!$E124,0,'L+H Monthly CF'!AA$3)/12</f>
        <v>39651.5625</v>
      </c>
      <c r="AB95" s="52">
        <f ca="1">OFFSET('Proforma L+H'!$E124,0,'L+H Monthly CF'!AB$3)/12</f>
        <v>39651.5625</v>
      </c>
      <c r="AC95" s="52">
        <f ca="1">OFFSET('Proforma L+H'!$E124,0,'L+H Monthly CF'!AC$3)/12</f>
        <v>156902.890625</v>
      </c>
      <c r="AD95" s="52">
        <f ca="1">OFFSET('Proforma L+H'!$E124,0,'L+H Monthly CF'!AD$3)/12</f>
        <v>156902.890625</v>
      </c>
      <c r="AE95" s="52">
        <f ca="1">OFFSET('Proforma L+H'!$E124,0,'L+H Monthly CF'!AE$3)/12</f>
        <v>156902.890625</v>
      </c>
      <c r="AF95" s="52">
        <f ca="1">OFFSET('Proforma L+H'!$E124,0,'L+H Monthly CF'!AF$3)/12</f>
        <v>156902.890625</v>
      </c>
      <c r="AG95" s="52">
        <f ca="1">OFFSET('Proforma L+H'!$E124,0,'L+H Monthly CF'!AG$3)/12</f>
        <v>156902.890625</v>
      </c>
      <c r="AH95" s="52">
        <f ca="1">OFFSET('Proforma L+H'!$E124,0,'L+H Monthly CF'!AH$3)/12</f>
        <v>156902.890625</v>
      </c>
      <c r="AI95" s="52">
        <f ca="1">OFFSET('Proforma L+H'!$E124,0,'L+H Monthly CF'!AI$3)/12</f>
        <v>156902.890625</v>
      </c>
      <c r="AJ95" s="52">
        <f ca="1">OFFSET('Proforma L+H'!$E124,0,'L+H Monthly CF'!AJ$3)/12</f>
        <v>156902.890625</v>
      </c>
      <c r="AK95" s="52">
        <f ca="1">OFFSET('Proforma L+H'!$E124,0,'L+H Monthly CF'!AK$3)/12</f>
        <v>156902.890625</v>
      </c>
      <c r="AL95" s="52">
        <f ca="1">OFFSET('Proforma L+H'!$E124,0,'L+H Monthly CF'!AL$3)/12</f>
        <v>156902.890625</v>
      </c>
      <c r="AM95" s="52">
        <f ca="1">OFFSET('Proforma L+H'!$E124,0,'L+H Monthly CF'!AM$3)/12</f>
        <v>156902.890625</v>
      </c>
      <c r="AN95" s="52">
        <f ca="1">OFFSET('Proforma L+H'!$E124,0,'L+H Monthly CF'!AN$3)/12</f>
        <v>156902.890625</v>
      </c>
      <c r="AO95" s="52">
        <f ca="1">OFFSET('Proforma L+H'!$E124,0,'L+H Monthly CF'!AO$3)/12</f>
        <v>288257.26562500006</v>
      </c>
      <c r="AP95" s="52">
        <f ca="1">OFFSET('Proforma L+H'!$E124,0,'L+H Monthly CF'!AP$3)/12</f>
        <v>288257.26562500006</v>
      </c>
      <c r="AQ95" s="52">
        <f ca="1">OFFSET('Proforma L+H'!$E124,0,'L+H Monthly CF'!AQ$3)/12</f>
        <v>288257.26562500006</v>
      </c>
      <c r="AR95" s="52">
        <f ca="1">OFFSET('Proforma L+H'!$E124,0,'L+H Monthly CF'!AR$3)/12</f>
        <v>288257.26562500006</v>
      </c>
      <c r="AS95" s="52">
        <f ca="1">OFFSET('Proforma L+H'!$E124,0,'L+H Monthly CF'!AS$3)/12</f>
        <v>288257.26562500006</v>
      </c>
      <c r="AT95" s="52">
        <f ca="1">OFFSET('Proforma L+H'!$E124,0,'L+H Monthly CF'!AT$3)/12</f>
        <v>288257.26562500006</v>
      </c>
      <c r="AU95" s="52">
        <f ca="1">OFFSET('Proforma L+H'!$E124,0,'L+H Monthly CF'!AU$3)/12</f>
        <v>288257.26562500006</v>
      </c>
      <c r="AV95" s="52">
        <f ca="1">OFFSET('Proforma L+H'!$E124,0,'L+H Monthly CF'!AV$3)/12</f>
        <v>288257.26562500006</v>
      </c>
      <c r="AW95" s="52">
        <f ca="1">OFFSET('Proforma L+H'!$E124,0,'L+H Monthly CF'!AW$3)/12</f>
        <v>288257.26562500006</v>
      </c>
      <c r="AX95" s="52">
        <f ca="1">OFFSET('Proforma L+H'!$E124,0,'L+H Monthly CF'!AX$3)/12</f>
        <v>288257.26562500006</v>
      </c>
      <c r="AY95" s="52">
        <f ca="1">OFFSET('Proforma L+H'!$E124,0,'L+H Monthly CF'!AY$3)/12</f>
        <v>288257.26562500006</v>
      </c>
      <c r="AZ95" s="52">
        <f ca="1">OFFSET('Proforma L+H'!$E124,0,'L+H Monthly CF'!AZ$3)/12</f>
        <v>288257.26562500006</v>
      </c>
      <c r="BA95" s="52">
        <f t="shared" ca="1" si="36"/>
        <v>5967740.625</v>
      </c>
      <c r="BB95" s="758">
        <f ca="1">SUM('Proforma L+H'!E124:H124)-BA95</f>
        <v>0</v>
      </c>
    </row>
    <row r="96" spans="1:54" hidden="1" outlineLevel="1" x14ac:dyDescent="0.2">
      <c r="A96" s="2"/>
    </row>
    <row r="97" spans="1:54" hidden="1" outlineLevel="1" x14ac:dyDescent="0.2">
      <c r="A97" s="2"/>
      <c r="B97" s="81" t="str">
        <f>'Proforma L+H'!B126</f>
        <v>SOFT COSTS - TAXES AND INSURANCE</v>
      </c>
    </row>
    <row r="98" spans="1:54" hidden="1" outlineLevel="1" x14ac:dyDescent="0.2">
      <c r="A98" s="2"/>
      <c r="B98" s="163" t="str">
        <f>'Proforma L+H'!B127</f>
        <v>Real Estate Taxes (Annual)</v>
      </c>
      <c r="C98" s="68" t="e">
        <f>Assumptions!#REF!</f>
        <v>#REF!</v>
      </c>
      <c r="D98" s="68"/>
      <c r="E98" s="12">
        <f ca="1">OFFSET('Proforma L+H'!$E127,0,'L+H Monthly CF'!E$3)/12</f>
        <v>961.53846153846155</v>
      </c>
      <c r="F98" s="12">
        <f ca="1">OFFSET('Proforma L+H'!$E127,0,'L+H Monthly CF'!F$3)/12</f>
        <v>961.53846153846155</v>
      </c>
      <c r="G98" s="12">
        <f ca="1">OFFSET('Proforma L+H'!$E127,0,'L+H Monthly CF'!G$3)/12</f>
        <v>961.53846153846155</v>
      </c>
      <c r="H98" s="12">
        <f ca="1">OFFSET('Proforma L+H'!$E127,0,'L+H Monthly CF'!H$3)/12</f>
        <v>961.53846153846155</v>
      </c>
      <c r="I98" s="12">
        <f ca="1">OFFSET('Proforma L+H'!$E127,0,'L+H Monthly CF'!I$3)/12</f>
        <v>961.53846153846155</v>
      </c>
      <c r="J98" s="12">
        <f ca="1">OFFSET('Proforma L+H'!$E127,0,'L+H Monthly CF'!J$3)/12</f>
        <v>961.53846153846155</v>
      </c>
      <c r="K98" s="12">
        <f ca="1">OFFSET('Proforma L+H'!$E127,0,'L+H Monthly CF'!K$3)/12</f>
        <v>961.53846153846155</v>
      </c>
      <c r="L98" s="12">
        <f ca="1">OFFSET('Proforma L+H'!$E127,0,'L+H Monthly CF'!L$3)/12</f>
        <v>961.53846153846155</v>
      </c>
      <c r="M98" s="12">
        <f ca="1">OFFSET('Proforma L+H'!$E127,0,'L+H Monthly CF'!M$3)/12</f>
        <v>961.53846153846155</v>
      </c>
      <c r="N98" s="12">
        <f ca="1">OFFSET('Proforma L+H'!$E127,0,'L+H Monthly CF'!N$3)/12</f>
        <v>961.53846153846155</v>
      </c>
      <c r="O98" s="12">
        <f ca="1">OFFSET('Proforma L+H'!$E127,0,'L+H Monthly CF'!O$3)/12</f>
        <v>961.53846153846155</v>
      </c>
      <c r="P98" s="12">
        <f ca="1">OFFSET('Proforma L+H'!$E127,0,'L+H Monthly CF'!P$3)/12</f>
        <v>961.53846153846155</v>
      </c>
      <c r="Q98" s="12">
        <f ca="1">OFFSET('Proforma L+H'!$E127,0,'L+H Monthly CF'!Q$3)/12</f>
        <v>961.53846153846155</v>
      </c>
      <c r="R98" s="12">
        <f ca="1">OFFSET('Proforma L+H'!$E127,0,'L+H Monthly CF'!R$3)/12</f>
        <v>961.53846153846155</v>
      </c>
      <c r="S98" s="12">
        <f ca="1">OFFSET('Proforma L+H'!$E127,0,'L+H Monthly CF'!S$3)/12</f>
        <v>961.53846153846155</v>
      </c>
      <c r="T98" s="12">
        <f ca="1">OFFSET('Proforma L+H'!$E127,0,'L+H Monthly CF'!T$3)/12</f>
        <v>961.53846153846155</v>
      </c>
      <c r="U98" s="12">
        <f ca="1">OFFSET('Proforma L+H'!$E127,0,'L+H Monthly CF'!U$3)/12</f>
        <v>961.53846153846155</v>
      </c>
      <c r="V98" s="12">
        <f ca="1">OFFSET('Proforma L+H'!$E127,0,'L+H Monthly CF'!V$3)/12</f>
        <v>961.53846153846155</v>
      </c>
      <c r="W98" s="12">
        <f ca="1">OFFSET('Proforma L+H'!$E127,0,'L+H Monthly CF'!W$3)/12</f>
        <v>961.53846153846155</v>
      </c>
      <c r="X98" s="12">
        <f ca="1">OFFSET('Proforma L+H'!$E127,0,'L+H Monthly CF'!X$3)/12</f>
        <v>961.53846153846155</v>
      </c>
      <c r="Y98" s="12">
        <f ca="1">OFFSET('Proforma L+H'!$E127,0,'L+H Monthly CF'!Y$3)/12</f>
        <v>961.53846153846155</v>
      </c>
      <c r="Z98" s="12">
        <f ca="1">OFFSET('Proforma L+H'!$E127,0,'L+H Monthly CF'!Z$3)/12</f>
        <v>961.53846153846155</v>
      </c>
      <c r="AA98" s="12">
        <f ca="1">OFFSET('Proforma L+H'!$E127,0,'L+H Monthly CF'!AA$3)/12</f>
        <v>961.53846153846155</v>
      </c>
      <c r="AB98" s="12">
        <f ca="1">OFFSET('Proforma L+H'!$E127,0,'L+H Monthly CF'!AB$3)/12</f>
        <v>961.53846153846155</v>
      </c>
      <c r="AC98" s="12">
        <f ca="1">OFFSET('Proforma L+H'!$E127,0,'L+H Monthly CF'!AC$3)/12</f>
        <v>854.70085470085462</v>
      </c>
      <c r="AD98" s="12">
        <f ca="1">OFFSET('Proforma L+H'!$E127,0,'L+H Monthly CF'!AD$3)/12</f>
        <v>854.70085470085462</v>
      </c>
      <c r="AE98" s="12">
        <f ca="1">OFFSET('Proforma L+H'!$E127,0,'L+H Monthly CF'!AE$3)/12</f>
        <v>854.70085470085462</v>
      </c>
      <c r="AF98" s="12">
        <f ca="1">OFFSET('Proforma L+H'!$E127,0,'L+H Monthly CF'!AF$3)/12</f>
        <v>854.70085470085462</v>
      </c>
      <c r="AG98" s="12">
        <f ca="1">OFFSET('Proforma L+H'!$E127,0,'L+H Monthly CF'!AG$3)/12</f>
        <v>854.70085470085462</v>
      </c>
      <c r="AH98" s="12">
        <f ca="1">OFFSET('Proforma L+H'!$E127,0,'L+H Monthly CF'!AH$3)/12</f>
        <v>854.70085470085462</v>
      </c>
      <c r="AI98" s="12">
        <f ca="1">OFFSET('Proforma L+H'!$E127,0,'L+H Monthly CF'!AI$3)/12</f>
        <v>854.70085470085462</v>
      </c>
      <c r="AJ98" s="12">
        <f ca="1">OFFSET('Proforma L+H'!$E127,0,'L+H Monthly CF'!AJ$3)/12</f>
        <v>854.70085470085462</v>
      </c>
      <c r="AK98" s="12">
        <f ca="1">OFFSET('Proforma L+H'!$E127,0,'L+H Monthly CF'!AK$3)/12</f>
        <v>854.70085470085462</v>
      </c>
      <c r="AL98" s="12">
        <f ca="1">OFFSET('Proforma L+H'!$E127,0,'L+H Monthly CF'!AL$3)/12</f>
        <v>854.70085470085462</v>
      </c>
      <c r="AM98" s="12">
        <f ca="1">OFFSET('Proforma L+H'!$E127,0,'L+H Monthly CF'!AM$3)/12</f>
        <v>854.70085470085462</v>
      </c>
      <c r="AN98" s="12">
        <f ca="1">OFFSET('Proforma L+H'!$E127,0,'L+H Monthly CF'!AN$3)/12</f>
        <v>854.70085470085462</v>
      </c>
      <c r="AO98" s="12">
        <f ca="1">OFFSET('Proforma L+H'!$E127,0,'L+H Monthly CF'!AO$3)/12</f>
        <v>641.02564102564099</v>
      </c>
      <c r="AP98" s="12">
        <f ca="1">OFFSET('Proforma L+H'!$E127,0,'L+H Monthly CF'!AP$3)/12</f>
        <v>641.02564102564099</v>
      </c>
      <c r="AQ98" s="12">
        <f ca="1">OFFSET('Proforma L+H'!$E127,0,'L+H Monthly CF'!AQ$3)/12</f>
        <v>641.02564102564099</v>
      </c>
      <c r="AR98" s="12">
        <f ca="1">OFFSET('Proforma L+H'!$E127,0,'L+H Monthly CF'!AR$3)/12</f>
        <v>641.02564102564099</v>
      </c>
      <c r="AS98" s="12">
        <f ca="1">OFFSET('Proforma L+H'!$E127,0,'L+H Monthly CF'!AS$3)/12</f>
        <v>641.02564102564099</v>
      </c>
      <c r="AT98" s="12">
        <f ca="1">OFFSET('Proforma L+H'!$E127,0,'L+H Monthly CF'!AT$3)/12</f>
        <v>641.02564102564099</v>
      </c>
      <c r="AU98" s="12">
        <f ca="1">OFFSET('Proforma L+H'!$E127,0,'L+H Monthly CF'!AU$3)/12</f>
        <v>641.02564102564099</v>
      </c>
      <c r="AV98" s="12">
        <f ca="1">OFFSET('Proforma L+H'!$E127,0,'L+H Monthly CF'!AV$3)/12</f>
        <v>641.02564102564099</v>
      </c>
      <c r="AW98" s="12">
        <f ca="1">OFFSET('Proforma L+H'!$E127,0,'L+H Monthly CF'!AW$3)/12</f>
        <v>641.02564102564099</v>
      </c>
      <c r="AX98" s="12">
        <f ca="1">OFFSET('Proforma L+H'!$E127,0,'L+H Monthly CF'!AX$3)/12</f>
        <v>641.02564102564099</v>
      </c>
      <c r="AY98" s="12">
        <f ca="1">OFFSET('Proforma L+H'!$E127,0,'L+H Monthly CF'!AY$3)/12</f>
        <v>641.02564102564099</v>
      </c>
      <c r="AZ98" s="12">
        <f ca="1">OFFSET('Proforma L+H'!$E127,0,'L+H Monthly CF'!AZ$3)/12</f>
        <v>641.02564102564099</v>
      </c>
      <c r="BA98" s="12">
        <f t="shared" ref="BA98:BA100" ca="1" si="37">SUM(E98:AZ98)</f>
        <v>41025.641025641024</v>
      </c>
      <c r="BB98" s="758">
        <f ca="1">SUM('Proforma L+H'!E127:H127)-BA98</f>
        <v>0</v>
      </c>
    </row>
    <row r="99" spans="1:54" hidden="1" outlineLevel="1" x14ac:dyDescent="0.2">
      <c r="A99" s="2"/>
      <c r="B99" s="168" t="str">
        <f>'Proforma L+H'!B128</f>
        <v>Liability Insurance (Annual)</v>
      </c>
      <c r="C99" s="58">
        <v>5.4999999999999997E-3</v>
      </c>
      <c r="D99" s="58"/>
      <c r="E99" s="21">
        <f ca="1">OFFSET('Proforma L+H'!$E128,0,'L+H Monthly CF'!E$3)/12</f>
        <v>1364.4249131944446</v>
      </c>
      <c r="F99" s="21">
        <f ca="1">OFFSET('Proforma L+H'!$E128,0,'L+H Monthly CF'!F$3)/12</f>
        <v>1364.4249131944446</v>
      </c>
      <c r="G99" s="21">
        <f ca="1">OFFSET('Proforma L+H'!$E128,0,'L+H Monthly CF'!G$3)/12</f>
        <v>1364.4249131944446</v>
      </c>
      <c r="H99" s="21">
        <f ca="1">OFFSET('Proforma L+H'!$E128,0,'L+H Monthly CF'!H$3)/12</f>
        <v>1364.4249131944446</v>
      </c>
      <c r="I99" s="21">
        <f ca="1">OFFSET('Proforma L+H'!$E128,0,'L+H Monthly CF'!I$3)/12</f>
        <v>1364.4249131944446</v>
      </c>
      <c r="J99" s="21">
        <f ca="1">OFFSET('Proforma L+H'!$E128,0,'L+H Monthly CF'!J$3)/12</f>
        <v>1364.4249131944446</v>
      </c>
      <c r="K99" s="21">
        <f ca="1">OFFSET('Proforma L+H'!$E128,0,'L+H Monthly CF'!K$3)/12</f>
        <v>1364.4249131944446</v>
      </c>
      <c r="L99" s="21">
        <f ca="1">OFFSET('Proforma L+H'!$E128,0,'L+H Monthly CF'!L$3)/12</f>
        <v>1364.4249131944446</v>
      </c>
      <c r="M99" s="21">
        <f ca="1">OFFSET('Proforma L+H'!$E128,0,'L+H Monthly CF'!M$3)/12</f>
        <v>1364.4249131944446</v>
      </c>
      <c r="N99" s="21">
        <f ca="1">OFFSET('Proforma L+H'!$E128,0,'L+H Monthly CF'!N$3)/12</f>
        <v>1364.4249131944446</v>
      </c>
      <c r="O99" s="21">
        <f ca="1">OFFSET('Proforma L+H'!$E128,0,'L+H Monthly CF'!O$3)/12</f>
        <v>1364.4249131944446</v>
      </c>
      <c r="P99" s="21">
        <f ca="1">OFFSET('Proforma L+H'!$E128,0,'L+H Monthly CF'!P$3)/12</f>
        <v>1364.4249131944446</v>
      </c>
      <c r="Q99" s="21">
        <f ca="1">OFFSET('Proforma L+H'!$E128,0,'L+H Monthly CF'!Q$3)/12</f>
        <v>9294.2593858506934</v>
      </c>
      <c r="R99" s="21">
        <f ca="1">OFFSET('Proforma L+H'!$E128,0,'L+H Monthly CF'!R$3)/12</f>
        <v>9294.2593858506934</v>
      </c>
      <c r="S99" s="21">
        <f ca="1">OFFSET('Proforma L+H'!$E128,0,'L+H Monthly CF'!S$3)/12</f>
        <v>9294.2593858506934</v>
      </c>
      <c r="T99" s="21">
        <f ca="1">OFFSET('Proforma L+H'!$E128,0,'L+H Monthly CF'!T$3)/12</f>
        <v>9294.2593858506934</v>
      </c>
      <c r="U99" s="21">
        <f ca="1">OFFSET('Proforma L+H'!$E128,0,'L+H Monthly CF'!U$3)/12</f>
        <v>9294.2593858506934</v>
      </c>
      <c r="V99" s="21">
        <f ca="1">OFFSET('Proforma L+H'!$E128,0,'L+H Monthly CF'!V$3)/12</f>
        <v>9294.2593858506934</v>
      </c>
      <c r="W99" s="21">
        <f ca="1">OFFSET('Proforma L+H'!$E128,0,'L+H Monthly CF'!W$3)/12</f>
        <v>9294.2593858506934</v>
      </c>
      <c r="X99" s="21">
        <f ca="1">OFFSET('Proforma L+H'!$E128,0,'L+H Monthly CF'!X$3)/12</f>
        <v>9294.2593858506934</v>
      </c>
      <c r="Y99" s="21">
        <f ca="1">OFFSET('Proforma L+H'!$E128,0,'L+H Monthly CF'!Y$3)/12</f>
        <v>9294.2593858506934</v>
      </c>
      <c r="Z99" s="21">
        <f ca="1">OFFSET('Proforma L+H'!$E128,0,'L+H Monthly CF'!Z$3)/12</f>
        <v>9294.2593858506934</v>
      </c>
      <c r="AA99" s="21">
        <f ca="1">OFFSET('Proforma L+H'!$E128,0,'L+H Monthly CF'!AA$3)/12</f>
        <v>9294.2593858506934</v>
      </c>
      <c r="AB99" s="21">
        <f ca="1">OFFSET('Proforma L+H'!$E128,0,'L+H Monthly CF'!AB$3)/12</f>
        <v>9294.2593858506934</v>
      </c>
      <c r="AC99" s="21">
        <f ca="1">OFFSET('Proforma L+H'!$E128,0,'L+H Monthly CF'!AC$3)/12</f>
        <v>16186.764705403644</v>
      </c>
      <c r="AD99" s="21">
        <f ca="1">OFFSET('Proforma L+H'!$E128,0,'L+H Monthly CF'!AD$3)/12</f>
        <v>16186.764705403644</v>
      </c>
      <c r="AE99" s="21">
        <f ca="1">OFFSET('Proforma L+H'!$E128,0,'L+H Monthly CF'!AE$3)/12</f>
        <v>16186.764705403644</v>
      </c>
      <c r="AF99" s="21">
        <f ca="1">OFFSET('Proforma L+H'!$E128,0,'L+H Monthly CF'!AF$3)/12</f>
        <v>16186.764705403644</v>
      </c>
      <c r="AG99" s="21">
        <f ca="1">OFFSET('Proforma L+H'!$E128,0,'L+H Monthly CF'!AG$3)/12</f>
        <v>16186.764705403644</v>
      </c>
      <c r="AH99" s="21">
        <f ca="1">OFFSET('Proforma L+H'!$E128,0,'L+H Monthly CF'!AH$3)/12</f>
        <v>16186.764705403644</v>
      </c>
      <c r="AI99" s="21">
        <f ca="1">OFFSET('Proforma L+H'!$E128,0,'L+H Monthly CF'!AI$3)/12</f>
        <v>16186.764705403644</v>
      </c>
      <c r="AJ99" s="21">
        <f ca="1">OFFSET('Proforma L+H'!$E128,0,'L+H Monthly CF'!AJ$3)/12</f>
        <v>16186.764705403644</v>
      </c>
      <c r="AK99" s="21">
        <f ca="1">OFFSET('Proforma L+H'!$E128,0,'L+H Monthly CF'!AK$3)/12</f>
        <v>16186.764705403644</v>
      </c>
      <c r="AL99" s="21">
        <f ca="1">OFFSET('Proforma L+H'!$E128,0,'L+H Monthly CF'!AL$3)/12</f>
        <v>16186.764705403644</v>
      </c>
      <c r="AM99" s="21">
        <f ca="1">OFFSET('Proforma L+H'!$E128,0,'L+H Monthly CF'!AM$3)/12</f>
        <v>16186.764705403644</v>
      </c>
      <c r="AN99" s="21">
        <f ca="1">OFFSET('Proforma L+H'!$E128,0,'L+H Monthly CF'!AN$3)/12</f>
        <v>16186.764705403644</v>
      </c>
      <c r="AO99" s="21">
        <f ca="1">OFFSET('Proforma L+H'!$E128,0,'L+H Monthly CF'!AO$3)/12</f>
        <v>25755.742513156463</v>
      </c>
      <c r="AP99" s="21">
        <f ca="1">OFFSET('Proforma L+H'!$E128,0,'L+H Monthly CF'!AP$3)/12</f>
        <v>25755.742513156463</v>
      </c>
      <c r="AQ99" s="21">
        <f ca="1">OFFSET('Proforma L+H'!$E128,0,'L+H Monthly CF'!AQ$3)/12</f>
        <v>25755.742513156463</v>
      </c>
      <c r="AR99" s="21">
        <f ca="1">OFFSET('Proforma L+H'!$E128,0,'L+H Monthly CF'!AR$3)/12</f>
        <v>25755.742513156463</v>
      </c>
      <c r="AS99" s="21">
        <f ca="1">OFFSET('Proforma L+H'!$E128,0,'L+H Monthly CF'!AS$3)/12</f>
        <v>25755.742513156463</v>
      </c>
      <c r="AT99" s="21">
        <f ca="1">OFFSET('Proforma L+H'!$E128,0,'L+H Monthly CF'!AT$3)/12</f>
        <v>25755.742513156463</v>
      </c>
      <c r="AU99" s="21">
        <f ca="1">OFFSET('Proforma L+H'!$E128,0,'L+H Monthly CF'!AU$3)/12</f>
        <v>25755.742513156463</v>
      </c>
      <c r="AV99" s="21">
        <f ca="1">OFFSET('Proforma L+H'!$E128,0,'L+H Monthly CF'!AV$3)/12</f>
        <v>25755.742513156463</v>
      </c>
      <c r="AW99" s="21">
        <f ca="1">OFFSET('Proforma L+H'!$E128,0,'L+H Monthly CF'!AW$3)/12</f>
        <v>25755.742513156463</v>
      </c>
      <c r="AX99" s="21">
        <f ca="1">OFFSET('Proforma L+H'!$E128,0,'L+H Monthly CF'!AX$3)/12</f>
        <v>25755.742513156463</v>
      </c>
      <c r="AY99" s="21">
        <f ca="1">OFFSET('Proforma L+H'!$E128,0,'L+H Monthly CF'!AY$3)/12</f>
        <v>25755.742513156463</v>
      </c>
      <c r="AZ99" s="21">
        <f ca="1">OFFSET('Proforma L+H'!$E128,0,'L+H Monthly CF'!AZ$3)/12</f>
        <v>25755.742513156463</v>
      </c>
      <c r="BA99" s="21">
        <f t="shared" ca="1" si="37"/>
        <v>631214.29821126291</v>
      </c>
      <c r="BB99" s="758">
        <f ca="1">SUM('Proforma L+H'!E128:H128)-BA99</f>
        <v>0</v>
      </c>
    </row>
    <row r="100" spans="1:54" collapsed="1" x14ac:dyDescent="0.2">
      <c r="A100" s="2"/>
      <c r="B100" s="49" t="str">
        <f>'Proforma L+H'!B129</f>
        <v>SOFT COSTS - TAXES AND INSURANCE</v>
      </c>
      <c r="C100" s="164"/>
      <c r="D100" s="164"/>
      <c r="E100" s="52">
        <f ca="1">OFFSET('Proforma L+H'!$E129,0,'L+H Monthly CF'!E$3)/12</f>
        <v>2325.9633747329062</v>
      </c>
      <c r="F100" s="52">
        <f ca="1">OFFSET('Proforma L+H'!$E129,0,'L+H Monthly CF'!F$3)/12</f>
        <v>2325.9633747329062</v>
      </c>
      <c r="G100" s="52">
        <f ca="1">OFFSET('Proforma L+H'!$E129,0,'L+H Monthly CF'!G$3)/12</f>
        <v>2325.9633747329062</v>
      </c>
      <c r="H100" s="52">
        <f ca="1">OFFSET('Proforma L+H'!$E129,0,'L+H Monthly CF'!H$3)/12</f>
        <v>2325.9633747329062</v>
      </c>
      <c r="I100" s="52">
        <f ca="1">OFFSET('Proforma L+H'!$E129,0,'L+H Monthly CF'!I$3)/12</f>
        <v>2325.9633747329062</v>
      </c>
      <c r="J100" s="52">
        <f ca="1">OFFSET('Proforma L+H'!$E129,0,'L+H Monthly CF'!J$3)/12</f>
        <v>2325.9633747329062</v>
      </c>
      <c r="K100" s="52">
        <f ca="1">OFFSET('Proforma L+H'!$E129,0,'L+H Monthly CF'!K$3)/12</f>
        <v>2325.9633747329062</v>
      </c>
      <c r="L100" s="52">
        <f ca="1">OFFSET('Proforma L+H'!$E129,0,'L+H Monthly CF'!L$3)/12</f>
        <v>2325.9633747329062</v>
      </c>
      <c r="M100" s="52">
        <f ca="1">OFFSET('Proforma L+H'!$E129,0,'L+H Monthly CF'!M$3)/12</f>
        <v>2325.9633747329062</v>
      </c>
      <c r="N100" s="52">
        <f ca="1">OFFSET('Proforma L+H'!$E129,0,'L+H Monthly CF'!N$3)/12</f>
        <v>2325.9633747329062</v>
      </c>
      <c r="O100" s="52">
        <f ca="1">OFFSET('Proforma L+H'!$E129,0,'L+H Monthly CF'!O$3)/12</f>
        <v>2325.9633747329062</v>
      </c>
      <c r="P100" s="52">
        <f ca="1">OFFSET('Proforma L+H'!$E129,0,'L+H Monthly CF'!P$3)/12</f>
        <v>2325.9633747329062</v>
      </c>
      <c r="Q100" s="52">
        <f ca="1">OFFSET('Proforma L+H'!$E129,0,'L+H Monthly CF'!Q$3)/12</f>
        <v>10255.797847389154</v>
      </c>
      <c r="R100" s="52">
        <f ca="1">OFFSET('Proforma L+H'!$E129,0,'L+H Monthly CF'!R$3)/12</f>
        <v>10255.797847389154</v>
      </c>
      <c r="S100" s="52">
        <f ca="1">OFFSET('Proforma L+H'!$E129,0,'L+H Monthly CF'!S$3)/12</f>
        <v>10255.797847389154</v>
      </c>
      <c r="T100" s="52">
        <f ca="1">OFFSET('Proforma L+H'!$E129,0,'L+H Monthly CF'!T$3)/12</f>
        <v>10255.797847389154</v>
      </c>
      <c r="U100" s="52">
        <f ca="1">OFFSET('Proforma L+H'!$E129,0,'L+H Monthly CF'!U$3)/12</f>
        <v>10255.797847389154</v>
      </c>
      <c r="V100" s="52">
        <f ca="1">OFFSET('Proforma L+H'!$E129,0,'L+H Monthly CF'!V$3)/12</f>
        <v>10255.797847389154</v>
      </c>
      <c r="W100" s="52">
        <f ca="1">OFFSET('Proforma L+H'!$E129,0,'L+H Monthly CF'!W$3)/12</f>
        <v>10255.797847389154</v>
      </c>
      <c r="X100" s="52">
        <f ca="1">OFFSET('Proforma L+H'!$E129,0,'L+H Monthly CF'!X$3)/12</f>
        <v>10255.797847389154</v>
      </c>
      <c r="Y100" s="52">
        <f ca="1">OFFSET('Proforma L+H'!$E129,0,'L+H Monthly CF'!Y$3)/12</f>
        <v>10255.797847389154</v>
      </c>
      <c r="Z100" s="52">
        <f ca="1">OFFSET('Proforma L+H'!$E129,0,'L+H Monthly CF'!Z$3)/12</f>
        <v>10255.797847389154</v>
      </c>
      <c r="AA100" s="52">
        <f ca="1">OFFSET('Proforma L+H'!$E129,0,'L+H Monthly CF'!AA$3)/12</f>
        <v>10255.797847389154</v>
      </c>
      <c r="AB100" s="52">
        <f ca="1">OFFSET('Proforma L+H'!$E129,0,'L+H Monthly CF'!AB$3)/12</f>
        <v>10255.797847389154</v>
      </c>
      <c r="AC100" s="52">
        <f ca="1">OFFSET('Proforma L+H'!$E129,0,'L+H Monthly CF'!AC$3)/12</f>
        <v>17041.465560104498</v>
      </c>
      <c r="AD100" s="52">
        <f ca="1">OFFSET('Proforma L+H'!$E129,0,'L+H Monthly CF'!AD$3)/12</f>
        <v>17041.465560104498</v>
      </c>
      <c r="AE100" s="52">
        <f ca="1">OFFSET('Proforma L+H'!$E129,0,'L+H Monthly CF'!AE$3)/12</f>
        <v>17041.465560104498</v>
      </c>
      <c r="AF100" s="52">
        <f ca="1">OFFSET('Proforma L+H'!$E129,0,'L+H Monthly CF'!AF$3)/12</f>
        <v>17041.465560104498</v>
      </c>
      <c r="AG100" s="52">
        <f ca="1">OFFSET('Proforma L+H'!$E129,0,'L+H Monthly CF'!AG$3)/12</f>
        <v>17041.465560104498</v>
      </c>
      <c r="AH100" s="52">
        <f ca="1">OFFSET('Proforma L+H'!$E129,0,'L+H Monthly CF'!AH$3)/12</f>
        <v>17041.465560104498</v>
      </c>
      <c r="AI100" s="52">
        <f ca="1">OFFSET('Proforma L+H'!$E129,0,'L+H Monthly CF'!AI$3)/12</f>
        <v>17041.465560104498</v>
      </c>
      <c r="AJ100" s="52">
        <f ca="1">OFFSET('Proforma L+H'!$E129,0,'L+H Monthly CF'!AJ$3)/12</f>
        <v>17041.465560104498</v>
      </c>
      <c r="AK100" s="52">
        <f ca="1">OFFSET('Proforma L+H'!$E129,0,'L+H Monthly CF'!AK$3)/12</f>
        <v>17041.465560104498</v>
      </c>
      <c r="AL100" s="52">
        <f ca="1">OFFSET('Proforma L+H'!$E129,0,'L+H Monthly CF'!AL$3)/12</f>
        <v>17041.465560104498</v>
      </c>
      <c r="AM100" s="52">
        <f ca="1">OFFSET('Proforma L+H'!$E129,0,'L+H Monthly CF'!AM$3)/12</f>
        <v>17041.465560104498</v>
      </c>
      <c r="AN100" s="52">
        <f ca="1">OFFSET('Proforma L+H'!$E129,0,'L+H Monthly CF'!AN$3)/12</f>
        <v>17041.465560104498</v>
      </c>
      <c r="AO100" s="52">
        <f ca="1">OFFSET('Proforma L+H'!$E129,0,'L+H Monthly CF'!AO$3)/12</f>
        <v>26396.768154182104</v>
      </c>
      <c r="AP100" s="52">
        <f ca="1">OFFSET('Proforma L+H'!$E129,0,'L+H Monthly CF'!AP$3)/12</f>
        <v>26396.768154182104</v>
      </c>
      <c r="AQ100" s="52">
        <f ca="1">OFFSET('Proforma L+H'!$E129,0,'L+H Monthly CF'!AQ$3)/12</f>
        <v>26396.768154182104</v>
      </c>
      <c r="AR100" s="52">
        <f ca="1">OFFSET('Proforma L+H'!$E129,0,'L+H Monthly CF'!AR$3)/12</f>
        <v>26396.768154182104</v>
      </c>
      <c r="AS100" s="52">
        <f ca="1">OFFSET('Proforma L+H'!$E129,0,'L+H Monthly CF'!AS$3)/12</f>
        <v>26396.768154182104</v>
      </c>
      <c r="AT100" s="52">
        <f ca="1">OFFSET('Proforma L+H'!$E129,0,'L+H Monthly CF'!AT$3)/12</f>
        <v>26396.768154182104</v>
      </c>
      <c r="AU100" s="52">
        <f ca="1">OFFSET('Proforma L+H'!$E129,0,'L+H Monthly CF'!AU$3)/12</f>
        <v>26396.768154182104</v>
      </c>
      <c r="AV100" s="52">
        <f ca="1">OFFSET('Proforma L+H'!$E129,0,'L+H Monthly CF'!AV$3)/12</f>
        <v>26396.768154182104</v>
      </c>
      <c r="AW100" s="52">
        <f ca="1">OFFSET('Proforma L+H'!$E129,0,'L+H Monthly CF'!AW$3)/12</f>
        <v>26396.768154182104</v>
      </c>
      <c r="AX100" s="52">
        <f ca="1">OFFSET('Proforma L+H'!$E129,0,'L+H Monthly CF'!AX$3)/12</f>
        <v>26396.768154182104</v>
      </c>
      <c r="AY100" s="52">
        <f ca="1">OFFSET('Proforma L+H'!$E129,0,'L+H Monthly CF'!AY$3)/12</f>
        <v>26396.768154182104</v>
      </c>
      <c r="AZ100" s="52">
        <f ca="1">OFFSET('Proforma L+H'!$E129,0,'L+H Monthly CF'!AZ$3)/12</f>
        <v>26396.768154182104</v>
      </c>
      <c r="BA100" s="52">
        <f t="shared" ca="1" si="37"/>
        <v>672239.93923690426</v>
      </c>
      <c r="BB100" s="758">
        <f ca="1">SUM('Proforma L+H'!E129:H129)-BA100</f>
        <v>0</v>
      </c>
    </row>
    <row r="101" spans="1:54" hidden="1" outlineLevel="1" x14ac:dyDescent="0.2">
      <c r="A101" s="2"/>
    </row>
    <row r="102" spans="1:54" hidden="1" outlineLevel="1" x14ac:dyDescent="0.2">
      <c r="A102" s="2"/>
      <c r="B102" s="81" t="str">
        <f>'Proforma L+H'!B131</f>
        <v>SOFT COSTS - MUNICIPALITY FEES</v>
      </c>
    </row>
    <row r="103" spans="1:54" hidden="1" outlineLevel="1" x14ac:dyDescent="0.2">
      <c r="A103" s="2"/>
      <c r="B103" s="163" t="str">
        <f>'Proforma L+H'!B132</f>
        <v>County Permit Fees - Site</v>
      </c>
      <c r="C103" s="68">
        <f>(((10*250)+(30*175))*1.4)+5000</f>
        <v>15850</v>
      </c>
      <c r="D103" s="68"/>
      <c r="E103" s="47">
        <f ca="1">OFFSET('Proforma L+H'!$E132,0,'L+H Monthly CF'!E$3)/12</f>
        <v>1320.8333333333333</v>
      </c>
      <c r="F103" s="47">
        <f ca="1">OFFSET('Proforma L+H'!$E132,0,'L+H Monthly CF'!F$3)/12</f>
        <v>1320.8333333333333</v>
      </c>
      <c r="G103" s="47">
        <f ca="1">OFFSET('Proforma L+H'!$E132,0,'L+H Monthly CF'!G$3)/12</f>
        <v>1320.8333333333333</v>
      </c>
      <c r="H103" s="47">
        <f ca="1">OFFSET('Proforma L+H'!$E132,0,'L+H Monthly CF'!H$3)/12</f>
        <v>1320.8333333333333</v>
      </c>
      <c r="I103" s="47">
        <f ca="1">OFFSET('Proforma L+H'!$E132,0,'L+H Monthly CF'!I$3)/12</f>
        <v>1320.8333333333333</v>
      </c>
      <c r="J103" s="47">
        <f ca="1">OFFSET('Proforma L+H'!$E132,0,'L+H Monthly CF'!J$3)/12</f>
        <v>1320.8333333333333</v>
      </c>
      <c r="K103" s="47">
        <f ca="1">OFFSET('Proforma L+H'!$E132,0,'L+H Monthly CF'!K$3)/12</f>
        <v>1320.8333333333333</v>
      </c>
      <c r="L103" s="47">
        <f ca="1">OFFSET('Proforma L+H'!$E132,0,'L+H Monthly CF'!L$3)/12</f>
        <v>1320.8333333333333</v>
      </c>
      <c r="M103" s="47">
        <f ca="1">OFFSET('Proforma L+H'!$E132,0,'L+H Monthly CF'!M$3)/12</f>
        <v>1320.8333333333333</v>
      </c>
      <c r="N103" s="47">
        <f ca="1">OFFSET('Proforma L+H'!$E132,0,'L+H Monthly CF'!N$3)/12</f>
        <v>1320.8333333333333</v>
      </c>
      <c r="O103" s="47">
        <f ca="1">OFFSET('Proforma L+H'!$E132,0,'L+H Monthly CF'!O$3)/12</f>
        <v>1320.8333333333333</v>
      </c>
      <c r="P103" s="47">
        <f ca="1">OFFSET('Proforma L+H'!$E132,0,'L+H Monthly CF'!P$3)/12</f>
        <v>1320.8333333333333</v>
      </c>
      <c r="Q103" s="47">
        <f ca="1">OFFSET('Proforma L+H'!$E132,0,'L+H Monthly CF'!Q$3)/12</f>
        <v>0</v>
      </c>
      <c r="R103" s="47">
        <f ca="1">OFFSET('Proforma L+H'!$E132,0,'L+H Monthly CF'!R$3)/12</f>
        <v>0</v>
      </c>
      <c r="S103" s="47">
        <f ca="1">OFFSET('Proforma L+H'!$E132,0,'L+H Monthly CF'!S$3)/12</f>
        <v>0</v>
      </c>
      <c r="T103" s="47">
        <f ca="1">OFFSET('Proforma L+H'!$E132,0,'L+H Monthly CF'!T$3)/12</f>
        <v>0</v>
      </c>
      <c r="U103" s="47">
        <f ca="1">OFFSET('Proforma L+H'!$E132,0,'L+H Monthly CF'!U$3)/12</f>
        <v>0</v>
      </c>
      <c r="V103" s="47">
        <f ca="1">OFFSET('Proforma L+H'!$E132,0,'L+H Monthly CF'!V$3)/12</f>
        <v>0</v>
      </c>
      <c r="W103" s="47">
        <f ca="1">OFFSET('Proforma L+H'!$E132,0,'L+H Monthly CF'!W$3)/12</f>
        <v>0</v>
      </c>
      <c r="X103" s="47">
        <f ca="1">OFFSET('Proforma L+H'!$E132,0,'L+H Monthly CF'!X$3)/12</f>
        <v>0</v>
      </c>
      <c r="Y103" s="47">
        <f ca="1">OFFSET('Proforma L+H'!$E132,0,'L+H Monthly CF'!Y$3)/12</f>
        <v>0</v>
      </c>
      <c r="Z103" s="47">
        <f ca="1">OFFSET('Proforma L+H'!$E132,0,'L+H Monthly CF'!Z$3)/12</f>
        <v>0</v>
      </c>
      <c r="AA103" s="47">
        <f ca="1">OFFSET('Proforma L+H'!$E132,0,'L+H Monthly CF'!AA$3)/12</f>
        <v>0</v>
      </c>
      <c r="AB103" s="47">
        <f ca="1">OFFSET('Proforma L+H'!$E132,0,'L+H Monthly CF'!AB$3)/12</f>
        <v>0</v>
      </c>
      <c r="AC103" s="47">
        <f ca="1">OFFSET('Proforma L+H'!$E132,0,'L+H Monthly CF'!AC$3)/12</f>
        <v>0</v>
      </c>
      <c r="AD103" s="47">
        <f ca="1">OFFSET('Proforma L+H'!$E132,0,'L+H Monthly CF'!AD$3)/12</f>
        <v>0</v>
      </c>
      <c r="AE103" s="47">
        <f ca="1">OFFSET('Proforma L+H'!$E132,0,'L+H Monthly CF'!AE$3)/12</f>
        <v>0</v>
      </c>
      <c r="AF103" s="47">
        <f ca="1">OFFSET('Proforma L+H'!$E132,0,'L+H Monthly CF'!AF$3)/12</f>
        <v>0</v>
      </c>
      <c r="AG103" s="47">
        <f ca="1">OFFSET('Proforma L+H'!$E132,0,'L+H Monthly CF'!AG$3)/12</f>
        <v>0</v>
      </c>
      <c r="AH103" s="47">
        <f ca="1">OFFSET('Proforma L+H'!$E132,0,'L+H Monthly CF'!AH$3)/12</f>
        <v>0</v>
      </c>
      <c r="AI103" s="47">
        <f ca="1">OFFSET('Proforma L+H'!$E132,0,'L+H Monthly CF'!AI$3)/12</f>
        <v>0</v>
      </c>
      <c r="AJ103" s="47">
        <f ca="1">OFFSET('Proforma L+H'!$E132,0,'L+H Monthly CF'!AJ$3)/12</f>
        <v>0</v>
      </c>
      <c r="AK103" s="47">
        <f ca="1">OFFSET('Proforma L+H'!$E132,0,'L+H Monthly CF'!AK$3)/12</f>
        <v>0</v>
      </c>
      <c r="AL103" s="47">
        <f ca="1">OFFSET('Proforma L+H'!$E132,0,'L+H Monthly CF'!AL$3)/12</f>
        <v>0</v>
      </c>
      <c r="AM103" s="47">
        <f ca="1">OFFSET('Proforma L+H'!$E132,0,'L+H Monthly CF'!AM$3)/12</f>
        <v>0</v>
      </c>
      <c r="AN103" s="47">
        <f ca="1">OFFSET('Proforma L+H'!$E132,0,'L+H Monthly CF'!AN$3)/12</f>
        <v>0</v>
      </c>
      <c r="AO103" s="47">
        <f ca="1">OFFSET('Proforma L+H'!$E132,0,'L+H Monthly CF'!AO$3)/12</f>
        <v>0</v>
      </c>
      <c r="AP103" s="47">
        <f ca="1">OFFSET('Proforma L+H'!$E132,0,'L+H Monthly CF'!AP$3)/12</f>
        <v>0</v>
      </c>
      <c r="AQ103" s="47">
        <f ca="1">OFFSET('Proforma L+H'!$E132,0,'L+H Monthly CF'!AQ$3)/12</f>
        <v>0</v>
      </c>
      <c r="AR103" s="47">
        <f ca="1">OFFSET('Proforma L+H'!$E132,0,'L+H Monthly CF'!AR$3)/12</f>
        <v>0</v>
      </c>
      <c r="AS103" s="47">
        <f ca="1">OFFSET('Proforma L+H'!$E132,0,'L+H Monthly CF'!AS$3)/12</f>
        <v>0</v>
      </c>
      <c r="AT103" s="47">
        <f ca="1">OFFSET('Proforma L+H'!$E132,0,'L+H Monthly CF'!AT$3)/12</f>
        <v>0</v>
      </c>
      <c r="AU103" s="47">
        <f ca="1">OFFSET('Proforma L+H'!$E132,0,'L+H Monthly CF'!AU$3)/12</f>
        <v>0</v>
      </c>
      <c r="AV103" s="47">
        <f ca="1">OFFSET('Proforma L+H'!$E132,0,'L+H Monthly CF'!AV$3)/12</f>
        <v>0</v>
      </c>
      <c r="AW103" s="47">
        <f ca="1">OFFSET('Proforma L+H'!$E132,0,'L+H Monthly CF'!AW$3)/12</f>
        <v>0</v>
      </c>
      <c r="AX103" s="47">
        <f ca="1">OFFSET('Proforma L+H'!$E132,0,'L+H Monthly CF'!AX$3)/12</f>
        <v>0</v>
      </c>
      <c r="AY103" s="47">
        <f ca="1">OFFSET('Proforma L+H'!$E132,0,'L+H Monthly CF'!AY$3)/12</f>
        <v>0</v>
      </c>
      <c r="AZ103" s="47">
        <f ca="1">OFFSET('Proforma L+H'!$E132,0,'L+H Monthly CF'!AZ$3)/12</f>
        <v>0</v>
      </c>
      <c r="BA103" s="47">
        <f t="shared" ref="BA103:BA106" ca="1" si="38">SUM(E103:AZ103)</f>
        <v>15850.000000000002</v>
      </c>
      <c r="BB103" s="758">
        <f ca="1">SUM('Proforma L+H'!E132:H132)-BA103</f>
        <v>0</v>
      </c>
    </row>
    <row r="104" spans="1:54" hidden="1" outlineLevel="1" x14ac:dyDescent="0.2">
      <c r="A104" s="2"/>
      <c r="B104" s="163" t="str">
        <f>'Proforma L+H'!B133</f>
        <v>County Permit Fees - Build</v>
      </c>
      <c r="C104" s="68">
        <f ca="1">0.015*T60</f>
        <v>18593.749999999996</v>
      </c>
      <c r="D104" s="68"/>
      <c r="E104" s="47">
        <f ca="1">OFFSET('Proforma L+H'!$E133,0,'L+H Monthly CF'!E$3)/12</f>
        <v>0</v>
      </c>
      <c r="F104" s="47">
        <f ca="1">OFFSET('Proforma L+H'!$E133,0,'L+H Monthly CF'!F$3)/12</f>
        <v>0</v>
      </c>
      <c r="G104" s="47">
        <f ca="1">OFFSET('Proforma L+H'!$E133,0,'L+H Monthly CF'!G$3)/12</f>
        <v>0</v>
      </c>
      <c r="H104" s="47">
        <f ca="1">OFFSET('Proforma L+H'!$E133,0,'L+H Monthly CF'!H$3)/12</f>
        <v>0</v>
      </c>
      <c r="I104" s="47">
        <f ca="1">OFFSET('Proforma L+H'!$E133,0,'L+H Monthly CF'!I$3)/12</f>
        <v>0</v>
      </c>
      <c r="J104" s="47">
        <f ca="1">OFFSET('Proforma L+H'!$E133,0,'L+H Monthly CF'!J$3)/12</f>
        <v>0</v>
      </c>
      <c r="K104" s="47">
        <f ca="1">OFFSET('Proforma L+H'!$E133,0,'L+H Monthly CF'!K$3)/12</f>
        <v>0</v>
      </c>
      <c r="L104" s="47">
        <f ca="1">OFFSET('Proforma L+H'!$E133,0,'L+H Monthly CF'!L$3)/12</f>
        <v>0</v>
      </c>
      <c r="M104" s="47">
        <f ca="1">OFFSET('Proforma L+H'!$E133,0,'L+H Monthly CF'!M$3)/12</f>
        <v>0</v>
      </c>
      <c r="N104" s="47">
        <f ca="1">OFFSET('Proforma L+H'!$E133,0,'L+H Monthly CF'!N$3)/12</f>
        <v>0</v>
      </c>
      <c r="O104" s="47">
        <f ca="1">OFFSET('Proforma L+H'!$E133,0,'L+H Monthly CF'!O$3)/12</f>
        <v>0</v>
      </c>
      <c r="P104" s="47">
        <f ca="1">OFFSET('Proforma L+H'!$E133,0,'L+H Monthly CF'!P$3)/12</f>
        <v>0</v>
      </c>
      <c r="Q104" s="47">
        <f ca="1">OFFSET('Proforma L+H'!$E133,0,'L+H Monthly CF'!Q$3)/12</f>
        <v>18741.319444444442</v>
      </c>
      <c r="R104" s="47">
        <f ca="1">OFFSET('Proforma L+H'!$E133,0,'L+H Monthly CF'!R$3)/12</f>
        <v>18741.319444444442</v>
      </c>
      <c r="S104" s="47">
        <f ca="1">OFFSET('Proforma L+H'!$E133,0,'L+H Monthly CF'!S$3)/12</f>
        <v>18741.319444444442</v>
      </c>
      <c r="T104" s="47">
        <f ca="1">OFFSET('Proforma L+H'!$E133,0,'L+H Monthly CF'!T$3)/12</f>
        <v>18741.319444444442</v>
      </c>
      <c r="U104" s="47">
        <f ca="1">OFFSET('Proforma L+H'!$E133,0,'L+H Monthly CF'!U$3)/12</f>
        <v>18741.319444444442</v>
      </c>
      <c r="V104" s="47">
        <f ca="1">OFFSET('Proforma L+H'!$E133,0,'L+H Monthly CF'!V$3)/12</f>
        <v>18741.319444444442</v>
      </c>
      <c r="W104" s="47">
        <f ca="1">OFFSET('Proforma L+H'!$E133,0,'L+H Monthly CF'!W$3)/12</f>
        <v>18741.319444444442</v>
      </c>
      <c r="X104" s="47">
        <f ca="1">OFFSET('Proforma L+H'!$E133,0,'L+H Monthly CF'!X$3)/12</f>
        <v>18741.319444444442</v>
      </c>
      <c r="Y104" s="47">
        <f ca="1">OFFSET('Proforma L+H'!$E133,0,'L+H Monthly CF'!Y$3)/12</f>
        <v>18741.319444444442</v>
      </c>
      <c r="Z104" s="47">
        <f ca="1">OFFSET('Proforma L+H'!$E133,0,'L+H Monthly CF'!Z$3)/12</f>
        <v>18741.319444444442</v>
      </c>
      <c r="AA104" s="47">
        <f ca="1">OFFSET('Proforma L+H'!$E133,0,'L+H Monthly CF'!AA$3)/12</f>
        <v>18741.319444444442</v>
      </c>
      <c r="AB104" s="47">
        <f ca="1">OFFSET('Proforma L+H'!$E133,0,'L+H Monthly CF'!AB$3)/12</f>
        <v>18741.319444444442</v>
      </c>
      <c r="AC104" s="47">
        <f ca="1">OFFSET('Proforma L+H'!$E133,0,'L+H Monthly CF'!AC$3)/12</f>
        <v>37482.638888888883</v>
      </c>
      <c r="AD104" s="47">
        <f ca="1">OFFSET('Proforma L+H'!$E133,0,'L+H Monthly CF'!AD$3)/12</f>
        <v>37482.638888888883</v>
      </c>
      <c r="AE104" s="47">
        <f ca="1">OFFSET('Proforma L+H'!$E133,0,'L+H Monthly CF'!AE$3)/12</f>
        <v>37482.638888888883</v>
      </c>
      <c r="AF104" s="47">
        <f ca="1">OFFSET('Proforma L+H'!$E133,0,'L+H Monthly CF'!AF$3)/12</f>
        <v>37482.638888888883</v>
      </c>
      <c r="AG104" s="47">
        <f ca="1">OFFSET('Proforma L+H'!$E133,0,'L+H Monthly CF'!AG$3)/12</f>
        <v>37482.638888888883</v>
      </c>
      <c r="AH104" s="47">
        <f ca="1">OFFSET('Proforma L+H'!$E133,0,'L+H Monthly CF'!AH$3)/12</f>
        <v>37482.638888888883</v>
      </c>
      <c r="AI104" s="47">
        <f ca="1">OFFSET('Proforma L+H'!$E133,0,'L+H Monthly CF'!AI$3)/12</f>
        <v>37482.638888888883</v>
      </c>
      <c r="AJ104" s="47">
        <f ca="1">OFFSET('Proforma L+H'!$E133,0,'L+H Monthly CF'!AJ$3)/12</f>
        <v>37482.638888888883</v>
      </c>
      <c r="AK104" s="47">
        <f ca="1">OFFSET('Proforma L+H'!$E133,0,'L+H Monthly CF'!AK$3)/12</f>
        <v>37482.638888888883</v>
      </c>
      <c r="AL104" s="47">
        <f ca="1">OFFSET('Proforma L+H'!$E133,0,'L+H Monthly CF'!AL$3)/12</f>
        <v>37482.638888888883</v>
      </c>
      <c r="AM104" s="47">
        <f ca="1">OFFSET('Proforma L+H'!$E133,0,'L+H Monthly CF'!AM$3)/12</f>
        <v>37482.638888888883</v>
      </c>
      <c r="AN104" s="47">
        <f ca="1">OFFSET('Proforma L+H'!$E133,0,'L+H Monthly CF'!AN$3)/12</f>
        <v>37482.638888888883</v>
      </c>
      <c r="AO104" s="47">
        <f ca="1">OFFSET('Proforma L+H'!$E133,0,'L+H Monthly CF'!AO$3)/12</f>
        <v>56223.958333333336</v>
      </c>
      <c r="AP104" s="47">
        <f ca="1">OFFSET('Proforma L+H'!$E133,0,'L+H Monthly CF'!AP$3)/12</f>
        <v>56223.958333333336</v>
      </c>
      <c r="AQ104" s="47">
        <f ca="1">OFFSET('Proforma L+H'!$E133,0,'L+H Monthly CF'!AQ$3)/12</f>
        <v>56223.958333333336</v>
      </c>
      <c r="AR104" s="47">
        <f ca="1">OFFSET('Proforma L+H'!$E133,0,'L+H Monthly CF'!AR$3)/12</f>
        <v>56223.958333333336</v>
      </c>
      <c r="AS104" s="47">
        <f ca="1">OFFSET('Proforma L+H'!$E133,0,'L+H Monthly CF'!AS$3)/12</f>
        <v>56223.958333333336</v>
      </c>
      <c r="AT104" s="47">
        <f ca="1">OFFSET('Proforma L+H'!$E133,0,'L+H Monthly CF'!AT$3)/12</f>
        <v>56223.958333333336</v>
      </c>
      <c r="AU104" s="47">
        <f ca="1">OFFSET('Proforma L+H'!$E133,0,'L+H Monthly CF'!AU$3)/12</f>
        <v>56223.958333333336</v>
      </c>
      <c r="AV104" s="47">
        <f ca="1">OFFSET('Proforma L+H'!$E133,0,'L+H Monthly CF'!AV$3)/12</f>
        <v>56223.958333333336</v>
      </c>
      <c r="AW104" s="47">
        <f ca="1">OFFSET('Proforma L+H'!$E133,0,'L+H Monthly CF'!AW$3)/12</f>
        <v>56223.958333333336</v>
      </c>
      <c r="AX104" s="47">
        <f ca="1">OFFSET('Proforma L+H'!$E133,0,'L+H Monthly CF'!AX$3)/12</f>
        <v>56223.958333333336</v>
      </c>
      <c r="AY104" s="47">
        <f ca="1">OFFSET('Proforma L+H'!$E133,0,'L+H Monthly CF'!AY$3)/12</f>
        <v>56223.958333333336</v>
      </c>
      <c r="AZ104" s="47">
        <f ca="1">OFFSET('Proforma L+H'!$E133,0,'L+H Monthly CF'!AZ$3)/12</f>
        <v>56223.958333333336</v>
      </c>
      <c r="BA104" s="47">
        <f t="shared" ca="1" si="38"/>
        <v>1349374.9999999998</v>
      </c>
      <c r="BB104" s="758">
        <f ca="1">SUM('Proforma L+H'!E133:H133)-BA104</f>
        <v>0</v>
      </c>
    </row>
    <row r="105" spans="1:54" hidden="1" outlineLevel="1" x14ac:dyDescent="0.2">
      <c r="A105" s="2"/>
      <c r="B105" s="168" t="str">
        <f>'Proforma L+H'!B134</f>
        <v>Replacement Bond Cost</v>
      </c>
      <c r="C105" s="27">
        <v>25000</v>
      </c>
      <c r="D105" s="27"/>
      <c r="E105" s="21">
        <f ca="1">OFFSET('Proforma L+H'!$E134,0,'L+H Monthly CF'!E$3)/12</f>
        <v>2083.3333333333335</v>
      </c>
      <c r="F105" s="21">
        <f ca="1">OFFSET('Proforma L+H'!$E134,0,'L+H Monthly CF'!F$3)/12</f>
        <v>2083.3333333333335</v>
      </c>
      <c r="G105" s="21">
        <f ca="1">OFFSET('Proforma L+H'!$E134,0,'L+H Monthly CF'!G$3)/12</f>
        <v>2083.3333333333335</v>
      </c>
      <c r="H105" s="21">
        <f ca="1">OFFSET('Proforma L+H'!$E134,0,'L+H Monthly CF'!H$3)/12</f>
        <v>2083.3333333333335</v>
      </c>
      <c r="I105" s="21">
        <f ca="1">OFFSET('Proforma L+H'!$E134,0,'L+H Monthly CF'!I$3)/12</f>
        <v>2083.3333333333335</v>
      </c>
      <c r="J105" s="21">
        <f ca="1">OFFSET('Proforma L+H'!$E134,0,'L+H Monthly CF'!J$3)/12</f>
        <v>2083.3333333333335</v>
      </c>
      <c r="K105" s="21">
        <f ca="1">OFFSET('Proforma L+H'!$E134,0,'L+H Monthly CF'!K$3)/12</f>
        <v>2083.3333333333335</v>
      </c>
      <c r="L105" s="21">
        <f ca="1">OFFSET('Proforma L+H'!$E134,0,'L+H Monthly CF'!L$3)/12</f>
        <v>2083.3333333333335</v>
      </c>
      <c r="M105" s="21">
        <f ca="1">OFFSET('Proforma L+H'!$E134,0,'L+H Monthly CF'!M$3)/12</f>
        <v>2083.3333333333335</v>
      </c>
      <c r="N105" s="21">
        <f ca="1">OFFSET('Proforma L+H'!$E134,0,'L+H Monthly CF'!N$3)/12</f>
        <v>2083.3333333333335</v>
      </c>
      <c r="O105" s="21">
        <f ca="1">OFFSET('Proforma L+H'!$E134,0,'L+H Monthly CF'!O$3)/12</f>
        <v>2083.3333333333335</v>
      </c>
      <c r="P105" s="21">
        <f ca="1">OFFSET('Proforma L+H'!$E134,0,'L+H Monthly CF'!P$3)/12</f>
        <v>2083.3333333333335</v>
      </c>
      <c r="Q105" s="21">
        <f ca="1">OFFSET('Proforma L+H'!$E134,0,'L+H Monthly CF'!Q$3)/12</f>
        <v>0</v>
      </c>
      <c r="R105" s="21">
        <f ca="1">OFFSET('Proforma L+H'!$E134,0,'L+H Monthly CF'!R$3)/12</f>
        <v>0</v>
      </c>
      <c r="S105" s="21">
        <f ca="1">OFFSET('Proforma L+H'!$E134,0,'L+H Monthly CF'!S$3)/12</f>
        <v>0</v>
      </c>
      <c r="T105" s="21">
        <f ca="1">OFFSET('Proforma L+H'!$E134,0,'L+H Monthly CF'!T$3)/12</f>
        <v>0</v>
      </c>
      <c r="U105" s="21">
        <f ca="1">OFFSET('Proforma L+H'!$E134,0,'L+H Monthly CF'!U$3)/12</f>
        <v>0</v>
      </c>
      <c r="V105" s="21">
        <f ca="1">OFFSET('Proforma L+H'!$E134,0,'L+H Monthly CF'!V$3)/12</f>
        <v>0</v>
      </c>
      <c r="W105" s="21">
        <f ca="1">OFFSET('Proforma L+H'!$E134,0,'L+H Monthly CF'!W$3)/12</f>
        <v>0</v>
      </c>
      <c r="X105" s="21">
        <f ca="1">OFFSET('Proforma L+H'!$E134,0,'L+H Monthly CF'!X$3)/12</f>
        <v>0</v>
      </c>
      <c r="Y105" s="21">
        <f ca="1">OFFSET('Proforma L+H'!$E134,0,'L+H Monthly CF'!Y$3)/12</f>
        <v>0</v>
      </c>
      <c r="Z105" s="21">
        <f ca="1">OFFSET('Proforma L+H'!$E134,0,'L+H Monthly CF'!Z$3)/12</f>
        <v>0</v>
      </c>
      <c r="AA105" s="21">
        <f ca="1">OFFSET('Proforma L+H'!$E134,0,'L+H Monthly CF'!AA$3)/12</f>
        <v>0</v>
      </c>
      <c r="AB105" s="21">
        <f ca="1">OFFSET('Proforma L+H'!$E134,0,'L+H Monthly CF'!AB$3)/12</f>
        <v>0</v>
      </c>
      <c r="AC105" s="21">
        <f ca="1">OFFSET('Proforma L+H'!$E134,0,'L+H Monthly CF'!AC$3)/12</f>
        <v>0</v>
      </c>
      <c r="AD105" s="21">
        <f ca="1">OFFSET('Proforma L+H'!$E134,0,'L+H Monthly CF'!AD$3)/12</f>
        <v>0</v>
      </c>
      <c r="AE105" s="21">
        <f ca="1">OFFSET('Proforma L+H'!$E134,0,'L+H Monthly CF'!AE$3)/12</f>
        <v>0</v>
      </c>
      <c r="AF105" s="21">
        <f ca="1">OFFSET('Proforma L+H'!$E134,0,'L+H Monthly CF'!AF$3)/12</f>
        <v>0</v>
      </c>
      <c r="AG105" s="21">
        <f ca="1">OFFSET('Proforma L+H'!$E134,0,'L+H Monthly CF'!AG$3)/12</f>
        <v>0</v>
      </c>
      <c r="AH105" s="21">
        <f ca="1">OFFSET('Proforma L+H'!$E134,0,'L+H Monthly CF'!AH$3)/12</f>
        <v>0</v>
      </c>
      <c r="AI105" s="21">
        <f ca="1">OFFSET('Proforma L+H'!$E134,0,'L+H Monthly CF'!AI$3)/12</f>
        <v>0</v>
      </c>
      <c r="AJ105" s="21">
        <f ca="1">OFFSET('Proforma L+H'!$E134,0,'L+H Monthly CF'!AJ$3)/12</f>
        <v>0</v>
      </c>
      <c r="AK105" s="21">
        <f ca="1">OFFSET('Proforma L+H'!$E134,0,'L+H Monthly CF'!AK$3)/12</f>
        <v>0</v>
      </c>
      <c r="AL105" s="21">
        <f ca="1">OFFSET('Proforma L+H'!$E134,0,'L+H Monthly CF'!AL$3)/12</f>
        <v>0</v>
      </c>
      <c r="AM105" s="21">
        <f ca="1">OFFSET('Proforma L+H'!$E134,0,'L+H Monthly CF'!AM$3)/12</f>
        <v>0</v>
      </c>
      <c r="AN105" s="21">
        <f ca="1">OFFSET('Proforma L+H'!$E134,0,'L+H Monthly CF'!AN$3)/12</f>
        <v>0</v>
      </c>
      <c r="AO105" s="21">
        <f ca="1">OFFSET('Proforma L+H'!$E134,0,'L+H Monthly CF'!AO$3)/12</f>
        <v>0</v>
      </c>
      <c r="AP105" s="21">
        <f ca="1">OFFSET('Proforma L+H'!$E134,0,'L+H Monthly CF'!AP$3)/12</f>
        <v>0</v>
      </c>
      <c r="AQ105" s="21">
        <f ca="1">OFFSET('Proforma L+H'!$E134,0,'L+H Monthly CF'!AQ$3)/12</f>
        <v>0</v>
      </c>
      <c r="AR105" s="21">
        <f ca="1">OFFSET('Proforma L+H'!$E134,0,'L+H Monthly CF'!AR$3)/12</f>
        <v>0</v>
      </c>
      <c r="AS105" s="21">
        <f ca="1">OFFSET('Proforma L+H'!$E134,0,'L+H Monthly CF'!AS$3)/12</f>
        <v>0</v>
      </c>
      <c r="AT105" s="21">
        <f ca="1">OFFSET('Proforma L+H'!$E134,0,'L+H Monthly CF'!AT$3)/12</f>
        <v>0</v>
      </c>
      <c r="AU105" s="21">
        <f ca="1">OFFSET('Proforma L+H'!$E134,0,'L+H Monthly CF'!AU$3)/12</f>
        <v>0</v>
      </c>
      <c r="AV105" s="21">
        <f ca="1">OFFSET('Proforma L+H'!$E134,0,'L+H Monthly CF'!AV$3)/12</f>
        <v>0</v>
      </c>
      <c r="AW105" s="21">
        <f ca="1">OFFSET('Proforma L+H'!$E134,0,'L+H Monthly CF'!AW$3)/12</f>
        <v>0</v>
      </c>
      <c r="AX105" s="21">
        <f ca="1">OFFSET('Proforma L+H'!$E134,0,'L+H Monthly CF'!AX$3)/12</f>
        <v>0</v>
      </c>
      <c r="AY105" s="21">
        <f ca="1">OFFSET('Proforma L+H'!$E134,0,'L+H Monthly CF'!AY$3)/12</f>
        <v>0</v>
      </c>
      <c r="AZ105" s="21">
        <f ca="1">OFFSET('Proforma L+H'!$E134,0,'L+H Monthly CF'!AZ$3)/12</f>
        <v>0</v>
      </c>
      <c r="BA105" s="21">
        <f t="shared" ca="1" si="38"/>
        <v>24999.999999999996</v>
      </c>
      <c r="BB105" s="758">
        <f ca="1">SUM('Proforma L+H'!E134:H134)-BA105</f>
        <v>0</v>
      </c>
    </row>
    <row r="106" spans="1:54" collapsed="1" x14ac:dyDescent="0.2">
      <c r="A106" s="2"/>
      <c r="B106" s="49" t="str">
        <f>'Proforma L+H'!B135</f>
        <v>SOFT COSTS - MUNICIPALITY FEES</v>
      </c>
      <c r="C106" s="57"/>
      <c r="D106" s="57"/>
      <c r="E106" s="52">
        <f ca="1">OFFSET('Proforma L+H'!$E135,0,'L+H Monthly CF'!E$3)/12</f>
        <v>3404.1666666666665</v>
      </c>
      <c r="F106" s="52">
        <f ca="1">OFFSET('Proforma L+H'!$E135,0,'L+H Monthly CF'!F$3)/12</f>
        <v>3404.1666666666665</v>
      </c>
      <c r="G106" s="52">
        <f ca="1">OFFSET('Proforma L+H'!$E135,0,'L+H Monthly CF'!G$3)/12</f>
        <v>3404.1666666666665</v>
      </c>
      <c r="H106" s="52">
        <f ca="1">OFFSET('Proforma L+H'!$E135,0,'L+H Monthly CF'!H$3)/12</f>
        <v>3404.1666666666665</v>
      </c>
      <c r="I106" s="52">
        <f ca="1">OFFSET('Proforma L+H'!$E135,0,'L+H Monthly CF'!I$3)/12</f>
        <v>3404.1666666666665</v>
      </c>
      <c r="J106" s="52">
        <f ca="1">OFFSET('Proforma L+H'!$E135,0,'L+H Monthly CF'!J$3)/12</f>
        <v>3404.1666666666665</v>
      </c>
      <c r="K106" s="52">
        <f ca="1">OFFSET('Proforma L+H'!$E135,0,'L+H Monthly CF'!K$3)/12</f>
        <v>3404.1666666666665</v>
      </c>
      <c r="L106" s="52">
        <f ca="1">OFFSET('Proforma L+H'!$E135,0,'L+H Monthly CF'!L$3)/12</f>
        <v>3404.1666666666665</v>
      </c>
      <c r="M106" s="52">
        <f ca="1">OFFSET('Proforma L+H'!$E135,0,'L+H Monthly CF'!M$3)/12</f>
        <v>3404.1666666666665</v>
      </c>
      <c r="N106" s="52">
        <f ca="1">OFFSET('Proforma L+H'!$E135,0,'L+H Monthly CF'!N$3)/12</f>
        <v>3404.1666666666665</v>
      </c>
      <c r="O106" s="52">
        <f ca="1">OFFSET('Proforma L+H'!$E135,0,'L+H Monthly CF'!O$3)/12</f>
        <v>3404.1666666666665</v>
      </c>
      <c r="P106" s="52">
        <f ca="1">OFFSET('Proforma L+H'!$E135,0,'L+H Monthly CF'!P$3)/12</f>
        <v>3404.1666666666665</v>
      </c>
      <c r="Q106" s="52">
        <f ca="1">OFFSET('Proforma L+H'!$E135,0,'L+H Monthly CF'!Q$3)/12</f>
        <v>18741.319444444442</v>
      </c>
      <c r="R106" s="52">
        <f ca="1">OFFSET('Proforma L+H'!$E135,0,'L+H Monthly CF'!R$3)/12</f>
        <v>18741.319444444442</v>
      </c>
      <c r="S106" s="52">
        <f ca="1">OFFSET('Proforma L+H'!$E135,0,'L+H Monthly CF'!S$3)/12</f>
        <v>18741.319444444442</v>
      </c>
      <c r="T106" s="52">
        <f ca="1">OFFSET('Proforma L+H'!$E135,0,'L+H Monthly CF'!T$3)/12</f>
        <v>18741.319444444442</v>
      </c>
      <c r="U106" s="52">
        <f ca="1">OFFSET('Proforma L+H'!$E135,0,'L+H Monthly CF'!U$3)/12</f>
        <v>18741.319444444442</v>
      </c>
      <c r="V106" s="52">
        <f ca="1">OFFSET('Proforma L+H'!$E135,0,'L+H Monthly CF'!V$3)/12</f>
        <v>18741.319444444442</v>
      </c>
      <c r="W106" s="52">
        <f ca="1">OFFSET('Proforma L+H'!$E135,0,'L+H Monthly CF'!W$3)/12</f>
        <v>18741.319444444442</v>
      </c>
      <c r="X106" s="52">
        <f ca="1">OFFSET('Proforma L+H'!$E135,0,'L+H Monthly CF'!X$3)/12</f>
        <v>18741.319444444442</v>
      </c>
      <c r="Y106" s="52">
        <f ca="1">OFFSET('Proforma L+H'!$E135,0,'L+H Monthly CF'!Y$3)/12</f>
        <v>18741.319444444442</v>
      </c>
      <c r="Z106" s="52">
        <f ca="1">OFFSET('Proforma L+H'!$E135,0,'L+H Monthly CF'!Z$3)/12</f>
        <v>18741.319444444442</v>
      </c>
      <c r="AA106" s="52">
        <f ca="1">OFFSET('Proforma L+H'!$E135,0,'L+H Monthly CF'!AA$3)/12</f>
        <v>18741.319444444442</v>
      </c>
      <c r="AB106" s="52">
        <f ca="1">OFFSET('Proforma L+H'!$E135,0,'L+H Monthly CF'!AB$3)/12</f>
        <v>18741.319444444442</v>
      </c>
      <c r="AC106" s="52">
        <f ca="1">OFFSET('Proforma L+H'!$E135,0,'L+H Monthly CF'!AC$3)/12</f>
        <v>37482.638888888883</v>
      </c>
      <c r="AD106" s="52">
        <f ca="1">OFFSET('Proforma L+H'!$E135,0,'L+H Monthly CF'!AD$3)/12</f>
        <v>37482.638888888883</v>
      </c>
      <c r="AE106" s="52">
        <f ca="1">OFFSET('Proforma L+H'!$E135,0,'L+H Monthly CF'!AE$3)/12</f>
        <v>37482.638888888883</v>
      </c>
      <c r="AF106" s="52">
        <f ca="1">OFFSET('Proforma L+H'!$E135,0,'L+H Monthly CF'!AF$3)/12</f>
        <v>37482.638888888883</v>
      </c>
      <c r="AG106" s="52">
        <f ca="1">OFFSET('Proforma L+H'!$E135,0,'L+H Monthly CF'!AG$3)/12</f>
        <v>37482.638888888883</v>
      </c>
      <c r="AH106" s="52">
        <f ca="1">OFFSET('Proforma L+H'!$E135,0,'L+H Monthly CF'!AH$3)/12</f>
        <v>37482.638888888883</v>
      </c>
      <c r="AI106" s="52">
        <f ca="1">OFFSET('Proforma L+H'!$E135,0,'L+H Monthly CF'!AI$3)/12</f>
        <v>37482.638888888883</v>
      </c>
      <c r="AJ106" s="52">
        <f ca="1">OFFSET('Proforma L+H'!$E135,0,'L+H Monthly CF'!AJ$3)/12</f>
        <v>37482.638888888883</v>
      </c>
      <c r="AK106" s="52">
        <f ca="1">OFFSET('Proforma L+H'!$E135,0,'L+H Monthly CF'!AK$3)/12</f>
        <v>37482.638888888883</v>
      </c>
      <c r="AL106" s="52">
        <f ca="1">OFFSET('Proforma L+H'!$E135,0,'L+H Monthly CF'!AL$3)/12</f>
        <v>37482.638888888883</v>
      </c>
      <c r="AM106" s="52">
        <f ca="1">OFFSET('Proforma L+H'!$E135,0,'L+H Monthly CF'!AM$3)/12</f>
        <v>37482.638888888883</v>
      </c>
      <c r="AN106" s="52">
        <f ca="1">OFFSET('Proforma L+H'!$E135,0,'L+H Monthly CF'!AN$3)/12</f>
        <v>37482.638888888883</v>
      </c>
      <c r="AO106" s="52">
        <f ca="1">OFFSET('Proforma L+H'!$E135,0,'L+H Monthly CF'!AO$3)/12</f>
        <v>56223.958333333336</v>
      </c>
      <c r="AP106" s="52">
        <f ca="1">OFFSET('Proforma L+H'!$E135,0,'L+H Monthly CF'!AP$3)/12</f>
        <v>56223.958333333336</v>
      </c>
      <c r="AQ106" s="52">
        <f ca="1">OFFSET('Proforma L+H'!$E135,0,'L+H Monthly CF'!AQ$3)/12</f>
        <v>56223.958333333336</v>
      </c>
      <c r="AR106" s="52">
        <f ca="1">OFFSET('Proforma L+H'!$E135,0,'L+H Monthly CF'!AR$3)/12</f>
        <v>56223.958333333336</v>
      </c>
      <c r="AS106" s="52">
        <f ca="1">OFFSET('Proforma L+H'!$E135,0,'L+H Monthly CF'!AS$3)/12</f>
        <v>56223.958333333336</v>
      </c>
      <c r="AT106" s="52">
        <f ca="1">OFFSET('Proforma L+H'!$E135,0,'L+H Monthly CF'!AT$3)/12</f>
        <v>56223.958333333336</v>
      </c>
      <c r="AU106" s="52">
        <f ca="1">OFFSET('Proforma L+H'!$E135,0,'L+H Monthly CF'!AU$3)/12</f>
        <v>56223.958333333336</v>
      </c>
      <c r="AV106" s="52">
        <f ca="1">OFFSET('Proforma L+H'!$E135,0,'L+H Monthly CF'!AV$3)/12</f>
        <v>56223.958333333336</v>
      </c>
      <c r="AW106" s="52">
        <f ca="1">OFFSET('Proforma L+H'!$E135,0,'L+H Monthly CF'!AW$3)/12</f>
        <v>56223.958333333336</v>
      </c>
      <c r="AX106" s="52">
        <f ca="1">OFFSET('Proforma L+H'!$E135,0,'L+H Monthly CF'!AX$3)/12</f>
        <v>56223.958333333336</v>
      </c>
      <c r="AY106" s="52">
        <f ca="1">OFFSET('Proforma L+H'!$E135,0,'L+H Monthly CF'!AY$3)/12</f>
        <v>56223.958333333336</v>
      </c>
      <c r="AZ106" s="52">
        <f ca="1">OFFSET('Proforma L+H'!$E135,0,'L+H Monthly CF'!AZ$3)/12</f>
        <v>56223.958333333336</v>
      </c>
      <c r="BA106" s="52">
        <f t="shared" ca="1" si="38"/>
        <v>1390224.9999999995</v>
      </c>
      <c r="BB106" s="758">
        <f ca="1">SUM('Proforma L+H'!E135:H135)-BA106</f>
        <v>0</v>
      </c>
    </row>
    <row r="107" spans="1:54" hidden="1" outlineLevel="1" x14ac:dyDescent="0.2">
      <c r="A107" s="2"/>
    </row>
    <row r="108" spans="1:54" hidden="1" outlineLevel="1" x14ac:dyDescent="0.2">
      <c r="A108" s="2"/>
      <c r="B108" s="81" t="str">
        <f>'Proforma L+H'!B137</f>
        <v>DEVELOPMENT FEES</v>
      </c>
      <c r="E108" s="11"/>
      <c r="F108" s="11"/>
      <c r="G108" s="11"/>
      <c r="H108" s="11"/>
      <c r="I108" s="11"/>
      <c r="J108" s="11"/>
      <c r="K108" s="11"/>
      <c r="L108" s="11"/>
    </row>
    <row r="109" spans="1:54" hidden="1" outlineLevel="1" x14ac:dyDescent="0.2">
      <c r="A109" s="2"/>
      <c r="B109" s="163" t="str">
        <f>'Proforma L+H'!B138</f>
        <v xml:space="preserve">Developer Overhead </v>
      </c>
      <c r="C109" s="79">
        <f ca="1">V109</f>
        <v>125000</v>
      </c>
      <c r="D109" s="79"/>
      <c r="E109" s="11">
        <f ca="1">OFFSET('Proforma L+H'!$E138,0,'L+H Monthly CF'!E$3)/12</f>
        <v>125000</v>
      </c>
      <c r="F109" s="11">
        <f ca="1">OFFSET('Proforma L+H'!$E138,0,'L+H Monthly CF'!F$3)/12</f>
        <v>125000</v>
      </c>
      <c r="G109" s="11">
        <f ca="1">OFFSET('Proforma L+H'!$E138,0,'L+H Monthly CF'!G$3)/12</f>
        <v>125000</v>
      </c>
      <c r="H109" s="11">
        <f ca="1">OFFSET('Proforma L+H'!$E138,0,'L+H Monthly CF'!H$3)/12</f>
        <v>125000</v>
      </c>
      <c r="I109" s="11">
        <f ca="1">OFFSET('Proforma L+H'!$E138,0,'L+H Monthly CF'!I$3)/12</f>
        <v>125000</v>
      </c>
      <c r="J109" s="11">
        <f ca="1">OFFSET('Proforma L+H'!$E138,0,'L+H Monthly CF'!J$3)/12</f>
        <v>125000</v>
      </c>
      <c r="K109" s="11">
        <f ca="1">OFFSET('Proforma L+H'!$E138,0,'L+H Monthly CF'!K$3)/12</f>
        <v>125000</v>
      </c>
      <c r="L109" s="11">
        <f ca="1">OFFSET('Proforma L+H'!$E138,0,'L+H Monthly CF'!L$3)/12</f>
        <v>125000</v>
      </c>
      <c r="M109" s="11">
        <f ca="1">OFFSET('Proforma L+H'!$E138,0,'L+H Monthly CF'!M$3)/12</f>
        <v>125000</v>
      </c>
      <c r="N109" s="11">
        <f ca="1">OFFSET('Proforma L+H'!$E138,0,'L+H Monthly CF'!N$3)/12</f>
        <v>125000</v>
      </c>
      <c r="O109" s="11">
        <f ca="1">OFFSET('Proforma L+H'!$E138,0,'L+H Monthly CF'!O$3)/12</f>
        <v>125000</v>
      </c>
      <c r="P109" s="11">
        <f ca="1">OFFSET('Proforma L+H'!$E138,0,'L+H Monthly CF'!P$3)/12</f>
        <v>125000</v>
      </c>
      <c r="Q109" s="11">
        <f ca="1">OFFSET('Proforma L+H'!$E138,0,'L+H Monthly CF'!Q$3)/12</f>
        <v>125000</v>
      </c>
      <c r="R109" s="12">
        <f ca="1">OFFSET('Proforma L+H'!$E138,0,'L+H Monthly CF'!R$3)/12</f>
        <v>125000</v>
      </c>
      <c r="S109" s="12">
        <f ca="1">OFFSET('Proforma L+H'!$E138,0,'L+H Monthly CF'!S$3)/12</f>
        <v>125000</v>
      </c>
      <c r="T109" s="12">
        <f ca="1">OFFSET('Proforma L+H'!$E138,0,'L+H Monthly CF'!T$3)/12</f>
        <v>125000</v>
      </c>
      <c r="U109" s="12">
        <f ca="1">OFFSET('Proforma L+H'!$E138,0,'L+H Monthly CF'!U$3)/12</f>
        <v>125000</v>
      </c>
      <c r="V109" s="12">
        <f ca="1">OFFSET('Proforma L+H'!$E138,0,'L+H Monthly CF'!V$3)/12</f>
        <v>125000</v>
      </c>
      <c r="W109" s="12">
        <f ca="1">OFFSET('Proforma L+H'!$E138,0,'L+H Monthly CF'!W$3)/12</f>
        <v>125000</v>
      </c>
      <c r="X109" s="12">
        <f ca="1">OFFSET('Proforma L+H'!$E138,0,'L+H Monthly CF'!X$3)/12</f>
        <v>125000</v>
      </c>
      <c r="Y109" s="12">
        <f ca="1">OFFSET('Proforma L+H'!$E138,0,'L+H Monthly CF'!Y$3)/12</f>
        <v>125000</v>
      </c>
      <c r="Z109" s="12">
        <f ca="1">OFFSET('Proforma L+H'!$E138,0,'L+H Monthly CF'!Z$3)/12</f>
        <v>125000</v>
      </c>
      <c r="AA109" s="12">
        <f ca="1">OFFSET('Proforma L+H'!$E138,0,'L+H Monthly CF'!AA$3)/12</f>
        <v>125000</v>
      </c>
      <c r="AB109" s="12">
        <f ca="1">OFFSET('Proforma L+H'!$E138,0,'L+H Monthly CF'!AB$3)/12</f>
        <v>125000</v>
      </c>
      <c r="AC109" s="12">
        <f ca="1">OFFSET('Proforma L+H'!$E138,0,'L+H Monthly CF'!AC$3)/12</f>
        <v>125000</v>
      </c>
      <c r="AD109" s="12">
        <f ca="1">OFFSET('Proforma L+H'!$E138,0,'L+H Monthly CF'!AD$3)/12</f>
        <v>125000</v>
      </c>
      <c r="AE109" s="12">
        <f ca="1">OFFSET('Proforma L+H'!$E138,0,'L+H Monthly CF'!AE$3)/12</f>
        <v>125000</v>
      </c>
      <c r="AF109" s="12">
        <f ca="1">OFFSET('Proforma L+H'!$E138,0,'L+H Monthly CF'!AF$3)/12</f>
        <v>125000</v>
      </c>
      <c r="AG109" s="12">
        <f ca="1">OFFSET('Proforma L+H'!$E138,0,'L+H Monthly CF'!AG$3)/12</f>
        <v>125000</v>
      </c>
      <c r="AH109" s="12">
        <f ca="1">OFFSET('Proforma L+H'!$E138,0,'L+H Monthly CF'!AH$3)/12</f>
        <v>125000</v>
      </c>
      <c r="AI109" s="12">
        <f ca="1">OFFSET('Proforma L+H'!$E138,0,'L+H Monthly CF'!AI$3)/12</f>
        <v>125000</v>
      </c>
      <c r="AJ109" s="12">
        <f ca="1">OFFSET('Proforma L+H'!$E138,0,'L+H Monthly CF'!AJ$3)/12</f>
        <v>125000</v>
      </c>
      <c r="AK109" s="12">
        <f ca="1">OFFSET('Proforma L+H'!$E138,0,'L+H Monthly CF'!AK$3)/12</f>
        <v>125000</v>
      </c>
      <c r="AL109" s="12">
        <f ca="1">OFFSET('Proforma L+H'!$E138,0,'L+H Monthly CF'!AL$3)/12</f>
        <v>125000</v>
      </c>
      <c r="AM109" s="12">
        <f ca="1">OFFSET('Proforma L+H'!$E138,0,'L+H Monthly CF'!AM$3)/12</f>
        <v>125000</v>
      </c>
      <c r="AN109" s="12">
        <f ca="1">OFFSET('Proforma L+H'!$E138,0,'L+H Monthly CF'!AN$3)/12</f>
        <v>125000</v>
      </c>
      <c r="AO109" s="12">
        <f ca="1">OFFSET('Proforma L+H'!$E138,0,'L+H Monthly CF'!AO$3)/12</f>
        <v>125000</v>
      </c>
      <c r="AP109" s="12">
        <f ca="1">OFFSET('Proforma L+H'!$E138,0,'L+H Monthly CF'!AP$3)/12</f>
        <v>125000</v>
      </c>
      <c r="AQ109" s="12">
        <f ca="1">OFFSET('Proforma L+H'!$E138,0,'L+H Monthly CF'!AQ$3)/12</f>
        <v>125000</v>
      </c>
      <c r="AR109" s="12">
        <f ca="1">OFFSET('Proforma L+H'!$E138,0,'L+H Monthly CF'!AR$3)/12</f>
        <v>125000</v>
      </c>
      <c r="AS109" s="12">
        <f ca="1">OFFSET('Proforma L+H'!$E138,0,'L+H Monthly CF'!AS$3)/12</f>
        <v>125000</v>
      </c>
      <c r="AT109" s="12">
        <f ca="1">OFFSET('Proforma L+H'!$E138,0,'L+H Monthly CF'!AT$3)/12</f>
        <v>125000</v>
      </c>
      <c r="AU109" s="12">
        <f ca="1">OFFSET('Proforma L+H'!$E138,0,'L+H Monthly CF'!AU$3)/12</f>
        <v>125000</v>
      </c>
      <c r="AV109" s="12">
        <f ca="1">OFFSET('Proforma L+H'!$E138,0,'L+H Monthly CF'!AV$3)/12</f>
        <v>125000</v>
      </c>
      <c r="AW109" s="12">
        <f ca="1">OFFSET('Proforma L+H'!$E138,0,'L+H Monthly CF'!AW$3)/12</f>
        <v>125000</v>
      </c>
      <c r="AX109" s="12">
        <f ca="1">OFFSET('Proforma L+H'!$E138,0,'L+H Monthly CF'!AX$3)/12</f>
        <v>125000</v>
      </c>
      <c r="AY109" s="12">
        <f ca="1">OFFSET('Proforma L+H'!$E138,0,'L+H Monthly CF'!AY$3)/12</f>
        <v>125000</v>
      </c>
      <c r="AZ109" s="12">
        <f ca="1">OFFSET('Proforma L+H'!$E138,0,'L+H Monthly CF'!AZ$3)/12</f>
        <v>125000</v>
      </c>
      <c r="BA109" s="12">
        <f ca="1">SUM(E109:AZ109)</f>
        <v>6000000</v>
      </c>
      <c r="BB109" s="758">
        <f ca="1">SUM('Proforma L+H'!E138:H138)-BA109</f>
        <v>0</v>
      </c>
    </row>
    <row r="110" spans="1:54" hidden="1" outlineLevel="1" x14ac:dyDescent="0.2">
      <c r="A110" s="2"/>
      <c r="B110" s="163"/>
      <c r="C110" s="62"/>
      <c r="D110" s="53"/>
      <c r="E110" s="11"/>
      <c r="F110" s="11"/>
      <c r="G110" s="11"/>
      <c r="H110" s="11"/>
      <c r="I110" s="11"/>
      <c r="J110" s="11"/>
      <c r="K110" s="11"/>
      <c r="L110" s="11"/>
      <c r="M110" s="12"/>
      <c r="N110" s="12"/>
      <c r="O110" s="61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758">
        <f>SUM('Proforma L+H'!E139:H139)-BA110</f>
        <v>0</v>
      </c>
    </row>
    <row r="111" spans="1:54" ht="15.5" hidden="1" customHeight="1" outlineLevel="1" x14ac:dyDescent="0.2">
      <c r="A111" s="2"/>
      <c r="B111" s="163" t="str">
        <f>'Proforma L+H'!B140</f>
        <v>Asset Management Fees</v>
      </c>
      <c r="C111" s="544">
        <v>0</v>
      </c>
      <c r="D111" s="98"/>
      <c r="E111" s="16"/>
      <c r="F111" s="16"/>
      <c r="G111" s="16"/>
      <c r="H111" s="16"/>
      <c r="I111" s="16"/>
      <c r="J111" s="16"/>
      <c r="K111" s="16"/>
      <c r="L111" s="16"/>
      <c r="M111" s="12"/>
      <c r="N111" s="12"/>
      <c r="O111" s="61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758">
        <f>SUM('Proforma L+H'!E140:H140)-BA111</f>
        <v>0</v>
      </c>
    </row>
    <row r="112" spans="1:54" collapsed="1" x14ac:dyDescent="0.2">
      <c r="A112" s="2"/>
      <c r="B112" s="49" t="str">
        <f>'Proforma L+H'!B141</f>
        <v xml:space="preserve">DEVELOPMENT FEES </v>
      </c>
      <c r="C112" s="50"/>
      <c r="D112" s="50"/>
      <c r="E112" s="51">
        <f ca="1">OFFSET('Proforma L+H'!$E141,0,'L+H Monthly CF'!E$3)/12</f>
        <v>125000</v>
      </c>
      <c r="F112" s="51">
        <f ca="1">OFFSET('Proforma L+H'!$E141,0,'L+H Monthly CF'!F$3)/12</f>
        <v>125000</v>
      </c>
      <c r="G112" s="51">
        <f ca="1">OFFSET('Proforma L+H'!$E141,0,'L+H Monthly CF'!G$3)/12</f>
        <v>125000</v>
      </c>
      <c r="H112" s="51">
        <f ca="1">OFFSET('Proforma L+H'!$E141,0,'L+H Monthly CF'!H$3)/12</f>
        <v>125000</v>
      </c>
      <c r="I112" s="51">
        <f ca="1">OFFSET('Proforma L+H'!$E141,0,'L+H Monthly CF'!I$3)/12</f>
        <v>125000</v>
      </c>
      <c r="J112" s="51">
        <f ca="1">OFFSET('Proforma L+H'!$E141,0,'L+H Monthly CF'!J$3)/12</f>
        <v>125000</v>
      </c>
      <c r="K112" s="51">
        <f ca="1">OFFSET('Proforma L+H'!$E141,0,'L+H Monthly CF'!K$3)/12</f>
        <v>125000</v>
      </c>
      <c r="L112" s="51">
        <f ca="1">OFFSET('Proforma L+H'!$E141,0,'L+H Monthly CF'!L$3)/12</f>
        <v>125000</v>
      </c>
      <c r="M112" s="51">
        <f ca="1">OFFSET('Proforma L+H'!$E141,0,'L+H Monthly CF'!M$3)/12</f>
        <v>125000</v>
      </c>
      <c r="N112" s="51">
        <f ca="1">OFFSET('Proforma L+H'!$E141,0,'L+H Monthly CF'!N$3)/12</f>
        <v>125000</v>
      </c>
      <c r="O112" s="51">
        <f ca="1">OFFSET('Proforma L+H'!$E141,0,'L+H Monthly CF'!O$3)/12</f>
        <v>125000</v>
      </c>
      <c r="P112" s="51">
        <f ca="1">OFFSET('Proforma L+H'!$E141,0,'L+H Monthly CF'!P$3)/12</f>
        <v>125000</v>
      </c>
      <c r="Q112" s="51">
        <f ca="1">OFFSET('Proforma L+H'!$E141,0,'L+H Monthly CF'!Q$3)/12</f>
        <v>125000</v>
      </c>
      <c r="R112" s="52">
        <f ca="1">OFFSET('Proforma L+H'!$E141,0,'L+H Monthly CF'!R$3)/12</f>
        <v>125000</v>
      </c>
      <c r="S112" s="52">
        <f ca="1">OFFSET('Proforma L+H'!$E141,0,'L+H Monthly CF'!S$3)/12</f>
        <v>125000</v>
      </c>
      <c r="T112" s="52">
        <f ca="1">OFFSET('Proforma L+H'!$E141,0,'L+H Monthly CF'!T$3)/12</f>
        <v>125000</v>
      </c>
      <c r="U112" s="52">
        <f ca="1">OFFSET('Proforma L+H'!$E141,0,'L+H Monthly CF'!U$3)/12</f>
        <v>125000</v>
      </c>
      <c r="V112" s="52">
        <f ca="1">OFFSET('Proforma L+H'!$E141,0,'L+H Monthly CF'!V$3)/12</f>
        <v>125000</v>
      </c>
      <c r="W112" s="52">
        <f ca="1">OFFSET('Proforma L+H'!$E141,0,'L+H Monthly CF'!W$3)/12</f>
        <v>125000</v>
      </c>
      <c r="X112" s="52">
        <f ca="1">OFFSET('Proforma L+H'!$E141,0,'L+H Monthly CF'!X$3)/12</f>
        <v>125000</v>
      </c>
      <c r="Y112" s="52">
        <f ca="1">OFFSET('Proforma L+H'!$E141,0,'L+H Monthly CF'!Y$3)/12</f>
        <v>125000</v>
      </c>
      <c r="Z112" s="52">
        <f ca="1">OFFSET('Proforma L+H'!$E141,0,'L+H Monthly CF'!Z$3)/12</f>
        <v>125000</v>
      </c>
      <c r="AA112" s="52">
        <f ca="1">OFFSET('Proforma L+H'!$E141,0,'L+H Monthly CF'!AA$3)/12</f>
        <v>125000</v>
      </c>
      <c r="AB112" s="52">
        <f ca="1">OFFSET('Proforma L+H'!$E141,0,'L+H Monthly CF'!AB$3)/12</f>
        <v>125000</v>
      </c>
      <c r="AC112" s="52">
        <f ca="1">OFFSET('Proforma L+H'!$E141,0,'L+H Monthly CF'!AC$3)/12</f>
        <v>125000</v>
      </c>
      <c r="AD112" s="52">
        <f ca="1">OFFSET('Proforma L+H'!$E141,0,'L+H Monthly CF'!AD$3)/12</f>
        <v>125000</v>
      </c>
      <c r="AE112" s="52">
        <f ca="1">OFFSET('Proforma L+H'!$E141,0,'L+H Monthly CF'!AE$3)/12</f>
        <v>125000</v>
      </c>
      <c r="AF112" s="52">
        <f ca="1">OFFSET('Proforma L+H'!$E141,0,'L+H Monthly CF'!AF$3)/12</f>
        <v>125000</v>
      </c>
      <c r="AG112" s="52">
        <f ca="1">OFFSET('Proforma L+H'!$E141,0,'L+H Monthly CF'!AG$3)/12</f>
        <v>125000</v>
      </c>
      <c r="AH112" s="52">
        <f ca="1">OFFSET('Proforma L+H'!$E141,0,'L+H Monthly CF'!AH$3)/12</f>
        <v>125000</v>
      </c>
      <c r="AI112" s="52">
        <f ca="1">OFFSET('Proforma L+H'!$E141,0,'L+H Monthly CF'!AI$3)/12</f>
        <v>125000</v>
      </c>
      <c r="AJ112" s="52">
        <f ca="1">OFFSET('Proforma L+H'!$E141,0,'L+H Monthly CF'!AJ$3)/12</f>
        <v>125000</v>
      </c>
      <c r="AK112" s="52">
        <f ca="1">OFFSET('Proforma L+H'!$E141,0,'L+H Monthly CF'!AK$3)/12</f>
        <v>125000</v>
      </c>
      <c r="AL112" s="52">
        <f ca="1">OFFSET('Proforma L+H'!$E141,0,'L+H Monthly CF'!AL$3)/12</f>
        <v>125000</v>
      </c>
      <c r="AM112" s="52">
        <f ca="1">OFFSET('Proforma L+H'!$E141,0,'L+H Monthly CF'!AM$3)/12</f>
        <v>125000</v>
      </c>
      <c r="AN112" s="52">
        <f ca="1">OFFSET('Proforma L+H'!$E141,0,'L+H Monthly CF'!AN$3)/12</f>
        <v>125000</v>
      </c>
      <c r="AO112" s="52">
        <f ca="1">OFFSET('Proforma L+H'!$E141,0,'L+H Monthly CF'!AO$3)/12</f>
        <v>125000</v>
      </c>
      <c r="AP112" s="52">
        <f ca="1">OFFSET('Proforma L+H'!$E141,0,'L+H Monthly CF'!AP$3)/12</f>
        <v>125000</v>
      </c>
      <c r="AQ112" s="52">
        <f ca="1">OFFSET('Proforma L+H'!$E141,0,'L+H Monthly CF'!AQ$3)/12</f>
        <v>125000</v>
      </c>
      <c r="AR112" s="52">
        <f ca="1">OFFSET('Proforma L+H'!$E141,0,'L+H Monthly CF'!AR$3)/12</f>
        <v>125000</v>
      </c>
      <c r="AS112" s="52">
        <f ca="1">OFFSET('Proforma L+H'!$E141,0,'L+H Monthly CF'!AS$3)/12</f>
        <v>125000</v>
      </c>
      <c r="AT112" s="52">
        <f ca="1">OFFSET('Proforma L+H'!$E141,0,'L+H Monthly CF'!AT$3)/12</f>
        <v>125000</v>
      </c>
      <c r="AU112" s="52">
        <f ca="1">OFFSET('Proforma L+H'!$E141,0,'L+H Monthly CF'!AU$3)/12</f>
        <v>125000</v>
      </c>
      <c r="AV112" s="52">
        <f ca="1">OFFSET('Proforma L+H'!$E141,0,'L+H Monthly CF'!AV$3)/12</f>
        <v>125000</v>
      </c>
      <c r="AW112" s="52">
        <f ca="1">OFFSET('Proforma L+H'!$E141,0,'L+H Monthly CF'!AW$3)/12</f>
        <v>125000</v>
      </c>
      <c r="AX112" s="52">
        <f ca="1">OFFSET('Proforma L+H'!$E141,0,'L+H Monthly CF'!AX$3)/12</f>
        <v>125000</v>
      </c>
      <c r="AY112" s="52">
        <f ca="1">OFFSET('Proforma L+H'!$E141,0,'L+H Monthly CF'!AY$3)/12</f>
        <v>125000</v>
      </c>
      <c r="AZ112" s="52">
        <f ca="1">OFFSET('Proforma L+H'!$E141,0,'L+H Monthly CF'!AZ$3)/12</f>
        <v>125000</v>
      </c>
      <c r="BA112" s="52">
        <f ca="1">SUM(E112:AZ112)</f>
        <v>6000000</v>
      </c>
      <c r="BB112" s="758">
        <f ca="1">SUM('Proforma L+H'!E141:H141)-BA112</f>
        <v>0</v>
      </c>
    </row>
    <row r="113" spans="1:54" x14ac:dyDescent="0.2">
      <c r="A113" s="2"/>
      <c r="B113" s="546"/>
      <c r="C113" s="638"/>
      <c r="D113" s="638"/>
      <c r="E113" s="546"/>
      <c r="F113" s="546"/>
      <c r="G113" s="546"/>
      <c r="H113" s="546"/>
      <c r="I113" s="546"/>
      <c r="J113" s="546"/>
      <c r="K113" s="546"/>
      <c r="L113" s="546"/>
      <c r="M113" s="546"/>
      <c r="N113" s="546"/>
      <c r="O113" s="546"/>
      <c r="P113" s="546"/>
      <c r="Q113" s="546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758">
        <f>SUM('Proforma L+H'!E142:H142)-BA113</f>
        <v>0</v>
      </c>
    </row>
    <row r="114" spans="1:54" x14ac:dyDescent="0.2">
      <c r="A114" s="2"/>
      <c r="B114" s="49" t="str">
        <f>'Proforma L+H'!B143</f>
        <v>TOTAL DEVELOPMENT COSTS</v>
      </c>
      <c r="C114" s="50"/>
      <c r="D114" s="50"/>
      <c r="E114" s="51">
        <f ca="1">E36+E56+E65+E75+E89+E95+E100+E106+E112</f>
        <v>19551164.561465014</v>
      </c>
      <c r="F114" s="51">
        <f t="shared" ref="F114:P114" ca="1" si="39">F36+F56+F65+F75+F89+F95+F100+F106+F112</f>
        <v>573414.56146501075</v>
      </c>
      <c r="G114" s="51">
        <f t="shared" ca="1" si="39"/>
        <v>573414.56146501075</v>
      </c>
      <c r="H114" s="51">
        <f t="shared" ca="1" si="39"/>
        <v>573414.56146501075</v>
      </c>
      <c r="I114" s="51">
        <f t="shared" ca="1" si="39"/>
        <v>573414.56146501075</v>
      </c>
      <c r="J114" s="51">
        <f t="shared" ca="1" si="39"/>
        <v>573414.56146501075</v>
      </c>
      <c r="K114" s="51">
        <f t="shared" ca="1" si="39"/>
        <v>573414.56146501075</v>
      </c>
      <c r="L114" s="51">
        <f t="shared" ca="1" si="39"/>
        <v>573414.56146501075</v>
      </c>
      <c r="M114" s="51">
        <f t="shared" ca="1" si="39"/>
        <v>573414.56146501075</v>
      </c>
      <c r="N114" s="51">
        <f t="shared" ca="1" si="39"/>
        <v>573414.56146501075</v>
      </c>
      <c r="O114" s="51">
        <f t="shared" ca="1" si="39"/>
        <v>573414.56146501075</v>
      </c>
      <c r="P114" s="51">
        <f t="shared" ca="1" si="39"/>
        <v>573414.56146501075</v>
      </c>
      <c r="Q114" s="51">
        <f ca="1">OFFSET('Proforma L+H'!$E143,0,'L+H Monthly CF'!Q$3)/12</f>
        <v>2005375.272673778</v>
      </c>
      <c r="R114" s="51">
        <f ca="1">OFFSET('Proforma L+H'!$E143,0,'L+H Monthly CF'!R$3)/12</f>
        <v>2005375.272673778</v>
      </c>
      <c r="S114" s="51">
        <f ca="1">OFFSET('Proforma L+H'!$E143,0,'L+H Monthly CF'!S$3)/12</f>
        <v>2005375.272673778</v>
      </c>
      <c r="T114" s="51">
        <f ca="1">OFFSET('Proforma L+H'!$E143,0,'L+H Monthly CF'!T$3)/12</f>
        <v>2005375.272673778</v>
      </c>
      <c r="U114" s="51">
        <f ca="1">OFFSET('Proforma L+H'!$E143,0,'L+H Monthly CF'!U$3)/12</f>
        <v>2005375.272673778</v>
      </c>
      <c r="V114" s="51">
        <f ca="1">OFFSET('Proforma L+H'!$E143,0,'L+H Monthly CF'!V$3)/12</f>
        <v>2005375.272673778</v>
      </c>
      <c r="W114" s="51">
        <f ca="1">OFFSET('Proforma L+H'!$E143,0,'L+H Monthly CF'!W$3)/12</f>
        <v>2005375.272673778</v>
      </c>
      <c r="X114" s="51">
        <f ca="1">OFFSET('Proforma L+H'!$E143,0,'L+H Monthly CF'!X$3)/12</f>
        <v>2005375.272673778</v>
      </c>
      <c r="Y114" s="51">
        <f ca="1">OFFSET('Proforma L+H'!$E143,0,'L+H Monthly CF'!Y$3)/12</f>
        <v>2005375.272673778</v>
      </c>
      <c r="Z114" s="51">
        <f ca="1">OFFSET('Proforma L+H'!$E143,0,'L+H Monthly CF'!Z$3)/12</f>
        <v>2005375.272673778</v>
      </c>
      <c r="AA114" s="51">
        <f ca="1">OFFSET('Proforma L+H'!$E143,0,'L+H Monthly CF'!AA$3)/12</f>
        <v>2005375.272673778</v>
      </c>
      <c r="AB114" s="51">
        <f ca="1">OFFSET('Proforma L+H'!$E143,0,'L+H Monthly CF'!AB$3)/12</f>
        <v>2005375.272673778</v>
      </c>
      <c r="AC114" s="51">
        <f ca="1">OFFSET('Proforma L+H'!$E143,0,'L+H Monthly CF'!AC$3)/12</f>
        <v>3436248.8733292017</v>
      </c>
      <c r="AD114" s="51">
        <f ca="1">OFFSET('Proforma L+H'!$E143,0,'L+H Monthly CF'!AD$3)/12</f>
        <v>3436248.8733292017</v>
      </c>
      <c r="AE114" s="51">
        <f ca="1">OFFSET('Proforma L+H'!$E143,0,'L+H Monthly CF'!AE$3)/12</f>
        <v>3436248.8733292017</v>
      </c>
      <c r="AF114" s="51">
        <f ca="1">OFFSET('Proforma L+H'!$E143,0,'L+H Monthly CF'!AF$3)/12</f>
        <v>3436248.8733292017</v>
      </c>
      <c r="AG114" s="51">
        <f ca="1">OFFSET('Proforma L+H'!$E143,0,'L+H Monthly CF'!AG$3)/12</f>
        <v>3436248.8733292017</v>
      </c>
      <c r="AH114" s="51">
        <f ca="1">OFFSET('Proforma L+H'!$E143,0,'L+H Monthly CF'!AH$3)/12</f>
        <v>3436248.8733292017</v>
      </c>
      <c r="AI114" s="51">
        <f ca="1">OFFSET('Proforma L+H'!$E143,0,'L+H Monthly CF'!AI$3)/12</f>
        <v>3436248.8733292017</v>
      </c>
      <c r="AJ114" s="51">
        <f ca="1">OFFSET('Proforma L+H'!$E143,0,'L+H Monthly CF'!AJ$3)/12</f>
        <v>3436248.8733292017</v>
      </c>
      <c r="AK114" s="51">
        <f ca="1">OFFSET('Proforma L+H'!$E143,0,'L+H Monthly CF'!AK$3)/12</f>
        <v>3436248.8733292017</v>
      </c>
      <c r="AL114" s="51">
        <f ca="1">OFFSET('Proforma L+H'!$E143,0,'L+H Monthly CF'!AL$3)/12</f>
        <v>3436248.8733292017</v>
      </c>
      <c r="AM114" s="51">
        <f ca="1">OFFSET('Proforma L+H'!$E143,0,'L+H Monthly CF'!AM$3)/12</f>
        <v>3436248.8733292017</v>
      </c>
      <c r="AN114" s="51">
        <f ca="1">OFFSET('Proforma L+H'!$E143,0,'L+H Monthly CF'!AN$3)/12</f>
        <v>3436248.8733292017</v>
      </c>
      <c r="AO114" s="51">
        <f ca="1">OFFSET('Proforma L+H'!$E143,0,'L+H Monthly CF'!AO$3)/12</f>
        <v>5385122.9625443732</v>
      </c>
      <c r="AP114" s="51">
        <f ca="1">OFFSET('Proforma L+H'!$E143,0,'L+H Monthly CF'!AP$3)/12</f>
        <v>5385122.9625443732</v>
      </c>
      <c r="AQ114" s="51">
        <f ca="1">OFFSET('Proforma L+H'!$E143,0,'L+H Monthly CF'!AQ$3)/12</f>
        <v>5385122.9625443732</v>
      </c>
      <c r="AR114" s="51">
        <f ca="1">OFFSET('Proforma L+H'!$E143,0,'L+H Monthly CF'!AR$3)/12</f>
        <v>5385122.9625443732</v>
      </c>
      <c r="AS114" s="51">
        <f ca="1">OFFSET('Proforma L+H'!$E143,0,'L+H Monthly CF'!AS$3)/12</f>
        <v>5385122.9625443732</v>
      </c>
      <c r="AT114" s="51">
        <f ca="1">OFFSET('Proforma L+H'!$E143,0,'L+H Monthly CF'!AT$3)/12</f>
        <v>5385122.9625443732</v>
      </c>
      <c r="AU114" s="51">
        <f ca="1">OFFSET('Proforma L+H'!$E143,0,'L+H Monthly CF'!AU$3)/12</f>
        <v>5385122.9625443732</v>
      </c>
      <c r="AV114" s="51">
        <f ca="1">OFFSET('Proforma L+H'!$E143,0,'L+H Monthly CF'!AV$3)/12</f>
        <v>5385122.9625443732</v>
      </c>
      <c r="AW114" s="51">
        <f ca="1">OFFSET('Proforma L+H'!$E143,0,'L+H Monthly CF'!AW$3)/12</f>
        <v>5385122.9625443732</v>
      </c>
      <c r="AX114" s="51">
        <f ca="1">OFFSET('Proforma L+H'!$E143,0,'L+H Monthly CF'!AX$3)/12</f>
        <v>5385122.9625443732</v>
      </c>
      <c r="AY114" s="51">
        <f ca="1">OFFSET('Proforma L+H'!$E143,0,'L+H Monthly CF'!AY$3)/12</f>
        <v>5385122.9625443732</v>
      </c>
      <c r="AZ114" s="51">
        <f ca="1">OFFSET('Proforma L+H'!$E143,0,'L+H Monthly CF'!AZ$3)/12</f>
        <v>5385122.9625443732</v>
      </c>
      <c r="BA114" s="51">
        <f ca="1">SUM(E114:AZ114)</f>
        <v>155779690.04014838</v>
      </c>
      <c r="BB114" s="758">
        <f ca="1">SUM('Proforma L+H'!E143:H143)-BA114</f>
        <v>0</v>
      </c>
    </row>
    <row r="115" spans="1:54" hidden="1" outlineLevel="1" x14ac:dyDescent="0.2">
      <c r="A115" s="2"/>
      <c r="B115" s="3"/>
      <c r="C115" s="31"/>
      <c r="D115" s="31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</row>
    <row r="116" spans="1:54" hidden="1" outlineLevel="1" x14ac:dyDescent="0.2">
      <c r="A116" s="2"/>
      <c r="B116" s="81" t="str">
        <f>'Proforma L+H'!B145</f>
        <v>FINANCING COSTS</v>
      </c>
      <c r="C116" s="31"/>
      <c r="D116" s="31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</row>
    <row r="117" spans="1:54" hidden="1" outlineLevel="1" x14ac:dyDescent="0.2">
      <c r="A117" s="2"/>
      <c r="B117" s="170" t="str">
        <f>'Proforma L+H'!B146</f>
        <v xml:space="preserve">Seller Finance Loan - Beginning Balance </v>
      </c>
      <c r="C117" s="31"/>
      <c r="D117" s="31"/>
      <c r="E117" s="11">
        <f>'Proforma L+H'!E146</f>
        <v>0</v>
      </c>
      <c r="F117" s="11">
        <f ca="1">E117+E118-E120</f>
        <v>0</v>
      </c>
      <c r="G117" s="11">
        <f t="shared" ref="G117:Q117" ca="1" si="40">F117+F118-F120</f>
        <v>0</v>
      </c>
      <c r="H117" s="11">
        <f t="shared" ca="1" si="40"/>
        <v>0</v>
      </c>
      <c r="I117" s="11">
        <f t="shared" ca="1" si="40"/>
        <v>0</v>
      </c>
      <c r="J117" s="11">
        <f t="shared" ca="1" si="40"/>
        <v>0</v>
      </c>
      <c r="K117" s="11">
        <f t="shared" ca="1" si="40"/>
        <v>0</v>
      </c>
      <c r="L117" s="11">
        <f t="shared" ca="1" si="40"/>
        <v>0</v>
      </c>
      <c r="M117" s="11">
        <f t="shared" ca="1" si="40"/>
        <v>0</v>
      </c>
      <c r="N117" s="11">
        <f t="shared" ca="1" si="40"/>
        <v>0</v>
      </c>
      <c r="O117" s="11">
        <f t="shared" ca="1" si="40"/>
        <v>0</v>
      </c>
      <c r="P117" s="11">
        <f t="shared" ca="1" si="40"/>
        <v>0</v>
      </c>
      <c r="Q117" s="11">
        <f t="shared" ca="1" si="40"/>
        <v>0</v>
      </c>
      <c r="R117" s="11"/>
      <c r="S117" s="11"/>
      <c r="T117" s="11"/>
      <c r="U117" s="61"/>
      <c r="V117" s="61"/>
      <c r="W117" s="61"/>
      <c r="X117" s="61"/>
      <c r="Y117" s="61"/>
      <c r="Z117" s="61"/>
      <c r="AA117" s="61"/>
      <c r="AB117" s="61"/>
      <c r="AC117" s="61">
        <f>'Proforma L+H'!G146</f>
        <v>0</v>
      </c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1"/>
      <c r="AO117" s="61">
        <f>'Proforma L+H'!H146</f>
        <v>0</v>
      </c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</row>
    <row r="118" spans="1:54" hidden="1" outlineLevel="1" x14ac:dyDescent="0.2">
      <c r="A118" s="2"/>
      <c r="B118" s="163" t="str">
        <f>'Proforma L+H'!B147</f>
        <v>Seller Finance Loan - Interest</v>
      </c>
      <c r="C118" s="14">
        <v>7.4999999999999997E-2</v>
      </c>
      <c r="D118" s="14"/>
      <c r="E118" s="11">
        <f ca="1">OFFSET('Proforma L+H'!$F147,0,'L+H Monthly CF'!E$3)/12</f>
        <v>0</v>
      </c>
      <c r="F118" s="11">
        <f ca="1">OFFSET('Proforma L+H'!$F147,0,'L+H Monthly CF'!F$3)/12</f>
        <v>0</v>
      </c>
      <c r="G118" s="11">
        <f ca="1">OFFSET('Proforma L+H'!$F147,0,'L+H Monthly CF'!G$3)/12</f>
        <v>0</v>
      </c>
      <c r="H118" s="11">
        <f ca="1">OFFSET('Proforma L+H'!$F147,0,'L+H Monthly CF'!H$3)/12</f>
        <v>0</v>
      </c>
      <c r="I118" s="11">
        <f ca="1">OFFSET('Proforma L+H'!$F147,0,'L+H Monthly CF'!I$3)/12</f>
        <v>0</v>
      </c>
      <c r="J118" s="11">
        <f ca="1">OFFSET('Proforma L+H'!$F147,0,'L+H Monthly CF'!J$3)/12</f>
        <v>0</v>
      </c>
      <c r="K118" s="11">
        <f ca="1">OFFSET('Proforma L+H'!$F147,0,'L+H Monthly CF'!K$3)/12</f>
        <v>0</v>
      </c>
      <c r="L118" s="11">
        <f ca="1">OFFSET('Proforma L+H'!$F147,0,'L+H Monthly CF'!L$3)/12</f>
        <v>0</v>
      </c>
      <c r="M118" s="11">
        <f ca="1">OFFSET('Proforma L+H'!$F147,0,'L+H Monthly CF'!M$3)/12</f>
        <v>0</v>
      </c>
      <c r="N118" s="11">
        <f ca="1">OFFSET('Proforma L+H'!$F147,0,'L+H Monthly CF'!N$3)/12</f>
        <v>0</v>
      </c>
      <c r="O118" s="11">
        <f ca="1">OFFSET('Proforma L+H'!$F147,0,'L+H Monthly CF'!O$3)/12</f>
        <v>0</v>
      </c>
      <c r="P118" s="11">
        <f ca="1">OFFSET('Proforma L+H'!$F147,0,'L+H Monthly CF'!P$3)/12</f>
        <v>0</v>
      </c>
      <c r="Q118" s="11"/>
      <c r="R118" s="426"/>
      <c r="S118" s="426"/>
      <c r="T118" s="426"/>
      <c r="U118" s="426"/>
      <c r="V118" s="426"/>
      <c r="W118" s="426"/>
      <c r="X118" s="426"/>
      <c r="Y118" s="426"/>
      <c r="Z118" s="426"/>
      <c r="AA118" s="426"/>
      <c r="AB118" s="426"/>
      <c r="AC118" s="426"/>
      <c r="AD118" s="426"/>
      <c r="AE118" s="426"/>
      <c r="AF118" s="426"/>
      <c r="AG118" s="426"/>
      <c r="AH118" s="426"/>
      <c r="AI118" s="426"/>
      <c r="AJ118" s="426"/>
      <c r="AK118" s="426"/>
      <c r="AL118" s="426"/>
      <c r="AM118" s="426"/>
      <c r="AN118" s="426"/>
      <c r="AO118" s="426"/>
      <c r="AP118" s="426"/>
      <c r="AQ118" s="426"/>
      <c r="AR118" s="426"/>
      <c r="AS118" s="426"/>
      <c r="AT118" s="426"/>
      <c r="AU118" s="426"/>
      <c r="AV118" s="426"/>
      <c r="AW118" s="426"/>
      <c r="AX118" s="426"/>
      <c r="AY118" s="426"/>
      <c r="AZ118" s="426"/>
      <c r="BA118" s="426">
        <f t="shared" ref="BA118:BA120" ca="1" si="41">SUM(E118:AZ118)</f>
        <v>0</v>
      </c>
      <c r="BB118" s="758">
        <f ca="1">SUM('Proforma L+H'!E147:H147)-BA118</f>
        <v>0</v>
      </c>
    </row>
    <row r="119" spans="1:54" hidden="1" outlineLevel="1" x14ac:dyDescent="0.2">
      <c r="A119" s="2"/>
      <c r="B119" s="163" t="str">
        <f>'Proforma L+H'!B148</f>
        <v>Seller Finance Loan - Cost of Loan</v>
      </c>
      <c r="C119" s="14">
        <v>0</v>
      </c>
      <c r="D119" s="14"/>
      <c r="E119" s="11">
        <f>'Proforma L+H'!E148</f>
        <v>0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426"/>
      <c r="S119" s="426"/>
      <c r="T119" s="426"/>
      <c r="U119" s="426"/>
      <c r="V119" s="426"/>
      <c r="W119" s="426"/>
      <c r="X119" s="426"/>
      <c r="Y119" s="426"/>
      <c r="Z119" s="426"/>
      <c r="AA119" s="426"/>
      <c r="AB119" s="426"/>
      <c r="AC119" s="426">
        <f>'Proforma L+H'!G148</f>
        <v>0</v>
      </c>
      <c r="AD119" s="426"/>
      <c r="AE119" s="426"/>
      <c r="AF119" s="426"/>
      <c r="AG119" s="426"/>
      <c r="AH119" s="426"/>
      <c r="AI119" s="426"/>
      <c r="AJ119" s="426"/>
      <c r="AK119" s="426"/>
      <c r="AL119" s="426"/>
      <c r="AM119" s="426"/>
      <c r="AN119" s="426"/>
      <c r="AO119" s="426">
        <f>'Proforma L+H'!H148</f>
        <v>0</v>
      </c>
      <c r="AP119" s="426"/>
      <c r="AQ119" s="426"/>
      <c r="AR119" s="426"/>
      <c r="AS119" s="426"/>
      <c r="AT119" s="426"/>
      <c r="AU119" s="426"/>
      <c r="AV119" s="426"/>
      <c r="AW119" s="426"/>
      <c r="AX119" s="426"/>
      <c r="AY119" s="426"/>
      <c r="AZ119" s="426"/>
      <c r="BA119" s="426">
        <f>SUM(E119:AZ119)</f>
        <v>0</v>
      </c>
      <c r="BB119" s="758">
        <f>SUM('Proforma L+H'!E148:H148)-BA119</f>
        <v>0</v>
      </c>
    </row>
    <row r="120" spans="1:54" hidden="1" outlineLevel="1" x14ac:dyDescent="0.2">
      <c r="A120" s="2"/>
      <c r="B120" s="163" t="str">
        <f>'Proforma L+H'!B149</f>
        <v>Seller Finance Loan - Balance Repayment</v>
      </c>
      <c r="C120" s="14"/>
      <c r="D120" s="14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>
        <f>'Proforma L+H'!F149</f>
        <v>0</v>
      </c>
      <c r="R120" s="426"/>
      <c r="S120" s="426"/>
      <c r="T120" s="426"/>
      <c r="U120" s="426"/>
      <c r="V120" s="426"/>
      <c r="W120" s="426"/>
      <c r="X120" s="426"/>
      <c r="Y120" s="426"/>
      <c r="Z120" s="426"/>
      <c r="AA120" s="426"/>
      <c r="AB120" s="426"/>
      <c r="AC120" s="426"/>
      <c r="AD120" s="426"/>
      <c r="AE120" s="426"/>
      <c r="AF120" s="426"/>
      <c r="AG120" s="426"/>
      <c r="AH120" s="426"/>
      <c r="AI120" s="426"/>
      <c r="AJ120" s="426"/>
      <c r="AK120" s="426"/>
      <c r="AL120" s="426"/>
      <c r="AM120" s="426"/>
      <c r="AN120" s="426"/>
      <c r="AO120" s="426"/>
      <c r="AP120" s="426"/>
      <c r="AQ120" s="426"/>
      <c r="AR120" s="426"/>
      <c r="AS120" s="426"/>
      <c r="AT120" s="426"/>
      <c r="AU120" s="426"/>
      <c r="AV120" s="426"/>
      <c r="AW120" s="426"/>
      <c r="AX120" s="426"/>
      <c r="AY120" s="426"/>
      <c r="AZ120" s="426"/>
      <c r="BA120" s="426">
        <f t="shared" si="41"/>
        <v>0</v>
      </c>
      <c r="BB120" s="758">
        <f>SUM('Proforma L+H'!E149:H149)-BA120</f>
        <v>0</v>
      </c>
    </row>
    <row r="121" spans="1:54" hidden="1" outlineLevel="1" x14ac:dyDescent="0.2">
      <c r="A121" s="2"/>
      <c r="B121" s="81"/>
      <c r="C121" s="31"/>
      <c r="D121" s="31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</row>
    <row r="122" spans="1:54" hidden="1" outlineLevel="1" x14ac:dyDescent="0.2">
      <c r="A122" s="2"/>
      <c r="B122" s="170" t="str">
        <f>'Proforma L+H'!B151</f>
        <v>Development Loan - Beginning Balance</v>
      </c>
      <c r="C122" s="236">
        <f>U129</f>
        <v>0</v>
      </c>
      <c r="D122" s="31"/>
      <c r="E122" s="11">
        <f>'Proforma L+H'!E151</f>
        <v>0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>
        <f>'Proforma L+H'!F151</f>
        <v>19800183.354081526</v>
      </c>
      <c r="R122" s="12">
        <f ca="1">Q126</f>
        <v>21714435.719896749</v>
      </c>
      <c r="S122" s="12">
        <f t="shared" ref="S122:AZ122" ca="1" si="42">R126</f>
        <v>21912437.553437565</v>
      </c>
      <c r="T122" s="12">
        <f t="shared" ca="1" si="42"/>
        <v>22110439.38697838</v>
      </c>
      <c r="U122" s="12">
        <f t="shared" ca="1" si="42"/>
        <v>22308441.220519196</v>
      </c>
      <c r="V122" s="12">
        <f t="shared" ca="1" si="42"/>
        <v>22506443.054060012</v>
      </c>
      <c r="W122" s="12">
        <f t="shared" ca="1" si="42"/>
        <v>22704444.887600828</v>
      </c>
      <c r="X122" s="12">
        <f t="shared" ca="1" si="42"/>
        <v>22902446.721141644</v>
      </c>
      <c r="Y122" s="12">
        <f t="shared" ca="1" si="42"/>
        <v>23100448.55468246</v>
      </c>
      <c r="Z122" s="12">
        <f t="shared" ca="1" si="42"/>
        <v>23298450.388223276</v>
      </c>
      <c r="AA122" s="12">
        <f t="shared" ca="1" si="42"/>
        <v>23496452.221764091</v>
      </c>
      <c r="AB122" s="12">
        <f t="shared" ca="1" si="42"/>
        <v>23694454.055304907</v>
      </c>
      <c r="AC122" s="12">
        <f t="shared" ca="1" si="42"/>
        <v>23892455.888845723</v>
      </c>
      <c r="AD122" s="12">
        <f t="shared" ca="1" si="42"/>
        <v>24131380.447734181</v>
      </c>
      <c r="AE122" s="12">
        <f t="shared" ca="1" si="42"/>
        <v>24370305.006622639</v>
      </c>
      <c r="AF122" s="12">
        <f t="shared" ca="1" si="42"/>
        <v>24609229.565511096</v>
      </c>
      <c r="AG122" s="12">
        <f t="shared" ca="1" si="42"/>
        <v>24848154.124399554</v>
      </c>
      <c r="AH122" s="12">
        <f t="shared" ca="1" si="42"/>
        <v>25087078.683288012</v>
      </c>
      <c r="AI122" s="12">
        <f t="shared" ca="1" si="42"/>
        <v>25326003.242176469</v>
      </c>
      <c r="AJ122" s="12">
        <f t="shared" ca="1" si="42"/>
        <v>25564927.801064927</v>
      </c>
      <c r="AK122" s="12">
        <f t="shared" ca="1" si="42"/>
        <v>25803852.359953385</v>
      </c>
      <c r="AL122" s="12">
        <f t="shared" ca="1" si="42"/>
        <v>26042776.918841843</v>
      </c>
      <c r="AM122" s="12">
        <f t="shared" ca="1" si="42"/>
        <v>26281701.4777303</v>
      </c>
      <c r="AN122" s="12">
        <f t="shared" ca="1" si="42"/>
        <v>26520626.036618758</v>
      </c>
      <c r="AO122" s="12">
        <f t="shared" ca="1" si="42"/>
        <v>26759550.595507216</v>
      </c>
      <c r="AP122" s="12">
        <f t="shared" ca="1" si="42"/>
        <v>27562337.11337243</v>
      </c>
      <c r="AQ122" s="12">
        <f t="shared" ca="1" si="42"/>
        <v>27829932.6193275</v>
      </c>
      <c r="AR122" s="12">
        <f t="shared" ca="1" si="42"/>
        <v>28097528.125282571</v>
      </c>
      <c r="AS122" s="12">
        <f t="shared" ca="1" si="42"/>
        <v>28365123.631237641</v>
      </c>
      <c r="AT122" s="12">
        <f t="shared" ca="1" si="42"/>
        <v>28632719.137192711</v>
      </c>
      <c r="AU122" s="12">
        <f t="shared" ca="1" si="42"/>
        <v>28900314.643147781</v>
      </c>
      <c r="AV122" s="12">
        <f t="shared" ca="1" si="42"/>
        <v>29167910.149102852</v>
      </c>
      <c r="AW122" s="12">
        <f t="shared" ca="1" si="42"/>
        <v>29435505.655057922</v>
      </c>
      <c r="AX122" s="12">
        <f t="shared" ca="1" si="42"/>
        <v>29703101.161012992</v>
      </c>
      <c r="AY122" s="12">
        <f t="shared" ca="1" si="42"/>
        <v>29970696.666968063</v>
      </c>
      <c r="AZ122" s="12">
        <f t="shared" ca="1" si="42"/>
        <v>30238292.172923133</v>
      </c>
      <c r="BA122" s="12"/>
    </row>
    <row r="123" spans="1:54" hidden="1" outlineLevel="1" x14ac:dyDescent="0.2">
      <c r="B123" s="163" t="str">
        <f>'Proforma L+H'!B152</f>
        <v>Development Loan - Interest</v>
      </c>
      <c r="C123" s="14" t="e">
        <f>Assumptions!#REF!</f>
        <v>#REF!</v>
      </c>
      <c r="D123" s="14"/>
      <c r="E123" s="11">
        <f ca="1">OFFSET('Proforma L+H'!$E152,0,'L+H Monthly CF'!E$3)/12</f>
        <v>0</v>
      </c>
      <c r="F123" s="11">
        <f ca="1">OFFSET('Proforma L+H'!$E152,0,'L+H Monthly CF'!F$3)/12</f>
        <v>0</v>
      </c>
      <c r="G123" s="11">
        <f ca="1">OFFSET('Proforma L+H'!$E152,0,'L+H Monthly CF'!G$3)/12</f>
        <v>0</v>
      </c>
      <c r="H123" s="11">
        <f ca="1">OFFSET('Proforma L+H'!$E152,0,'L+H Monthly CF'!H$3)/12</f>
        <v>0</v>
      </c>
      <c r="I123" s="11">
        <f ca="1">OFFSET('Proforma L+H'!$E152,0,'L+H Monthly CF'!I$3)/12</f>
        <v>0</v>
      </c>
      <c r="J123" s="11">
        <f ca="1">OFFSET('Proforma L+H'!$E152,0,'L+H Monthly CF'!J$3)/12</f>
        <v>0</v>
      </c>
      <c r="K123" s="11">
        <f ca="1">OFFSET('Proforma L+H'!$E152,0,'L+H Monthly CF'!K$3)/12</f>
        <v>0</v>
      </c>
      <c r="L123" s="11">
        <f ca="1">OFFSET('Proforma L+H'!$E152,0,'L+H Monthly CF'!L$3)/12</f>
        <v>0</v>
      </c>
      <c r="M123" s="11">
        <f ca="1">OFFSET('Proforma L+H'!$E152,0,'L+H Monthly CF'!M$3)/12</f>
        <v>0</v>
      </c>
      <c r="N123" s="11">
        <f ca="1">OFFSET('Proforma L+H'!$E152,0,'L+H Monthly CF'!N$3)/12</f>
        <v>0</v>
      </c>
      <c r="O123" s="11">
        <f ca="1">OFFSET('Proforma L+H'!$E152,0,'L+H Monthly CF'!O$3)/12</f>
        <v>0</v>
      </c>
      <c r="P123" s="11">
        <f ca="1">OFFSET('Proforma L+H'!$E152,0,'L+H Monthly CF'!P$3)/12</f>
        <v>0</v>
      </c>
      <c r="Q123" s="61">
        <f ca="1">OFFSET('Proforma L+H'!$E152,0,'L+H Monthly CF'!Q$3)/12</f>
        <v>198001.83354081525</v>
      </c>
      <c r="R123" s="61">
        <f ca="1">OFFSET('Proforma L+H'!$E152,0,'L+H Monthly CF'!R$3)/12</f>
        <v>198001.83354081525</v>
      </c>
      <c r="S123" s="61">
        <f ca="1">OFFSET('Proforma L+H'!$E152,0,'L+H Monthly CF'!S$3)/12</f>
        <v>198001.83354081525</v>
      </c>
      <c r="T123" s="61">
        <f ca="1">OFFSET('Proforma L+H'!$E152,0,'L+H Monthly CF'!T$3)/12</f>
        <v>198001.83354081525</v>
      </c>
      <c r="U123" s="61">
        <f ca="1">OFFSET('Proforma L+H'!$E152,0,'L+H Monthly CF'!U$3)/12</f>
        <v>198001.83354081525</v>
      </c>
      <c r="V123" s="61">
        <f ca="1">OFFSET('Proforma L+H'!$E152,0,'L+H Monthly CF'!V$3)/12</f>
        <v>198001.83354081525</v>
      </c>
      <c r="W123" s="61">
        <f ca="1">OFFSET('Proforma L+H'!$E152,0,'L+H Monthly CF'!W$3)/12</f>
        <v>198001.83354081525</v>
      </c>
      <c r="X123" s="61">
        <f ca="1">OFFSET('Proforma L+H'!$E152,0,'L+H Monthly CF'!X$3)/12</f>
        <v>198001.83354081525</v>
      </c>
      <c r="Y123" s="61">
        <f ca="1">OFFSET('Proforma L+H'!$E152,0,'L+H Monthly CF'!Y$3)/12</f>
        <v>198001.83354081525</v>
      </c>
      <c r="Z123" s="61">
        <f ca="1">OFFSET('Proforma L+H'!$E152,0,'L+H Monthly CF'!Z$3)/12</f>
        <v>198001.83354081525</v>
      </c>
      <c r="AA123" s="61">
        <f ca="1">OFFSET('Proforma L+H'!$E152,0,'L+H Monthly CF'!AA$3)/12</f>
        <v>198001.83354081525</v>
      </c>
      <c r="AB123" s="61">
        <f ca="1">OFFSET('Proforma L+H'!$E152,0,'L+H Monthly CF'!AB$3)/12</f>
        <v>198001.83354081525</v>
      </c>
      <c r="AC123" s="61">
        <f ca="1">OFFSET('Proforma L+H'!$E152,0,'L+H Monthly CF'!AC$3)/12</f>
        <v>238924.55888845713</v>
      </c>
      <c r="AD123" s="61">
        <f ca="1">OFFSET('Proforma L+H'!$E152,0,'L+H Monthly CF'!AD$3)/12</f>
        <v>238924.55888845713</v>
      </c>
      <c r="AE123" s="61">
        <f ca="1">OFFSET('Proforma L+H'!$E152,0,'L+H Monthly CF'!AE$3)/12</f>
        <v>238924.55888845713</v>
      </c>
      <c r="AF123" s="61">
        <f ca="1">OFFSET('Proforma L+H'!$E152,0,'L+H Monthly CF'!AF$3)/12</f>
        <v>238924.55888845713</v>
      </c>
      <c r="AG123" s="61">
        <f ca="1">OFFSET('Proforma L+H'!$E152,0,'L+H Monthly CF'!AG$3)/12</f>
        <v>238924.55888845713</v>
      </c>
      <c r="AH123" s="61">
        <f ca="1">OFFSET('Proforma L+H'!$E152,0,'L+H Monthly CF'!AH$3)/12</f>
        <v>238924.55888845713</v>
      </c>
      <c r="AI123" s="61">
        <f ca="1">OFFSET('Proforma L+H'!$E152,0,'L+H Monthly CF'!AI$3)/12</f>
        <v>238924.55888845713</v>
      </c>
      <c r="AJ123" s="61">
        <f ca="1">OFFSET('Proforma L+H'!$E152,0,'L+H Monthly CF'!AJ$3)/12</f>
        <v>238924.55888845713</v>
      </c>
      <c r="AK123" s="61">
        <f ca="1">OFFSET('Proforma L+H'!$E152,0,'L+H Monthly CF'!AK$3)/12</f>
        <v>238924.55888845713</v>
      </c>
      <c r="AL123" s="61">
        <f ca="1">OFFSET('Proforma L+H'!$E152,0,'L+H Monthly CF'!AL$3)/12</f>
        <v>238924.55888845713</v>
      </c>
      <c r="AM123" s="61">
        <f ca="1">OFFSET('Proforma L+H'!$E152,0,'L+H Monthly CF'!AM$3)/12</f>
        <v>238924.55888845713</v>
      </c>
      <c r="AN123" s="61">
        <f ca="1">OFFSET('Proforma L+H'!$E152,0,'L+H Monthly CF'!AN$3)/12</f>
        <v>238924.55888845713</v>
      </c>
      <c r="AO123" s="61">
        <f ca="1">OFFSET('Proforma L+H'!$E152,0,'L+H Monthly CF'!AO$3)/12</f>
        <v>267595.505955072</v>
      </c>
      <c r="AP123" s="61">
        <f ca="1">OFFSET('Proforma L+H'!$E152,0,'L+H Monthly CF'!AP$3)/12</f>
        <v>267595.505955072</v>
      </c>
      <c r="AQ123" s="61">
        <f ca="1">OFFSET('Proforma L+H'!$E152,0,'L+H Monthly CF'!AQ$3)/12</f>
        <v>267595.505955072</v>
      </c>
      <c r="AR123" s="61">
        <f ca="1">OFFSET('Proforma L+H'!$E152,0,'L+H Monthly CF'!AR$3)/12</f>
        <v>267595.505955072</v>
      </c>
      <c r="AS123" s="61">
        <f ca="1">OFFSET('Proforma L+H'!$E152,0,'L+H Monthly CF'!AS$3)/12</f>
        <v>267595.505955072</v>
      </c>
      <c r="AT123" s="61">
        <f ca="1">OFFSET('Proforma L+H'!$E152,0,'L+H Monthly CF'!AT$3)/12</f>
        <v>267595.505955072</v>
      </c>
      <c r="AU123" s="61">
        <f ca="1">OFFSET('Proforma L+H'!$E152,0,'L+H Monthly CF'!AU$3)/12</f>
        <v>267595.505955072</v>
      </c>
      <c r="AV123" s="61">
        <f ca="1">OFFSET('Proforma L+H'!$E152,0,'L+H Monthly CF'!AV$3)/12</f>
        <v>267595.505955072</v>
      </c>
      <c r="AW123" s="61">
        <f ca="1">OFFSET('Proforma L+H'!$E152,0,'L+H Monthly CF'!AW$3)/12</f>
        <v>267595.505955072</v>
      </c>
      <c r="AX123" s="61">
        <f ca="1">OFFSET('Proforma L+H'!$E152,0,'L+H Monthly CF'!AX$3)/12</f>
        <v>267595.505955072</v>
      </c>
      <c r="AY123" s="61">
        <f ca="1">OFFSET('Proforma L+H'!$E152,0,'L+H Monthly CF'!AY$3)/12</f>
        <v>267595.505955072</v>
      </c>
      <c r="AZ123" s="61">
        <f ca="1">OFFSET('Proforma L+H'!$E152,0,'L+H Monthly CF'!AZ$3)/12</f>
        <v>267595.505955072</v>
      </c>
      <c r="BA123" s="61">
        <f ca="1">SUM(E123:AZ123)</f>
        <v>8454262.7806121334</v>
      </c>
      <c r="BB123" s="758">
        <f ca="1">SUM('Proforma L+H'!E152:H152)-BA123</f>
        <v>0</v>
      </c>
    </row>
    <row r="124" spans="1:54" hidden="1" outlineLevel="1" x14ac:dyDescent="0.2">
      <c r="B124" s="163" t="str">
        <f>'Proforma L+H'!B153</f>
        <v>Development Loan - Fees (Origination + Extension)</v>
      </c>
      <c r="C124" s="14" t="e">
        <f>Assumptions!#REF!</f>
        <v>#REF!</v>
      </c>
      <c r="D124" s="14"/>
      <c r="E124" s="11">
        <f>'Proforma L+H'!E153</f>
        <v>0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>
        <f>'Proforma L+H'!F153</f>
        <v>1716250.5322744066</v>
      </c>
      <c r="R124" s="61"/>
      <c r="S124" s="61"/>
      <c r="T124" s="61"/>
      <c r="U124" s="61"/>
      <c r="V124" s="61"/>
      <c r="W124" s="61"/>
      <c r="X124" s="61"/>
      <c r="Y124" s="61"/>
      <c r="Z124" s="61"/>
      <c r="AA124" s="61"/>
      <c r="AB124" s="61"/>
      <c r="AC124" s="61">
        <f>'Proforma L+H'!G153</f>
        <v>0</v>
      </c>
      <c r="AD124" s="61"/>
      <c r="AE124" s="61"/>
      <c r="AF124" s="61"/>
      <c r="AG124" s="61"/>
      <c r="AH124" s="61"/>
      <c r="AI124" s="61"/>
      <c r="AJ124" s="61"/>
      <c r="AK124" s="61"/>
      <c r="AL124" s="61"/>
      <c r="AM124" s="61"/>
      <c r="AN124" s="61"/>
      <c r="AO124" s="61">
        <f>'Proforma L+H'!H153</f>
        <v>535191.01191014401</v>
      </c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>
        <f t="shared" ref="BA124:BA125" si="43">SUM(E124:AZ124)</f>
        <v>2251441.5441845506</v>
      </c>
      <c r="BB124" s="758">
        <f>SUM('Proforma L+H'!E153:H153)-BA124</f>
        <v>0</v>
      </c>
    </row>
    <row r="125" spans="1:54" hidden="1" outlineLevel="1" x14ac:dyDescent="0.2">
      <c r="B125" s="163" t="str">
        <f>'Proforma L+H'!B154</f>
        <v>Development Loan - Balance Repayment</v>
      </c>
      <c r="C125" s="14"/>
      <c r="D125" s="14"/>
      <c r="E125" s="92">
        <f>'Proforma L+H'!E154</f>
        <v>0</v>
      </c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>
        <f>'Proforma L+H'!G154</f>
        <v>0</v>
      </c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>
        <f>'Proforma L+H'!H154</f>
        <v>0</v>
      </c>
      <c r="BA125" s="11">
        <f t="shared" si="43"/>
        <v>0</v>
      </c>
      <c r="BB125" s="758">
        <f>SUM('Proforma L+H'!E154:H154)-BA125</f>
        <v>0</v>
      </c>
    </row>
    <row r="126" spans="1:54" hidden="1" outlineLevel="1" x14ac:dyDescent="0.2">
      <c r="A126" s="2"/>
      <c r="B126" s="163" t="str">
        <f>'Proforma L+H'!B155</f>
        <v>Development Loan - Ending Balance</v>
      </c>
      <c r="C126" s="14"/>
      <c r="D126" s="14"/>
      <c r="E126" s="114">
        <f>'Proforma L+H'!E155</f>
        <v>0</v>
      </c>
      <c r="F126" s="114"/>
      <c r="G126" s="114"/>
      <c r="H126" s="114"/>
      <c r="I126" s="114"/>
      <c r="J126" s="114"/>
      <c r="K126" s="114"/>
      <c r="L126" s="114"/>
      <c r="M126" s="114"/>
      <c r="N126" s="114"/>
      <c r="O126" s="114"/>
      <c r="P126" s="114"/>
      <c r="Q126" s="114">
        <f ca="1">Q122+SUM(Q123:Q124)-Q125</f>
        <v>21714435.719896749</v>
      </c>
      <c r="R126" s="114">
        <f t="shared" ref="R126:AZ126" ca="1" si="44">R122+SUM(R123:R124)-R125</f>
        <v>21912437.553437565</v>
      </c>
      <c r="S126" s="114">
        <f t="shared" ca="1" si="44"/>
        <v>22110439.38697838</v>
      </c>
      <c r="T126" s="114">
        <f t="shared" ca="1" si="44"/>
        <v>22308441.220519196</v>
      </c>
      <c r="U126" s="114">
        <f t="shared" ca="1" si="44"/>
        <v>22506443.054060012</v>
      </c>
      <c r="V126" s="114">
        <f t="shared" ca="1" si="44"/>
        <v>22704444.887600828</v>
      </c>
      <c r="W126" s="114">
        <f t="shared" ca="1" si="44"/>
        <v>22902446.721141644</v>
      </c>
      <c r="X126" s="114">
        <f t="shared" ca="1" si="44"/>
        <v>23100448.55468246</v>
      </c>
      <c r="Y126" s="114">
        <f t="shared" ca="1" si="44"/>
        <v>23298450.388223276</v>
      </c>
      <c r="Z126" s="114">
        <f t="shared" ca="1" si="44"/>
        <v>23496452.221764091</v>
      </c>
      <c r="AA126" s="114">
        <f t="shared" ca="1" si="44"/>
        <v>23694454.055304907</v>
      </c>
      <c r="AB126" s="114">
        <f t="shared" ca="1" si="44"/>
        <v>23892455.888845723</v>
      </c>
      <c r="AC126" s="114">
        <f t="shared" ca="1" si="44"/>
        <v>24131380.447734181</v>
      </c>
      <c r="AD126" s="114">
        <f t="shared" ca="1" si="44"/>
        <v>24370305.006622639</v>
      </c>
      <c r="AE126" s="114">
        <f t="shared" ca="1" si="44"/>
        <v>24609229.565511096</v>
      </c>
      <c r="AF126" s="114">
        <f t="shared" ca="1" si="44"/>
        <v>24848154.124399554</v>
      </c>
      <c r="AG126" s="114">
        <f t="shared" ca="1" si="44"/>
        <v>25087078.683288012</v>
      </c>
      <c r="AH126" s="114">
        <f t="shared" ca="1" si="44"/>
        <v>25326003.242176469</v>
      </c>
      <c r="AI126" s="114">
        <f t="shared" ca="1" si="44"/>
        <v>25564927.801064927</v>
      </c>
      <c r="AJ126" s="114">
        <f t="shared" ca="1" si="44"/>
        <v>25803852.359953385</v>
      </c>
      <c r="AK126" s="114">
        <f t="shared" ca="1" si="44"/>
        <v>26042776.918841843</v>
      </c>
      <c r="AL126" s="114">
        <f t="shared" ca="1" si="44"/>
        <v>26281701.4777303</v>
      </c>
      <c r="AM126" s="114">
        <f t="shared" ca="1" si="44"/>
        <v>26520626.036618758</v>
      </c>
      <c r="AN126" s="114">
        <f t="shared" ca="1" si="44"/>
        <v>26759550.595507216</v>
      </c>
      <c r="AO126" s="114">
        <f t="shared" ca="1" si="44"/>
        <v>27562337.11337243</v>
      </c>
      <c r="AP126" s="114">
        <f t="shared" ca="1" si="44"/>
        <v>27829932.6193275</v>
      </c>
      <c r="AQ126" s="114">
        <f t="shared" ca="1" si="44"/>
        <v>28097528.125282571</v>
      </c>
      <c r="AR126" s="114">
        <f t="shared" ca="1" si="44"/>
        <v>28365123.631237641</v>
      </c>
      <c r="AS126" s="114">
        <f t="shared" ca="1" si="44"/>
        <v>28632719.137192711</v>
      </c>
      <c r="AT126" s="114">
        <f t="shared" ca="1" si="44"/>
        <v>28900314.643147781</v>
      </c>
      <c r="AU126" s="114">
        <f t="shared" ca="1" si="44"/>
        <v>29167910.149102852</v>
      </c>
      <c r="AV126" s="114">
        <f t="shared" ca="1" si="44"/>
        <v>29435505.655057922</v>
      </c>
      <c r="AW126" s="114">
        <f t="shared" ca="1" si="44"/>
        <v>29703101.161012992</v>
      </c>
      <c r="AX126" s="114">
        <f t="shared" ca="1" si="44"/>
        <v>29970696.666968063</v>
      </c>
      <c r="AY126" s="114">
        <f t="shared" ca="1" si="44"/>
        <v>30238292.172923133</v>
      </c>
      <c r="AZ126" s="114">
        <f t="shared" ca="1" si="44"/>
        <v>30505887.678878203</v>
      </c>
      <c r="BA126" s="11"/>
    </row>
    <row r="127" spans="1:54" hidden="1" outlineLevel="1" x14ac:dyDescent="0.2">
      <c r="A127" s="2"/>
      <c r="B127" s="163"/>
      <c r="C127" s="14"/>
      <c r="D127" s="14"/>
      <c r="E127" s="114"/>
      <c r="F127" s="114"/>
      <c r="G127" s="114"/>
      <c r="H127" s="114"/>
      <c r="I127" s="114"/>
      <c r="J127" s="114"/>
      <c r="K127" s="114"/>
      <c r="L127" s="114"/>
      <c r="M127" s="114"/>
      <c r="N127" s="114"/>
      <c r="O127" s="114"/>
      <c r="P127" s="114"/>
      <c r="Q127" s="114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</row>
    <row r="128" spans="1:54" hidden="1" outlineLevel="1" x14ac:dyDescent="0.2">
      <c r="A128" s="2"/>
      <c r="B128" s="163" t="str">
        <f>'Proforma L+H'!B157</f>
        <v>JV Bridge Loan - Interest</v>
      </c>
      <c r="C128" s="14" t="e">
        <f>Assumptions!#REF!</f>
        <v>#REF!</v>
      </c>
      <c r="D128" s="14"/>
      <c r="E128" s="114"/>
      <c r="F128" s="114"/>
      <c r="G128" s="114"/>
      <c r="H128" s="114"/>
      <c r="I128" s="114"/>
      <c r="J128" s="114"/>
      <c r="K128" s="114"/>
      <c r="L128" s="114"/>
      <c r="M128" s="114"/>
      <c r="N128" s="114"/>
      <c r="O128" s="114"/>
      <c r="P128" s="114"/>
      <c r="Q128" s="114">
        <f>'Proforma L+H'!F157</f>
        <v>2250000</v>
      </c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>
        <f>SUM(E128:AZ128)</f>
        <v>2250000</v>
      </c>
      <c r="BB128" s="758">
        <f>SUM('Proforma L+H'!E157:H157)-BA128</f>
        <v>0</v>
      </c>
    </row>
    <row r="129" spans="1:54" hidden="1" outlineLevel="1" x14ac:dyDescent="0.2">
      <c r="A129" s="2"/>
      <c r="B129" s="163" t="str">
        <f>'Proforma L+H'!B158</f>
        <v>JV Bridge Loan - Fees</v>
      </c>
      <c r="C129" s="14" t="e">
        <f>Assumptions!#REF!</f>
        <v>#REF!</v>
      </c>
      <c r="D129" s="14"/>
      <c r="E129" s="114">
        <f>'Proforma L+H'!E158</f>
        <v>300000</v>
      </c>
      <c r="F129" s="114"/>
      <c r="G129" s="114"/>
      <c r="H129" s="114"/>
      <c r="I129" s="114"/>
      <c r="J129" s="114"/>
      <c r="K129" s="114"/>
      <c r="L129" s="114"/>
      <c r="M129" s="114"/>
      <c r="N129" s="114"/>
      <c r="O129" s="114"/>
      <c r="P129" s="114"/>
      <c r="Q129" s="114">
        <f>'Proforma L+H'!F158</f>
        <v>0</v>
      </c>
      <c r="R129" s="61"/>
      <c r="S129" s="61"/>
      <c r="T129" s="61"/>
      <c r="U129" s="61"/>
      <c r="V129" s="61"/>
      <c r="W129" s="61"/>
      <c r="X129" s="61"/>
      <c r="Y129" s="61"/>
      <c r="Z129" s="61"/>
      <c r="AA129" s="61"/>
      <c r="AB129" s="61"/>
      <c r="AC129" s="61">
        <f>'Proforma L+H'!G158</f>
        <v>0</v>
      </c>
      <c r="AD129" s="61"/>
      <c r="AE129" s="61"/>
      <c r="AF129" s="61"/>
      <c r="AG129" s="61"/>
      <c r="AH129" s="61"/>
      <c r="AI129" s="61"/>
      <c r="AJ129" s="61"/>
      <c r="AK129" s="61"/>
      <c r="AL129" s="61"/>
      <c r="AM129" s="61"/>
      <c r="AN129" s="61"/>
      <c r="AO129" s="61">
        <f>'Proforma L+H'!H158</f>
        <v>0</v>
      </c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>
        <f t="shared" ref="BA129:BA130" si="45">SUM(E129:AZ129)</f>
        <v>300000</v>
      </c>
      <c r="BB129" s="758">
        <f>SUM('Proforma L+H'!E158:H158)-BA129</f>
        <v>0</v>
      </c>
    </row>
    <row r="130" spans="1:54" hidden="1" outlineLevel="1" x14ac:dyDescent="0.2">
      <c r="A130" s="2"/>
      <c r="B130" s="163" t="str">
        <f>'Proforma L+H'!B159</f>
        <v>JV Bridge Loan - Balance Repayment</v>
      </c>
      <c r="C130" s="14"/>
      <c r="D130" s="14"/>
      <c r="E130" s="114"/>
      <c r="F130" s="114"/>
      <c r="G130" s="114"/>
      <c r="H130" s="114"/>
      <c r="I130" s="114"/>
      <c r="J130" s="114"/>
      <c r="K130" s="114"/>
      <c r="L130" s="114"/>
      <c r="M130" s="114"/>
      <c r="N130" s="114"/>
      <c r="O130" s="114"/>
      <c r="P130" s="114"/>
      <c r="Q130" s="61">
        <f>'Proforma L+H'!F159</f>
        <v>15000000</v>
      </c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>
        <f>'Proforma L+H'!H159</f>
        <v>0</v>
      </c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>
        <f t="shared" si="45"/>
        <v>15000000</v>
      </c>
      <c r="BB130" s="758">
        <f>SUM('Proforma L+H'!E159:H159)-BA130</f>
        <v>0</v>
      </c>
    </row>
    <row r="131" spans="1:54" hidden="1" outlineLevel="1" x14ac:dyDescent="0.2">
      <c r="A131" s="2"/>
      <c r="B131" s="163" t="str">
        <f>'Proforma L+H'!B160</f>
        <v>JV Bridge Loan - Ending Balance</v>
      </c>
      <c r="C131" s="14"/>
      <c r="D131" s="14"/>
      <c r="E131" s="114">
        <f>'Proforma L+H'!E160</f>
        <v>15000000</v>
      </c>
      <c r="F131" s="114">
        <f>E131-F130</f>
        <v>15000000</v>
      </c>
      <c r="G131" s="114">
        <f t="shared" ref="G131:AZ131" si="46">F131-G130</f>
        <v>15000000</v>
      </c>
      <c r="H131" s="114">
        <f t="shared" si="46"/>
        <v>15000000</v>
      </c>
      <c r="I131" s="114">
        <f t="shared" si="46"/>
        <v>15000000</v>
      </c>
      <c r="J131" s="114">
        <f t="shared" si="46"/>
        <v>15000000</v>
      </c>
      <c r="K131" s="114">
        <f t="shared" si="46"/>
        <v>15000000</v>
      </c>
      <c r="L131" s="114">
        <f t="shared" si="46"/>
        <v>15000000</v>
      </c>
      <c r="M131" s="114">
        <f t="shared" si="46"/>
        <v>15000000</v>
      </c>
      <c r="N131" s="114">
        <f t="shared" si="46"/>
        <v>15000000</v>
      </c>
      <c r="O131" s="114">
        <f t="shared" si="46"/>
        <v>15000000</v>
      </c>
      <c r="P131" s="114">
        <f t="shared" si="46"/>
        <v>15000000</v>
      </c>
      <c r="Q131" s="114">
        <f t="shared" ref="Q131" si="47">P131-Q130</f>
        <v>0</v>
      </c>
      <c r="R131" s="114">
        <f t="shared" ref="R131" si="48">Q131-R130</f>
        <v>0</v>
      </c>
      <c r="S131" s="114">
        <f t="shared" ref="S131" si="49">R131-S130</f>
        <v>0</v>
      </c>
      <c r="T131" s="114">
        <f t="shared" ref="T131" si="50">S131-T130</f>
        <v>0</v>
      </c>
      <c r="U131" s="114">
        <f t="shared" ref="U131" si="51">T131-U130</f>
        <v>0</v>
      </c>
      <c r="V131" s="114">
        <f t="shared" ref="V131" si="52">U131-V130</f>
        <v>0</v>
      </c>
      <c r="W131" s="114">
        <f t="shared" ref="W131" si="53">V131-W130</f>
        <v>0</v>
      </c>
      <c r="X131" s="114">
        <f t="shared" ref="X131" si="54">W131-X130</f>
        <v>0</v>
      </c>
      <c r="Y131" s="114">
        <f t="shared" ref="Y131" si="55">X131-Y130</f>
        <v>0</v>
      </c>
      <c r="Z131" s="114">
        <f t="shared" ref="Z131" si="56">Y131-Z130</f>
        <v>0</v>
      </c>
      <c r="AA131" s="114">
        <f t="shared" ref="AA131" si="57">Z131-AA130</f>
        <v>0</v>
      </c>
      <c r="AB131" s="114">
        <f t="shared" ref="AB131" si="58">AA131-AB130</f>
        <v>0</v>
      </c>
      <c r="AC131" s="114">
        <f t="shared" ref="AC131" si="59">AB131-AC130</f>
        <v>0</v>
      </c>
      <c r="AD131" s="114">
        <f t="shared" ref="AD131" si="60">AC131-AD130</f>
        <v>0</v>
      </c>
      <c r="AE131" s="114">
        <f t="shared" si="46"/>
        <v>0</v>
      </c>
      <c r="AF131" s="114">
        <f t="shared" si="46"/>
        <v>0</v>
      </c>
      <c r="AG131" s="114">
        <f t="shared" si="46"/>
        <v>0</v>
      </c>
      <c r="AH131" s="114">
        <f t="shared" si="46"/>
        <v>0</v>
      </c>
      <c r="AI131" s="114">
        <f t="shared" si="46"/>
        <v>0</v>
      </c>
      <c r="AJ131" s="114">
        <f t="shared" si="46"/>
        <v>0</v>
      </c>
      <c r="AK131" s="114">
        <f t="shared" si="46"/>
        <v>0</v>
      </c>
      <c r="AL131" s="114">
        <f t="shared" si="46"/>
        <v>0</v>
      </c>
      <c r="AM131" s="114">
        <f t="shared" si="46"/>
        <v>0</v>
      </c>
      <c r="AN131" s="114">
        <f t="shared" si="46"/>
        <v>0</v>
      </c>
      <c r="AO131" s="114">
        <f t="shared" si="46"/>
        <v>0</v>
      </c>
      <c r="AP131" s="114">
        <f t="shared" si="46"/>
        <v>0</v>
      </c>
      <c r="AQ131" s="114">
        <f t="shared" si="46"/>
        <v>0</v>
      </c>
      <c r="AR131" s="114">
        <f t="shared" si="46"/>
        <v>0</v>
      </c>
      <c r="AS131" s="114">
        <f t="shared" si="46"/>
        <v>0</v>
      </c>
      <c r="AT131" s="114">
        <f t="shared" si="46"/>
        <v>0</v>
      </c>
      <c r="AU131" s="114">
        <f t="shared" si="46"/>
        <v>0</v>
      </c>
      <c r="AV131" s="114">
        <f t="shared" si="46"/>
        <v>0</v>
      </c>
      <c r="AW131" s="114">
        <f t="shared" si="46"/>
        <v>0</v>
      </c>
      <c r="AX131" s="114">
        <f t="shared" si="46"/>
        <v>0</v>
      </c>
      <c r="AY131" s="114">
        <f t="shared" si="46"/>
        <v>0</v>
      </c>
      <c r="AZ131" s="114">
        <f t="shared" si="46"/>
        <v>0</v>
      </c>
      <c r="BA131" s="11"/>
    </row>
    <row r="132" spans="1:54" hidden="1" outlineLevel="1" x14ac:dyDescent="0.2">
      <c r="A132" s="2"/>
      <c r="B132" s="163"/>
      <c r="C132" s="14"/>
      <c r="D132" s="14"/>
      <c r="E132" s="114"/>
      <c r="F132" s="114"/>
      <c r="G132" s="114"/>
      <c r="H132" s="114"/>
      <c r="I132" s="114"/>
      <c r="J132" s="114"/>
      <c r="K132" s="114"/>
      <c r="L132" s="114"/>
      <c r="M132" s="114"/>
      <c r="N132" s="114"/>
      <c r="O132" s="114"/>
      <c r="P132" s="114"/>
      <c r="Q132" s="114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</row>
    <row r="133" spans="1:54" hidden="1" outlineLevel="1" x14ac:dyDescent="0.2">
      <c r="A133" s="2"/>
      <c r="B133" s="163" t="str">
        <f>'Proforma L+H'!B162</f>
        <v>EB-5 Debt - Beginning Balance (100% L+H EB-5 + % of A + H EB-5)</v>
      </c>
      <c r="C133" s="14"/>
      <c r="D133" s="14"/>
      <c r="E133" s="114">
        <f>'Proforma L+H'!E162</f>
        <v>0</v>
      </c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>
        <f>'Proforma L+H'!F162</f>
        <v>29203743.291970812</v>
      </c>
      <c r="R133" s="11">
        <f>Q138</f>
        <v>29203743.291970812</v>
      </c>
      <c r="S133" s="11">
        <f t="shared" ref="S133:AZ133" si="61">R138</f>
        <v>29203743.291970812</v>
      </c>
      <c r="T133" s="11">
        <f t="shared" si="61"/>
        <v>29203743.291970812</v>
      </c>
      <c r="U133" s="11">
        <f t="shared" si="61"/>
        <v>29203743.291970812</v>
      </c>
      <c r="V133" s="11">
        <f t="shared" si="61"/>
        <v>29203743.291970812</v>
      </c>
      <c r="W133" s="11">
        <f t="shared" si="61"/>
        <v>29203743.291970812</v>
      </c>
      <c r="X133" s="11">
        <f t="shared" si="61"/>
        <v>29203743.291970812</v>
      </c>
      <c r="Y133" s="11">
        <f t="shared" si="61"/>
        <v>29203743.291970812</v>
      </c>
      <c r="Z133" s="11">
        <f t="shared" si="61"/>
        <v>29203743.291970812</v>
      </c>
      <c r="AA133" s="11">
        <f t="shared" si="61"/>
        <v>29203743.291970812</v>
      </c>
      <c r="AB133" s="11">
        <f t="shared" si="61"/>
        <v>29203743.291970812</v>
      </c>
      <c r="AC133" s="11">
        <f t="shared" si="61"/>
        <v>29203743.291970812</v>
      </c>
      <c r="AD133" s="11">
        <f t="shared" si="61"/>
        <v>29203743.291970812</v>
      </c>
      <c r="AE133" s="11">
        <f t="shared" si="61"/>
        <v>29203743.291970812</v>
      </c>
      <c r="AF133" s="11">
        <f t="shared" si="61"/>
        <v>29203743.291970812</v>
      </c>
      <c r="AG133" s="11">
        <f t="shared" si="61"/>
        <v>29203743.291970812</v>
      </c>
      <c r="AH133" s="11">
        <f t="shared" si="61"/>
        <v>29203743.291970812</v>
      </c>
      <c r="AI133" s="11">
        <f t="shared" si="61"/>
        <v>29203743.291970812</v>
      </c>
      <c r="AJ133" s="11">
        <f t="shared" si="61"/>
        <v>29203743.291970812</v>
      </c>
      <c r="AK133" s="11">
        <f t="shared" si="61"/>
        <v>29203743.291970812</v>
      </c>
      <c r="AL133" s="11">
        <f t="shared" si="61"/>
        <v>29203743.291970812</v>
      </c>
      <c r="AM133" s="11">
        <f t="shared" si="61"/>
        <v>29203743.291970812</v>
      </c>
      <c r="AN133" s="11">
        <f t="shared" si="61"/>
        <v>29203743.291970812</v>
      </c>
      <c r="AO133" s="11">
        <f t="shared" si="61"/>
        <v>29203743.291970812</v>
      </c>
      <c r="AP133" s="11">
        <f t="shared" si="61"/>
        <v>29203743.291970812</v>
      </c>
      <c r="AQ133" s="11">
        <f t="shared" si="61"/>
        <v>29203743.291970812</v>
      </c>
      <c r="AR133" s="11">
        <f t="shared" si="61"/>
        <v>29203743.291970812</v>
      </c>
      <c r="AS133" s="11">
        <f t="shared" si="61"/>
        <v>29203743.291970812</v>
      </c>
      <c r="AT133" s="11">
        <f t="shared" si="61"/>
        <v>29203743.291970812</v>
      </c>
      <c r="AU133" s="11">
        <f t="shared" si="61"/>
        <v>29203743.291970812</v>
      </c>
      <c r="AV133" s="11">
        <f t="shared" si="61"/>
        <v>29203743.291970812</v>
      </c>
      <c r="AW133" s="11">
        <f t="shared" si="61"/>
        <v>29203743.291970812</v>
      </c>
      <c r="AX133" s="11">
        <f t="shared" si="61"/>
        <v>29203743.291970812</v>
      </c>
      <c r="AY133" s="11">
        <f t="shared" si="61"/>
        <v>29203743.291970812</v>
      </c>
      <c r="AZ133" s="11">
        <f t="shared" si="61"/>
        <v>29203743.291970812</v>
      </c>
      <c r="BA133" s="11"/>
    </row>
    <row r="134" spans="1:54" hidden="1" outlineLevel="1" x14ac:dyDescent="0.2">
      <c r="A134" s="2"/>
      <c r="B134" s="163" t="str">
        <f>'Proforma L+H'!B163</f>
        <v>EB-5 Debt - Interest</v>
      </c>
      <c r="C134" s="14" t="e">
        <f>Assumptions!#REF!</f>
        <v>#REF!</v>
      </c>
      <c r="D134" s="14"/>
      <c r="E134" s="114">
        <f ca="1">OFFSET('Proforma L+H'!$E163,0,'L+H Monthly CF'!E$3)/12</f>
        <v>0</v>
      </c>
      <c r="F134" s="114">
        <f ca="1">OFFSET('Proforma L+H'!$E163,0,'L+H Monthly CF'!F$3)/12</f>
        <v>0</v>
      </c>
      <c r="G134" s="114">
        <f ca="1">OFFSET('Proforma L+H'!$E163,0,'L+H Monthly CF'!G$3)/12</f>
        <v>0</v>
      </c>
      <c r="H134" s="114">
        <f ca="1">OFFSET('Proforma L+H'!$E163,0,'L+H Monthly CF'!H$3)/12</f>
        <v>0</v>
      </c>
      <c r="I134" s="114">
        <f ca="1">OFFSET('Proforma L+H'!$E163,0,'L+H Monthly CF'!I$3)/12</f>
        <v>0</v>
      </c>
      <c r="J134" s="114">
        <f ca="1">OFFSET('Proforma L+H'!$E163,0,'L+H Monthly CF'!J$3)/12</f>
        <v>0</v>
      </c>
      <c r="K134" s="114">
        <f ca="1">OFFSET('Proforma L+H'!$E163,0,'L+H Monthly CF'!K$3)/12</f>
        <v>0</v>
      </c>
      <c r="L134" s="114">
        <f ca="1">OFFSET('Proforma L+H'!$E163,0,'L+H Monthly CF'!L$3)/12</f>
        <v>0</v>
      </c>
      <c r="M134" s="114">
        <f ca="1">OFFSET('Proforma L+H'!$E163,0,'L+H Monthly CF'!M$3)/12</f>
        <v>0</v>
      </c>
      <c r="N134" s="114">
        <f ca="1">OFFSET('Proforma L+H'!$E163,0,'L+H Monthly CF'!N$3)/12</f>
        <v>0</v>
      </c>
      <c r="O134" s="114">
        <f ca="1">OFFSET('Proforma L+H'!$E163,0,'L+H Monthly CF'!O$3)/12</f>
        <v>0</v>
      </c>
      <c r="P134" s="114">
        <f ca="1">OFFSET('Proforma L+H'!$E163,0,'L+H Monthly CF'!P$3)/12</f>
        <v>0</v>
      </c>
      <c r="Q134" s="114">
        <f ca="1">OFFSET('Proforma L+H'!$E163,0,'L+H Monthly CF'!Q$3)/12</f>
        <v>328542.11203467165</v>
      </c>
      <c r="R134" s="61">
        <f ca="1">OFFSET('Proforma L+H'!$E163,0,'L+H Monthly CF'!R$3)/12</f>
        <v>328542.11203467165</v>
      </c>
      <c r="S134" s="61">
        <f ca="1">OFFSET('Proforma L+H'!$E163,0,'L+H Monthly CF'!S$3)/12</f>
        <v>328542.11203467165</v>
      </c>
      <c r="T134" s="61">
        <f ca="1">OFFSET('Proforma L+H'!$E163,0,'L+H Monthly CF'!T$3)/12</f>
        <v>328542.11203467165</v>
      </c>
      <c r="U134" s="61">
        <f ca="1">OFFSET('Proforma L+H'!$E163,0,'L+H Monthly CF'!U$3)/12</f>
        <v>328542.11203467165</v>
      </c>
      <c r="V134" s="61">
        <f ca="1">OFFSET('Proforma L+H'!$E163,0,'L+H Monthly CF'!V$3)/12</f>
        <v>328542.11203467165</v>
      </c>
      <c r="W134" s="61">
        <f ca="1">OFFSET('Proforma L+H'!$E163,0,'L+H Monthly CF'!W$3)/12</f>
        <v>328542.11203467165</v>
      </c>
      <c r="X134" s="61">
        <f ca="1">OFFSET('Proforma L+H'!$E163,0,'L+H Monthly CF'!X$3)/12</f>
        <v>328542.11203467165</v>
      </c>
      <c r="Y134" s="61">
        <f ca="1">OFFSET('Proforma L+H'!$E163,0,'L+H Monthly CF'!Y$3)/12</f>
        <v>328542.11203467165</v>
      </c>
      <c r="Z134" s="61">
        <f ca="1">OFFSET('Proforma L+H'!$E163,0,'L+H Monthly CF'!Z$3)/12</f>
        <v>328542.11203467165</v>
      </c>
      <c r="AA134" s="61">
        <f ca="1">OFFSET('Proforma L+H'!$E163,0,'L+H Monthly CF'!AA$3)/12</f>
        <v>328542.11203467165</v>
      </c>
      <c r="AB134" s="61">
        <f ca="1">OFFSET('Proforma L+H'!$E163,0,'L+H Monthly CF'!AB$3)/12</f>
        <v>328542.11203467165</v>
      </c>
      <c r="AC134" s="61">
        <f ca="1">OFFSET('Proforma L+H'!$E163,0,'L+H Monthly CF'!AC$3)/12</f>
        <v>412200</v>
      </c>
      <c r="AD134" s="61">
        <f ca="1">OFFSET('Proforma L+H'!$E163,0,'L+H Monthly CF'!AD$3)/12</f>
        <v>412200</v>
      </c>
      <c r="AE134" s="61">
        <f ca="1">OFFSET('Proforma L+H'!$E163,0,'L+H Monthly CF'!AE$3)/12</f>
        <v>412200</v>
      </c>
      <c r="AF134" s="61">
        <f ca="1">OFFSET('Proforma L+H'!$E163,0,'L+H Monthly CF'!AF$3)/12</f>
        <v>412200</v>
      </c>
      <c r="AG134" s="61">
        <f ca="1">OFFSET('Proforma L+H'!$E163,0,'L+H Monthly CF'!AG$3)/12</f>
        <v>412200</v>
      </c>
      <c r="AH134" s="61">
        <f ca="1">OFFSET('Proforma L+H'!$E163,0,'L+H Monthly CF'!AH$3)/12</f>
        <v>412200</v>
      </c>
      <c r="AI134" s="61">
        <f ca="1">OFFSET('Proforma L+H'!$E163,0,'L+H Monthly CF'!AI$3)/12</f>
        <v>412200</v>
      </c>
      <c r="AJ134" s="61">
        <f ca="1">OFFSET('Proforma L+H'!$E163,0,'L+H Monthly CF'!AJ$3)/12</f>
        <v>412200</v>
      </c>
      <c r="AK134" s="61">
        <f ca="1">OFFSET('Proforma L+H'!$E163,0,'L+H Monthly CF'!AK$3)/12</f>
        <v>412200</v>
      </c>
      <c r="AL134" s="61">
        <f ca="1">OFFSET('Proforma L+H'!$E163,0,'L+H Monthly CF'!AL$3)/12</f>
        <v>412200</v>
      </c>
      <c r="AM134" s="61">
        <f ca="1">OFFSET('Proforma L+H'!$E163,0,'L+H Monthly CF'!AM$3)/12</f>
        <v>412200</v>
      </c>
      <c r="AN134" s="61">
        <f ca="1">OFFSET('Proforma L+H'!$E163,0,'L+H Monthly CF'!AN$3)/12</f>
        <v>412200</v>
      </c>
      <c r="AO134" s="61">
        <f ca="1">OFFSET('Proforma L+H'!$E163,0,'L+H Monthly CF'!AO$3)/12</f>
        <v>412200</v>
      </c>
      <c r="AP134" s="61">
        <f ca="1">OFFSET('Proforma L+H'!$E163,0,'L+H Monthly CF'!AP$3)/12</f>
        <v>412200</v>
      </c>
      <c r="AQ134" s="61">
        <f ca="1">OFFSET('Proforma L+H'!$E163,0,'L+H Monthly CF'!AQ$3)/12</f>
        <v>412200</v>
      </c>
      <c r="AR134" s="61">
        <f ca="1">OFFSET('Proforma L+H'!$E163,0,'L+H Monthly CF'!AR$3)/12</f>
        <v>412200</v>
      </c>
      <c r="AS134" s="61">
        <f ca="1">OFFSET('Proforma L+H'!$E163,0,'L+H Monthly CF'!AS$3)/12</f>
        <v>412200</v>
      </c>
      <c r="AT134" s="61">
        <f ca="1">OFFSET('Proforma L+H'!$E163,0,'L+H Monthly CF'!AT$3)/12</f>
        <v>412200</v>
      </c>
      <c r="AU134" s="61">
        <f ca="1">OFFSET('Proforma L+H'!$E163,0,'L+H Monthly CF'!AU$3)/12</f>
        <v>412200</v>
      </c>
      <c r="AV134" s="61">
        <f ca="1">OFFSET('Proforma L+H'!$E163,0,'L+H Monthly CF'!AV$3)/12</f>
        <v>412200</v>
      </c>
      <c r="AW134" s="61">
        <f ca="1">OFFSET('Proforma L+H'!$E163,0,'L+H Monthly CF'!AW$3)/12</f>
        <v>412200</v>
      </c>
      <c r="AX134" s="61">
        <f ca="1">OFFSET('Proforma L+H'!$E163,0,'L+H Monthly CF'!AX$3)/12</f>
        <v>412200</v>
      </c>
      <c r="AY134" s="61">
        <f ca="1">OFFSET('Proforma L+H'!$E163,0,'L+H Monthly CF'!AY$3)/12</f>
        <v>412200</v>
      </c>
      <c r="AZ134" s="61">
        <f ca="1">OFFSET('Proforma L+H'!$E163,0,'L+H Monthly CF'!AZ$3)/12</f>
        <v>412200</v>
      </c>
      <c r="BA134" s="61">
        <f t="shared" ref="BA134:BA137" ca="1" si="62">SUM(E134:AZ134)</f>
        <v>13835305.34441606</v>
      </c>
      <c r="BB134" s="758">
        <f ca="1">SUM('Proforma L+H'!E163:H163)-BA134</f>
        <v>0</v>
      </c>
    </row>
    <row r="135" spans="1:54" hidden="1" outlineLevel="1" x14ac:dyDescent="0.2">
      <c r="A135" s="2"/>
      <c r="B135" s="163" t="str">
        <f>'Proforma L+H'!B164</f>
        <v xml:space="preserve">EB-5 Debt - Origination Fees </v>
      </c>
      <c r="C135" s="14">
        <v>0.01</v>
      </c>
      <c r="D135" s="14"/>
      <c r="E135" s="114">
        <f>'Proforma L+H'!E164</f>
        <v>0</v>
      </c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>
        <f>'Proforma L+H'!F164</f>
        <v>366400</v>
      </c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>
        <f>'Proforma L+H'!G164</f>
        <v>0</v>
      </c>
      <c r="AD135" s="61"/>
      <c r="AE135" s="61"/>
      <c r="AF135" s="61"/>
      <c r="AG135" s="61"/>
      <c r="AH135" s="61"/>
      <c r="AI135" s="61"/>
      <c r="AJ135" s="61"/>
      <c r="AK135" s="61"/>
      <c r="AL135" s="61"/>
      <c r="AM135" s="61"/>
      <c r="AN135" s="61"/>
      <c r="AO135" s="61">
        <f>'Proforma L+H'!H164</f>
        <v>0</v>
      </c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>
        <f t="shared" si="62"/>
        <v>366400</v>
      </c>
      <c r="BB135" s="758">
        <f>SUM('Proforma L+H'!E164:H164)-BA135</f>
        <v>0</v>
      </c>
    </row>
    <row r="136" spans="1:54" hidden="1" outlineLevel="1" x14ac:dyDescent="0.2">
      <c r="A136" s="2"/>
      <c r="B136" s="163" t="str">
        <f>'Proforma L+H'!B165</f>
        <v>EB-5 Debt - Exit Fee</v>
      </c>
      <c r="C136" s="14"/>
      <c r="D136" s="14"/>
      <c r="E136" s="114">
        <f>'Proforma L+H'!E165</f>
        <v>0</v>
      </c>
      <c r="F136" s="114"/>
      <c r="G136" s="114"/>
      <c r="J136" s="114"/>
      <c r="K136" s="114"/>
      <c r="L136" s="114"/>
      <c r="M136" s="114"/>
      <c r="N136" s="114"/>
      <c r="O136" s="114"/>
      <c r="P136" s="114"/>
      <c r="Q136" s="114">
        <f>'Proforma L+H'!F165</f>
        <v>0</v>
      </c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>
        <f>'Proforma L+H'!G165</f>
        <v>0</v>
      </c>
      <c r="AD136" s="61"/>
      <c r="AE136" s="61"/>
      <c r="AF136" s="61"/>
      <c r="AG136" s="61"/>
      <c r="AH136" s="61"/>
      <c r="AI136" s="61"/>
      <c r="AJ136" s="61"/>
      <c r="AK136" s="61"/>
      <c r="AL136" s="61"/>
      <c r="AM136" s="61"/>
      <c r="AN136" s="61"/>
      <c r="AO136" s="61">
        <f>'Proforma L+H'!H165</f>
        <v>0</v>
      </c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>
        <f t="shared" si="62"/>
        <v>0</v>
      </c>
      <c r="BB136" s="758">
        <f>SUM('Proforma L+H'!E165:H165)-BA136</f>
        <v>0</v>
      </c>
    </row>
    <row r="137" spans="1:54" hidden="1" outlineLevel="1" x14ac:dyDescent="0.2">
      <c r="A137" s="2"/>
      <c r="B137" s="163" t="str">
        <f>'Proforma L+H'!B166</f>
        <v>EB-5 Debt - Balance Repayment</v>
      </c>
      <c r="C137" s="14"/>
      <c r="D137" s="14"/>
      <c r="E137" s="114"/>
      <c r="F137" s="114"/>
      <c r="G137" s="114"/>
      <c r="H137" s="114"/>
      <c r="I137" s="114"/>
      <c r="J137" s="114"/>
      <c r="K137" s="114"/>
      <c r="L137" s="114"/>
      <c r="M137" s="114"/>
      <c r="N137" s="114"/>
      <c r="O137" s="114"/>
      <c r="P137" s="114"/>
      <c r="Q137" s="114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1"/>
      <c r="AJ137" s="61"/>
      <c r="AK137" s="61"/>
      <c r="AL137" s="61"/>
      <c r="AM137" s="61"/>
      <c r="AN137" s="61">
        <f>'Proforma L+H'!G166</f>
        <v>0</v>
      </c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>
        <f>'Proforma L+H'!H166</f>
        <v>0</v>
      </c>
      <c r="BA137" s="61">
        <f t="shared" si="62"/>
        <v>0</v>
      </c>
      <c r="BB137" s="758">
        <f>SUM('Proforma L+H'!E166:H166)-BA137</f>
        <v>0</v>
      </c>
    </row>
    <row r="138" spans="1:54" hidden="1" outlineLevel="1" x14ac:dyDescent="0.2">
      <c r="A138" s="2"/>
      <c r="B138" s="163" t="str">
        <f>'Proforma L+H'!B167</f>
        <v>EB-5 Debt - Ending Balance</v>
      </c>
      <c r="C138" s="14"/>
      <c r="D138" s="14"/>
      <c r="E138" s="114">
        <f>'Proforma L+H'!E167</f>
        <v>0</v>
      </c>
      <c r="F138" s="114">
        <f>F133-F137</f>
        <v>0</v>
      </c>
      <c r="G138" s="114">
        <f t="shared" ref="G138:AZ138" si="63">G133-G137</f>
        <v>0</v>
      </c>
      <c r="H138" s="114">
        <f t="shared" si="63"/>
        <v>0</v>
      </c>
      <c r="I138" s="114">
        <f t="shared" si="63"/>
        <v>0</v>
      </c>
      <c r="J138" s="114">
        <f t="shared" si="63"/>
        <v>0</v>
      </c>
      <c r="K138" s="114">
        <f t="shared" si="63"/>
        <v>0</v>
      </c>
      <c r="L138" s="114">
        <f t="shared" si="63"/>
        <v>0</v>
      </c>
      <c r="M138" s="114">
        <f t="shared" si="63"/>
        <v>0</v>
      </c>
      <c r="N138" s="114">
        <f t="shared" si="63"/>
        <v>0</v>
      </c>
      <c r="O138" s="114">
        <f t="shared" si="63"/>
        <v>0</v>
      </c>
      <c r="P138" s="114">
        <f t="shared" si="63"/>
        <v>0</v>
      </c>
      <c r="Q138" s="114">
        <f t="shared" si="63"/>
        <v>29203743.291970812</v>
      </c>
      <c r="R138" s="114">
        <f t="shared" si="63"/>
        <v>29203743.291970812</v>
      </c>
      <c r="S138" s="114">
        <f t="shared" si="63"/>
        <v>29203743.291970812</v>
      </c>
      <c r="T138" s="114">
        <f t="shared" si="63"/>
        <v>29203743.291970812</v>
      </c>
      <c r="U138" s="114">
        <f t="shared" si="63"/>
        <v>29203743.291970812</v>
      </c>
      <c r="V138" s="114">
        <f t="shared" si="63"/>
        <v>29203743.291970812</v>
      </c>
      <c r="W138" s="114">
        <f t="shared" si="63"/>
        <v>29203743.291970812</v>
      </c>
      <c r="X138" s="114">
        <f t="shared" si="63"/>
        <v>29203743.291970812</v>
      </c>
      <c r="Y138" s="114">
        <f t="shared" si="63"/>
        <v>29203743.291970812</v>
      </c>
      <c r="Z138" s="114">
        <f t="shared" si="63"/>
        <v>29203743.291970812</v>
      </c>
      <c r="AA138" s="114">
        <f t="shared" si="63"/>
        <v>29203743.291970812</v>
      </c>
      <c r="AB138" s="114">
        <f t="shared" si="63"/>
        <v>29203743.291970812</v>
      </c>
      <c r="AC138" s="114">
        <f t="shared" si="63"/>
        <v>29203743.291970812</v>
      </c>
      <c r="AD138" s="114">
        <f t="shared" si="63"/>
        <v>29203743.291970812</v>
      </c>
      <c r="AE138" s="114">
        <f t="shared" si="63"/>
        <v>29203743.291970812</v>
      </c>
      <c r="AF138" s="114">
        <f t="shared" si="63"/>
        <v>29203743.291970812</v>
      </c>
      <c r="AG138" s="114">
        <f t="shared" si="63"/>
        <v>29203743.291970812</v>
      </c>
      <c r="AH138" s="114">
        <f t="shared" si="63"/>
        <v>29203743.291970812</v>
      </c>
      <c r="AI138" s="114">
        <f t="shared" si="63"/>
        <v>29203743.291970812</v>
      </c>
      <c r="AJ138" s="114">
        <f t="shared" si="63"/>
        <v>29203743.291970812</v>
      </c>
      <c r="AK138" s="114">
        <f t="shared" si="63"/>
        <v>29203743.291970812</v>
      </c>
      <c r="AL138" s="114">
        <f t="shared" si="63"/>
        <v>29203743.291970812</v>
      </c>
      <c r="AM138" s="114">
        <f t="shared" si="63"/>
        <v>29203743.291970812</v>
      </c>
      <c r="AN138" s="114">
        <f t="shared" si="63"/>
        <v>29203743.291970812</v>
      </c>
      <c r="AO138" s="114">
        <f t="shared" si="63"/>
        <v>29203743.291970812</v>
      </c>
      <c r="AP138" s="114">
        <f t="shared" si="63"/>
        <v>29203743.291970812</v>
      </c>
      <c r="AQ138" s="114">
        <f t="shared" si="63"/>
        <v>29203743.291970812</v>
      </c>
      <c r="AR138" s="114">
        <f t="shared" si="63"/>
        <v>29203743.291970812</v>
      </c>
      <c r="AS138" s="114">
        <f t="shared" si="63"/>
        <v>29203743.291970812</v>
      </c>
      <c r="AT138" s="114">
        <f t="shared" si="63"/>
        <v>29203743.291970812</v>
      </c>
      <c r="AU138" s="114">
        <f t="shared" si="63"/>
        <v>29203743.291970812</v>
      </c>
      <c r="AV138" s="114">
        <f t="shared" si="63"/>
        <v>29203743.291970812</v>
      </c>
      <c r="AW138" s="114">
        <f t="shared" si="63"/>
        <v>29203743.291970812</v>
      </c>
      <c r="AX138" s="114">
        <f t="shared" si="63"/>
        <v>29203743.291970812</v>
      </c>
      <c r="AY138" s="114">
        <f t="shared" si="63"/>
        <v>29203743.291970812</v>
      </c>
      <c r="AZ138" s="114">
        <f t="shared" si="63"/>
        <v>29203743.291970812</v>
      </c>
      <c r="BA138" s="11"/>
    </row>
    <row r="139" spans="1:54" hidden="1" outlineLevel="1" x14ac:dyDescent="0.2">
      <c r="A139" s="2"/>
      <c r="B139" s="163"/>
      <c r="C139" s="14"/>
      <c r="D139" s="14"/>
      <c r="E139" s="114"/>
      <c r="F139" s="114"/>
      <c r="G139" s="114"/>
      <c r="H139" s="114"/>
      <c r="I139" s="114"/>
      <c r="J139" s="114"/>
      <c r="K139" s="114"/>
      <c r="L139" s="114"/>
      <c r="M139" s="114"/>
      <c r="N139" s="114"/>
      <c r="O139" s="114"/>
      <c r="P139" s="114"/>
      <c r="Q139" s="114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</row>
    <row r="140" spans="1:54" ht="15.5" hidden="1" customHeight="1" outlineLevel="1" x14ac:dyDescent="0.2">
      <c r="A140" s="2"/>
      <c r="B140" s="163" t="str">
        <f>'Proforma L+H'!B169</f>
        <v>Equity Placement Fee</v>
      </c>
      <c r="C140" s="14" t="e">
        <f>Assumptions!#REF!</f>
        <v>#REF!</v>
      </c>
      <c r="D140" s="14"/>
      <c r="E140" s="114"/>
      <c r="F140" s="114"/>
      <c r="G140" s="114"/>
      <c r="H140" s="114"/>
      <c r="I140" s="114"/>
      <c r="J140" s="114"/>
      <c r="K140" s="114"/>
      <c r="L140" s="114"/>
      <c r="M140" s="114"/>
      <c r="N140" s="114"/>
      <c r="O140" s="114"/>
      <c r="P140" s="114"/>
      <c r="Q140" s="114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</row>
    <row r="141" spans="1:54" ht="15.5" hidden="1" customHeight="1" outlineLevel="1" x14ac:dyDescent="0.2">
      <c r="A141" s="2"/>
      <c r="B141" s="163">
        <f>'Proforma L+H'!B170</f>
        <v>0</v>
      </c>
      <c r="C141" s="14"/>
      <c r="D141" s="14"/>
      <c r="E141" s="114"/>
      <c r="F141" s="114"/>
      <c r="G141" s="114"/>
      <c r="H141" s="114"/>
      <c r="I141" s="114"/>
      <c r="J141" s="114"/>
      <c r="K141" s="114"/>
      <c r="L141" s="114"/>
      <c r="M141" s="114"/>
      <c r="N141" s="114"/>
      <c r="O141" s="114"/>
      <c r="P141" s="114"/>
      <c r="Q141" s="114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</row>
    <row r="142" spans="1:54" collapsed="1" x14ac:dyDescent="0.2">
      <c r="A142" s="2"/>
      <c r="B142" s="49" t="str">
        <f>'Proforma L+H'!B171</f>
        <v>FINANCING COSTS &amp; REPAYMENT</v>
      </c>
      <c r="C142" s="50"/>
      <c r="D142" s="50"/>
      <c r="E142" s="51">
        <f ca="1">SUM(E123:E125)+SUM(E128:E130)+SUM(E134:E137)+SUM(E119:E120)</f>
        <v>300000</v>
      </c>
      <c r="F142" s="51">
        <f t="shared" ref="F142:P142" ca="1" si="64">SUM(F123:F125)+SUM(F128:F130)+SUM(F134:F137)+SUM(F119:F120)</f>
        <v>0</v>
      </c>
      <c r="G142" s="51">
        <f t="shared" ca="1" si="64"/>
        <v>0</v>
      </c>
      <c r="H142" s="51">
        <f t="shared" ca="1" si="64"/>
        <v>0</v>
      </c>
      <c r="I142" s="51">
        <f t="shared" ca="1" si="64"/>
        <v>0</v>
      </c>
      <c r="J142" s="51">
        <f t="shared" ca="1" si="64"/>
        <v>0</v>
      </c>
      <c r="K142" s="51">
        <f t="shared" ca="1" si="64"/>
        <v>0</v>
      </c>
      <c r="L142" s="51">
        <f t="shared" ca="1" si="64"/>
        <v>0</v>
      </c>
      <c r="M142" s="51">
        <f t="shared" ca="1" si="64"/>
        <v>0</v>
      </c>
      <c r="N142" s="51">
        <f t="shared" ca="1" si="64"/>
        <v>0</v>
      </c>
      <c r="O142" s="51">
        <f t="shared" ca="1" si="64"/>
        <v>0</v>
      </c>
      <c r="P142" s="51">
        <f t="shared" ca="1" si="64"/>
        <v>0</v>
      </c>
      <c r="Q142" s="51">
        <f ca="1">SUM(Q123:Q125)+SUM(Q128:Q130)+SUM(Q134:Q137)+Q120</f>
        <v>19859194.477849893</v>
      </c>
      <c r="R142" s="51">
        <f t="shared" ref="R142:AZ142" ca="1" si="65">SUM(R123:R125)+SUM(R128:R130)+SUM(R134:R137)+R120</f>
        <v>526543.94557548687</v>
      </c>
      <c r="S142" s="51">
        <f t="shared" ca="1" si="65"/>
        <v>526543.94557548687</v>
      </c>
      <c r="T142" s="51">
        <f t="shared" ca="1" si="65"/>
        <v>526543.94557548687</v>
      </c>
      <c r="U142" s="51">
        <f t="shared" ca="1" si="65"/>
        <v>526543.94557548687</v>
      </c>
      <c r="V142" s="51">
        <f t="shared" ca="1" si="65"/>
        <v>526543.94557548687</v>
      </c>
      <c r="W142" s="51">
        <f t="shared" ca="1" si="65"/>
        <v>526543.94557548687</v>
      </c>
      <c r="X142" s="51">
        <f t="shared" ca="1" si="65"/>
        <v>526543.94557548687</v>
      </c>
      <c r="Y142" s="51">
        <f t="shared" ca="1" si="65"/>
        <v>526543.94557548687</v>
      </c>
      <c r="Z142" s="51">
        <f t="shared" ca="1" si="65"/>
        <v>526543.94557548687</v>
      </c>
      <c r="AA142" s="51">
        <f t="shared" ca="1" si="65"/>
        <v>526543.94557548687</v>
      </c>
      <c r="AB142" s="51">
        <f t="shared" ca="1" si="65"/>
        <v>526543.94557548687</v>
      </c>
      <c r="AC142" s="51">
        <f t="shared" ca="1" si="65"/>
        <v>651124.55888845713</v>
      </c>
      <c r="AD142" s="51">
        <f t="shared" ca="1" si="65"/>
        <v>651124.55888845713</v>
      </c>
      <c r="AE142" s="51">
        <f t="shared" ca="1" si="65"/>
        <v>651124.55888845713</v>
      </c>
      <c r="AF142" s="51">
        <f t="shared" ca="1" si="65"/>
        <v>651124.55888845713</v>
      </c>
      <c r="AG142" s="51">
        <f t="shared" ca="1" si="65"/>
        <v>651124.55888845713</v>
      </c>
      <c r="AH142" s="51">
        <f t="shared" ca="1" si="65"/>
        <v>651124.55888845713</v>
      </c>
      <c r="AI142" s="51">
        <f t="shared" ca="1" si="65"/>
        <v>651124.55888845713</v>
      </c>
      <c r="AJ142" s="51">
        <f t="shared" ca="1" si="65"/>
        <v>651124.55888845713</v>
      </c>
      <c r="AK142" s="51">
        <f t="shared" ca="1" si="65"/>
        <v>651124.55888845713</v>
      </c>
      <c r="AL142" s="51">
        <f t="shared" ca="1" si="65"/>
        <v>651124.55888845713</v>
      </c>
      <c r="AM142" s="51">
        <f t="shared" ca="1" si="65"/>
        <v>651124.55888845713</v>
      </c>
      <c r="AN142" s="51">
        <f t="shared" ca="1" si="65"/>
        <v>651124.55888845713</v>
      </c>
      <c r="AO142" s="51">
        <f t="shared" ca="1" si="65"/>
        <v>1214986.5178652159</v>
      </c>
      <c r="AP142" s="51">
        <f t="shared" ca="1" si="65"/>
        <v>679795.505955072</v>
      </c>
      <c r="AQ142" s="51">
        <f t="shared" ca="1" si="65"/>
        <v>679795.505955072</v>
      </c>
      <c r="AR142" s="51">
        <f t="shared" ca="1" si="65"/>
        <v>679795.505955072</v>
      </c>
      <c r="AS142" s="51">
        <f t="shared" ca="1" si="65"/>
        <v>679795.505955072</v>
      </c>
      <c r="AT142" s="51">
        <f t="shared" ca="1" si="65"/>
        <v>679795.505955072</v>
      </c>
      <c r="AU142" s="51">
        <f t="shared" ca="1" si="65"/>
        <v>679795.505955072</v>
      </c>
      <c r="AV142" s="51">
        <f t="shared" ca="1" si="65"/>
        <v>679795.505955072</v>
      </c>
      <c r="AW142" s="51">
        <f t="shared" ca="1" si="65"/>
        <v>679795.505955072</v>
      </c>
      <c r="AX142" s="51">
        <f t="shared" ca="1" si="65"/>
        <v>679795.505955072</v>
      </c>
      <c r="AY142" s="51">
        <f t="shared" ca="1" si="65"/>
        <v>679795.505955072</v>
      </c>
      <c r="AZ142" s="51">
        <f t="shared" ca="1" si="65"/>
        <v>679795.505955072</v>
      </c>
      <c r="BA142" s="52">
        <f ca="1">SUM(E142:AZ142)</f>
        <v>42457409.669212729</v>
      </c>
      <c r="BB142" s="758">
        <f ca="1">SUM('Proforma L+H'!E171:H171)-BA142</f>
        <v>0</v>
      </c>
    </row>
    <row r="143" spans="1:54" x14ac:dyDescent="0.2">
      <c r="A143" s="2"/>
      <c r="B143" t="str">
        <f>'Proforma L+H'!B172</f>
        <v>FINANCING COSTS ONLY</v>
      </c>
      <c r="C143" s="14"/>
      <c r="D143" s="14"/>
      <c r="E143" s="11">
        <f ca="1">SUM(E118:E119)+SUM(E123:E124)+SUM(E128:E129)+SUM(E134:E136)</f>
        <v>300000</v>
      </c>
      <c r="F143" s="11">
        <f t="shared" ref="F143:AZ143" ca="1" si="66">SUM(F118:F119)+SUM(F123:F124)+SUM(F128:F129)+SUM(F134:F136)</f>
        <v>0</v>
      </c>
      <c r="G143" s="11">
        <f t="shared" ca="1" si="66"/>
        <v>0</v>
      </c>
      <c r="H143" s="11">
        <f t="shared" ca="1" si="66"/>
        <v>0</v>
      </c>
      <c r="I143" s="11">
        <f t="shared" ca="1" si="66"/>
        <v>0</v>
      </c>
      <c r="J143" s="11">
        <f t="shared" ca="1" si="66"/>
        <v>0</v>
      </c>
      <c r="K143" s="11">
        <f t="shared" ca="1" si="66"/>
        <v>0</v>
      </c>
      <c r="L143" s="11">
        <f t="shared" ca="1" si="66"/>
        <v>0</v>
      </c>
      <c r="M143" s="11">
        <f t="shared" ca="1" si="66"/>
        <v>0</v>
      </c>
      <c r="N143" s="11">
        <f t="shared" ca="1" si="66"/>
        <v>0</v>
      </c>
      <c r="O143" s="11">
        <f t="shared" ca="1" si="66"/>
        <v>0</v>
      </c>
      <c r="P143" s="11">
        <f t="shared" ca="1" si="66"/>
        <v>0</v>
      </c>
      <c r="Q143" s="11">
        <f t="shared" ca="1" si="66"/>
        <v>4859194.4778498933</v>
      </c>
      <c r="R143" s="11">
        <f t="shared" ca="1" si="66"/>
        <v>526543.94557548687</v>
      </c>
      <c r="S143" s="11">
        <f t="shared" ca="1" si="66"/>
        <v>526543.94557548687</v>
      </c>
      <c r="T143" s="11">
        <f t="shared" ca="1" si="66"/>
        <v>526543.94557548687</v>
      </c>
      <c r="U143" s="11">
        <f t="shared" ca="1" si="66"/>
        <v>526543.94557548687</v>
      </c>
      <c r="V143" s="11">
        <f t="shared" ca="1" si="66"/>
        <v>526543.94557548687</v>
      </c>
      <c r="W143" s="11">
        <f t="shared" ca="1" si="66"/>
        <v>526543.94557548687</v>
      </c>
      <c r="X143" s="11">
        <f t="shared" ca="1" si="66"/>
        <v>526543.94557548687</v>
      </c>
      <c r="Y143" s="11">
        <f t="shared" ca="1" si="66"/>
        <v>526543.94557548687</v>
      </c>
      <c r="Z143" s="11">
        <f t="shared" ca="1" si="66"/>
        <v>526543.94557548687</v>
      </c>
      <c r="AA143" s="11">
        <f t="shared" ca="1" si="66"/>
        <v>526543.94557548687</v>
      </c>
      <c r="AB143" s="11">
        <f t="shared" ca="1" si="66"/>
        <v>526543.94557548687</v>
      </c>
      <c r="AC143" s="11">
        <f t="shared" ca="1" si="66"/>
        <v>651124.55888845713</v>
      </c>
      <c r="AD143" s="11">
        <f t="shared" ca="1" si="66"/>
        <v>651124.55888845713</v>
      </c>
      <c r="AE143" s="11">
        <f t="shared" ca="1" si="66"/>
        <v>651124.55888845713</v>
      </c>
      <c r="AF143" s="11">
        <f t="shared" ca="1" si="66"/>
        <v>651124.55888845713</v>
      </c>
      <c r="AG143" s="11">
        <f t="shared" ca="1" si="66"/>
        <v>651124.55888845713</v>
      </c>
      <c r="AH143" s="11">
        <f t="shared" ca="1" si="66"/>
        <v>651124.55888845713</v>
      </c>
      <c r="AI143" s="11">
        <f t="shared" ca="1" si="66"/>
        <v>651124.55888845713</v>
      </c>
      <c r="AJ143" s="11">
        <f t="shared" ca="1" si="66"/>
        <v>651124.55888845713</v>
      </c>
      <c r="AK143" s="11">
        <f t="shared" ca="1" si="66"/>
        <v>651124.55888845713</v>
      </c>
      <c r="AL143" s="11">
        <f t="shared" ca="1" si="66"/>
        <v>651124.55888845713</v>
      </c>
      <c r="AM143" s="11">
        <f t="shared" ca="1" si="66"/>
        <v>651124.55888845713</v>
      </c>
      <c r="AN143" s="11">
        <f t="shared" ca="1" si="66"/>
        <v>651124.55888845713</v>
      </c>
      <c r="AO143" s="11">
        <f t="shared" ca="1" si="66"/>
        <v>1214986.5178652159</v>
      </c>
      <c r="AP143" s="11">
        <f t="shared" ca="1" si="66"/>
        <v>679795.505955072</v>
      </c>
      <c r="AQ143" s="11">
        <f t="shared" ca="1" si="66"/>
        <v>679795.505955072</v>
      </c>
      <c r="AR143" s="11">
        <f t="shared" ca="1" si="66"/>
        <v>679795.505955072</v>
      </c>
      <c r="AS143" s="11">
        <f t="shared" ca="1" si="66"/>
        <v>679795.505955072</v>
      </c>
      <c r="AT143" s="11">
        <f t="shared" ca="1" si="66"/>
        <v>679795.505955072</v>
      </c>
      <c r="AU143" s="11">
        <f t="shared" ca="1" si="66"/>
        <v>679795.505955072</v>
      </c>
      <c r="AV143" s="11">
        <f t="shared" ca="1" si="66"/>
        <v>679795.505955072</v>
      </c>
      <c r="AW143" s="11">
        <f t="shared" ca="1" si="66"/>
        <v>679795.505955072</v>
      </c>
      <c r="AX143" s="11">
        <f t="shared" ca="1" si="66"/>
        <v>679795.505955072</v>
      </c>
      <c r="AY143" s="11">
        <f t="shared" ca="1" si="66"/>
        <v>679795.505955072</v>
      </c>
      <c r="AZ143" s="11">
        <f t="shared" ca="1" si="66"/>
        <v>679795.505955072</v>
      </c>
      <c r="BA143" s="11">
        <f ca="1">SUM(E143:AZ143)</f>
        <v>27457409.669212729</v>
      </c>
      <c r="BB143" s="758">
        <f ca="1">SUM('Proforma L+H'!E172:H172)-BA143</f>
        <v>0</v>
      </c>
    </row>
    <row r="144" spans="1:54" x14ac:dyDescent="0.2">
      <c r="A144" s="2"/>
      <c r="B144" s="3"/>
      <c r="C144" s="31"/>
      <c r="D144" s="31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</row>
    <row r="145" spans="1:54" x14ac:dyDescent="0.2">
      <c r="A145" s="2"/>
      <c r="B145" s="81" t="str">
        <f>'Proforma L+H'!B174</f>
        <v>EQUITY INVESTMENT &amp; DISTRIBUTIONS</v>
      </c>
      <c r="E145" s="68"/>
      <c r="F145" s="68"/>
      <c r="G145" s="68"/>
      <c r="H145" s="68"/>
      <c r="I145" s="540"/>
      <c r="J145" s="540"/>
      <c r="K145" s="540"/>
      <c r="L145" s="540"/>
      <c r="M145" s="46"/>
      <c r="N145" s="46"/>
      <c r="O145" s="46"/>
      <c r="P145" s="46"/>
      <c r="Q145" s="46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</row>
    <row r="146" spans="1:54" x14ac:dyDescent="0.2">
      <c r="A146" s="2"/>
      <c r="B146" s="81"/>
      <c r="E146" s="68"/>
      <c r="F146" s="68"/>
      <c r="G146" s="68"/>
      <c r="H146" s="68"/>
      <c r="I146" s="540"/>
      <c r="J146" s="540"/>
      <c r="K146" s="540"/>
      <c r="L146" s="540"/>
      <c r="M146" s="46"/>
      <c r="N146" s="46"/>
      <c r="O146" s="46"/>
      <c r="P146" s="46"/>
      <c r="Q146" s="46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</row>
    <row r="147" spans="1:54" x14ac:dyDescent="0.2">
      <c r="A147" s="2"/>
      <c r="B147" s="440" t="str">
        <f>'Proforma L+H'!B176</f>
        <v>Capital Available to Distribute</v>
      </c>
      <c r="C147" s="128"/>
      <c r="D147" s="128"/>
      <c r="E147" s="114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>
        <f>'Proforma L+H'!E176</f>
        <v>0</v>
      </c>
      <c r="Q147" s="9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>
        <f>'Proforma L+H'!F176</f>
        <v>891800</v>
      </c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>
        <f>'Proforma L+H'!G176</f>
        <v>574372.85416667536</v>
      </c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>
        <f>'Proforma L+H'!H176</f>
        <v>6798922.9695171248</v>
      </c>
      <c r="BA147" s="32">
        <f t="shared" ref="BA147" si="67">SUM(E147:AZ147)</f>
        <v>8265095.8236838002</v>
      </c>
      <c r="BB147" s="758">
        <f>SUM('Proforma L+H'!E176:H176)-BA147</f>
        <v>0</v>
      </c>
    </row>
    <row r="148" spans="1:54" x14ac:dyDescent="0.2">
      <c r="A148" s="2"/>
      <c r="B148" s="3"/>
      <c r="D148" s="128"/>
      <c r="E148" s="92"/>
      <c r="F148" s="92"/>
      <c r="G148" s="92"/>
      <c r="H148" s="92"/>
      <c r="I148" s="532"/>
      <c r="J148" s="532"/>
      <c r="K148" s="532"/>
      <c r="L148" s="532"/>
      <c r="M148" s="91"/>
      <c r="N148" s="91"/>
      <c r="O148" s="91"/>
      <c r="P148" s="91"/>
      <c r="Q148" s="91"/>
      <c r="R148" s="114"/>
      <c r="S148" s="114"/>
      <c r="T148" s="114"/>
      <c r="U148" s="114"/>
      <c r="V148" s="114"/>
      <c r="W148" s="114"/>
      <c r="X148" s="114"/>
      <c r="Y148" s="114"/>
      <c r="Z148" s="114"/>
      <c r="AA148" s="114"/>
      <c r="AB148" s="114"/>
      <c r="AC148" s="114"/>
      <c r="AD148" s="114"/>
      <c r="AE148" s="114"/>
      <c r="AF148" s="114"/>
      <c r="AG148" s="114"/>
      <c r="AH148" s="114"/>
      <c r="AI148" s="114"/>
      <c r="AJ148" s="114"/>
      <c r="AK148" s="114"/>
      <c r="AL148" s="114"/>
      <c r="AM148" s="114"/>
      <c r="AN148" s="114"/>
      <c r="AO148" s="114"/>
      <c r="AP148" s="114"/>
      <c r="AQ148" s="114"/>
      <c r="AR148" s="114"/>
      <c r="AS148" s="114"/>
      <c r="AT148" s="114"/>
      <c r="AU148" s="114"/>
      <c r="AV148" s="114"/>
      <c r="AW148" s="114"/>
      <c r="AX148" s="114"/>
      <c r="AY148" s="114"/>
      <c r="AZ148" s="114"/>
      <c r="BA148" s="114"/>
    </row>
    <row r="149" spans="1:54" x14ac:dyDescent="0.2">
      <c r="A149" s="2"/>
      <c r="B149" t="str">
        <f>'Proforma L+H'!B181</f>
        <v>JV Investor LP</v>
      </c>
      <c r="D149" s="128"/>
      <c r="E149" s="92"/>
      <c r="F149" s="92"/>
      <c r="G149" s="92"/>
      <c r="H149" s="92"/>
      <c r="I149" s="532"/>
      <c r="J149" s="532"/>
      <c r="K149" s="532"/>
      <c r="L149" s="532"/>
      <c r="M149" s="91"/>
      <c r="N149" s="91"/>
      <c r="O149" s="91"/>
      <c r="P149" s="91"/>
      <c r="Q149" s="91"/>
      <c r="R149" s="114"/>
      <c r="S149" s="114"/>
      <c r="T149" s="114"/>
      <c r="U149" s="114"/>
      <c r="V149" s="114"/>
      <c r="W149" s="114"/>
      <c r="X149" s="114"/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  <c r="AT149" s="114"/>
      <c r="AU149" s="114"/>
      <c r="AV149" s="114"/>
      <c r="AW149" s="114"/>
      <c r="AX149" s="114"/>
      <c r="AY149" s="114"/>
      <c r="AZ149" s="114"/>
      <c r="BA149" s="114"/>
    </row>
    <row r="150" spans="1:54" x14ac:dyDescent="0.2">
      <c r="A150" s="2"/>
      <c r="B150" s="170" t="str">
        <f>'Proforma L+H'!B182</f>
        <v>Pref Accrual</v>
      </c>
      <c r="C150" s="62" t="e">
        <f>Assumptions!#REF!</f>
        <v>#REF!</v>
      </c>
      <c r="D150" s="128"/>
      <c r="E150" s="92">
        <f ca="1">OFFSET('Proforma L+H'!$E182,0,'L+H Monthly CF'!E$3)/12</f>
        <v>0</v>
      </c>
      <c r="F150" s="92">
        <f ca="1">OFFSET('Proforma L+H'!$E182,0,'L+H Monthly CF'!F$3)/12</f>
        <v>0</v>
      </c>
      <c r="G150" s="92">
        <f ca="1">OFFSET('Proforma L+H'!$E182,0,'L+H Monthly CF'!G$3)/12</f>
        <v>0</v>
      </c>
      <c r="H150" s="92">
        <f ca="1">OFFSET('Proforma L+H'!$E182,0,'L+H Monthly CF'!H$3)/12</f>
        <v>0</v>
      </c>
      <c r="I150" s="92">
        <f ca="1">OFFSET('Proforma L+H'!$E182,0,'L+H Monthly CF'!I$3)/12</f>
        <v>0</v>
      </c>
      <c r="J150" s="92">
        <f ca="1">OFFSET('Proforma L+H'!$E182,0,'L+H Monthly CF'!J$3)/12</f>
        <v>0</v>
      </c>
      <c r="K150" s="92">
        <f ca="1">OFFSET('Proforma L+H'!$E182,0,'L+H Monthly CF'!K$3)/12</f>
        <v>0</v>
      </c>
      <c r="L150" s="92">
        <f ca="1">OFFSET('Proforma L+H'!$E182,0,'L+H Monthly CF'!L$3)/12</f>
        <v>0</v>
      </c>
      <c r="M150" s="91">
        <f ca="1">OFFSET('Proforma L+H'!$E182,0,'L+H Monthly CF'!M$3)/12</f>
        <v>0</v>
      </c>
      <c r="N150" s="91">
        <f ca="1">OFFSET('Proforma L+H'!$E182,0,'L+H Monthly CF'!N$3)/12</f>
        <v>0</v>
      </c>
      <c r="O150" s="91">
        <f ca="1">OFFSET('Proforma L+H'!$E182,0,'L+H Monthly CF'!O$3)/12</f>
        <v>0</v>
      </c>
      <c r="P150" s="91">
        <f ca="1">OFFSET('Proforma L+H'!$E182,0,'L+H Monthly CF'!P$3)/12</f>
        <v>0</v>
      </c>
      <c r="Q150" s="91">
        <f ca="1">OFFSET('Proforma L+H'!$E182,0,'L+H Monthly CF'!Q$3)/12</f>
        <v>83333.333333333328</v>
      </c>
      <c r="R150" s="11">
        <f ca="1">OFFSET('Proforma L+H'!$E182,0,'L+H Monthly CF'!R$3)/12</f>
        <v>83333.333333333328</v>
      </c>
      <c r="S150" s="11">
        <f ca="1">OFFSET('Proforma L+H'!$E182,0,'L+H Monthly CF'!S$3)/12</f>
        <v>83333.333333333328</v>
      </c>
      <c r="T150" s="11">
        <f ca="1">OFFSET('Proforma L+H'!$E182,0,'L+H Monthly CF'!T$3)/12</f>
        <v>83333.333333333328</v>
      </c>
      <c r="U150" s="11">
        <f ca="1">OFFSET('Proforma L+H'!$E182,0,'L+H Monthly CF'!U$3)/12</f>
        <v>83333.333333333328</v>
      </c>
      <c r="V150" s="11">
        <f ca="1">OFFSET('Proforma L+H'!$E182,0,'L+H Monthly CF'!V$3)/12</f>
        <v>83333.333333333328</v>
      </c>
      <c r="W150" s="11">
        <f ca="1">OFFSET('Proforma L+H'!$E182,0,'L+H Monthly CF'!W$3)/12</f>
        <v>83333.333333333328</v>
      </c>
      <c r="X150" s="11">
        <f ca="1">OFFSET('Proforma L+H'!$E182,0,'L+H Monthly CF'!X$3)/12</f>
        <v>83333.333333333328</v>
      </c>
      <c r="Y150" s="11">
        <f ca="1">OFFSET('Proforma L+H'!$E182,0,'L+H Monthly CF'!Y$3)/12</f>
        <v>83333.333333333328</v>
      </c>
      <c r="Z150" s="11">
        <f ca="1">OFFSET('Proforma L+H'!$E182,0,'L+H Monthly CF'!Z$3)/12</f>
        <v>83333.333333333328</v>
      </c>
      <c r="AA150" s="11">
        <f ca="1">OFFSET('Proforma L+H'!$E182,0,'L+H Monthly CF'!AA$3)/12</f>
        <v>83333.333333333328</v>
      </c>
      <c r="AB150" s="11">
        <f ca="1">OFFSET('Proforma L+H'!$E182,0,'L+H Monthly CF'!AB$3)/12</f>
        <v>83333.333333333328</v>
      </c>
      <c r="AC150" s="11">
        <f ca="1">OFFSET('Proforma L+H'!$E182,0,'L+H Monthly CF'!AC$3)/12</f>
        <v>91666.666666666672</v>
      </c>
      <c r="AD150" s="11">
        <f ca="1">OFFSET('Proforma L+H'!$E182,0,'L+H Monthly CF'!AD$3)/12</f>
        <v>91666.666666666672</v>
      </c>
      <c r="AE150" s="11">
        <f ca="1">OFFSET('Proforma L+H'!$E182,0,'L+H Monthly CF'!AE$3)/12</f>
        <v>91666.666666666672</v>
      </c>
      <c r="AF150" s="11">
        <f ca="1">OFFSET('Proforma L+H'!$E182,0,'L+H Monthly CF'!AF$3)/12</f>
        <v>91666.666666666672</v>
      </c>
      <c r="AG150" s="11">
        <f ca="1">OFFSET('Proforma L+H'!$E182,0,'L+H Monthly CF'!AG$3)/12</f>
        <v>91666.666666666672</v>
      </c>
      <c r="AH150" s="11">
        <f ca="1">OFFSET('Proforma L+H'!$E182,0,'L+H Monthly CF'!AH$3)/12</f>
        <v>91666.666666666672</v>
      </c>
      <c r="AI150" s="11">
        <f ca="1">OFFSET('Proforma L+H'!$E182,0,'L+H Monthly CF'!AI$3)/12</f>
        <v>91666.666666666672</v>
      </c>
      <c r="AJ150" s="11">
        <f ca="1">OFFSET('Proforma L+H'!$E182,0,'L+H Monthly CF'!AJ$3)/12</f>
        <v>91666.666666666672</v>
      </c>
      <c r="AK150" s="11">
        <f ca="1">OFFSET('Proforma L+H'!$E182,0,'L+H Monthly CF'!AK$3)/12</f>
        <v>91666.666666666672</v>
      </c>
      <c r="AL150" s="11">
        <f ca="1">OFFSET('Proforma L+H'!$E182,0,'L+H Monthly CF'!AL$3)/12</f>
        <v>91666.666666666672</v>
      </c>
      <c r="AM150" s="11">
        <f ca="1">OFFSET('Proforma L+H'!$E182,0,'L+H Monthly CF'!AM$3)/12</f>
        <v>91666.666666666672</v>
      </c>
      <c r="AN150" s="11">
        <f ca="1">OFFSET('Proforma L+H'!$E182,0,'L+H Monthly CF'!AN$3)/12</f>
        <v>91666.666666666672</v>
      </c>
      <c r="AO150" s="11">
        <f ca="1">OFFSET('Proforma L+H'!$E182,0,'L+H Monthly CF'!AO$3)/12</f>
        <v>100833.33333333333</v>
      </c>
      <c r="AP150" s="11">
        <f ca="1">OFFSET('Proforma L+H'!$E182,0,'L+H Monthly CF'!AP$3)/12</f>
        <v>100833.33333333333</v>
      </c>
      <c r="AQ150" s="11">
        <f ca="1">OFFSET('Proforma L+H'!$E182,0,'L+H Monthly CF'!AQ$3)/12</f>
        <v>100833.33333333333</v>
      </c>
      <c r="AR150" s="11">
        <f ca="1">OFFSET('Proforma L+H'!$E182,0,'L+H Monthly CF'!AR$3)/12</f>
        <v>100833.33333333333</v>
      </c>
      <c r="AS150" s="11">
        <f ca="1">OFFSET('Proforma L+H'!$E182,0,'L+H Monthly CF'!AS$3)/12</f>
        <v>100833.33333333333</v>
      </c>
      <c r="AT150" s="11">
        <f ca="1">OFFSET('Proforma L+H'!$E182,0,'L+H Monthly CF'!AT$3)/12</f>
        <v>100833.33333333333</v>
      </c>
      <c r="AU150" s="11">
        <f ca="1">OFFSET('Proforma L+H'!$E182,0,'L+H Monthly CF'!AU$3)/12</f>
        <v>100833.33333333333</v>
      </c>
      <c r="AV150" s="11">
        <f ca="1">OFFSET('Proforma L+H'!$E182,0,'L+H Monthly CF'!AV$3)/12</f>
        <v>100833.33333333333</v>
      </c>
      <c r="AW150" s="11">
        <f ca="1">OFFSET('Proforma L+H'!$E182,0,'L+H Monthly CF'!AW$3)/12</f>
        <v>100833.33333333333</v>
      </c>
      <c r="AX150" s="11">
        <f ca="1">OFFSET('Proforma L+H'!$E182,0,'L+H Monthly CF'!AX$3)/12</f>
        <v>100833.33333333333</v>
      </c>
      <c r="AY150" s="11">
        <f ca="1">OFFSET('Proforma L+H'!$E182,0,'L+H Monthly CF'!AY$3)/12</f>
        <v>100833.33333333333</v>
      </c>
      <c r="AZ150" s="11">
        <f ca="1">OFFSET('Proforma L+H'!$E182,0,'L+H Monthly CF'!AZ$3)/12</f>
        <v>100833.33333333333</v>
      </c>
      <c r="BA150" s="11">
        <f t="shared" ref="BA150:BA151" ca="1" si="68">SUM(E150:AZ150)</f>
        <v>3310000.0000000028</v>
      </c>
      <c r="BB150" s="758">
        <f ca="1">SUM('Proforma L+H'!E182:H182)-BA150</f>
        <v>0</v>
      </c>
    </row>
    <row r="151" spans="1:54" x14ac:dyDescent="0.2">
      <c r="A151" s="2"/>
      <c r="B151" s="170" t="str">
        <f>'Proforma L+H'!B183</f>
        <v>Capital Return</v>
      </c>
      <c r="C151" s="62" t="e">
        <f>R10/R11</f>
        <v>#DIV/0!</v>
      </c>
      <c r="D151" s="128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>
        <f>'Proforma L+H'!E183</f>
        <v>0</v>
      </c>
      <c r="Q151" s="92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>
        <f t="shared" si="68"/>
        <v>0</v>
      </c>
      <c r="BB151" s="758">
        <f>SUM('Proforma L+H'!E183:H183)-BA151</f>
        <v>0</v>
      </c>
    </row>
    <row r="152" spans="1:54" x14ac:dyDescent="0.2">
      <c r="A152" s="2"/>
      <c r="B152" s="227" t="str">
        <f>'Proforma L+H'!B184</f>
        <v>Ending Invested Capital</v>
      </c>
      <c r="C152" s="236"/>
      <c r="D152" s="146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>
        <f>'Proforma L+H'!E184</f>
        <v>10000000</v>
      </c>
      <c r="Q152" s="92">
        <f ca="1">P152+Q150-Q151</f>
        <v>10083333.333333334</v>
      </c>
      <c r="R152" s="92">
        <f t="shared" ref="R152:AZ152" ca="1" si="69">Q152+R150-R151</f>
        <v>10166666.666666668</v>
      </c>
      <c r="S152" s="92">
        <f t="shared" ca="1" si="69"/>
        <v>10250000.000000002</v>
      </c>
      <c r="T152" s="92">
        <f t="shared" ca="1" si="69"/>
        <v>10333333.333333336</v>
      </c>
      <c r="U152" s="92">
        <f t="shared" ca="1" si="69"/>
        <v>10416666.66666667</v>
      </c>
      <c r="V152" s="92">
        <f t="shared" ca="1" si="69"/>
        <v>10500000.000000004</v>
      </c>
      <c r="W152" s="92">
        <f t="shared" ca="1" si="69"/>
        <v>10583333.333333338</v>
      </c>
      <c r="X152" s="92">
        <f t="shared" ca="1" si="69"/>
        <v>10666666.666666672</v>
      </c>
      <c r="Y152" s="92">
        <f t="shared" ca="1" si="69"/>
        <v>10750000.000000006</v>
      </c>
      <c r="Z152" s="92">
        <f t="shared" ca="1" si="69"/>
        <v>10833333.33333334</v>
      </c>
      <c r="AA152" s="92">
        <f t="shared" ca="1" si="69"/>
        <v>10916666.666666673</v>
      </c>
      <c r="AB152" s="92">
        <f t="shared" ca="1" si="69"/>
        <v>11000000.000000007</v>
      </c>
      <c r="AC152" s="92">
        <f t="shared" ca="1" si="69"/>
        <v>11091666.666666673</v>
      </c>
      <c r="AD152" s="92">
        <f t="shared" ca="1" si="69"/>
        <v>11183333.33333334</v>
      </c>
      <c r="AE152" s="92">
        <f t="shared" ca="1" si="69"/>
        <v>11275000.000000006</v>
      </c>
      <c r="AF152" s="92">
        <f t="shared" ca="1" si="69"/>
        <v>11366666.666666672</v>
      </c>
      <c r="AG152" s="92">
        <f t="shared" ca="1" si="69"/>
        <v>11458333.333333338</v>
      </c>
      <c r="AH152" s="92">
        <f t="shared" ca="1" si="69"/>
        <v>11550000.000000004</v>
      </c>
      <c r="AI152" s="92">
        <f t="shared" ca="1" si="69"/>
        <v>11641666.66666667</v>
      </c>
      <c r="AJ152" s="92">
        <f t="shared" ca="1" si="69"/>
        <v>11733333.333333336</v>
      </c>
      <c r="AK152" s="92">
        <f t="shared" ca="1" si="69"/>
        <v>11825000.000000002</v>
      </c>
      <c r="AL152" s="92">
        <f t="shared" ca="1" si="69"/>
        <v>11916666.666666668</v>
      </c>
      <c r="AM152" s="92">
        <f t="shared" ca="1" si="69"/>
        <v>12008333.333333334</v>
      </c>
      <c r="AN152" s="92">
        <f t="shared" ca="1" si="69"/>
        <v>12100000</v>
      </c>
      <c r="AO152" s="92">
        <f t="shared" ca="1" si="69"/>
        <v>12200833.333333334</v>
      </c>
      <c r="AP152" s="92">
        <f t="shared" ca="1" si="69"/>
        <v>12301666.666666668</v>
      </c>
      <c r="AQ152" s="92">
        <f t="shared" ca="1" si="69"/>
        <v>12402500.000000002</v>
      </c>
      <c r="AR152" s="92">
        <f t="shared" ca="1" si="69"/>
        <v>12503333.333333336</v>
      </c>
      <c r="AS152" s="92">
        <f t="shared" ca="1" si="69"/>
        <v>12604166.66666667</v>
      </c>
      <c r="AT152" s="92">
        <f t="shared" ca="1" si="69"/>
        <v>12705000.000000004</v>
      </c>
      <c r="AU152" s="92">
        <f t="shared" ca="1" si="69"/>
        <v>12805833.333333338</v>
      </c>
      <c r="AV152" s="92">
        <f t="shared" ca="1" si="69"/>
        <v>12906666.666666672</v>
      </c>
      <c r="AW152" s="92">
        <f t="shared" ca="1" si="69"/>
        <v>13007500.000000006</v>
      </c>
      <c r="AX152" s="92">
        <f t="shared" ca="1" si="69"/>
        <v>13108333.33333334</v>
      </c>
      <c r="AY152" s="92">
        <f t="shared" ca="1" si="69"/>
        <v>13209166.666666673</v>
      </c>
      <c r="AZ152" s="92">
        <f t="shared" ca="1" si="69"/>
        <v>13310000.000000007</v>
      </c>
      <c r="BA152" s="114"/>
    </row>
    <row r="153" spans="1:54" x14ac:dyDescent="0.2">
      <c r="A153" s="2"/>
      <c r="B153" s="227" t="str">
        <f>'Proforma L+H'!B185</f>
        <v>Cash Flow</v>
      </c>
      <c r="C153" s="659" t="e">
        <f>IRR(E153:Q153)</f>
        <v>#NUM!</v>
      </c>
      <c r="D153" s="146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>
        <f>-P152</f>
        <v>-10000000</v>
      </c>
      <c r="Q153" s="92">
        <f>Q151</f>
        <v>0</v>
      </c>
      <c r="R153" s="92">
        <f t="shared" ref="R153:AZ153" si="70">R151</f>
        <v>0</v>
      </c>
      <c r="S153" s="92">
        <f t="shared" si="70"/>
        <v>0</v>
      </c>
      <c r="T153" s="92">
        <f t="shared" si="70"/>
        <v>0</v>
      </c>
      <c r="U153" s="92">
        <f t="shared" si="70"/>
        <v>0</v>
      </c>
      <c r="V153" s="92">
        <f t="shared" si="70"/>
        <v>0</v>
      </c>
      <c r="W153" s="92">
        <f t="shared" si="70"/>
        <v>0</v>
      </c>
      <c r="X153" s="92">
        <f t="shared" si="70"/>
        <v>0</v>
      </c>
      <c r="Y153" s="92">
        <f t="shared" si="70"/>
        <v>0</v>
      </c>
      <c r="Z153" s="92">
        <f t="shared" si="70"/>
        <v>0</v>
      </c>
      <c r="AA153" s="92">
        <f t="shared" si="70"/>
        <v>0</v>
      </c>
      <c r="AB153" s="92">
        <f t="shared" si="70"/>
        <v>0</v>
      </c>
      <c r="AC153" s="92">
        <f t="shared" si="70"/>
        <v>0</v>
      </c>
      <c r="AD153" s="92">
        <f t="shared" si="70"/>
        <v>0</v>
      </c>
      <c r="AE153" s="92">
        <f t="shared" si="70"/>
        <v>0</v>
      </c>
      <c r="AF153" s="92">
        <f t="shared" si="70"/>
        <v>0</v>
      </c>
      <c r="AG153" s="92">
        <f t="shared" si="70"/>
        <v>0</v>
      </c>
      <c r="AH153" s="92">
        <f t="shared" si="70"/>
        <v>0</v>
      </c>
      <c r="AI153" s="92">
        <f t="shared" si="70"/>
        <v>0</v>
      </c>
      <c r="AJ153" s="92">
        <f t="shared" si="70"/>
        <v>0</v>
      </c>
      <c r="AK153" s="92">
        <f t="shared" si="70"/>
        <v>0</v>
      </c>
      <c r="AL153" s="92">
        <f t="shared" si="70"/>
        <v>0</v>
      </c>
      <c r="AM153" s="92">
        <f t="shared" si="70"/>
        <v>0</v>
      </c>
      <c r="AN153" s="92">
        <f t="shared" si="70"/>
        <v>0</v>
      </c>
      <c r="AO153" s="92">
        <f t="shared" si="70"/>
        <v>0</v>
      </c>
      <c r="AP153" s="92">
        <f t="shared" si="70"/>
        <v>0</v>
      </c>
      <c r="AQ153" s="92">
        <f t="shared" si="70"/>
        <v>0</v>
      </c>
      <c r="AR153" s="92">
        <f t="shared" si="70"/>
        <v>0</v>
      </c>
      <c r="AS153" s="92">
        <f t="shared" si="70"/>
        <v>0</v>
      </c>
      <c r="AT153" s="92">
        <f t="shared" si="70"/>
        <v>0</v>
      </c>
      <c r="AU153" s="92">
        <f t="shared" si="70"/>
        <v>0</v>
      </c>
      <c r="AV153" s="92">
        <f t="shared" si="70"/>
        <v>0</v>
      </c>
      <c r="AW153" s="92">
        <f t="shared" si="70"/>
        <v>0</v>
      </c>
      <c r="AX153" s="92">
        <f t="shared" si="70"/>
        <v>0</v>
      </c>
      <c r="AY153" s="92">
        <f t="shared" si="70"/>
        <v>0</v>
      </c>
      <c r="AZ153" s="92">
        <f t="shared" si="70"/>
        <v>0</v>
      </c>
      <c r="BA153" s="11"/>
    </row>
    <row r="154" spans="1:54" x14ac:dyDescent="0.2">
      <c r="A154" s="2"/>
      <c r="C154" s="534"/>
      <c r="D154" s="128"/>
      <c r="E154" s="92"/>
      <c r="F154" s="92"/>
      <c r="G154" s="92"/>
      <c r="H154" s="92"/>
      <c r="I154" s="532"/>
      <c r="J154" s="532"/>
      <c r="K154" s="532"/>
      <c r="L154" s="532"/>
      <c r="M154" s="91"/>
      <c r="N154" s="91"/>
      <c r="O154" s="91"/>
      <c r="P154" s="91"/>
      <c r="Q154" s="91"/>
      <c r="R154" s="114"/>
      <c r="S154" s="114"/>
      <c r="T154" s="114"/>
      <c r="U154" s="114"/>
      <c r="V154" s="114"/>
      <c r="W154" s="114"/>
      <c r="X154" s="114"/>
      <c r="Y154" s="114"/>
      <c r="Z154" s="114"/>
      <c r="AA154" s="114"/>
      <c r="AB154" s="114"/>
      <c r="AC154" s="114"/>
      <c r="AD154" s="114"/>
      <c r="AE154" s="114"/>
      <c r="AF154" s="114"/>
      <c r="AG154" s="114"/>
      <c r="AH154" s="114"/>
      <c r="AI154" s="114"/>
      <c r="AJ154" s="114"/>
      <c r="AK154" s="114"/>
      <c r="AL154" s="114"/>
      <c r="AM154" s="114"/>
      <c r="AN154" s="114"/>
      <c r="AO154" s="114"/>
      <c r="AP154" s="114"/>
      <c r="AQ154" s="114"/>
      <c r="AR154" s="114"/>
      <c r="AS154" s="114"/>
      <c r="AT154" s="114"/>
      <c r="AU154" s="114"/>
      <c r="AV154" s="114"/>
      <c r="AW154" s="114"/>
      <c r="AX154" s="114"/>
      <c r="AY154" s="114"/>
      <c r="AZ154" s="114"/>
      <c r="BA154" s="114"/>
    </row>
    <row r="155" spans="1:54" x14ac:dyDescent="0.2">
      <c r="A155" s="2"/>
      <c r="B155" t="str">
        <f>'Proforma L+H'!B187</f>
        <v>MO Investor LP</v>
      </c>
      <c r="D155" s="128"/>
      <c r="E155" s="92"/>
      <c r="F155" s="92"/>
      <c r="G155" s="92"/>
      <c r="H155" s="92"/>
      <c r="I155" s="532"/>
      <c r="J155" s="532"/>
      <c r="K155" s="532"/>
      <c r="L155" s="532"/>
      <c r="M155" s="91"/>
      <c r="N155" s="91"/>
      <c r="O155" s="91"/>
      <c r="P155" s="91"/>
      <c r="Q155" s="91"/>
      <c r="R155" s="114"/>
      <c r="S155" s="114"/>
      <c r="T155" s="114"/>
      <c r="U155" s="114"/>
      <c r="V155" s="114"/>
      <c r="W155" s="114"/>
      <c r="X155" s="114"/>
      <c r="Y155" s="114"/>
      <c r="Z155" s="114"/>
      <c r="AA155" s="114"/>
      <c r="AB155" s="114"/>
      <c r="AC155" s="114"/>
      <c r="AD155" s="114"/>
      <c r="AE155" s="114"/>
      <c r="AF155" s="114"/>
      <c r="AG155" s="114"/>
      <c r="AH155" s="114"/>
      <c r="AI155" s="114"/>
      <c r="AJ155" s="114"/>
      <c r="AK155" s="114"/>
      <c r="AL155" s="114"/>
      <c r="AM155" s="114"/>
      <c r="AN155" s="114"/>
      <c r="AO155" s="114"/>
      <c r="AP155" s="114"/>
      <c r="AQ155" s="114"/>
      <c r="AR155" s="114"/>
      <c r="AS155" s="114"/>
      <c r="AT155" s="114"/>
      <c r="AU155" s="114"/>
      <c r="AV155" s="114"/>
      <c r="AW155" s="114"/>
      <c r="AX155" s="114"/>
      <c r="AY155" s="114"/>
      <c r="AZ155" s="114"/>
      <c r="BA155" s="114"/>
    </row>
    <row r="156" spans="1:54" x14ac:dyDescent="0.2">
      <c r="A156" s="2"/>
      <c r="B156" s="170" t="str">
        <f>'Proforma L+H'!B188</f>
        <v>Pref Accrual</v>
      </c>
      <c r="C156" s="62" t="e">
        <f>Assumptions!#REF!</f>
        <v>#REF!</v>
      </c>
      <c r="D156" s="128"/>
      <c r="E156" s="92">
        <f ca="1">OFFSET('Proforma L+H'!$E188,0,'L+H Monthly CF'!E$3)/12</f>
        <v>0</v>
      </c>
      <c r="F156" s="92">
        <f ca="1">OFFSET('Proforma L+H'!$E188,0,'L+H Monthly CF'!F$3)/12</f>
        <v>0</v>
      </c>
      <c r="G156" s="92">
        <f ca="1">OFFSET('Proforma L+H'!$E188,0,'L+H Monthly CF'!G$3)/12</f>
        <v>0</v>
      </c>
      <c r="H156" s="92">
        <f ca="1">OFFSET('Proforma L+H'!$E188,0,'L+H Monthly CF'!H$3)/12</f>
        <v>0</v>
      </c>
      <c r="I156" s="92">
        <f ca="1">OFFSET('Proforma L+H'!$E188,0,'L+H Monthly CF'!I$3)/12</f>
        <v>0</v>
      </c>
      <c r="J156" s="92">
        <f ca="1">OFFSET('Proforma L+H'!$E188,0,'L+H Monthly CF'!J$3)/12</f>
        <v>0</v>
      </c>
      <c r="K156" s="92">
        <f ca="1">OFFSET('Proforma L+H'!$E188,0,'L+H Monthly CF'!K$3)/12</f>
        <v>0</v>
      </c>
      <c r="L156" s="92">
        <f ca="1">OFFSET('Proforma L+H'!$E188,0,'L+H Monthly CF'!L$3)/12</f>
        <v>0</v>
      </c>
      <c r="M156" s="91">
        <f ca="1">OFFSET('Proforma L+H'!$E188,0,'L+H Monthly CF'!M$3)/12</f>
        <v>0</v>
      </c>
      <c r="N156" s="91">
        <f ca="1">OFFSET('Proforma L+H'!$E188,0,'L+H Monthly CF'!N$3)/12</f>
        <v>0</v>
      </c>
      <c r="O156" s="91">
        <f ca="1">OFFSET('Proforma L+H'!$E188,0,'L+H Monthly CF'!O$3)/12</f>
        <v>0</v>
      </c>
      <c r="P156" s="91">
        <f ca="1">OFFSET('Proforma L+H'!$E188,0,'L+H Monthly CF'!P$3)/12</f>
        <v>0</v>
      </c>
      <c r="Q156" s="91">
        <f ca="1">OFFSET('Proforma L+H'!$E188,0,'L+H Monthly CF'!Q$3)/12</f>
        <v>12500</v>
      </c>
      <c r="R156" s="11">
        <f ca="1">OFFSET('Proforma L+H'!$E188,0,'L+H Monthly CF'!R$3)/12</f>
        <v>12500</v>
      </c>
      <c r="S156" s="11">
        <f ca="1">OFFSET('Proforma L+H'!$E188,0,'L+H Monthly CF'!S$3)/12</f>
        <v>12500</v>
      </c>
      <c r="T156" s="11">
        <f ca="1">OFFSET('Proforma L+H'!$E188,0,'L+H Monthly CF'!T$3)/12</f>
        <v>12500</v>
      </c>
      <c r="U156" s="11">
        <f ca="1">OFFSET('Proforma L+H'!$E188,0,'L+H Monthly CF'!U$3)/12</f>
        <v>12500</v>
      </c>
      <c r="V156" s="11">
        <f ca="1">OFFSET('Proforma L+H'!$E188,0,'L+H Monthly CF'!V$3)/12</f>
        <v>12500</v>
      </c>
      <c r="W156" s="11">
        <f ca="1">OFFSET('Proforma L+H'!$E188,0,'L+H Monthly CF'!W$3)/12</f>
        <v>12500</v>
      </c>
      <c r="X156" s="11">
        <f ca="1">OFFSET('Proforma L+H'!$E188,0,'L+H Monthly CF'!X$3)/12</f>
        <v>12500</v>
      </c>
      <c r="Y156" s="11">
        <f ca="1">OFFSET('Proforma L+H'!$E188,0,'L+H Monthly CF'!Y$3)/12</f>
        <v>12500</v>
      </c>
      <c r="Z156" s="11">
        <f ca="1">OFFSET('Proforma L+H'!$E188,0,'L+H Monthly CF'!Z$3)/12</f>
        <v>12500</v>
      </c>
      <c r="AA156" s="11">
        <f ca="1">OFFSET('Proforma L+H'!$E188,0,'L+H Monthly CF'!AA$3)/12</f>
        <v>12500</v>
      </c>
      <c r="AB156" s="11">
        <f ca="1">OFFSET('Proforma L+H'!$E188,0,'L+H Monthly CF'!AB$3)/12</f>
        <v>12500</v>
      </c>
      <c r="AC156" s="11">
        <f ca="1">OFFSET('Proforma L+H'!$E188,0,'L+H Monthly CF'!AC$3)/12</f>
        <v>13750</v>
      </c>
      <c r="AD156" s="11">
        <f ca="1">OFFSET('Proforma L+H'!$E188,0,'L+H Monthly CF'!AD$3)/12</f>
        <v>13750</v>
      </c>
      <c r="AE156" s="11">
        <f ca="1">OFFSET('Proforma L+H'!$E188,0,'L+H Monthly CF'!AE$3)/12</f>
        <v>13750</v>
      </c>
      <c r="AF156" s="11">
        <f ca="1">OFFSET('Proforma L+H'!$E188,0,'L+H Monthly CF'!AF$3)/12</f>
        <v>13750</v>
      </c>
      <c r="AG156" s="11">
        <f ca="1">OFFSET('Proforma L+H'!$E188,0,'L+H Monthly CF'!AG$3)/12</f>
        <v>13750</v>
      </c>
      <c r="AH156" s="11">
        <f ca="1">OFFSET('Proforma L+H'!$E188,0,'L+H Monthly CF'!AH$3)/12</f>
        <v>13750</v>
      </c>
      <c r="AI156" s="11">
        <f ca="1">OFFSET('Proforma L+H'!$E188,0,'L+H Monthly CF'!AI$3)/12</f>
        <v>13750</v>
      </c>
      <c r="AJ156" s="11">
        <f ca="1">OFFSET('Proforma L+H'!$E188,0,'L+H Monthly CF'!AJ$3)/12</f>
        <v>13750</v>
      </c>
      <c r="AK156" s="11">
        <f ca="1">OFFSET('Proforma L+H'!$E188,0,'L+H Monthly CF'!AK$3)/12</f>
        <v>13750</v>
      </c>
      <c r="AL156" s="11">
        <f ca="1">OFFSET('Proforma L+H'!$E188,0,'L+H Monthly CF'!AL$3)/12</f>
        <v>13750</v>
      </c>
      <c r="AM156" s="11">
        <f ca="1">OFFSET('Proforma L+H'!$E188,0,'L+H Monthly CF'!AM$3)/12</f>
        <v>13750</v>
      </c>
      <c r="AN156" s="11">
        <f ca="1">OFFSET('Proforma L+H'!$E188,0,'L+H Monthly CF'!AN$3)/12</f>
        <v>13750</v>
      </c>
      <c r="AO156" s="11">
        <f ca="1">OFFSET('Proforma L+H'!$E188,0,'L+H Monthly CF'!AO$3)/12</f>
        <v>15125</v>
      </c>
      <c r="AP156" s="11">
        <f ca="1">OFFSET('Proforma L+H'!$E188,0,'L+H Monthly CF'!AP$3)/12</f>
        <v>15125</v>
      </c>
      <c r="AQ156" s="11">
        <f ca="1">OFFSET('Proforma L+H'!$E188,0,'L+H Monthly CF'!AQ$3)/12</f>
        <v>15125</v>
      </c>
      <c r="AR156" s="11">
        <f ca="1">OFFSET('Proforma L+H'!$E188,0,'L+H Monthly CF'!AR$3)/12</f>
        <v>15125</v>
      </c>
      <c r="AS156" s="11">
        <f ca="1">OFFSET('Proforma L+H'!$E188,0,'L+H Monthly CF'!AS$3)/12</f>
        <v>15125</v>
      </c>
      <c r="AT156" s="11">
        <f ca="1">OFFSET('Proforma L+H'!$E188,0,'L+H Monthly CF'!AT$3)/12</f>
        <v>15125</v>
      </c>
      <c r="AU156" s="11">
        <f ca="1">OFFSET('Proforma L+H'!$E188,0,'L+H Monthly CF'!AU$3)/12</f>
        <v>15125</v>
      </c>
      <c r="AV156" s="11">
        <f ca="1">OFFSET('Proforma L+H'!$E188,0,'L+H Monthly CF'!AV$3)/12</f>
        <v>15125</v>
      </c>
      <c r="AW156" s="11">
        <f ca="1">OFFSET('Proforma L+H'!$E188,0,'L+H Monthly CF'!AW$3)/12</f>
        <v>15125</v>
      </c>
      <c r="AX156" s="11">
        <f ca="1">OFFSET('Proforma L+H'!$E188,0,'L+H Monthly CF'!AX$3)/12</f>
        <v>15125</v>
      </c>
      <c r="AY156" s="11">
        <f ca="1">OFFSET('Proforma L+H'!$E188,0,'L+H Monthly CF'!AY$3)/12</f>
        <v>15125</v>
      </c>
      <c r="AZ156" s="11">
        <f ca="1">OFFSET('Proforma L+H'!$E188,0,'L+H Monthly CF'!AZ$3)/12</f>
        <v>15125</v>
      </c>
      <c r="BA156" s="11">
        <f t="shared" ref="BA156:BA157" ca="1" si="71">SUM(E156:AZ156)</f>
        <v>496500</v>
      </c>
      <c r="BB156" s="758">
        <f ca="1">SUM('Proforma L+H'!E188:H188)-BA156</f>
        <v>0</v>
      </c>
    </row>
    <row r="157" spans="1:54" x14ac:dyDescent="0.2">
      <c r="A157" s="2"/>
      <c r="B157" s="170" t="str">
        <f>'Proforma L+H'!B189</f>
        <v>Capital Return</v>
      </c>
      <c r="C157" s="62" t="e">
        <f>R9/R11</f>
        <v>#DIV/0!</v>
      </c>
      <c r="D157" s="128"/>
      <c r="E157" s="92"/>
      <c r="F157" s="92"/>
      <c r="G157" s="92"/>
      <c r="H157" s="92"/>
      <c r="I157" s="92"/>
      <c r="J157" s="92"/>
      <c r="K157" s="92"/>
      <c r="L157" s="92"/>
      <c r="M157" s="91"/>
      <c r="N157" s="91"/>
      <c r="O157" s="91"/>
      <c r="P157" s="92">
        <f>'Proforma L+H'!E189</f>
        <v>0</v>
      </c>
      <c r="Q157" s="9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>
        <f t="shared" si="71"/>
        <v>0</v>
      </c>
      <c r="BB157" s="758">
        <f>SUM('Proforma L+H'!E189:H189)-BA157</f>
        <v>0</v>
      </c>
    </row>
    <row r="158" spans="1:54" x14ac:dyDescent="0.2">
      <c r="A158" s="2"/>
      <c r="B158" s="227" t="str">
        <f>'Proforma L+H'!B190</f>
        <v>Ending Invested Capital</v>
      </c>
      <c r="D158" s="114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>
        <f>'Proforma L+H'!E190</f>
        <v>1500000</v>
      </c>
      <c r="Q158" s="92">
        <f ca="1">P158+Q156-Q157</f>
        <v>1512500</v>
      </c>
      <c r="R158" s="92">
        <f t="shared" ref="R158:AZ158" ca="1" si="72">Q158+R156-R157</f>
        <v>1525000</v>
      </c>
      <c r="S158" s="92">
        <f t="shared" ca="1" si="72"/>
        <v>1537500</v>
      </c>
      <c r="T158" s="92">
        <f t="shared" ca="1" si="72"/>
        <v>1550000</v>
      </c>
      <c r="U158" s="92">
        <f t="shared" ca="1" si="72"/>
        <v>1562500</v>
      </c>
      <c r="V158" s="92">
        <f t="shared" ca="1" si="72"/>
        <v>1575000</v>
      </c>
      <c r="W158" s="92">
        <f t="shared" ca="1" si="72"/>
        <v>1587500</v>
      </c>
      <c r="X158" s="92">
        <f t="shared" ca="1" si="72"/>
        <v>1600000</v>
      </c>
      <c r="Y158" s="92">
        <f t="shared" ca="1" si="72"/>
        <v>1612500</v>
      </c>
      <c r="Z158" s="92">
        <f t="shared" ca="1" si="72"/>
        <v>1625000</v>
      </c>
      <c r="AA158" s="92">
        <f t="shared" ca="1" si="72"/>
        <v>1637500</v>
      </c>
      <c r="AB158" s="92">
        <f t="shared" ca="1" si="72"/>
        <v>1650000</v>
      </c>
      <c r="AC158" s="92">
        <f t="shared" ca="1" si="72"/>
        <v>1663750</v>
      </c>
      <c r="AD158" s="92">
        <f t="shared" ca="1" si="72"/>
        <v>1677500</v>
      </c>
      <c r="AE158" s="92">
        <f t="shared" ca="1" si="72"/>
        <v>1691250</v>
      </c>
      <c r="AF158" s="92">
        <f t="shared" ca="1" si="72"/>
        <v>1705000</v>
      </c>
      <c r="AG158" s="92">
        <f t="shared" ca="1" si="72"/>
        <v>1718750</v>
      </c>
      <c r="AH158" s="92">
        <f t="shared" ca="1" si="72"/>
        <v>1732500</v>
      </c>
      <c r="AI158" s="92">
        <f t="shared" ca="1" si="72"/>
        <v>1746250</v>
      </c>
      <c r="AJ158" s="92">
        <f t="shared" ca="1" si="72"/>
        <v>1760000</v>
      </c>
      <c r="AK158" s="92">
        <f t="shared" ca="1" si="72"/>
        <v>1773750</v>
      </c>
      <c r="AL158" s="92">
        <f t="shared" ca="1" si="72"/>
        <v>1787500</v>
      </c>
      <c r="AM158" s="92">
        <f t="shared" ca="1" si="72"/>
        <v>1801250</v>
      </c>
      <c r="AN158" s="92">
        <f t="shared" ca="1" si="72"/>
        <v>1815000</v>
      </c>
      <c r="AO158" s="92">
        <f t="shared" ca="1" si="72"/>
        <v>1830125</v>
      </c>
      <c r="AP158" s="92">
        <f t="shared" ca="1" si="72"/>
        <v>1845250</v>
      </c>
      <c r="AQ158" s="92">
        <f t="shared" ca="1" si="72"/>
        <v>1860375</v>
      </c>
      <c r="AR158" s="92">
        <f t="shared" ca="1" si="72"/>
        <v>1875500</v>
      </c>
      <c r="AS158" s="92">
        <f t="shared" ca="1" si="72"/>
        <v>1890625</v>
      </c>
      <c r="AT158" s="92">
        <f t="shared" ca="1" si="72"/>
        <v>1905750</v>
      </c>
      <c r="AU158" s="92">
        <f t="shared" ca="1" si="72"/>
        <v>1920875</v>
      </c>
      <c r="AV158" s="92">
        <f t="shared" ca="1" si="72"/>
        <v>1936000</v>
      </c>
      <c r="AW158" s="92">
        <f t="shared" ca="1" si="72"/>
        <v>1951125</v>
      </c>
      <c r="AX158" s="92">
        <f t="shared" ca="1" si="72"/>
        <v>1966250</v>
      </c>
      <c r="AY158" s="92">
        <f t="shared" ca="1" si="72"/>
        <v>1981375</v>
      </c>
      <c r="AZ158" s="92">
        <f t="shared" ca="1" si="72"/>
        <v>1996500</v>
      </c>
      <c r="BA158" s="114"/>
    </row>
    <row r="159" spans="1:54" x14ac:dyDescent="0.2">
      <c r="A159" s="2"/>
      <c r="B159" s="227" t="str">
        <f>'Proforma L+H'!B191</f>
        <v>Cash Flow/ IRR</v>
      </c>
      <c r="C159" s="659" t="e">
        <f>IRR(E159:J159)</f>
        <v>#NUM!</v>
      </c>
      <c r="D159" s="128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</row>
    <row r="160" spans="1:54" x14ac:dyDescent="0.2">
      <c r="A160" s="2"/>
      <c r="B160" s="227"/>
      <c r="C160" s="659"/>
      <c r="D160" s="128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</row>
    <row r="161" spans="1:54" x14ac:dyDescent="0.2">
      <c r="A161" s="2"/>
      <c r="B161" s="49" t="str">
        <f>'Proforma L+H'!B217</f>
        <v>DISTRIBUTIONS</v>
      </c>
      <c r="C161" s="164"/>
      <c r="D161" s="531"/>
      <c r="E161" s="530">
        <f ca="1">OFFSET('Proforma L+H'!$E217,0,'L+H Monthly CF'!E$3)/12</f>
        <v>0</v>
      </c>
      <c r="F161" s="530">
        <f ca="1">OFFSET('Proforma L+H'!$E217,0,'L+H Monthly CF'!F$3)/12</f>
        <v>0</v>
      </c>
      <c r="G161" s="530">
        <f ca="1">OFFSET('Proforma L+H'!$E217,0,'L+H Monthly CF'!G$3)/12</f>
        <v>0</v>
      </c>
      <c r="H161" s="530">
        <f ca="1">OFFSET('Proforma L+H'!$E217,0,'L+H Monthly CF'!H$3)/12</f>
        <v>0</v>
      </c>
      <c r="I161" s="530">
        <f ca="1">OFFSET('Proforma L+H'!$E217,0,'L+H Monthly CF'!I$3)/12</f>
        <v>0</v>
      </c>
      <c r="J161" s="530">
        <f ca="1">OFFSET('Proforma L+H'!$E217,0,'L+H Monthly CF'!J$3)/12</f>
        <v>0</v>
      </c>
      <c r="K161" s="530">
        <f ca="1">OFFSET('Proforma L+H'!$E217,0,'L+H Monthly CF'!K$3)/12</f>
        <v>0</v>
      </c>
      <c r="L161" s="530">
        <f ca="1">OFFSET('Proforma L+H'!$E217,0,'L+H Monthly CF'!L$3)/12</f>
        <v>0</v>
      </c>
      <c r="M161" s="530">
        <f ca="1">OFFSET('Proforma L+H'!$E217,0,'L+H Monthly CF'!M$3)/12</f>
        <v>0</v>
      </c>
      <c r="N161" s="530">
        <f ca="1">OFFSET('Proforma L+H'!$E217,0,'L+H Monthly CF'!N$3)/12</f>
        <v>0</v>
      </c>
      <c r="O161" s="530">
        <f ca="1">OFFSET('Proforma L+H'!$E217,0,'L+H Monthly CF'!O$3)/12</f>
        <v>0</v>
      </c>
      <c r="P161" s="530">
        <f ca="1">OFFSET('Proforma L+H'!$E217,0,'L+H Monthly CF'!P$3)/12</f>
        <v>0</v>
      </c>
      <c r="Q161" s="530">
        <f ca="1">OFFSET('Proforma L+H'!$E217,0,'L+H Monthly CF'!Q$3)/12</f>
        <v>74316.666666666672</v>
      </c>
      <c r="R161" s="530">
        <f ca="1">OFFSET('Proforma L+H'!$E217,0,'L+H Monthly CF'!R$3)/12</f>
        <v>74316.666666666672</v>
      </c>
      <c r="S161" s="530">
        <f ca="1">OFFSET('Proforma L+H'!$E217,0,'L+H Monthly CF'!S$3)/12</f>
        <v>74316.666666666672</v>
      </c>
      <c r="T161" s="530">
        <f ca="1">OFFSET('Proforma L+H'!$E217,0,'L+H Monthly CF'!T$3)/12</f>
        <v>74316.666666666672</v>
      </c>
      <c r="U161" s="530">
        <f ca="1">OFFSET('Proforma L+H'!$E217,0,'L+H Monthly CF'!U$3)/12</f>
        <v>74316.666666666672</v>
      </c>
      <c r="V161" s="530">
        <f ca="1">OFFSET('Proforma L+H'!$E217,0,'L+H Monthly CF'!V$3)/12</f>
        <v>74316.666666666672</v>
      </c>
      <c r="W161" s="530">
        <f ca="1">OFFSET('Proforma L+H'!$E217,0,'L+H Monthly CF'!W$3)/12</f>
        <v>74316.666666666672</v>
      </c>
      <c r="X161" s="530">
        <f ca="1">OFFSET('Proforma L+H'!$E217,0,'L+H Monthly CF'!X$3)/12</f>
        <v>74316.666666666672</v>
      </c>
      <c r="Y161" s="530">
        <f ca="1">OFFSET('Proforma L+H'!$E217,0,'L+H Monthly CF'!Y$3)/12</f>
        <v>74316.666666666672</v>
      </c>
      <c r="Z161" s="530">
        <f ca="1">OFFSET('Proforma L+H'!$E217,0,'L+H Monthly CF'!Z$3)/12</f>
        <v>74316.666666666672</v>
      </c>
      <c r="AA161" s="530">
        <f ca="1">OFFSET('Proforma L+H'!$E217,0,'L+H Monthly CF'!AA$3)/12</f>
        <v>74316.666666666672</v>
      </c>
      <c r="AB161" s="530">
        <f ca="1">OFFSET('Proforma L+H'!$E217,0,'L+H Monthly CF'!AB$3)/12</f>
        <v>74316.666666666672</v>
      </c>
      <c r="AC161" s="530">
        <f ca="1">OFFSET('Proforma L+H'!$E217,0,'L+H Monthly CF'!AC$3)/12</f>
        <v>513432.5</v>
      </c>
      <c r="AD161" s="530">
        <f ca="1">OFFSET('Proforma L+H'!$E217,0,'L+H Monthly CF'!AD$3)/12</f>
        <v>513432.5</v>
      </c>
      <c r="AE161" s="530">
        <f ca="1">OFFSET('Proforma L+H'!$E217,0,'L+H Monthly CF'!AE$3)/12</f>
        <v>513432.5</v>
      </c>
      <c r="AF161" s="530">
        <f ca="1">OFFSET('Proforma L+H'!$E217,0,'L+H Monthly CF'!AF$3)/12</f>
        <v>513432.5</v>
      </c>
      <c r="AG161" s="530">
        <f ca="1">OFFSET('Proforma L+H'!$E217,0,'L+H Monthly CF'!AG$3)/12</f>
        <v>513432.5</v>
      </c>
      <c r="AH161" s="530">
        <f ca="1">OFFSET('Proforma L+H'!$E217,0,'L+H Monthly CF'!AH$3)/12</f>
        <v>513432.5</v>
      </c>
      <c r="AI161" s="530">
        <f ca="1">OFFSET('Proforma L+H'!$E217,0,'L+H Monthly CF'!AI$3)/12</f>
        <v>513432.5</v>
      </c>
      <c r="AJ161" s="530">
        <f ca="1">OFFSET('Proforma L+H'!$E217,0,'L+H Monthly CF'!AJ$3)/12</f>
        <v>513432.5</v>
      </c>
      <c r="AK161" s="530">
        <f ca="1">OFFSET('Proforma L+H'!$E217,0,'L+H Monthly CF'!AK$3)/12</f>
        <v>513432.5</v>
      </c>
      <c r="AL161" s="530">
        <f ca="1">OFFSET('Proforma L+H'!$E217,0,'L+H Monthly CF'!AL$3)/12</f>
        <v>513432.5</v>
      </c>
      <c r="AM161" s="530">
        <f ca="1">OFFSET('Proforma L+H'!$E217,0,'L+H Monthly CF'!AM$3)/12</f>
        <v>513432.5</v>
      </c>
      <c r="AN161" s="530">
        <f ca="1">OFFSET('Proforma L+H'!$E217,0,'L+H Monthly CF'!AN$3)/12</f>
        <v>513432.5</v>
      </c>
      <c r="AO161" s="530">
        <f ca="1">OFFSET('Proforma L+H'!$E217,0,'L+H Monthly CF'!AO$3)/12</f>
        <v>1002692.5000000001</v>
      </c>
      <c r="AP161" s="530">
        <f ca="1">OFFSET('Proforma L+H'!$E217,0,'L+H Monthly CF'!AP$3)/12</f>
        <v>1002692.5000000001</v>
      </c>
      <c r="AQ161" s="530">
        <f ca="1">OFFSET('Proforma L+H'!$E217,0,'L+H Monthly CF'!AQ$3)/12</f>
        <v>1002692.5000000001</v>
      </c>
      <c r="AR161" s="530">
        <f ca="1">OFFSET('Proforma L+H'!$E217,0,'L+H Monthly CF'!AR$3)/12</f>
        <v>1002692.5000000001</v>
      </c>
      <c r="AS161" s="530">
        <f ca="1">OFFSET('Proforma L+H'!$E217,0,'L+H Monthly CF'!AS$3)/12</f>
        <v>1002692.5000000001</v>
      </c>
      <c r="AT161" s="530">
        <f ca="1">OFFSET('Proforma L+H'!$E217,0,'L+H Monthly CF'!AT$3)/12</f>
        <v>1002692.5000000001</v>
      </c>
      <c r="AU161" s="530">
        <f ca="1">OFFSET('Proforma L+H'!$E217,0,'L+H Monthly CF'!AU$3)/12</f>
        <v>1002692.5000000001</v>
      </c>
      <c r="AV161" s="530">
        <f ca="1">OFFSET('Proforma L+H'!$E217,0,'L+H Monthly CF'!AV$3)/12</f>
        <v>1002692.5000000001</v>
      </c>
      <c r="AW161" s="530">
        <f ca="1">OFFSET('Proforma L+H'!$E217,0,'L+H Monthly CF'!AW$3)/12</f>
        <v>1002692.5000000001</v>
      </c>
      <c r="AX161" s="530">
        <f ca="1">OFFSET('Proforma L+H'!$E217,0,'L+H Monthly CF'!AX$3)/12</f>
        <v>1002692.5000000001</v>
      </c>
      <c r="AY161" s="530">
        <f ca="1">OFFSET('Proforma L+H'!$E217,0,'L+H Monthly CF'!AY$3)/12</f>
        <v>1002692.5000000001</v>
      </c>
      <c r="AZ161" s="530">
        <f ca="1">OFFSET('Proforma L+H'!$E217,0,'L+H Monthly CF'!AZ$3)/12</f>
        <v>1002692.5000000001</v>
      </c>
      <c r="BA161" s="410">
        <f ca="1">SUM(E161:AZ161)</f>
        <v>19085300</v>
      </c>
      <c r="BB161" s="758">
        <f ca="1">SUM('Proforma L+H'!E217:H217)-BA161</f>
        <v>0</v>
      </c>
    </row>
    <row r="162" spans="1:54" ht="17" thickBot="1" x14ac:dyDescent="0.25">
      <c r="A162" s="2"/>
      <c r="B162" s="170"/>
      <c r="D162" s="128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  <c r="AA162" s="92"/>
      <c r="AB162" s="92"/>
      <c r="AC162" s="92"/>
      <c r="AD162" s="92"/>
      <c r="AE162" s="92"/>
      <c r="AF162" s="92"/>
      <c r="AG162" s="92"/>
      <c r="AH162" s="92"/>
      <c r="AI162" s="92"/>
      <c r="AJ162" s="92"/>
      <c r="AK162" s="92"/>
      <c r="AL162" s="92"/>
      <c r="AM162" s="92"/>
      <c r="AN162" s="92"/>
      <c r="AO162" s="92"/>
      <c r="AP162" s="92"/>
      <c r="AQ162" s="92"/>
      <c r="AR162" s="92"/>
      <c r="AS162" s="92"/>
      <c r="AT162" s="92"/>
      <c r="AU162" s="92"/>
      <c r="AV162" s="92"/>
      <c r="AW162" s="92"/>
      <c r="AX162" s="92"/>
      <c r="AY162" s="92"/>
      <c r="AZ162" s="92"/>
      <c r="BA162" s="92"/>
    </row>
    <row r="163" spans="1:54" ht="17" thickTop="1" x14ac:dyDescent="0.2">
      <c r="A163" s="2"/>
      <c r="B163" s="523" t="str">
        <f>'Proforma L+H'!B219</f>
        <v>TOTAL USES</v>
      </c>
      <c r="C163" s="522"/>
      <c r="D163" s="521"/>
      <c r="E163" s="520">
        <f ca="1">E114+E142+E161</f>
        <v>19851164.561465014</v>
      </c>
      <c r="F163" s="520">
        <f t="shared" ref="F163:P163" ca="1" si="73">F114+F142+F161</f>
        <v>573414.56146501075</v>
      </c>
      <c r="G163" s="520">
        <f t="shared" ca="1" si="73"/>
        <v>573414.56146501075</v>
      </c>
      <c r="H163" s="520">
        <f t="shared" ca="1" si="73"/>
        <v>573414.56146501075</v>
      </c>
      <c r="I163" s="520">
        <f t="shared" ca="1" si="73"/>
        <v>573414.56146501075</v>
      </c>
      <c r="J163" s="520">
        <f t="shared" ca="1" si="73"/>
        <v>573414.56146501075</v>
      </c>
      <c r="K163" s="520">
        <f t="shared" ca="1" si="73"/>
        <v>573414.56146501075</v>
      </c>
      <c r="L163" s="520">
        <f t="shared" ca="1" si="73"/>
        <v>573414.56146501075</v>
      </c>
      <c r="M163" s="520">
        <f t="shared" ca="1" si="73"/>
        <v>573414.56146501075</v>
      </c>
      <c r="N163" s="520">
        <f t="shared" ca="1" si="73"/>
        <v>573414.56146501075</v>
      </c>
      <c r="O163" s="520">
        <f t="shared" ca="1" si="73"/>
        <v>573414.56146501075</v>
      </c>
      <c r="P163" s="520">
        <f t="shared" ca="1" si="73"/>
        <v>573414.56146501075</v>
      </c>
      <c r="Q163" s="520">
        <f ca="1">OFFSET('Proforma L+H'!$E219,0,'L+H Monthly CF'!Q$3)/12</f>
        <v>4217290.095938799</v>
      </c>
      <c r="R163" s="520">
        <f ca="1">OFFSET('Proforma L+H'!$E219,0,'L+H Monthly CF'!R$3)/12</f>
        <v>4217290.095938799</v>
      </c>
      <c r="S163" s="520">
        <f ca="1">OFFSET('Proforma L+H'!$E219,0,'L+H Monthly CF'!S$3)/12</f>
        <v>4217290.095938799</v>
      </c>
      <c r="T163" s="520">
        <f ca="1">OFFSET('Proforma L+H'!$E219,0,'L+H Monthly CF'!T$3)/12</f>
        <v>4217290.095938799</v>
      </c>
      <c r="U163" s="520">
        <f ca="1">OFFSET('Proforma L+H'!$E219,0,'L+H Monthly CF'!U$3)/12</f>
        <v>4217290.095938799</v>
      </c>
      <c r="V163" s="520">
        <f ca="1">OFFSET('Proforma L+H'!$E219,0,'L+H Monthly CF'!V$3)/12</f>
        <v>4217290.095938799</v>
      </c>
      <c r="W163" s="520">
        <f ca="1">OFFSET('Proforma L+H'!$E219,0,'L+H Monthly CF'!W$3)/12</f>
        <v>4217290.095938799</v>
      </c>
      <c r="X163" s="520">
        <f ca="1">OFFSET('Proforma L+H'!$E219,0,'L+H Monthly CF'!X$3)/12</f>
        <v>4217290.095938799</v>
      </c>
      <c r="Y163" s="520">
        <f ca="1">OFFSET('Proforma L+H'!$E219,0,'L+H Monthly CF'!Y$3)/12</f>
        <v>4217290.095938799</v>
      </c>
      <c r="Z163" s="520">
        <f ca="1">OFFSET('Proforma L+H'!$E219,0,'L+H Monthly CF'!Z$3)/12</f>
        <v>4217290.095938799</v>
      </c>
      <c r="AA163" s="520">
        <f ca="1">OFFSET('Proforma L+H'!$E219,0,'L+H Monthly CF'!AA$3)/12</f>
        <v>4217290.095938799</v>
      </c>
      <c r="AB163" s="520">
        <f ca="1">OFFSET('Proforma L+H'!$E219,0,'L+H Monthly CF'!AB$3)/12</f>
        <v>4217290.095938799</v>
      </c>
      <c r="AC163" s="520">
        <f ca="1">OFFSET('Proforma L+H'!$E219,0,'L+H Monthly CF'!AC$3)/12</f>
        <v>4600805.9322176585</v>
      </c>
      <c r="AD163" s="520">
        <f ca="1">OFFSET('Proforma L+H'!$E219,0,'L+H Monthly CF'!AD$3)/12</f>
        <v>4600805.9322176585</v>
      </c>
      <c r="AE163" s="520">
        <f ca="1">OFFSET('Proforma L+H'!$E219,0,'L+H Monthly CF'!AE$3)/12</f>
        <v>4600805.9322176585</v>
      </c>
      <c r="AF163" s="520">
        <f ca="1">OFFSET('Proforma L+H'!$E219,0,'L+H Monthly CF'!AF$3)/12</f>
        <v>4600805.9322176585</v>
      </c>
      <c r="AG163" s="520">
        <f ca="1">OFFSET('Proforma L+H'!$E219,0,'L+H Monthly CF'!AG$3)/12</f>
        <v>4600805.9322176585</v>
      </c>
      <c r="AH163" s="520">
        <f ca="1">OFFSET('Proforma L+H'!$E219,0,'L+H Monthly CF'!AH$3)/12</f>
        <v>4600805.9322176585</v>
      </c>
      <c r="AI163" s="520">
        <f ca="1">OFFSET('Proforma L+H'!$E219,0,'L+H Monthly CF'!AI$3)/12</f>
        <v>4600805.9322176585</v>
      </c>
      <c r="AJ163" s="520">
        <f ca="1">OFFSET('Proforma L+H'!$E219,0,'L+H Monthly CF'!AJ$3)/12</f>
        <v>4600805.9322176585</v>
      </c>
      <c r="AK163" s="520">
        <f ca="1">OFFSET('Proforma L+H'!$E219,0,'L+H Monthly CF'!AK$3)/12</f>
        <v>4600805.9322176585</v>
      </c>
      <c r="AL163" s="520">
        <f ca="1">OFFSET('Proforma L+H'!$E219,0,'L+H Monthly CF'!AL$3)/12</f>
        <v>4600805.9322176585</v>
      </c>
      <c r="AM163" s="520">
        <f ca="1">OFFSET('Proforma L+H'!$E219,0,'L+H Monthly CF'!AM$3)/12</f>
        <v>4600805.9322176585</v>
      </c>
      <c r="AN163" s="520">
        <f ca="1">OFFSET('Proforma L+H'!$E219,0,'L+H Monthly CF'!AN$3)/12</f>
        <v>4600805.9322176585</v>
      </c>
      <c r="AO163" s="520">
        <f ca="1">OFFSET('Proforma L+H'!$E219,0,'L+H Monthly CF'!AO$3)/12</f>
        <v>7112210.2194919577</v>
      </c>
      <c r="AP163" s="520">
        <f ca="1">OFFSET('Proforma L+H'!$E219,0,'L+H Monthly CF'!AP$3)/12</f>
        <v>7112210.2194919577</v>
      </c>
      <c r="AQ163" s="520">
        <f ca="1">OFFSET('Proforma L+H'!$E219,0,'L+H Monthly CF'!AQ$3)/12</f>
        <v>7112210.2194919577</v>
      </c>
      <c r="AR163" s="520">
        <f ca="1">OFFSET('Proforma L+H'!$E219,0,'L+H Monthly CF'!AR$3)/12</f>
        <v>7112210.2194919577</v>
      </c>
      <c r="AS163" s="520">
        <f ca="1">OFFSET('Proforma L+H'!$E219,0,'L+H Monthly CF'!AS$3)/12</f>
        <v>7112210.2194919577</v>
      </c>
      <c r="AT163" s="520">
        <f ca="1">OFFSET('Proforma L+H'!$E219,0,'L+H Monthly CF'!AT$3)/12</f>
        <v>7112210.2194919577</v>
      </c>
      <c r="AU163" s="520">
        <f ca="1">OFFSET('Proforma L+H'!$E219,0,'L+H Monthly CF'!AU$3)/12</f>
        <v>7112210.2194919577</v>
      </c>
      <c r="AV163" s="520">
        <f ca="1">OFFSET('Proforma L+H'!$E219,0,'L+H Monthly CF'!AV$3)/12</f>
        <v>7112210.2194919577</v>
      </c>
      <c r="AW163" s="520">
        <f ca="1">OFFSET('Proforma L+H'!$E219,0,'L+H Monthly CF'!AW$3)/12</f>
        <v>7112210.2194919577</v>
      </c>
      <c r="AX163" s="520">
        <f ca="1">OFFSET('Proforma L+H'!$E219,0,'L+H Monthly CF'!AX$3)/12</f>
        <v>7112210.2194919577</v>
      </c>
      <c r="AY163" s="520">
        <f ca="1">OFFSET('Proforma L+H'!$E219,0,'L+H Monthly CF'!AY$3)/12</f>
        <v>7112210.2194919577</v>
      </c>
      <c r="AZ163" s="520">
        <f ca="1">OFFSET('Proforma L+H'!$E219,0,'L+H Monthly CF'!AZ$3)/12</f>
        <v>7112210.2194919577</v>
      </c>
      <c r="BA163" s="520">
        <f ca="1">SUM(E163:AZ163)</f>
        <v>217322399.70936114</v>
      </c>
      <c r="BB163" s="758">
        <f ca="1">SUM('Proforma L+H'!E219:H219)-BA163</f>
        <v>0</v>
      </c>
    </row>
    <row r="164" spans="1:54" x14ac:dyDescent="0.2">
      <c r="A164" s="2"/>
    </row>
    <row r="165" spans="1:54" x14ac:dyDescent="0.2">
      <c r="B165" s="137" t="s">
        <v>603</v>
      </c>
      <c r="E165" s="11">
        <f t="shared" ref="E165:AJ165" ca="1" si="74">E29+D165-E163</f>
        <v>6648835.4385349862</v>
      </c>
      <c r="F165" s="11">
        <f t="shared" ca="1" si="74"/>
        <v>6075420.8770699752</v>
      </c>
      <c r="G165" s="11">
        <f t="shared" ca="1" si="74"/>
        <v>5502006.3156049643</v>
      </c>
      <c r="H165" s="11">
        <f t="shared" ca="1" si="74"/>
        <v>4928591.7541399533</v>
      </c>
      <c r="I165" s="11">
        <f t="shared" ca="1" si="74"/>
        <v>4355177.1926749423</v>
      </c>
      <c r="J165" s="11">
        <f t="shared" ca="1" si="74"/>
        <v>3781762.6312099313</v>
      </c>
      <c r="K165" s="11">
        <f t="shared" ca="1" si="74"/>
        <v>3208348.0697449204</v>
      </c>
      <c r="L165" s="11">
        <f t="shared" ca="1" si="74"/>
        <v>2634933.5082799094</v>
      </c>
      <c r="M165" s="11">
        <f t="shared" ca="1" si="74"/>
        <v>2061518.9468148986</v>
      </c>
      <c r="N165" s="11">
        <f t="shared" ca="1" si="74"/>
        <v>1488104.3853498879</v>
      </c>
      <c r="O165" s="11">
        <f t="shared" ca="1" si="74"/>
        <v>914689.82388487714</v>
      </c>
      <c r="P165" s="11">
        <f t="shared" ca="1" si="74"/>
        <v>341275.2624198664</v>
      </c>
      <c r="Q165" s="11">
        <f t="shared" ca="1" si="74"/>
        <v>41280920.221993439</v>
      </c>
      <c r="R165" s="11">
        <f t="shared" ca="1" si="74"/>
        <v>37528109.292721301</v>
      </c>
      <c r="S165" s="11">
        <f t="shared" ca="1" si="74"/>
        <v>33775298.363449164</v>
      </c>
      <c r="T165" s="11">
        <f t="shared" ca="1" si="74"/>
        <v>30022487.43417703</v>
      </c>
      <c r="U165" s="11">
        <f t="shared" ca="1" si="74"/>
        <v>26269676.5049049</v>
      </c>
      <c r="V165" s="11">
        <f t="shared" ca="1" si="74"/>
        <v>22516865.57563277</v>
      </c>
      <c r="W165" s="11">
        <f t="shared" ca="1" si="74"/>
        <v>18764054.646360639</v>
      </c>
      <c r="X165" s="11">
        <f t="shared" ca="1" si="74"/>
        <v>15011243.717088509</v>
      </c>
      <c r="Y165" s="11">
        <f t="shared" ca="1" si="74"/>
        <v>11258432.787816375</v>
      </c>
      <c r="Z165" s="11">
        <f t="shared" ca="1" si="74"/>
        <v>7505621.8585442426</v>
      </c>
      <c r="AA165" s="11">
        <f t="shared" ca="1" si="74"/>
        <v>3752810.9292721106</v>
      </c>
      <c r="AB165" s="11">
        <f t="shared" ca="1" si="74"/>
        <v>-2.1420419216156006E-8</v>
      </c>
      <c r="AC165" s="11">
        <f t="shared" ca="1" si="74"/>
        <v>16475241.899443805</v>
      </c>
      <c r="AD165" s="11">
        <f t="shared" ca="1" si="74"/>
        <v>15083389.092226148</v>
      </c>
      <c r="AE165" s="11">
        <f t="shared" ca="1" si="74"/>
        <v>13691536.28500849</v>
      </c>
      <c r="AF165" s="11">
        <f t="shared" ca="1" si="74"/>
        <v>12299683.477790833</v>
      </c>
      <c r="AG165" s="11">
        <f t="shared" ca="1" si="74"/>
        <v>10907830.670573175</v>
      </c>
      <c r="AH165" s="11">
        <f t="shared" ca="1" si="74"/>
        <v>9515977.8633555174</v>
      </c>
      <c r="AI165" s="11">
        <f t="shared" ca="1" si="74"/>
        <v>8124125.0561378589</v>
      </c>
      <c r="AJ165" s="11">
        <f t="shared" ca="1" si="74"/>
        <v>6732272.2489202013</v>
      </c>
      <c r="AK165" s="11">
        <f t="shared" ref="AK165:BA165" ca="1" si="75">AK29+AJ165-AK163</f>
        <v>5340419.4417025438</v>
      </c>
      <c r="AL165" s="11">
        <f t="shared" ca="1" si="75"/>
        <v>3948566.6344848862</v>
      </c>
      <c r="AM165" s="11">
        <f t="shared" ca="1" si="75"/>
        <v>2556713.8272672277</v>
      </c>
      <c r="AN165" s="11">
        <f t="shared" ca="1" si="75"/>
        <v>1164861.0200495692</v>
      </c>
      <c r="AO165" s="11">
        <f t="shared" ca="1" si="75"/>
        <v>4065816.0089286203</v>
      </c>
      <c r="AP165" s="11">
        <f t="shared" ca="1" si="75"/>
        <v>3220433.9144366635</v>
      </c>
      <c r="AQ165" s="11">
        <f t="shared" ca="1" si="75"/>
        <v>2375051.8199447067</v>
      </c>
      <c r="AR165" s="11">
        <f t="shared" ca="1" si="75"/>
        <v>1529669.72545275</v>
      </c>
      <c r="AS165" s="11">
        <f t="shared" ca="1" si="75"/>
        <v>684287.63096079323</v>
      </c>
      <c r="AT165" s="11">
        <f t="shared" ca="1" si="75"/>
        <v>-161094.46353116352</v>
      </c>
      <c r="AU165" s="11">
        <f t="shared" ca="1" si="75"/>
        <v>-1006476.5580231203</v>
      </c>
      <c r="AV165" s="11">
        <f t="shared" ca="1" si="75"/>
        <v>-1851858.652515077</v>
      </c>
      <c r="AW165" s="11">
        <f t="shared" ca="1" si="75"/>
        <v>-2697240.7470070338</v>
      </c>
      <c r="AX165" s="11">
        <f t="shared" ca="1" si="75"/>
        <v>-3542622.8414989905</v>
      </c>
      <c r="AY165" s="11">
        <f t="shared" ca="1" si="75"/>
        <v>-4388004.9359909473</v>
      </c>
      <c r="AZ165" s="11">
        <f t="shared" ca="1" si="75"/>
        <v>-5233387.0304829041</v>
      </c>
      <c r="BA165" s="11">
        <f t="shared" ca="1" si="75"/>
        <v>-10466774.060965806</v>
      </c>
    </row>
  </sheetData>
  <pageMargins left="0.7" right="0.7" top="0.5" bottom="0.5" header="0.3" footer="0.3"/>
  <pageSetup scale="48" fitToHeight="4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98FED-B5AB-42C7-A5E7-B9EB4AC61210}">
  <sheetPr>
    <tabColor theme="9" tint="0.59999389629810485"/>
  </sheetPr>
  <dimension ref="A1:AK102"/>
  <sheetViews>
    <sheetView showGridLines="0" topLeftCell="A15" zoomScaleNormal="100" zoomScaleSheetLayoutView="85" workbookViewId="0">
      <selection activeCell="C44" sqref="C44"/>
    </sheetView>
  </sheetViews>
  <sheetFormatPr baseColWidth="10" defaultColWidth="11" defaultRowHeight="16" outlineLevelCol="1" x14ac:dyDescent="0.2"/>
  <cols>
    <col min="1" max="1" width="3.1640625" style="515" customWidth="1"/>
    <col min="2" max="2" width="35.5" customWidth="1"/>
    <col min="3" max="3" width="11.1640625" bestFit="1" customWidth="1"/>
    <col min="4" max="4" width="13.5" bestFit="1" customWidth="1"/>
    <col min="5" max="5" width="11.1640625" customWidth="1"/>
    <col min="6" max="6" width="14.1640625" customWidth="1"/>
    <col min="7" max="7" width="15.6640625" customWidth="1"/>
    <col min="8" max="13" width="14.1640625" customWidth="1"/>
    <col min="14" max="18" width="12.1640625" customWidth="1" outlineLevel="1"/>
    <col min="19" max="19" width="3.6640625" customWidth="1"/>
    <col min="20" max="20" width="14" style="515" bestFit="1" customWidth="1"/>
    <col min="21" max="21" width="13.1640625" style="515" bestFit="1" customWidth="1"/>
    <col min="22" max="22" width="14" style="515" bestFit="1" customWidth="1"/>
    <col min="23" max="23" width="13" style="515" customWidth="1"/>
    <col min="24" max="34" width="13.1640625" style="515" bestFit="1" customWidth="1"/>
    <col min="35" max="36" width="11" style="515"/>
    <col min="37" max="37" width="12.5" style="515" bestFit="1" customWidth="1"/>
    <col min="38" max="16384" width="11" style="515"/>
  </cols>
  <sheetData>
    <row r="1" spans="1:19" ht="21" x14ac:dyDescent="0.25">
      <c r="A1" s="75"/>
      <c r="B1" s="511" t="str">
        <f>'Proforma L+H'!B1</f>
        <v>CLARENDON - LAND &amp; HOME DEVELOPMENT</v>
      </c>
      <c r="C1" s="584"/>
      <c r="D1" s="584"/>
      <c r="E1" s="584"/>
    </row>
    <row r="2" spans="1:19" ht="21" x14ac:dyDescent="0.25">
      <c r="A2" s="75"/>
      <c r="B2" s="582" t="s">
        <v>156</v>
      </c>
      <c r="C2" s="582"/>
      <c r="D2" s="582"/>
      <c r="E2" s="58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</row>
    <row r="3" spans="1:19" x14ac:dyDescent="0.2">
      <c r="A3" s="257"/>
      <c r="H3" s="137"/>
    </row>
    <row r="4" spans="1:19" x14ac:dyDescent="0.2">
      <c r="A4" s="257"/>
      <c r="B4" s="191" t="s">
        <v>157</v>
      </c>
      <c r="C4" s="191"/>
      <c r="D4" s="191"/>
      <c r="E4" s="3"/>
      <c r="F4" s="614" t="s">
        <v>158</v>
      </c>
      <c r="G4" s="191"/>
      <c r="H4" s="191"/>
    </row>
    <row r="5" spans="1:19" x14ac:dyDescent="0.2">
      <c r="A5" s="257"/>
      <c r="B5" s="239" t="s">
        <v>159</v>
      </c>
      <c r="D5" s="586">
        <f>'Proforma L+H'!R40+'Proforma L+H'!R48</f>
        <v>96335729.493554473</v>
      </c>
      <c r="F5" s="239" t="s">
        <v>604</v>
      </c>
      <c r="H5" s="586">
        <f>SUM('Proforma L+H'!R50:R57)</f>
        <v>372055618.75000006</v>
      </c>
    </row>
    <row r="6" spans="1:19" x14ac:dyDescent="0.2">
      <c r="A6" s="257"/>
      <c r="B6" s="239" t="s">
        <v>161</v>
      </c>
      <c r="D6" s="586">
        <f>'Proforma L+H'!T16</f>
        <v>287850000</v>
      </c>
      <c r="F6" s="307" t="s">
        <v>162</v>
      </c>
      <c r="H6" s="586">
        <f>'Proforma L+H'!R143+'Proforma L+H'!R172</f>
        <v>273679678.75341743</v>
      </c>
    </row>
    <row r="7" spans="1:19" x14ac:dyDescent="0.2">
      <c r="A7" s="257"/>
      <c r="B7" s="613" t="s">
        <v>163</v>
      </c>
      <c r="D7" s="617">
        <f>'Proforma L+H'!T37</f>
        <v>0</v>
      </c>
      <c r="F7" s="616" t="s">
        <v>164</v>
      </c>
      <c r="H7" s="586">
        <f>H5-H6</f>
        <v>98375939.996582627</v>
      </c>
    </row>
    <row r="8" spans="1:19" x14ac:dyDescent="0.2">
      <c r="A8" s="257"/>
      <c r="B8" s="613" t="s">
        <v>165</v>
      </c>
      <c r="D8" s="615" t="e">
        <f>'Proforma L+H'!T40</f>
        <v>#DIV/0!</v>
      </c>
      <c r="F8" s="239" t="s">
        <v>166</v>
      </c>
      <c r="H8" s="612">
        <f>H7/H5</f>
        <v>0.26441191864565172</v>
      </c>
    </row>
    <row r="9" spans="1:19" x14ac:dyDescent="0.2">
      <c r="A9" s="257"/>
      <c r="B9" s="613" t="s">
        <v>167</v>
      </c>
      <c r="D9" s="612">
        <f>'Proforma L+H'!T46</f>
        <v>0.88062580664041756</v>
      </c>
      <c r="F9" s="239" t="s">
        <v>168</v>
      </c>
      <c r="H9" s="604">
        <f>H7/'Proforma L+H'!E40</f>
        <v>8.5544295649202287</v>
      </c>
      <c r="L9" s="2"/>
      <c r="M9" s="2"/>
      <c r="N9" s="2"/>
      <c r="O9" s="2"/>
      <c r="P9" s="2"/>
      <c r="Q9" s="2"/>
      <c r="R9" s="2"/>
      <c r="S9" s="2"/>
    </row>
    <row r="10" spans="1:19" x14ac:dyDescent="0.2">
      <c r="A10" s="257"/>
      <c r="B10" s="239" t="s">
        <v>169</v>
      </c>
      <c r="D10" s="489">
        <f>'Proforma L+H'!T48</f>
        <v>5.5454059015788905E-2</v>
      </c>
      <c r="F10" s="11"/>
      <c r="I10" s="137"/>
      <c r="K10" s="604"/>
      <c r="L10" s="11"/>
      <c r="M10" s="11"/>
      <c r="N10" s="11"/>
    </row>
    <row r="11" spans="1:19" x14ac:dyDescent="0.2">
      <c r="A11" s="257"/>
      <c r="B11" s="613"/>
      <c r="L11" s="11"/>
      <c r="M11" s="11"/>
      <c r="N11" s="11"/>
    </row>
    <row r="12" spans="1:19" x14ac:dyDescent="0.2">
      <c r="A12" s="257"/>
      <c r="B12" s="614" t="s">
        <v>170</v>
      </c>
      <c r="C12" s="271"/>
      <c r="D12" s="271"/>
      <c r="F12" s="11"/>
      <c r="L12" s="11"/>
      <c r="M12" s="11"/>
      <c r="N12" s="11"/>
    </row>
    <row r="13" spans="1:19" x14ac:dyDescent="0.2">
      <c r="A13" s="257"/>
      <c r="B13" s="613" t="s">
        <v>171</v>
      </c>
      <c r="D13" s="586">
        <f>SUM('Proforma L+H'!E223:Q223)</f>
        <v>98320251.920159847</v>
      </c>
      <c r="L13" s="11"/>
      <c r="M13" s="11"/>
      <c r="N13" s="11"/>
    </row>
    <row r="14" spans="1:19" x14ac:dyDescent="0.2">
      <c r="A14" s="257"/>
      <c r="B14" s="613" t="s">
        <v>172</v>
      </c>
      <c r="D14" s="604">
        <f>'Proforma L+H'!R217/-F47</f>
        <v>9.5495871234921612</v>
      </c>
      <c r="L14" s="11"/>
      <c r="M14" s="11"/>
      <c r="N14" s="11"/>
    </row>
    <row r="15" spans="1:19" x14ac:dyDescent="0.2">
      <c r="A15" s="257"/>
      <c r="B15" s="239" t="s">
        <v>173</v>
      </c>
      <c r="D15" s="612">
        <f>D13/-F47</f>
        <v>8.5495871234921612</v>
      </c>
      <c r="F15" s="11"/>
      <c r="L15" s="11"/>
      <c r="M15" s="11"/>
      <c r="N15" s="11"/>
    </row>
    <row r="16" spans="1:19" x14ac:dyDescent="0.2">
      <c r="A16" s="257"/>
      <c r="B16" s="239" t="s">
        <v>174</v>
      </c>
      <c r="D16" s="612">
        <f>XIRR('Proforma L+H'!E223:Q223,'Proforma L+H'!E4:Q4)</f>
        <v>0.64360042214393631</v>
      </c>
    </row>
    <row r="17" spans="1:37" x14ac:dyDescent="0.2">
      <c r="A17" s="257"/>
      <c r="B17" s="239"/>
      <c r="D17" s="612"/>
    </row>
    <row r="18" spans="1:37" x14ac:dyDescent="0.2">
      <c r="A18" s="257"/>
      <c r="B18" s="611"/>
      <c r="E18" s="610"/>
      <c r="F18" s="247">
        <f>'Proforma L+H'!E3</f>
        <v>0</v>
      </c>
      <c r="G18" s="247">
        <f>'Proforma L+H'!F3</f>
        <v>1</v>
      </c>
      <c r="H18" s="247">
        <f>'Proforma L+H'!G3</f>
        <v>2</v>
      </c>
      <c r="I18" s="247">
        <f>'Proforma L+H'!H3</f>
        <v>3</v>
      </c>
      <c r="J18" s="247">
        <f>'Proforma L+H'!I3</f>
        <v>4</v>
      </c>
      <c r="K18" s="247">
        <f>'Proforma L+H'!J3</f>
        <v>5</v>
      </c>
      <c r="L18" s="247">
        <f>'Proforma L+H'!K3</f>
        <v>6</v>
      </c>
      <c r="M18" s="247">
        <f>'Proforma L+H'!L3</f>
        <v>7</v>
      </c>
      <c r="N18" s="247">
        <f>'Proforma L+H'!M3</f>
        <v>8</v>
      </c>
      <c r="O18" s="247">
        <f>'Proforma L+H'!N3</f>
        <v>9</v>
      </c>
      <c r="P18" s="247">
        <f>'Proforma L+H'!O3</f>
        <v>10</v>
      </c>
      <c r="Q18" s="247">
        <f>'Proforma L+H'!P3</f>
        <v>11</v>
      </c>
      <c r="R18" s="247">
        <f>'Proforma L+H'!Q3</f>
        <v>12</v>
      </c>
    </row>
    <row r="19" spans="1:37" s="744" customFormat="1" x14ac:dyDescent="0.2">
      <c r="A19" s="740"/>
      <c r="B19" s="741" t="s">
        <v>175</v>
      </c>
      <c r="C19" s="529"/>
      <c r="D19" s="529"/>
      <c r="E19" s="745" t="s">
        <v>450</v>
      </c>
      <c r="F19" s="742">
        <f>'Proforma L+H'!E4</f>
        <v>45658</v>
      </c>
      <c r="G19" s="742">
        <f>'Proforma L+H'!F4</f>
        <v>46023</v>
      </c>
      <c r="H19" s="742">
        <f>'Proforma L+H'!G4</f>
        <v>46388</v>
      </c>
      <c r="I19" s="742">
        <f>'Proforma L+H'!H4</f>
        <v>46753</v>
      </c>
      <c r="J19" s="742">
        <f>'Proforma L+H'!I4</f>
        <v>47119</v>
      </c>
      <c r="K19" s="742">
        <f>'Proforma L+H'!J4</f>
        <v>47484</v>
      </c>
      <c r="L19" s="742">
        <f>'Proforma L+H'!K4</f>
        <v>47849</v>
      </c>
      <c r="M19" s="742">
        <f>'Proforma L+H'!L4</f>
        <v>48214</v>
      </c>
      <c r="N19" s="742">
        <f>'Proforma L+H'!M4</f>
        <v>48580</v>
      </c>
      <c r="O19" s="742">
        <f>'Proforma L+H'!N4</f>
        <v>48945</v>
      </c>
      <c r="P19" s="742">
        <f>'Proforma L+H'!O4</f>
        <v>49310</v>
      </c>
      <c r="Q19" s="742">
        <f>'Proforma L+H'!P4</f>
        <v>49675</v>
      </c>
      <c r="R19" s="742">
        <f>'Proforma L+H'!Q4</f>
        <v>50041</v>
      </c>
      <c r="S19" s="529"/>
      <c r="T19" s="743"/>
      <c r="U19" s="743"/>
      <c r="V19" s="743"/>
      <c r="W19" s="743"/>
      <c r="X19" s="743"/>
      <c r="Y19" s="743"/>
      <c r="Z19" s="743"/>
      <c r="AA19" s="743"/>
      <c r="AB19" s="743"/>
      <c r="AC19" s="743"/>
      <c r="AD19" s="743"/>
      <c r="AE19" s="743"/>
      <c r="AF19" s="743"/>
      <c r="AG19" s="743"/>
      <c r="AH19" s="743"/>
      <c r="AI19" s="743"/>
      <c r="AJ19" s="743"/>
      <c r="AK19" s="743"/>
    </row>
    <row r="20" spans="1:37" x14ac:dyDescent="0.2">
      <c r="A20" s="257"/>
      <c r="B20" s="34" t="s">
        <v>176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262"/>
      <c r="T20" s="608"/>
      <c r="U20" s="608"/>
      <c r="V20" s="608"/>
      <c r="W20" s="608"/>
      <c r="X20" s="608"/>
      <c r="Y20" s="608"/>
      <c r="Z20" s="608"/>
      <c r="AA20" s="608"/>
      <c r="AB20" s="608"/>
      <c r="AC20" s="608"/>
      <c r="AD20" s="608"/>
      <c r="AE20" s="608"/>
      <c r="AF20" s="608"/>
      <c r="AG20" s="608"/>
      <c r="AH20" s="608"/>
      <c r="AI20" s="608"/>
      <c r="AJ20" s="608"/>
      <c r="AK20" s="608"/>
    </row>
    <row r="21" spans="1:37" x14ac:dyDescent="0.2">
      <c r="A21" s="257"/>
      <c r="B21" s="170" t="s">
        <v>185</v>
      </c>
      <c r="D21" s="147">
        <f t="shared" ref="D21:D22" si="0">SUM(F21:R21)</f>
        <v>14641000</v>
      </c>
      <c r="F21" s="92">
        <f>'Proforma L+H'!E183</f>
        <v>0</v>
      </c>
      <c r="G21" s="92">
        <f>'Proforma L+H'!F183</f>
        <v>0</v>
      </c>
      <c r="H21" s="92">
        <f>'Proforma L+H'!G183</f>
        <v>0</v>
      </c>
      <c r="I21" s="92">
        <f>'Proforma L+H'!H183</f>
        <v>0</v>
      </c>
      <c r="J21" s="92">
        <f>'Proforma L+H'!I183</f>
        <v>14641000</v>
      </c>
      <c r="K21" s="92">
        <f>'Proforma L+H'!J183</f>
        <v>0</v>
      </c>
      <c r="L21" s="92">
        <f>'Proforma L+H'!K183</f>
        <v>0</v>
      </c>
      <c r="M21" s="92">
        <f>'Proforma L+H'!L183</f>
        <v>0</v>
      </c>
      <c r="N21" s="92">
        <f>'Proforma L+H'!M183</f>
        <v>0</v>
      </c>
      <c r="O21" s="92">
        <f>'Proforma L+H'!N183</f>
        <v>0</v>
      </c>
      <c r="P21" s="92">
        <f>'Proforma L+H'!O183</f>
        <v>0</v>
      </c>
      <c r="Q21" s="92">
        <f>'Proforma L+H'!P183</f>
        <v>0</v>
      </c>
      <c r="R21" s="92">
        <f>'Proforma L+H'!Q183</f>
        <v>0</v>
      </c>
      <c r="S21" s="262"/>
      <c r="T21" s="608"/>
      <c r="U21" s="608"/>
      <c r="V21" s="608"/>
    </row>
    <row r="22" spans="1:37" x14ac:dyDescent="0.2">
      <c r="A22" s="257"/>
      <c r="B22" s="268" t="s">
        <v>177</v>
      </c>
      <c r="C22" s="222"/>
      <c r="D22" s="267">
        <f t="shared" si="0"/>
        <v>14953794.547868952</v>
      </c>
      <c r="E22" s="222"/>
      <c r="F22" s="77">
        <f>'Proforma L+H'!E214-F21</f>
        <v>0</v>
      </c>
      <c r="G22" s="77">
        <f>'Proforma L+H'!F214-G21</f>
        <v>0</v>
      </c>
      <c r="H22" s="77">
        <f>'Proforma L+H'!G214-H21</f>
        <v>0</v>
      </c>
      <c r="I22" s="77">
        <f>'Proforma L+H'!H214-I21</f>
        <v>0</v>
      </c>
      <c r="J22" s="77">
        <f>'Proforma L+H'!I214-J21</f>
        <v>14953794.547868948</v>
      </c>
      <c r="K22" s="77">
        <f>'Proforma L+H'!J214-K21-D29</f>
        <v>0</v>
      </c>
      <c r="L22" s="77">
        <f>'Proforma L+H'!K214-L21</f>
        <v>4.5351360155188514E-9</v>
      </c>
      <c r="M22" s="77">
        <f>'Proforma L+H'!L214-M21</f>
        <v>0</v>
      </c>
      <c r="N22" s="77">
        <f>'Proforma L+H'!M214-N21</f>
        <v>0</v>
      </c>
      <c r="O22" s="77">
        <f>'Proforma L+H'!N214-O21</f>
        <v>0</v>
      </c>
      <c r="P22" s="77">
        <f>'Proforma L+H'!O214-P21</f>
        <v>0</v>
      </c>
      <c r="Q22" s="77">
        <f>'Proforma L+H'!P214-Q21</f>
        <v>0</v>
      </c>
      <c r="R22" s="77">
        <f>'Proforma L+H'!Q214-R21</f>
        <v>0</v>
      </c>
      <c r="S22" s="262"/>
      <c r="T22" s="608"/>
      <c r="U22" s="608"/>
      <c r="V22" s="608"/>
    </row>
    <row r="23" spans="1:37" x14ac:dyDescent="0.2">
      <c r="A23" s="257"/>
      <c r="B23" s="132" t="s">
        <v>178</v>
      </c>
      <c r="D23" s="109">
        <f>SUM(F23:R23)</f>
        <v>29594794.547868952</v>
      </c>
      <c r="F23" s="92">
        <f>F21+F22</f>
        <v>0</v>
      </c>
      <c r="G23" s="92">
        <f t="shared" ref="G23:R23" si="1">G21+G22</f>
        <v>0</v>
      </c>
      <c r="H23" s="92">
        <f t="shared" si="1"/>
        <v>0</v>
      </c>
      <c r="I23" s="92">
        <f t="shared" si="1"/>
        <v>0</v>
      </c>
      <c r="J23" s="92">
        <f t="shared" si="1"/>
        <v>29594794.547868948</v>
      </c>
      <c r="K23" s="92">
        <f t="shared" si="1"/>
        <v>0</v>
      </c>
      <c r="L23" s="92">
        <f t="shared" si="1"/>
        <v>4.5351360155188514E-9</v>
      </c>
      <c r="M23" s="92">
        <f t="shared" si="1"/>
        <v>0</v>
      </c>
      <c r="N23" s="92">
        <f t="shared" si="1"/>
        <v>0</v>
      </c>
      <c r="O23" s="92">
        <f t="shared" si="1"/>
        <v>0</v>
      </c>
      <c r="P23" s="92">
        <f t="shared" si="1"/>
        <v>0</v>
      </c>
      <c r="Q23" s="92">
        <f t="shared" si="1"/>
        <v>0</v>
      </c>
      <c r="R23" s="92">
        <f t="shared" si="1"/>
        <v>0</v>
      </c>
      <c r="S23" s="262"/>
      <c r="T23" s="608"/>
      <c r="U23" s="608"/>
      <c r="V23" s="608"/>
    </row>
    <row r="24" spans="1:37" x14ac:dyDescent="0.2">
      <c r="A24" s="257"/>
      <c r="B24" s="599" t="s">
        <v>179</v>
      </c>
      <c r="C24" s="2"/>
      <c r="D24" s="606">
        <f>SUM(F24:R24)</f>
        <v>10000000</v>
      </c>
      <c r="E24" s="2"/>
      <c r="F24" s="542">
        <f>-'Proforma L+H'!E185</f>
        <v>10000000</v>
      </c>
      <c r="G24" s="542">
        <f>-'Proforma L+H'!F185</f>
        <v>0</v>
      </c>
      <c r="H24" s="542"/>
      <c r="I24" s="542"/>
      <c r="J24" s="542"/>
      <c r="K24" s="542"/>
      <c r="L24" s="542"/>
      <c r="M24" s="542"/>
      <c r="N24" s="542"/>
      <c r="O24" s="542"/>
      <c r="P24" s="542"/>
      <c r="Q24" s="542"/>
      <c r="R24" s="542"/>
      <c r="S24" s="262"/>
      <c r="T24" s="608"/>
      <c r="U24" s="608"/>
      <c r="V24" s="608"/>
      <c r="W24" s="608"/>
      <c r="X24" s="608"/>
      <c r="Y24" s="608"/>
      <c r="Z24" s="608"/>
      <c r="AA24" s="608"/>
      <c r="AB24" s="608"/>
      <c r="AC24" s="608"/>
      <c r="AD24" s="608"/>
      <c r="AE24" s="608"/>
      <c r="AF24" s="608"/>
      <c r="AG24" s="608"/>
      <c r="AH24" s="608"/>
      <c r="AI24" s="608"/>
      <c r="AJ24" s="608"/>
      <c r="AK24" s="608"/>
    </row>
    <row r="25" spans="1:37" ht="17" thickBot="1" x14ac:dyDescent="0.25">
      <c r="A25" s="257"/>
      <c r="B25" s="599" t="s">
        <v>180</v>
      </c>
      <c r="C25" s="2"/>
      <c r="D25" s="609">
        <f>SUM(F25:R25)</f>
        <v>19594794.547868952</v>
      </c>
      <c r="E25" s="2"/>
      <c r="F25" s="542">
        <f>F23-F24</f>
        <v>-10000000</v>
      </c>
      <c r="G25" s="542">
        <f t="shared" ref="G25:R25" si="2">G23-G24</f>
        <v>0</v>
      </c>
      <c r="H25" s="542">
        <f t="shared" si="2"/>
        <v>0</v>
      </c>
      <c r="I25" s="542">
        <f t="shared" si="2"/>
        <v>0</v>
      </c>
      <c r="J25" s="542">
        <f t="shared" si="2"/>
        <v>29594794.547868948</v>
      </c>
      <c r="K25" s="542">
        <f t="shared" si="2"/>
        <v>0</v>
      </c>
      <c r="L25" s="542">
        <f t="shared" si="2"/>
        <v>4.5351360155188514E-9</v>
      </c>
      <c r="M25" s="542">
        <f t="shared" si="2"/>
        <v>0</v>
      </c>
      <c r="N25" s="542">
        <f t="shared" si="2"/>
        <v>0</v>
      </c>
      <c r="O25" s="542">
        <f t="shared" si="2"/>
        <v>0</v>
      </c>
      <c r="P25" s="542">
        <f t="shared" si="2"/>
        <v>0</v>
      </c>
      <c r="Q25" s="542">
        <f t="shared" si="2"/>
        <v>0</v>
      </c>
      <c r="R25" s="542">
        <f t="shared" si="2"/>
        <v>0</v>
      </c>
      <c r="S25" s="262"/>
      <c r="T25" s="608"/>
      <c r="U25" s="608"/>
      <c r="V25" s="608"/>
      <c r="W25" s="608"/>
      <c r="X25" s="608"/>
      <c r="Y25" s="608"/>
      <c r="Z25" s="608"/>
      <c r="AA25" s="608"/>
      <c r="AB25" s="608"/>
      <c r="AC25" s="608"/>
      <c r="AD25" s="608"/>
      <c r="AE25" s="608"/>
      <c r="AF25" s="608"/>
      <c r="AG25" s="608"/>
      <c r="AH25" s="608"/>
      <c r="AI25" s="608"/>
      <c r="AJ25" s="608"/>
      <c r="AK25" s="608"/>
    </row>
    <row r="26" spans="1:37" ht="17" thickTop="1" x14ac:dyDescent="0.2">
      <c r="A26" s="257"/>
      <c r="B26" s="599" t="s">
        <v>181</v>
      </c>
      <c r="C26" s="2"/>
      <c r="D26" s="2"/>
      <c r="E26" s="2"/>
      <c r="F26" s="598">
        <f>IRR(F25:R25)</f>
        <v>0.31160732171530525</v>
      </c>
    </row>
    <row r="27" spans="1:37" x14ac:dyDescent="0.2">
      <c r="A27" s="257"/>
      <c r="B27" s="599" t="s">
        <v>182</v>
      </c>
      <c r="C27" s="2"/>
      <c r="D27" s="2"/>
      <c r="E27" s="2"/>
      <c r="F27" s="603">
        <f>SUMIF(F25:R25,"&gt;0")/-SUMIF(F25:R25,"&lt;0")</f>
        <v>2.9594794547868952</v>
      </c>
    </row>
    <row r="28" spans="1:37" x14ac:dyDescent="0.2">
      <c r="A28" s="257"/>
      <c r="B28" s="599" t="s">
        <v>183</v>
      </c>
      <c r="C28" s="2"/>
      <c r="D28" s="2"/>
      <c r="E28" s="2"/>
      <c r="F28" s="542">
        <f t="shared" ref="F28:R28" si="3">F25+E28</f>
        <v>-10000000</v>
      </c>
      <c r="G28" s="542">
        <f t="shared" si="3"/>
        <v>-10000000</v>
      </c>
      <c r="H28" s="542">
        <f t="shared" si="3"/>
        <v>-10000000</v>
      </c>
      <c r="I28" s="542">
        <f t="shared" si="3"/>
        <v>-10000000</v>
      </c>
      <c r="J28" s="542">
        <f t="shared" si="3"/>
        <v>19594794.547868948</v>
      </c>
      <c r="K28" s="542">
        <f t="shared" si="3"/>
        <v>19594794.547868948</v>
      </c>
      <c r="L28" s="542">
        <f t="shared" si="3"/>
        <v>19594794.547868952</v>
      </c>
      <c r="M28" s="542">
        <f t="shared" si="3"/>
        <v>19594794.547868952</v>
      </c>
      <c r="N28" s="542">
        <f t="shared" si="3"/>
        <v>19594794.547868952</v>
      </c>
      <c r="O28" s="542">
        <f t="shared" si="3"/>
        <v>19594794.547868952</v>
      </c>
      <c r="P28" s="542">
        <f t="shared" si="3"/>
        <v>19594794.547868952</v>
      </c>
      <c r="Q28" s="542">
        <f t="shared" si="3"/>
        <v>19594794.547868952</v>
      </c>
      <c r="R28" s="542">
        <f t="shared" si="3"/>
        <v>19594794.547868952</v>
      </c>
    </row>
    <row r="29" spans="1:37" x14ac:dyDescent="0.2">
      <c r="A29" s="257"/>
      <c r="B29" s="737" t="s">
        <v>605</v>
      </c>
      <c r="C29" s="457"/>
      <c r="D29" s="694"/>
      <c r="E29" s="2"/>
      <c r="F29" s="542"/>
      <c r="G29" s="542"/>
      <c r="H29" s="542"/>
      <c r="I29" s="542"/>
      <c r="J29" s="542"/>
      <c r="K29" s="542"/>
      <c r="L29" s="542"/>
      <c r="M29" s="542"/>
      <c r="N29" s="542"/>
      <c r="O29" s="542"/>
      <c r="P29" s="542"/>
      <c r="Q29" s="542"/>
      <c r="R29" s="542"/>
    </row>
    <row r="30" spans="1:37" x14ac:dyDescent="0.2">
      <c r="A30" s="257"/>
      <c r="B30" s="34" t="s">
        <v>184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</row>
    <row r="31" spans="1:37" x14ac:dyDescent="0.2">
      <c r="A31" s="257"/>
      <c r="B31" s="170" t="s">
        <v>185</v>
      </c>
      <c r="D31" s="147">
        <f>SUM(F31:R31)</f>
        <v>2196150</v>
      </c>
      <c r="F31" s="92">
        <f>'Proforma L+H'!E189</f>
        <v>0</v>
      </c>
      <c r="G31" s="92">
        <f>'Proforma L+H'!F189</f>
        <v>0</v>
      </c>
      <c r="H31" s="92">
        <f>'Proforma L+H'!G189</f>
        <v>0</v>
      </c>
      <c r="I31" s="92">
        <f>'Proforma L+H'!H189</f>
        <v>0</v>
      </c>
      <c r="J31" s="92">
        <f>'Proforma L+H'!I189</f>
        <v>2196150</v>
      </c>
      <c r="K31" s="92">
        <f>'Proforma L+H'!J189</f>
        <v>0</v>
      </c>
      <c r="L31" s="92">
        <f>'Proforma L+H'!K189</f>
        <v>0</v>
      </c>
      <c r="M31" s="92">
        <f>'Proforma L+H'!L189</f>
        <v>0</v>
      </c>
      <c r="N31" s="92">
        <f>'Proforma L+H'!M189</f>
        <v>0</v>
      </c>
      <c r="O31" s="92">
        <f>'Proforma L+H'!N189</f>
        <v>0</v>
      </c>
      <c r="P31" s="92">
        <f>'Proforma L+H'!O189</f>
        <v>0</v>
      </c>
      <c r="Q31" s="92">
        <f>'Proforma L+H'!P189</f>
        <v>0</v>
      </c>
      <c r="R31" s="92">
        <f>'Proforma L+H'!Q189</f>
        <v>0</v>
      </c>
      <c r="S31" s="262"/>
      <c r="T31" s="608"/>
      <c r="U31" s="608"/>
      <c r="V31" s="608"/>
    </row>
    <row r="32" spans="1:37" x14ac:dyDescent="0.2">
      <c r="A32" s="257"/>
      <c r="B32" s="268" t="s">
        <v>177</v>
      </c>
      <c r="C32" s="222"/>
      <c r="D32" s="267">
        <f>SUM(F32:R32)</f>
        <v>2243069.1821803427</v>
      </c>
      <c r="E32" s="222"/>
      <c r="F32" s="77">
        <f>'Proforma L+H'!E215-F31</f>
        <v>0</v>
      </c>
      <c r="G32" s="77">
        <f>'Proforma L+H'!F215-G31</f>
        <v>0</v>
      </c>
      <c r="H32" s="77">
        <f>'Proforma L+H'!G215-H31</f>
        <v>0</v>
      </c>
      <c r="I32" s="77">
        <f>'Proforma L+H'!H215-I31</f>
        <v>0</v>
      </c>
      <c r="J32" s="77">
        <f>'Proforma L+H'!I215-J31</f>
        <v>2243069.1821803423</v>
      </c>
      <c r="K32" s="77">
        <f>'Proforma L+H'!J215-K31+D29</f>
        <v>0</v>
      </c>
      <c r="L32" s="77">
        <f>'Proforma L+H'!K215-L31</f>
        <v>6.8027040232782789E-10</v>
      </c>
      <c r="M32" s="77">
        <f>'Proforma L+H'!L215-M31</f>
        <v>0</v>
      </c>
      <c r="N32" s="77">
        <f>'Proforma L+H'!M215-N31</f>
        <v>0</v>
      </c>
      <c r="O32" s="77">
        <f>'Proforma L+H'!N215-O31</f>
        <v>0</v>
      </c>
      <c r="P32" s="77">
        <f>'Proforma L+H'!O215-P31</f>
        <v>0</v>
      </c>
      <c r="Q32" s="77">
        <f>'Proforma L+H'!P215-Q31</f>
        <v>0</v>
      </c>
      <c r="R32" s="77">
        <f>'Proforma L+H'!Q215-R31</f>
        <v>0</v>
      </c>
      <c r="S32" s="262"/>
      <c r="T32" s="608"/>
      <c r="U32" s="608"/>
      <c r="V32" s="608"/>
    </row>
    <row r="33" spans="1:37" x14ac:dyDescent="0.2">
      <c r="A33" s="257"/>
      <c r="B33" s="599" t="s">
        <v>186</v>
      </c>
      <c r="C33" s="2"/>
      <c r="D33" s="606">
        <f t="shared" ref="D33:D34" si="4">SUM(F33:R33)</f>
        <v>4439219.1821803432</v>
      </c>
      <c r="E33" s="2"/>
      <c r="F33" s="542">
        <f>SUM(F31:F32)</f>
        <v>0</v>
      </c>
      <c r="G33" s="542">
        <f t="shared" ref="G33:R33" si="5">SUM(G31:G32)</f>
        <v>0</v>
      </c>
      <c r="H33" s="542">
        <f t="shared" si="5"/>
        <v>0</v>
      </c>
      <c r="I33" s="542">
        <f t="shared" si="5"/>
        <v>0</v>
      </c>
      <c r="J33" s="542">
        <f t="shared" si="5"/>
        <v>4439219.1821803423</v>
      </c>
      <c r="K33" s="542">
        <f t="shared" si="5"/>
        <v>0</v>
      </c>
      <c r="L33" s="542">
        <f t="shared" si="5"/>
        <v>6.8027040232782789E-10</v>
      </c>
      <c r="M33" s="542">
        <f t="shared" si="5"/>
        <v>0</v>
      </c>
      <c r="N33" s="542">
        <f t="shared" si="5"/>
        <v>0</v>
      </c>
      <c r="O33" s="542">
        <f t="shared" si="5"/>
        <v>0</v>
      </c>
      <c r="P33" s="542">
        <f t="shared" si="5"/>
        <v>0</v>
      </c>
      <c r="Q33" s="542">
        <f t="shared" si="5"/>
        <v>0</v>
      </c>
      <c r="R33" s="542">
        <f t="shared" si="5"/>
        <v>0</v>
      </c>
    </row>
    <row r="34" spans="1:37" x14ac:dyDescent="0.2">
      <c r="A34" s="257"/>
      <c r="B34" s="599" t="s">
        <v>179</v>
      </c>
      <c r="C34" s="2"/>
      <c r="D34" s="606">
        <f t="shared" si="4"/>
        <v>1500000</v>
      </c>
      <c r="E34" s="2"/>
      <c r="F34" s="542">
        <f>'Proforma L+H'!D190</f>
        <v>1500000</v>
      </c>
      <c r="G34" s="542"/>
      <c r="H34" s="542"/>
      <c r="I34" s="542"/>
      <c r="J34" s="542"/>
      <c r="K34" s="542"/>
      <c r="L34" s="542"/>
      <c r="M34" s="542"/>
      <c r="N34" s="542"/>
      <c r="O34" s="542"/>
      <c r="P34" s="542"/>
      <c r="Q34" s="542"/>
      <c r="R34" s="542"/>
      <c r="S34" s="262"/>
      <c r="T34" s="608"/>
      <c r="U34" s="608"/>
      <c r="V34" s="608"/>
      <c r="W34" s="608"/>
      <c r="X34" s="608"/>
      <c r="Y34" s="608"/>
      <c r="Z34" s="608"/>
      <c r="AA34" s="608"/>
      <c r="AB34" s="608"/>
      <c r="AC34" s="608"/>
      <c r="AD34" s="608"/>
      <c r="AE34" s="608"/>
      <c r="AF34" s="608"/>
      <c r="AG34" s="608"/>
      <c r="AH34" s="608"/>
      <c r="AI34" s="608"/>
      <c r="AJ34" s="608"/>
      <c r="AK34" s="608"/>
    </row>
    <row r="35" spans="1:37" ht="17" thickBot="1" x14ac:dyDescent="0.25">
      <c r="A35" s="257"/>
      <c r="B35" s="599" t="s">
        <v>187</v>
      </c>
      <c r="C35" s="2"/>
      <c r="D35" s="609">
        <f>SUM(F35:R35)</f>
        <v>2939219.1821803427</v>
      </c>
      <c r="E35" s="2"/>
      <c r="F35" s="542">
        <f>F33-F34</f>
        <v>-1500000</v>
      </c>
      <c r="G35" s="542">
        <f t="shared" ref="G35:R35" si="6">G33-G34</f>
        <v>0</v>
      </c>
      <c r="H35" s="542">
        <f t="shared" si="6"/>
        <v>0</v>
      </c>
      <c r="I35" s="542">
        <f t="shared" si="6"/>
        <v>0</v>
      </c>
      <c r="J35" s="542">
        <f t="shared" si="6"/>
        <v>4439219.1821803423</v>
      </c>
      <c r="K35" s="542">
        <f t="shared" si="6"/>
        <v>0</v>
      </c>
      <c r="L35" s="542">
        <f t="shared" si="6"/>
        <v>6.8027040232782789E-10</v>
      </c>
      <c r="M35" s="542">
        <f t="shared" si="6"/>
        <v>0</v>
      </c>
      <c r="N35" s="542">
        <f t="shared" si="6"/>
        <v>0</v>
      </c>
      <c r="O35" s="542">
        <f t="shared" si="6"/>
        <v>0</v>
      </c>
      <c r="P35" s="542">
        <f t="shared" si="6"/>
        <v>0</v>
      </c>
      <c r="Q35" s="542">
        <f t="shared" si="6"/>
        <v>0</v>
      </c>
      <c r="R35" s="542">
        <f t="shared" si="6"/>
        <v>0</v>
      </c>
      <c r="S35" s="262"/>
      <c r="T35" s="608"/>
      <c r="U35" s="608"/>
      <c r="V35" s="608"/>
      <c r="W35" s="608"/>
      <c r="X35" s="608"/>
      <c r="Y35" s="608"/>
      <c r="Z35" s="608"/>
      <c r="AA35" s="608"/>
      <c r="AB35" s="608"/>
      <c r="AC35" s="608"/>
      <c r="AD35" s="608"/>
      <c r="AE35" s="608"/>
      <c r="AF35" s="608"/>
      <c r="AG35" s="608"/>
      <c r="AH35" s="608"/>
      <c r="AI35" s="608"/>
      <c r="AJ35" s="608"/>
      <c r="AK35" s="608"/>
    </row>
    <row r="36" spans="1:37" ht="17" thickTop="1" x14ac:dyDescent="0.2">
      <c r="A36" s="257"/>
      <c r="B36" s="599" t="s">
        <v>188</v>
      </c>
      <c r="C36" s="2"/>
      <c r="D36" s="2"/>
      <c r="E36" s="2"/>
      <c r="F36" s="598">
        <f>IRR(F35:R35)</f>
        <v>0.31160732171530525</v>
      </c>
    </row>
    <row r="37" spans="1:37" x14ac:dyDescent="0.2">
      <c r="A37" s="257"/>
      <c r="B37" s="599" t="s">
        <v>189</v>
      </c>
      <c r="C37" s="2"/>
      <c r="D37" s="2"/>
      <c r="E37" s="2"/>
      <c r="F37" s="603">
        <f>SUMIF(F35:R35,"&gt;0")/-SUMIF(F35:R35,"&lt;0")</f>
        <v>2.9594794547868957</v>
      </c>
    </row>
    <row r="38" spans="1:37" x14ac:dyDescent="0.2">
      <c r="A38" s="257"/>
      <c r="B38" s="599" t="s">
        <v>183</v>
      </c>
      <c r="C38" s="2"/>
      <c r="D38" s="2"/>
      <c r="E38" s="2"/>
      <c r="F38" s="542">
        <f t="shared" ref="F38" si="7">F35+E38</f>
        <v>-1500000</v>
      </c>
      <c r="G38" s="542">
        <f t="shared" ref="G38" si="8">G35+F38</f>
        <v>-1500000</v>
      </c>
      <c r="H38" s="542">
        <f t="shared" ref="H38" si="9">H35+G38</f>
        <v>-1500000</v>
      </c>
      <c r="I38" s="542">
        <f t="shared" ref="I38" si="10">I35+H38</f>
        <v>-1500000</v>
      </c>
      <c r="J38" s="542">
        <f t="shared" ref="J38" si="11">J35+I38</f>
        <v>2939219.1821803423</v>
      </c>
      <c r="K38" s="542">
        <f t="shared" ref="K38" si="12">K35+J38</f>
        <v>2939219.1821803423</v>
      </c>
      <c r="L38" s="542">
        <f t="shared" ref="L38" si="13">L35+K38</f>
        <v>2939219.1821803427</v>
      </c>
      <c r="M38" s="542">
        <f t="shared" ref="M38" si="14">M35+L38</f>
        <v>2939219.1821803427</v>
      </c>
      <c r="N38" s="542">
        <f t="shared" ref="N38" si="15">N35+M38</f>
        <v>2939219.1821803427</v>
      </c>
      <c r="O38" s="542">
        <f t="shared" ref="O38" si="16">O35+N38</f>
        <v>2939219.1821803427</v>
      </c>
      <c r="P38" s="542">
        <f t="shared" ref="P38" si="17">P35+O38</f>
        <v>2939219.1821803427</v>
      </c>
      <c r="Q38" s="542">
        <f t="shared" ref="Q38" si="18">Q35+P38</f>
        <v>2939219.1821803427</v>
      </c>
      <c r="R38" s="542">
        <f t="shared" ref="R38" si="19">R35+Q38</f>
        <v>2939219.1821803427</v>
      </c>
    </row>
    <row r="39" spans="1:37" x14ac:dyDescent="0.2">
      <c r="A39" s="257"/>
      <c r="B39" s="599"/>
      <c r="C39" s="2"/>
      <c r="D39" s="2"/>
      <c r="E39" s="2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37" x14ac:dyDescent="0.2">
      <c r="A40" s="257"/>
      <c r="B40" s="34" t="s">
        <v>190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</row>
    <row r="41" spans="1:37" x14ac:dyDescent="0.2">
      <c r="A41" s="257"/>
      <c r="B41" s="132" t="s">
        <v>178</v>
      </c>
      <c r="D41" s="606">
        <f t="shared" ref="D41:D44" si="20">SUM(F41:R41)</f>
        <v>75786238.190110549</v>
      </c>
      <c r="F41" s="92">
        <f>'Proforma L+H'!E216</f>
        <v>0</v>
      </c>
      <c r="G41" s="92">
        <f>'Proforma L+H'!F216</f>
        <v>0</v>
      </c>
      <c r="H41" s="92">
        <f>'Proforma L+H'!G216</f>
        <v>0</v>
      </c>
      <c r="I41" s="92">
        <f>'Proforma L+H'!H216</f>
        <v>0</v>
      </c>
      <c r="J41" s="92">
        <f>'Proforma L+H'!I216</f>
        <v>9943752.6003512684</v>
      </c>
      <c r="K41" s="92">
        <f>'Proforma L+H'!J216</f>
        <v>65842485.589759283</v>
      </c>
      <c r="L41" s="92">
        <f>'Proforma L+H'!K216</f>
        <v>2.2351741790771488E-9</v>
      </c>
      <c r="M41" s="92">
        <f>'Proforma L+H'!L216</f>
        <v>0</v>
      </c>
      <c r="N41" s="92">
        <f>'Proforma L+H'!M216</f>
        <v>0</v>
      </c>
      <c r="O41" s="92">
        <f>'Proforma L+H'!N216</f>
        <v>0</v>
      </c>
      <c r="P41" s="92">
        <f>'Proforma L+H'!O216</f>
        <v>0</v>
      </c>
      <c r="Q41" s="92">
        <f>'Proforma L+H'!P216</f>
        <v>0</v>
      </c>
      <c r="R41" s="92">
        <f>'Proforma L+H'!Q216</f>
        <v>0</v>
      </c>
      <c r="S41" s="262"/>
      <c r="T41" s="608"/>
      <c r="U41" s="608"/>
      <c r="V41" s="608"/>
    </row>
    <row r="42" spans="1:37" x14ac:dyDescent="0.2">
      <c r="A42" s="257"/>
      <c r="B42" s="672" t="s">
        <v>187</v>
      </c>
      <c r="C42" s="673"/>
      <c r="D42" s="674">
        <f t="shared" si="20"/>
        <v>75786238.190110549</v>
      </c>
      <c r="E42" s="673"/>
      <c r="F42" s="675">
        <f t="shared" ref="F42:R42" si="21">SUM(F41:F41)</f>
        <v>0</v>
      </c>
      <c r="G42" s="675">
        <f t="shared" si="21"/>
        <v>0</v>
      </c>
      <c r="H42" s="675">
        <f t="shared" si="21"/>
        <v>0</v>
      </c>
      <c r="I42" s="675">
        <f t="shared" si="21"/>
        <v>0</v>
      </c>
      <c r="J42" s="675">
        <f t="shared" si="21"/>
        <v>9943752.6003512684</v>
      </c>
      <c r="K42" s="675">
        <f t="shared" si="21"/>
        <v>65842485.589759283</v>
      </c>
      <c r="L42" s="675">
        <f t="shared" si="21"/>
        <v>2.2351741790771488E-9</v>
      </c>
      <c r="M42" s="675">
        <f t="shared" si="21"/>
        <v>0</v>
      </c>
      <c r="N42" s="675">
        <f t="shared" si="21"/>
        <v>0</v>
      </c>
      <c r="O42" s="675">
        <f t="shared" si="21"/>
        <v>0</v>
      </c>
      <c r="P42" s="675">
        <f t="shared" si="21"/>
        <v>0</v>
      </c>
      <c r="Q42" s="675">
        <f t="shared" si="21"/>
        <v>0</v>
      </c>
      <c r="R42" s="675">
        <f t="shared" si="21"/>
        <v>0</v>
      </c>
      <c r="S42" s="262"/>
      <c r="T42" s="608"/>
      <c r="U42" s="608"/>
      <c r="V42" s="608"/>
      <c r="W42" s="608"/>
      <c r="X42" s="608"/>
      <c r="Y42" s="608"/>
      <c r="Z42" s="608"/>
      <c r="AA42" s="608"/>
      <c r="AB42" s="608"/>
      <c r="AC42" s="608"/>
      <c r="AD42" s="608"/>
      <c r="AE42" s="608"/>
      <c r="AF42" s="608"/>
      <c r="AG42" s="608"/>
      <c r="AH42" s="608"/>
      <c r="AI42" s="608"/>
      <c r="AJ42" s="608"/>
      <c r="AK42" s="608"/>
    </row>
    <row r="43" spans="1:37" x14ac:dyDescent="0.2">
      <c r="A43" s="257"/>
      <c r="B43" s="599" t="s">
        <v>191</v>
      </c>
      <c r="C43" s="671">
        <v>0</v>
      </c>
      <c r="D43" s="606">
        <f t="shared" si="20"/>
        <v>0</v>
      </c>
      <c r="E43" s="2"/>
      <c r="F43" s="542">
        <f>F42*$C$43</f>
        <v>0</v>
      </c>
      <c r="G43" s="542">
        <f t="shared" ref="G43:R43" si="22">G42*$C$43</f>
        <v>0</v>
      </c>
      <c r="H43" s="542">
        <f t="shared" si="22"/>
        <v>0</v>
      </c>
      <c r="I43" s="542">
        <f t="shared" si="22"/>
        <v>0</v>
      </c>
      <c r="J43" s="542">
        <f t="shared" si="22"/>
        <v>0</v>
      </c>
      <c r="K43" s="542">
        <f t="shared" si="22"/>
        <v>0</v>
      </c>
      <c r="L43" s="542">
        <f t="shared" si="22"/>
        <v>0</v>
      </c>
      <c r="M43" s="542">
        <f t="shared" si="22"/>
        <v>0</v>
      </c>
      <c r="N43" s="542">
        <f t="shared" si="22"/>
        <v>0</v>
      </c>
      <c r="O43" s="542">
        <f t="shared" si="22"/>
        <v>0</v>
      </c>
      <c r="P43" s="542">
        <f t="shared" si="22"/>
        <v>0</v>
      </c>
      <c r="Q43" s="542">
        <f t="shared" si="22"/>
        <v>0</v>
      </c>
      <c r="R43" s="542">
        <f t="shared" si="22"/>
        <v>0</v>
      </c>
      <c r="S43" s="262"/>
      <c r="T43" s="608"/>
      <c r="U43" s="608"/>
      <c r="V43" s="608"/>
      <c r="W43" s="608"/>
      <c r="X43" s="608"/>
      <c r="Y43" s="608"/>
      <c r="Z43" s="608"/>
      <c r="AA43" s="608"/>
      <c r="AB43" s="608"/>
      <c r="AC43" s="608"/>
      <c r="AD43" s="608"/>
      <c r="AE43" s="608"/>
      <c r="AF43" s="608"/>
      <c r="AG43" s="608"/>
      <c r="AH43" s="608"/>
      <c r="AI43" s="608"/>
      <c r="AJ43" s="608"/>
      <c r="AK43" s="608"/>
    </row>
    <row r="44" spans="1:37" ht="16.25" customHeight="1" x14ac:dyDescent="0.2">
      <c r="A44" s="257"/>
      <c r="B44" s="599" t="s">
        <v>192</v>
      </c>
      <c r="C44" s="671">
        <f>1-C43</f>
        <v>1</v>
      </c>
      <c r="D44" s="606">
        <f t="shared" si="20"/>
        <v>75786238.190110549</v>
      </c>
      <c r="E44" s="2"/>
      <c r="F44" s="542">
        <f>F42*$C$44</f>
        <v>0</v>
      </c>
      <c r="G44" s="542">
        <f t="shared" ref="G44:R44" si="23">G42*$C$44</f>
        <v>0</v>
      </c>
      <c r="H44" s="542">
        <f t="shared" si="23"/>
        <v>0</v>
      </c>
      <c r="I44" s="542">
        <f t="shared" si="23"/>
        <v>0</v>
      </c>
      <c r="J44" s="542">
        <f t="shared" si="23"/>
        <v>9943752.6003512684</v>
      </c>
      <c r="K44" s="542">
        <f t="shared" si="23"/>
        <v>65842485.589759283</v>
      </c>
      <c r="L44" s="542">
        <f t="shared" si="23"/>
        <v>2.2351741790771488E-9</v>
      </c>
      <c r="M44" s="542">
        <f t="shared" si="23"/>
        <v>0</v>
      </c>
      <c r="N44" s="542">
        <f t="shared" si="23"/>
        <v>0</v>
      </c>
      <c r="O44" s="542">
        <f t="shared" si="23"/>
        <v>0</v>
      </c>
      <c r="P44" s="542">
        <f t="shared" si="23"/>
        <v>0</v>
      </c>
      <c r="Q44" s="542">
        <f t="shared" si="23"/>
        <v>0</v>
      </c>
      <c r="R44" s="542">
        <f t="shared" si="23"/>
        <v>0</v>
      </c>
    </row>
    <row r="45" spans="1:37" x14ac:dyDescent="0.2">
      <c r="A45" s="257"/>
      <c r="B45" s="55"/>
      <c r="C45" s="4"/>
      <c r="D45" s="4"/>
      <c r="E45" s="4"/>
      <c r="F45" s="605"/>
      <c r="G45" s="605"/>
      <c r="H45" s="605"/>
      <c r="I45" s="605"/>
      <c r="J45" s="605"/>
      <c r="K45" s="605"/>
      <c r="L45" s="605"/>
      <c r="M45" s="605"/>
      <c r="N45" s="605"/>
      <c r="O45" s="605"/>
      <c r="P45" s="605"/>
      <c r="Q45" s="605"/>
      <c r="R45" s="605"/>
      <c r="S45" s="266"/>
    </row>
    <row r="46" spans="1:37" x14ac:dyDescent="0.2">
      <c r="A46" s="257"/>
      <c r="B46" s="34" t="s">
        <v>193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266"/>
    </row>
    <row r="47" spans="1:37" x14ac:dyDescent="0.2">
      <c r="A47" s="257"/>
      <c r="B47" s="257" t="s">
        <v>194</v>
      </c>
      <c r="D47" s="147">
        <f t="shared" ref="D47" si="24">SUM(F47:R47)</f>
        <v>98320251.920159847</v>
      </c>
      <c r="F47" s="12">
        <f>'Proforma L+H'!E223</f>
        <v>-11500000</v>
      </c>
      <c r="G47" s="12">
        <f>'Proforma L+H'!F223</f>
        <v>0</v>
      </c>
      <c r="H47" s="12">
        <f>'Proforma L+H'!G223</f>
        <v>0</v>
      </c>
      <c r="I47" s="12">
        <f>'Proforma L+H'!H223</f>
        <v>0</v>
      </c>
      <c r="J47" s="12">
        <f>'Proforma L+H'!I223</f>
        <v>43977766.330400556</v>
      </c>
      <c r="K47" s="12">
        <f>'Proforma L+H'!J223</f>
        <v>65842485.589759283</v>
      </c>
      <c r="L47" s="12">
        <f>'Proforma L+H'!K223</f>
        <v>7.4505805969238281E-9</v>
      </c>
      <c r="M47" s="12">
        <f>'Proforma L+H'!L223</f>
        <v>0</v>
      </c>
      <c r="N47" s="12">
        <f>'Proforma L+H'!M223</f>
        <v>0</v>
      </c>
      <c r="O47" s="12">
        <f>'Proforma L+H'!N223</f>
        <v>0</v>
      </c>
      <c r="P47" s="12">
        <f>'Proforma L+H'!O223</f>
        <v>0</v>
      </c>
      <c r="Q47" s="12">
        <f>'Proforma L+H'!P223</f>
        <v>0</v>
      </c>
      <c r="R47" s="12">
        <f>'Proforma L+H'!Q223</f>
        <v>0</v>
      </c>
    </row>
    <row r="48" spans="1:37" x14ac:dyDescent="0.2">
      <c r="A48" s="257"/>
      <c r="B48" s="599" t="s">
        <v>195</v>
      </c>
      <c r="F48" s="598">
        <f>XIRR(F47:R47,F19:R19)</f>
        <v>0.64360042214393631</v>
      </c>
      <c r="G48" s="12"/>
      <c r="H48" s="12"/>
      <c r="I48" s="12"/>
      <c r="J48" s="12"/>
      <c r="K48" s="12"/>
      <c r="L48" s="12"/>
      <c r="M48" s="12"/>
      <c r="N48" s="12"/>
    </row>
    <row r="49" spans="1:20" x14ac:dyDescent="0.2">
      <c r="A49" s="257"/>
      <c r="B49" s="599" t="s">
        <v>189</v>
      </c>
      <c r="F49" s="604">
        <f>SUMIF(F47:R47,"&gt;0")/-SUMIF(F47:R47,"&lt;0")</f>
        <v>9.5495871234921612</v>
      </c>
      <c r="G49" s="425">
        <f>IRR(F47:M47)</f>
        <v>0.64410031178198657</v>
      </c>
      <c r="M49" s="602"/>
    </row>
    <row r="50" spans="1:20" x14ac:dyDescent="0.2">
      <c r="A50" s="257"/>
      <c r="F50" s="12">
        <f>F35+F25+F42-'Proforma L+H'!E223</f>
        <v>0</v>
      </c>
      <c r="G50" s="12">
        <f>G35+G25+G42-'Proforma L+H'!F223</f>
        <v>0</v>
      </c>
      <c r="H50" s="12">
        <f>H35+H25+H42-'Proforma L+H'!G223</f>
        <v>0</v>
      </c>
      <c r="I50" s="12">
        <f>I35+I25+I42-'Proforma L+H'!H223</f>
        <v>0</v>
      </c>
      <c r="J50" s="12">
        <f>J35+J25+J42-'Proforma L+H'!I223</f>
        <v>0</v>
      </c>
      <c r="K50" s="12">
        <f>K35+K25+K42-'Proforma L+H'!J223</f>
        <v>0</v>
      </c>
      <c r="L50" s="12">
        <f>L35+L25+L42-'Proforma L+H'!K223</f>
        <v>0</v>
      </c>
      <c r="M50" s="12">
        <f>M35+M25+M42-'Proforma L+H'!L223</f>
        <v>0</v>
      </c>
      <c r="N50" s="12">
        <f>N35+N25+N42-'Proforma L+H'!M223</f>
        <v>0</v>
      </c>
      <c r="O50" s="12">
        <f>O35+O25+O42-'Proforma L+H'!N223</f>
        <v>0</v>
      </c>
      <c r="P50" s="12">
        <f>P35+P25+P42-'Proforma L+H'!O223</f>
        <v>0</v>
      </c>
      <c r="Q50" s="12">
        <f>Q35+Q25+Q42</f>
        <v>0</v>
      </c>
    </row>
    <row r="51" spans="1:20" hidden="1" x14ac:dyDescent="0.2">
      <c r="A51" s="257"/>
      <c r="B51" s="34" t="s">
        <v>196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</row>
    <row r="52" spans="1:20" hidden="1" x14ac:dyDescent="0.2">
      <c r="A52" s="257"/>
      <c r="B52" s="257" t="s">
        <v>194</v>
      </c>
      <c r="F52" s="61">
        <f t="shared" ref="F52:M52" si="25">F47</f>
        <v>-11500000</v>
      </c>
      <c r="G52" s="61">
        <f t="shared" si="25"/>
        <v>0</v>
      </c>
      <c r="H52" s="61">
        <f t="shared" si="25"/>
        <v>0</v>
      </c>
      <c r="I52" s="61">
        <f t="shared" si="25"/>
        <v>0</v>
      </c>
      <c r="J52" s="61">
        <f t="shared" si="25"/>
        <v>43977766.330400556</v>
      </c>
      <c r="K52" s="61">
        <f t="shared" si="25"/>
        <v>65842485.589759283</v>
      </c>
      <c r="L52" s="61">
        <f t="shared" si="25"/>
        <v>7.4505805969238281E-9</v>
      </c>
      <c r="M52" s="61">
        <f t="shared" si="25"/>
        <v>0</v>
      </c>
      <c r="N52" s="12">
        <f>'Proforma L+H'!M217</f>
        <v>0</v>
      </c>
      <c r="O52" s="12">
        <f>'Proforma L+H'!N217</f>
        <v>0</v>
      </c>
      <c r="P52" s="12">
        <f>'Proforma L+H'!O217</f>
        <v>0</v>
      </c>
      <c r="Q52" s="12">
        <f>'Proforma L+H'!P217</f>
        <v>0</v>
      </c>
      <c r="R52" s="12">
        <f>'Proforma L+H'!Q217</f>
        <v>0</v>
      </c>
    </row>
    <row r="53" spans="1:20" hidden="1" x14ac:dyDescent="0.2">
      <c r="A53" s="257"/>
      <c r="B53" s="132" t="s">
        <v>197</v>
      </c>
      <c r="F53" s="61">
        <f>F52</f>
        <v>-11500000</v>
      </c>
      <c r="G53" s="12">
        <f>G52</f>
        <v>0</v>
      </c>
      <c r="H53" s="12">
        <f>H52</f>
        <v>0</v>
      </c>
      <c r="I53" s="12">
        <f>I52</f>
        <v>0</v>
      </c>
      <c r="J53" s="12">
        <f>J52</f>
        <v>43977766.330400556</v>
      </c>
      <c r="K53" s="601"/>
      <c r="L53" s="601">
        <f>L52</f>
        <v>7.4505805969238281E-9</v>
      </c>
      <c r="M53" s="12">
        <v>27400000</v>
      </c>
      <c r="N53" s="12">
        <f>N52</f>
        <v>0</v>
      </c>
      <c r="O53" s="12">
        <f>O52</f>
        <v>0</v>
      </c>
      <c r="P53" s="12">
        <f>P52</f>
        <v>0</v>
      </c>
      <c r="Q53" s="12">
        <f>Q52</f>
        <v>0</v>
      </c>
      <c r="R53" s="12">
        <f>R52</f>
        <v>0</v>
      </c>
      <c r="T53" s="519">
        <f>SUM(F53:S53)</f>
        <v>59877766.330400564</v>
      </c>
    </row>
    <row r="54" spans="1:20" hidden="1" x14ac:dyDescent="0.2">
      <c r="A54" s="257"/>
      <c r="B54" s="599" t="s">
        <v>198</v>
      </c>
      <c r="E54" s="137"/>
      <c r="F54" s="598" t="e">
        <f>XIRR(F53:R53,F45:R45)</f>
        <v>#NUM!</v>
      </c>
      <c r="T54" s="597">
        <f>U76</f>
        <v>0</v>
      </c>
    </row>
    <row r="55" spans="1:20" hidden="1" x14ac:dyDescent="0.2">
      <c r="A55" s="257"/>
      <c r="B55" t="s">
        <v>199</v>
      </c>
      <c r="F55" s="12">
        <f t="shared" ref="F55:R55" si="26">F52-F53</f>
        <v>0</v>
      </c>
      <c r="G55" s="12">
        <f t="shared" si="26"/>
        <v>0</v>
      </c>
      <c r="H55" s="12">
        <f t="shared" si="26"/>
        <v>0</v>
      </c>
      <c r="I55" s="12">
        <f t="shared" si="26"/>
        <v>0</v>
      </c>
      <c r="J55" s="12">
        <f t="shared" si="26"/>
        <v>0</v>
      </c>
      <c r="K55" s="12">
        <f t="shared" si="26"/>
        <v>65842485.589759283</v>
      </c>
      <c r="L55" s="12">
        <f t="shared" si="26"/>
        <v>0</v>
      </c>
      <c r="M55" s="12">
        <f t="shared" si="26"/>
        <v>-27400000</v>
      </c>
      <c r="N55" s="12">
        <f t="shared" si="26"/>
        <v>0</v>
      </c>
      <c r="O55" s="12">
        <f t="shared" si="26"/>
        <v>0</v>
      </c>
      <c r="P55" s="12">
        <f t="shared" si="26"/>
        <v>0</v>
      </c>
      <c r="Q55" s="12">
        <f t="shared" si="26"/>
        <v>0</v>
      </c>
      <c r="R55" s="12">
        <f t="shared" si="26"/>
        <v>0</v>
      </c>
    </row>
    <row r="56" spans="1:20" hidden="1" x14ac:dyDescent="0.2">
      <c r="A56" s="257"/>
      <c r="B56" s="596">
        <f>T79</f>
        <v>0</v>
      </c>
      <c r="C56" s="595">
        <f>U79</f>
        <v>0</v>
      </c>
      <c r="D56" s="595"/>
      <c r="E56" s="595"/>
      <c r="F56" s="57">
        <f t="shared" ref="F56:R57" si="27">F$55*$C56</f>
        <v>0</v>
      </c>
      <c r="G56" s="57">
        <f t="shared" si="27"/>
        <v>0</v>
      </c>
      <c r="H56" s="57">
        <f t="shared" si="27"/>
        <v>0</v>
      </c>
      <c r="I56" s="57">
        <f t="shared" si="27"/>
        <v>0</v>
      </c>
      <c r="J56" s="57">
        <f t="shared" si="27"/>
        <v>0</v>
      </c>
      <c r="K56" s="57">
        <f t="shared" si="27"/>
        <v>0</v>
      </c>
      <c r="L56" s="57">
        <f t="shared" si="27"/>
        <v>0</v>
      </c>
      <c r="M56" s="57">
        <f t="shared" si="27"/>
        <v>0</v>
      </c>
      <c r="N56" s="57">
        <f t="shared" si="27"/>
        <v>0</v>
      </c>
      <c r="O56" s="57">
        <f t="shared" si="27"/>
        <v>0</v>
      </c>
      <c r="P56" s="57">
        <f t="shared" si="27"/>
        <v>0</v>
      </c>
      <c r="Q56" s="57">
        <f t="shared" si="27"/>
        <v>0</v>
      </c>
      <c r="R56" s="57">
        <f t="shared" si="27"/>
        <v>0</v>
      </c>
      <c r="T56" s="519">
        <f>SUM(F56:S56)</f>
        <v>0</v>
      </c>
    </row>
    <row r="57" spans="1:20" hidden="1" x14ac:dyDescent="0.2">
      <c r="A57" s="257"/>
      <c r="B57" s="257">
        <f>T80</f>
        <v>0</v>
      </c>
      <c r="C57" s="425">
        <f>U80</f>
        <v>0</v>
      </c>
      <c r="D57" s="425"/>
      <c r="E57" s="425"/>
      <c r="F57" s="12">
        <f t="shared" si="27"/>
        <v>0</v>
      </c>
      <c r="G57" s="12">
        <f t="shared" si="27"/>
        <v>0</v>
      </c>
      <c r="H57" s="12">
        <f t="shared" si="27"/>
        <v>0</v>
      </c>
      <c r="I57" s="12">
        <f t="shared" si="27"/>
        <v>0</v>
      </c>
      <c r="J57" s="12">
        <f t="shared" si="27"/>
        <v>0</v>
      </c>
      <c r="K57" s="12">
        <f t="shared" si="27"/>
        <v>0</v>
      </c>
      <c r="L57" s="12">
        <f t="shared" si="27"/>
        <v>0</v>
      </c>
      <c r="M57" s="12">
        <f t="shared" si="27"/>
        <v>0</v>
      </c>
      <c r="N57" s="12">
        <f t="shared" si="27"/>
        <v>0</v>
      </c>
      <c r="O57" s="12">
        <f t="shared" si="27"/>
        <v>0</v>
      </c>
      <c r="P57" s="12">
        <f t="shared" si="27"/>
        <v>0</v>
      </c>
      <c r="Q57" s="12">
        <f t="shared" si="27"/>
        <v>0</v>
      </c>
      <c r="R57" s="12">
        <f t="shared" si="27"/>
        <v>0</v>
      </c>
      <c r="T57" s="519">
        <f>SUM(F57:S57)</f>
        <v>0</v>
      </c>
    </row>
    <row r="58" spans="1:20" hidden="1" x14ac:dyDescent="0.2">
      <c r="A58" s="257"/>
      <c r="B58" s="257"/>
      <c r="C58" s="425"/>
      <c r="D58" s="425"/>
      <c r="E58" s="425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20" hidden="1" x14ac:dyDescent="0.2">
      <c r="B59" s="34" t="s">
        <v>200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</row>
    <row r="60" spans="1:20" hidden="1" x14ac:dyDescent="0.2">
      <c r="B60" s="257" t="s">
        <v>194</v>
      </c>
      <c r="F60" s="12" t="e">
        <f>-#REF!</f>
        <v>#REF!</v>
      </c>
      <c r="G60" s="12" t="e">
        <f>-#REF!</f>
        <v>#REF!</v>
      </c>
      <c r="H60" s="12" t="e">
        <f>-#REF!</f>
        <v>#REF!</v>
      </c>
      <c r="I60" s="12">
        <f t="shared" ref="I60:R60" si="28">I57</f>
        <v>0</v>
      </c>
      <c r="J60" s="12">
        <f t="shared" si="28"/>
        <v>0</v>
      </c>
      <c r="K60" s="12">
        <f t="shared" si="28"/>
        <v>0</v>
      </c>
      <c r="L60" s="12">
        <f t="shared" si="28"/>
        <v>0</v>
      </c>
      <c r="M60" s="12">
        <f t="shared" si="28"/>
        <v>0</v>
      </c>
      <c r="N60" s="12">
        <f t="shared" si="28"/>
        <v>0</v>
      </c>
      <c r="O60" s="12">
        <f t="shared" si="28"/>
        <v>0</v>
      </c>
      <c r="P60" s="12">
        <f t="shared" si="28"/>
        <v>0</v>
      </c>
      <c r="Q60" s="12">
        <f t="shared" si="28"/>
        <v>0</v>
      </c>
      <c r="R60" s="12">
        <f t="shared" si="28"/>
        <v>0</v>
      </c>
    </row>
    <row r="61" spans="1:20" hidden="1" x14ac:dyDescent="0.2">
      <c r="B61" s="132" t="s">
        <v>197</v>
      </c>
      <c r="F61" s="12" t="e">
        <f>F60</f>
        <v>#REF!</v>
      </c>
      <c r="G61" s="12" t="e">
        <f>G60</f>
        <v>#REF!</v>
      </c>
      <c r="H61" s="12"/>
      <c r="I61" s="12"/>
      <c r="J61" s="12"/>
      <c r="K61" s="600"/>
      <c r="L61" s="12"/>
      <c r="M61" s="12"/>
      <c r="N61" s="12"/>
      <c r="O61" s="12"/>
      <c r="P61" s="12"/>
      <c r="Q61" s="12"/>
      <c r="R61" s="12"/>
    </row>
    <row r="62" spans="1:20" hidden="1" x14ac:dyDescent="0.2">
      <c r="B62" s="599" t="s">
        <v>198</v>
      </c>
      <c r="F62" s="598" t="e">
        <f>XIRR(F61:R61,F45:R45)</f>
        <v>#REF!</v>
      </c>
      <c r="T62" s="597">
        <v>0.1</v>
      </c>
    </row>
    <row r="63" spans="1:20" hidden="1" x14ac:dyDescent="0.2">
      <c r="B63" t="s">
        <v>199</v>
      </c>
      <c r="F63" s="12" t="e">
        <f t="shared" ref="F63:R63" si="29">F60-F61</f>
        <v>#REF!</v>
      </c>
      <c r="G63" s="12" t="e">
        <f t="shared" si="29"/>
        <v>#REF!</v>
      </c>
      <c r="H63" s="12" t="e">
        <f t="shared" si="29"/>
        <v>#REF!</v>
      </c>
      <c r="I63" s="12">
        <f t="shared" si="29"/>
        <v>0</v>
      </c>
      <c r="J63" s="12">
        <f t="shared" si="29"/>
        <v>0</v>
      </c>
      <c r="K63" s="12">
        <f t="shared" si="29"/>
        <v>0</v>
      </c>
      <c r="L63" s="12">
        <f t="shared" si="29"/>
        <v>0</v>
      </c>
      <c r="M63" s="12">
        <f t="shared" si="29"/>
        <v>0</v>
      </c>
      <c r="N63" s="12">
        <f t="shared" si="29"/>
        <v>0</v>
      </c>
      <c r="O63" s="12">
        <f t="shared" si="29"/>
        <v>0</v>
      </c>
      <c r="P63" s="12">
        <f t="shared" si="29"/>
        <v>0</v>
      </c>
      <c r="Q63" s="12">
        <f t="shared" si="29"/>
        <v>0</v>
      </c>
      <c r="R63" s="12">
        <f t="shared" si="29"/>
        <v>0</v>
      </c>
    </row>
    <row r="64" spans="1:20" hidden="1" x14ac:dyDescent="0.2">
      <c r="B64" s="596" t="s">
        <v>201</v>
      </c>
      <c r="C64" s="595">
        <v>0</v>
      </c>
      <c r="D64" s="595"/>
      <c r="E64" s="595"/>
      <c r="F64" s="57" t="e">
        <f t="shared" ref="F64:R65" si="30">F$63*$C64</f>
        <v>#REF!</v>
      </c>
      <c r="G64" s="57" t="e">
        <f t="shared" si="30"/>
        <v>#REF!</v>
      </c>
      <c r="H64" s="57" t="e">
        <f t="shared" si="30"/>
        <v>#REF!</v>
      </c>
      <c r="I64" s="57">
        <f t="shared" si="30"/>
        <v>0</v>
      </c>
      <c r="J64" s="57">
        <f t="shared" si="30"/>
        <v>0</v>
      </c>
      <c r="K64" s="57">
        <f t="shared" si="30"/>
        <v>0</v>
      </c>
      <c r="L64" s="57">
        <f t="shared" si="30"/>
        <v>0</v>
      </c>
      <c r="M64" s="57">
        <f t="shared" si="30"/>
        <v>0</v>
      </c>
      <c r="N64" s="57">
        <f t="shared" si="30"/>
        <v>0</v>
      </c>
      <c r="O64" s="57">
        <f t="shared" si="30"/>
        <v>0</v>
      </c>
      <c r="P64" s="57">
        <f t="shared" si="30"/>
        <v>0</v>
      </c>
      <c r="Q64" s="57">
        <f t="shared" si="30"/>
        <v>0</v>
      </c>
      <c r="R64" s="57">
        <f t="shared" si="30"/>
        <v>0</v>
      </c>
    </row>
    <row r="65" spans="2:30" hidden="1" x14ac:dyDescent="0.2">
      <c r="B65" s="257" t="s">
        <v>202</v>
      </c>
      <c r="C65" s="425">
        <f>1-C64</f>
        <v>1</v>
      </c>
      <c r="D65" s="425"/>
      <c r="E65" s="425"/>
      <c r="F65" s="12" t="e">
        <f t="shared" si="30"/>
        <v>#REF!</v>
      </c>
      <c r="G65" s="12" t="e">
        <f t="shared" si="30"/>
        <v>#REF!</v>
      </c>
      <c r="H65" s="12" t="e">
        <f t="shared" si="30"/>
        <v>#REF!</v>
      </c>
      <c r="I65" s="12">
        <f t="shared" si="30"/>
        <v>0</v>
      </c>
      <c r="J65" s="12">
        <f t="shared" si="30"/>
        <v>0</v>
      </c>
      <c r="K65" s="12">
        <f t="shared" si="30"/>
        <v>0</v>
      </c>
      <c r="L65" s="12">
        <f t="shared" si="30"/>
        <v>0</v>
      </c>
      <c r="M65" s="12">
        <f t="shared" si="30"/>
        <v>0</v>
      </c>
      <c r="N65" s="12">
        <f t="shared" si="30"/>
        <v>0</v>
      </c>
      <c r="O65" s="12">
        <f t="shared" si="30"/>
        <v>0</v>
      </c>
      <c r="P65" s="12">
        <f t="shared" si="30"/>
        <v>0</v>
      </c>
      <c r="Q65" s="12">
        <f t="shared" si="30"/>
        <v>0</v>
      </c>
      <c r="R65" s="12">
        <f t="shared" si="30"/>
        <v>0</v>
      </c>
      <c r="T65" s="519" t="e">
        <f>SUM(D65:S65)</f>
        <v>#REF!</v>
      </c>
    </row>
    <row r="66" spans="2:30" hidden="1" x14ac:dyDescent="0.2">
      <c r="B66" s="515"/>
      <c r="C66" s="515"/>
      <c r="D66" s="515"/>
      <c r="E66" s="515"/>
      <c r="F66" s="515"/>
      <c r="G66" s="515"/>
      <c r="H66" s="515"/>
      <c r="I66" s="515"/>
      <c r="J66" s="515"/>
      <c r="K66" s="515"/>
      <c r="L66" s="515"/>
      <c r="M66" s="515"/>
      <c r="N66" s="515"/>
      <c r="O66" s="515"/>
      <c r="P66" s="515"/>
      <c r="Q66" s="515"/>
      <c r="R66" s="515"/>
      <c r="S66" s="515"/>
      <c r="V66" s="592" t="s">
        <v>203</v>
      </c>
      <c r="W66" s="594" t="s">
        <v>204</v>
      </c>
      <c r="AA66" s="588" t="s">
        <v>205</v>
      </c>
      <c r="AB66" s="588" t="s">
        <v>206</v>
      </c>
      <c r="AC66" s="588" t="s">
        <v>207</v>
      </c>
      <c r="AD66" s="588" t="s">
        <v>208</v>
      </c>
    </row>
    <row r="67" spans="2:30" hidden="1" x14ac:dyDescent="0.2">
      <c r="B67" s="593" t="s">
        <v>209</v>
      </c>
      <c r="O67" s="515"/>
      <c r="P67" s="515"/>
      <c r="Q67" s="515"/>
      <c r="R67" s="515"/>
    </row>
    <row r="68" spans="2:30" hidden="1" x14ac:dyDescent="0.2">
      <c r="B68" s="261" t="s">
        <v>210</v>
      </c>
      <c r="O68" s="515"/>
      <c r="P68" s="515"/>
      <c r="Q68" s="515"/>
      <c r="R68" s="515"/>
    </row>
    <row r="69" spans="2:30" hidden="1" x14ac:dyDescent="0.2">
      <c r="B69" s="261" t="s">
        <v>211</v>
      </c>
      <c r="O69" s="515"/>
      <c r="P69" s="515"/>
      <c r="Q69" s="515"/>
      <c r="R69" s="515"/>
    </row>
    <row r="70" spans="2:30" hidden="1" x14ac:dyDescent="0.2">
      <c r="B70" s="261" t="s">
        <v>212</v>
      </c>
      <c r="O70" s="515"/>
      <c r="P70" s="515"/>
      <c r="Q70" s="515"/>
      <c r="R70" s="515"/>
    </row>
    <row r="71" spans="2:30" hidden="1" x14ac:dyDescent="0.2">
      <c r="B71" s="515"/>
      <c r="C71" s="515"/>
      <c r="D71" s="515"/>
      <c r="E71" s="515"/>
      <c r="F71" s="515"/>
      <c r="G71" s="515"/>
      <c r="H71" s="515"/>
      <c r="I71" s="515"/>
      <c r="J71" s="515"/>
      <c r="K71" s="515"/>
      <c r="L71" s="515"/>
      <c r="M71" s="515"/>
      <c r="N71" s="515"/>
      <c r="O71" s="515"/>
      <c r="P71" s="515"/>
      <c r="Q71" s="515"/>
      <c r="R71" s="515"/>
      <c r="S71" s="515"/>
      <c r="T71" s="592" t="s">
        <v>213</v>
      </c>
      <c r="U71" s="591">
        <f>AA75</f>
        <v>0</v>
      </c>
      <c r="V71" s="519">
        <f>$T$57*U71</f>
        <v>0</v>
      </c>
      <c r="W71" s="519">
        <f>(5000000/$D$24)*$T$56+5000000</f>
        <v>5000000</v>
      </c>
      <c r="Y71" s="515" t="s">
        <v>214</v>
      </c>
      <c r="Z71" s="590">
        <v>0.33333000000000002</v>
      </c>
      <c r="AA71" s="590">
        <f>1/3</f>
        <v>0.33333333333333331</v>
      </c>
      <c r="AB71" s="590">
        <f>1/3</f>
        <v>0.33333333333333331</v>
      </c>
      <c r="AC71" s="590">
        <f>1/3</f>
        <v>0.33333333333333331</v>
      </c>
      <c r="AD71" s="590">
        <f>SUM(AA71:AC71)</f>
        <v>1</v>
      </c>
    </row>
    <row r="72" spans="2:30" x14ac:dyDescent="0.2">
      <c r="B72" s="515"/>
      <c r="C72" s="515"/>
      <c r="D72" s="515"/>
      <c r="E72" s="515"/>
      <c r="F72" s="515"/>
      <c r="G72" s="515"/>
      <c r="H72" s="515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592"/>
      <c r="U72" s="665"/>
      <c r="V72" s="519"/>
      <c r="W72" s="519"/>
      <c r="Z72" s="666"/>
      <c r="AA72" s="666"/>
      <c r="AB72" s="666"/>
      <c r="AC72" s="666"/>
      <c r="AD72" s="666"/>
    </row>
    <row r="73" spans="2:30" x14ac:dyDescent="0.2">
      <c r="B73" s="515"/>
      <c r="C73" s="515"/>
      <c r="D73" s="515"/>
      <c r="E73" s="515"/>
      <c r="F73" s="515"/>
      <c r="G73" s="515"/>
      <c r="H73" s="515"/>
      <c r="I73" s="515"/>
      <c r="J73" s="515"/>
      <c r="K73" s="515"/>
      <c r="L73" s="515"/>
      <c r="M73" s="515"/>
      <c r="N73" s="515"/>
      <c r="O73" s="515"/>
      <c r="P73" s="515"/>
      <c r="Q73" s="515"/>
      <c r="R73" s="515"/>
      <c r="S73" s="515"/>
      <c r="T73" s="592"/>
      <c r="U73" s="665"/>
      <c r="V73" s="519"/>
      <c r="W73" s="519"/>
      <c r="Z73" s="666"/>
      <c r="AA73" s="666"/>
      <c r="AB73" s="666"/>
      <c r="AC73" s="666"/>
      <c r="AD73" s="666"/>
    </row>
    <row r="74" spans="2:30" x14ac:dyDescent="0.2">
      <c r="B74" s="515"/>
      <c r="C74" s="515"/>
      <c r="D74" s="515"/>
      <c r="E74" s="515"/>
      <c r="F74" s="515"/>
      <c r="G74" s="515"/>
      <c r="H74" s="515"/>
      <c r="I74" s="515"/>
      <c r="J74" s="515"/>
      <c r="K74" s="515"/>
      <c r="L74" s="515"/>
      <c r="M74" s="515"/>
      <c r="N74" s="515"/>
      <c r="O74" s="515"/>
      <c r="P74" s="515"/>
      <c r="Q74" s="515"/>
      <c r="R74" s="515"/>
      <c r="S74" s="515"/>
      <c r="Z74" s="666"/>
      <c r="AA74" s="666"/>
      <c r="AB74" s="666"/>
      <c r="AC74" s="665"/>
      <c r="AD74" s="666"/>
    </row>
    <row r="75" spans="2:30" x14ac:dyDescent="0.2">
      <c r="B75" s="515"/>
      <c r="C75" s="515"/>
      <c r="D75" s="515"/>
      <c r="E75" s="515"/>
      <c r="F75" s="515"/>
      <c r="G75" s="515"/>
      <c r="H75" s="515"/>
      <c r="I75" s="515"/>
      <c r="J75" s="515"/>
      <c r="K75" s="515"/>
      <c r="L75" s="515"/>
      <c r="M75" s="515"/>
      <c r="N75" s="515"/>
      <c r="O75" s="515"/>
      <c r="P75" s="515"/>
      <c r="Q75" s="515"/>
      <c r="R75" s="515"/>
      <c r="S75" s="515"/>
      <c r="T75" s="624"/>
      <c r="AA75" s="667"/>
      <c r="AB75" s="667"/>
      <c r="AC75" s="667"/>
      <c r="AD75" s="667"/>
    </row>
    <row r="76" spans="2:30" x14ac:dyDescent="0.2">
      <c r="B76" s="515"/>
      <c r="C76" s="515"/>
      <c r="D76" s="515"/>
      <c r="E76" s="515"/>
      <c r="F76" s="515"/>
      <c r="G76" s="515"/>
      <c r="H76" s="515"/>
      <c r="I76" s="515"/>
      <c r="J76" s="515"/>
      <c r="K76" s="515"/>
      <c r="L76" s="515"/>
      <c r="M76" s="515"/>
      <c r="N76" s="515"/>
      <c r="O76" s="515"/>
      <c r="P76" s="515"/>
      <c r="Q76" s="515"/>
      <c r="R76" s="515"/>
      <c r="S76" s="515"/>
    </row>
    <row r="77" spans="2:30" x14ac:dyDescent="0.2">
      <c r="B77" s="515"/>
      <c r="C77" s="515"/>
      <c r="D77" s="515"/>
      <c r="E77" s="515"/>
      <c r="F77" s="515"/>
      <c r="G77" s="515"/>
      <c r="H77" s="515"/>
      <c r="I77" s="515"/>
      <c r="J77" s="515"/>
      <c r="K77" s="515"/>
      <c r="L77" s="515"/>
      <c r="M77" s="515"/>
      <c r="N77" s="515"/>
      <c r="O77" s="515"/>
      <c r="P77" s="515"/>
      <c r="Q77" s="515"/>
      <c r="R77" s="515"/>
      <c r="S77" s="515"/>
      <c r="U77" s="665"/>
      <c r="V77" s="519"/>
    </row>
    <row r="78" spans="2:30" x14ac:dyDescent="0.2">
      <c r="B78" s="515"/>
      <c r="C78" s="515"/>
      <c r="D78" s="515"/>
      <c r="E78" s="515"/>
      <c r="F78" s="515"/>
      <c r="G78" s="515"/>
      <c r="H78" s="515"/>
      <c r="I78" s="515"/>
      <c r="J78" s="515"/>
      <c r="K78" s="515"/>
      <c r="L78" s="515"/>
      <c r="M78" s="515"/>
      <c r="N78" s="515"/>
      <c r="O78" s="515"/>
      <c r="P78" s="515"/>
      <c r="Q78" s="515"/>
      <c r="R78" s="515"/>
      <c r="S78" s="515"/>
      <c r="T78" s="624"/>
      <c r="U78" s="665"/>
      <c r="V78" s="519"/>
    </row>
    <row r="79" spans="2:30" x14ac:dyDescent="0.2">
      <c r="B79" s="515"/>
      <c r="C79" s="515"/>
      <c r="D79" s="515"/>
      <c r="E79" s="515"/>
      <c r="F79" s="515"/>
      <c r="G79" s="515"/>
      <c r="H79" s="515"/>
      <c r="I79" s="515"/>
      <c r="J79" s="515"/>
      <c r="K79" s="515"/>
      <c r="L79" s="515"/>
      <c r="M79" s="515"/>
      <c r="N79" s="515"/>
      <c r="O79" s="515"/>
      <c r="P79" s="515"/>
      <c r="Q79" s="515"/>
      <c r="R79" s="515"/>
      <c r="S79" s="515"/>
      <c r="T79" s="669"/>
      <c r="U79" s="670"/>
      <c r="V79" s="519"/>
    </row>
    <row r="80" spans="2:30" x14ac:dyDescent="0.2">
      <c r="B80" s="515"/>
      <c r="C80" s="515"/>
      <c r="D80" s="515"/>
      <c r="E80" s="515"/>
      <c r="F80" s="515"/>
      <c r="G80" s="515"/>
      <c r="H80" s="515"/>
      <c r="I80" s="515"/>
      <c r="J80" s="515"/>
      <c r="K80" s="515"/>
      <c r="L80" s="515"/>
      <c r="M80" s="515"/>
      <c r="N80" s="515"/>
      <c r="O80" s="515"/>
      <c r="P80" s="515"/>
      <c r="Q80" s="515"/>
      <c r="R80" s="515"/>
      <c r="S80" s="515"/>
      <c r="T80" s="669"/>
      <c r="U80" s="670"/>
      <c r="V80" s="519"/>
    </row>
    <row r="81" s="515" customFormat="1" x14ac:dyDescent="0.2"/>
    <row r="82" s="515" customFormat="1" x14ac:dyDescent="0.2"/>
    <row r="83" s="515" customFormat="1" x14ac:dyDescent="0.2"/>
    <row r="84" s="515" customFormat="1" x14ac:dyDescent="0.2"/>
    <row r="85" s="515" customFormat="1" x14ac:dyDescent="0.2"/>
    <row r="86" s="515" customFormat="1" x14ac:dyDescent="0.2"/>
    <row r="87" s="515" customFormat="1" x14ac:dyDescent="0.2"/>
    <row r="88" s="515" customFormat="1" x14ac:dyDescent="0.2"/>
    <row r="89" s="515" customFormat="1" x14ac:dyDescent="0.2"/>
    <row r="90" s="515" customFormat="1" x14ac:dyDescent="0.2"/>
    <row r="91" s="515" customFormat="1" x14ac:dyDescent="0.2"/>
    <row r="92" s="515" customFormat="1" x14ac:dyDescent="0.2"/>
    <row r="93" s="515" customFormat="1" x14ac:dyDescent="0.2"/>
    <row r="94" s="515" customFormat="1" x14ac:dyDescent="0.2"/>
    <row r="95" s="515" customFormat="1" x14ac:dyDescent="0.2"/>
    <row r="96" s="515" customFormat="1" x14ac:dyDescent="0.2"/>
    <row r="97" s="515" customFormat="1" x14ac:dyDescent="0.2"/>
    <row r="98" s="515" customFormat="1" x14ac:dyDescent="0.2"/>
    <row r="99" s="515" customFormat="1" x14ac:dyDescent="0.2"/>
    <row r="100" s="515" customFormat="1" x14ac:dyDescent="0.2"/>
    <row r="101" s="515" customFormat="1" x14ac:dyDescent="0.2"/>
    <row r="102" s="515" customFormat="1" x14ac:dyDescent="0.2"/>
  </sheetData>
  <conditionalFormatting sqref="D5:D6 H5:H7 D13">
    <cfRule type="cellIs" dxfId="7" priority="1" operator="lessThan">
      <formula>$C$202</formula>
    </cfRule>
  </conditionalFormatting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65" min="1" max="12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4" name="Button 1">
              <controlPr defaultSize="0" print="0" autoFill="0" autoPict="0" macro="[0]!IRRY4">
                <anchor moveWithCells="1" sizeWithCells="1">
                  <from>
                    <xdr:col>20</xdr:col>
                    <xdr:colOff>571500</xdr:colOff>
                    <xdr:row>46</xdr:row>
                    <xdr:rowOff>114300</xdr:rowOff>
                  </from>
                  <to>
                    <xdr:col>21</xdr:col>
                    <xdr:colOff>685800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8" r:id="rId5" name="Button 2">
              <controlPr defaultSize="0" print="0" autoFill="0" autoPict="0" macro="[0]!IRRY5">
                <anchor moveWithCells="1" sizeWithCells="1">
                  <from>
                    <xdr:col>22</xdr:col>
                    <xdr:colOff>190500</xdr:colOff>
                    <xdr:row>46</xdr:row>
                    <xdr:rowOff>114300</xdr:rowOff>
                  </from>
                  <to>
                    <xdr:col>23</xdr:col>
                    <xdr:colOff>304800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699" r:id="rId6" name="Button 3">
              <controlPr defaultSize="0" print="0" autoFill="0" autoPict="0" macro="[0]!IRRY3">
                <anchor moveWithCells="1" sizeWithCells="1">
                  <from>
                    <xdr:col>19</xdr:col>
                    <xdr:colOff>152400</xdr:colOff>
                    <xdr:row>46</xdr:row>
                    <xdr:rowOff>114300</xdr:rowOff>
                  </from>
                  <to>
                    <xdr:col>20</xdr:col>
                    <xdr:colOff>228600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9700" r:id="rId7" name="Button 4">
              <controlPr defaultSize="0" print="0" autoFill="0" autoPict="0" macro="[0]!IRRY6">
                <anchor moveWithCells="1" sizeWithCells="1">
                  <from>
                    <xdr:col>23</xdr:col>
                    <xdr:colOff>838200</xdr:colOff>
                    <xdr:row>46</xdr:row>
                    <xdr:rowOff>114300</xdr:rowOff>
                  </from>
                  <to>
                    <xdr:col>24</xdr:col>
                    <xdr:colOff>952500</xdr:colOff>
                    <xdr:row>49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5897B-A835-4667-BC78-289CFE9CA685}">
  <sheetPr codeName="Sheet9">
    <tabColor theme="5" tint="0.59999389629810485"/>
    <pageSetUpPr fitToPage="1"/>
  </sheetPr>
  <dimension ref="A1:AT291"/>
  <sheetViews>
    <sheetView zoomScale="116" zoomScaleNormal="70" workbookViewId="0">
      <pane ySplit="4" topLeftCell="A215" activePane="bottomLeft" state="frozen"/>
      <selection pane="bottomLeft" activeCell="I131" sqref="I131"/>
    </sheetView>
  </sheetViews>
  <sheetFormatPr baseColWidth="10" defaultColWidth="11" defaultRowHeight="16" outlineLevelRow="1" outlineLevelCol="1" x14ac:dyDescent="0.2"/>
  <cols>
    <col min="1" max="1" width="1.6640625" style="2" customWidth="1"/>
    <col min="2" max="2" width="50.5" customWidth="1"/>
    <col min="3" max="3" width="12.1640625" customWidth="1" outlineLevel="1"/>
    <col min="4" max="4" width="13.5" customWidth="1" outlineLevel="1"/>
    <col min="5" max="5" width="11.1640625" customWidth="1" outlineLevel="1"/>
    <col min="6" max="6" width="1.6640625" customWidth="1" outlineLevel="1"/>
    <col min="7" max="7" width="11.6640625" bestFit="1" customWidth="1"/>
    <col min="8" max="8" width="12.6640625" bestFit="1" customWidth="1"/>
    <col min="9" max="10" width="13.1640625" bestFit="1" customWidth="1"/>
    <col min="11" max="14" width="13.33203125" bestFit="1" customWidth="1"/>
    <col min="15" max="17" width="12.6640625" customWidth="1" outlineLevel="1"/>
    <col min="18" max="18" width="13.1640625" customWidth="1" outlineLevel="1"/>
    <col min="19" max="19" width="12.6640625" customWidth="1" outlineLevel="1"/>
    <col min="20" max="20" width="14.1640625" bestFit="1" customWidth="1"/>
    <col min="21" max="21" width="12.5" customWidth="1"/>
    <col min="22" max="22" width="25.1640625" customWidth="1"/>
    <col min="23" max="23" width="19.6640625" customWidth="1"/>
    <col min="24" max="24" width="13.1640625" customWidth="1"/>
    <col min="25" max="28" width="11.1640625" bestFit="1" customWidth="1"/>
    <col min="29" max="29" width="13.6640625" bestFit="1" customWidth="1"/>
    <col min="30" max="33" width="11.1640625" bestFit="1" customWidth="1"/>
  </cols>
  <sheetData>
    <row r="1" spans="1:35" ht="21" x14ac:dyDescent="0.25">
      <c r="B1" s="313" t="s">
        <v>606</v>
      </c>
      <c r="C1" s="31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35" x14ac:dyDescent="0.2">
      <c r="B2" s="123" t="s">
        <v>607</v>
      </c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</row>
    <row r="3" spans="1:35" x14ac:dyDescent="0.2">
      <c r="B3" s="395"/>
      <c r="C3" s="271"/>
      <c r="D3" s="271"/>
      <c r="E3" s="248"/>
      <c r="F3" s="248"/>
      <c r="G3" s="247">
        <v>0</v>
      </c>
      <c r="H3" s="247">
        <f>G3+1</f>
        <v>1</v>
      </c>
      <c r="I3" s="247">
        <f t="shared" ref="I3:R3" si="0">H3+1</f>
        <v>2</v>
      </c>
      <c r="J3" s="247">
        <f t="shared" si="0"/>
        <v>3</v>
      </c>
      <c r="K3" s="247">
        <f t="shared" si="0"/>
        <v>4</v>
      </c>
      <c r="L3" s="247">
        <f t="shared" si="0"/>
        <v>5</v>
      </c>
      <c r="M3" s="247">
        <f t="shared" si="0"/>
        <v>6</v>
      </c>
      <c r="N3" s="247">
        <f t="shared" si="0"/>
        <v>7</v>
      </c>
      <c r="O3" s="247">
        <f t="shared" si="0"/>
        <v>8</v>
      </c>
      <c r="P3" s="247">
        <f t="shared" si="0"/>
        <v>9</v>
      </c>
      <c r="Q3" s="247">
        <f t="shared" si="0"/>
        <v>10</v>
      </c>
      <c r="R3" s="247">
        <f t="shared" si="0"/>
        <v>11</v>
      </c>
      <c r="S3" s="247">
        <v>12</v>
      </c>
      <c r="T3" s="271"/>
    </row>
    <row r="4" spans="1:35" s="457" customFormat="1" x14ac:dyDescent="0.2">
      <c r="A4" s="529"/>
      <c r="B4" s="457" t="s">
        <v>218</v>
      </c>
      <c r="D4" s="754"/>
      <c r="E4" s="739"/>
      <c r="F4" s="254" t="s">
        <v>450</v>
      </c>
      <c r="G4" s="738">
        <f>'Proforma L+H'!E4</f>
        <v>45658</v>
      </c>
      <c r="H4" s="738">
        <f>'Proforma L+H'!F4</f>
        <v>46023</v>
      </c>
      <c r="I4" s="738">
        <f>'Proforma L+H'!G4</f>
        <v>46388</v>
      </c>
      <c r="J4" s="738">
        <f>'Proforma L+H'!H4</f>
        <v>46753</v>
      </c>
      <c r="K4" s="738">
        <f>'Proforma L+H'!I4</f>
        <v>47119</v>
      </c>
      <c r="L4" s="738">
        <f>'Proforma L+H'!J4</f>
        <v>47484</v>
      </c>
      <c r="M4" s="738">
        <f>'Proforma L+H'!K4</f>
        <v>47849</v>
      </c>
      <c r="N4" s="738">
        <f>'Proforma L+H'!L4</f>
        <v>48214</v>
      </c>
      <c r="O4" s="738">
        <f>'Proforma L+H'!M4</f>
        <v>48580</v>
      </c>
      <c r="P4" s="738">
        <f>'Proforma L+H'!N4</f>
        <v>48945</v>
      </c>
      <c r="Q4" s="738">
        <f>'Proforma L+H'!O4</f>
        <v>49310</v>
      </c>
      <c r="R4" s="738">
        <f>'Proforma L+H'!P4</f>
        <v>49675</v>
      </c>
      <c r="S4" s="738">
        <f>'Proforma L+H'!Q4</f>
        <v>50041</v>
      </c>
      <c r="T4" s="739" t="s">
        <v>228</v>
      </c>
    </row>
    <row r="5" spans="1:35" s="128" customFormat="1" ht="19" outlineLevel="1" x14ac:dyDescent="0.25">
      <c r="A5" s="340"/>
      <c r="B5" s="341" t="s">
        <v>233</v>
      </c>
      <c r="C5" s="342" t="s">
        <v>63</v>
      </c>
      <c r="E5" s="343"/>
      <c r="F5" s="343"/>
      <c r="U5" s="128" t="s">
        <v>608</v>
      </c>
    </row>
    <row r="6" spans="1:35" s="128" customFormat="1" outlineLevel="1" x14ac:dyDescent="0.2">
      <c r="A6" s="355"/>
      <c r="B6" s="356" t="str">
        <f>Assumptions!F26</f>
        <v>Lodge Rooms</v>
      </c>
      <c r="C6" s="357">
        <f>Assumptions!F28</f>
        <v>500</v>
      </c>
      <c r="D6" s="358"/>
      <c r="E6" s="359"/>
      <c r="F6" s="359"/>
      <c r="G6" s="360"/>
      <c r="H6" s="361"/>
      <c r="I6" s="361">
        <f>Assumptions!$F27*0.5</f>
        <v>10</v>
      </c>
      <c r="J6" s="361">
        <f>Assumptions!$F27*0.5</f>
        <v>10</v>
      </c>
      <c r="K6" s="361"/>
      <c r="L6" s="361"/>
      <c r="M6" s="361"/>
      <c r="N6" s="361"/>
      <c r="O6" s="361"/>
      <c r="P6" s="361"/>
      <c r="Q6" s="361"/>
      <c r="R6" s="361"/>
      <c r="S6" s="361"/>
      <c r="T6" s="358">
        <f t="shared" ref="T6:T11" si="1">SUM(H6:S6)</f>
        <v>20</v>
      </c>
      <c r="U6" s="114"/>
      <c r="V6" s="114">
        <f>T6*C6</f>
        <v>10000</v>
      </c>
      <c r="X6" s="114"/>
      <c r="Z6" s="186"/>
    </row>
    <row r="7" spans="1:35" s="128" customFormat="1" outlineLevel="1" x14ac:dyDescent="0.2">
      <c r="A7" s="340"/>
      <c r="B7" s="344" t="str">
        <f>Assumptions!G26</f>
        <v>Villa/Cabin</v>
      </c>
      <c r="C7" s="345">
        <f>Assumptions!G28</f>
        <v>750</v>
      </c>
      <c r="E7" s="92"/>
      <c r="F7" s="92"/>
      <c r="G7" s="104"/>
      <c r="H7" s="346"/>
      <c r="I7" s="346">
        <v>8</v>
      </c>
      <c r="J7" s="346">
        <v>8</v>
      </c>
      <c r="K7" s="346">
        <v>8</v>
      </c>
      <c r="L7" s="346"/>
      <c r="M7" s="346"/>
      <c r="N7" s="346"/>
      <c r="O7" s="346"/>
      <c r="P7" s="346"/>
      <c r="Q7" s="346"/>
      <c r="R7" s="346"/>
      <c r="S7" s="346"/>
      <c r="T7" s="128">
        <f t="shared" si="1"/>
        <v>24</v>
      </c>
      <c r="U7" s="114"/>
      <c r="V7" s="114">
        <f t="shared" ref="V7:V11" si="2">T7*C7</f>
        <v>18000</v>
      </c>
      <c r="X7" s="114"/>
      <c r="Z7" s="186"/>
    </row>
    <row r="8" spans="1:35" s="128" customFormat="1" outlineLevel="1" x14ac:dyDescent="0.2">
      <c r="A8" s="355"/>
      <c r="B8" s="356" t="str">
        <f>Assumptions!H26</f>
        <v>Cottages</v>
      </c>
      <c r="C8" s="362">
        <f>Assumptions!H28</f>
        <v>1250</v>
      </c>
      <c r="D8" s="358"/>
      <c r="E8" s="363"/>
      <c r="F8" s="363"/>
      <c r="G8" s="360"/>
      <c r="H8" s="361"/>
      <c r="I8" s="641"/>
      <c r="J8" s="641">
        <v>12</v>
      </c>
      <c r="K8" s="641">
        <v>12</v>
      </c>
      <c r="L8" s="641"/>
      <c r="M8" s="641"/>
      <c r="N8" s="361"/>
      <c r="O8" s="361"/>
      <c r="P8" s="361"/>
      <c r="Q8" s="361"/>
      <c r="R8" s="361"/>
      <c r="S8" s="361"/>
      <c r="T8" s="358">
        <f t="shared" si="1"/>
        <v>24</v>
      </c>
      <c r="U8" s="114"/>
      <c r="V8" s="114">
        <f t="shared" si="2"/>
        <v>30000</v>
      </c>
      <c r="X8" s="114"/>
      <c r="Z8" s="186"/>
    </row>
    <row r="9" spans="1:35" s="128" customFormat="1" outlineLevel="1" x14ac:dyDescent="0.2">
      <c r="A9" s="340"/>
      <c r="B9" s="344" t="str">
        <f>Assumptions!I26</f>
        <v>Auton. Tents</v>
      </c>
      <c r="C9" s="114">
        <f>Assumptions!I28</f>
        <v>625</v>
      </c>
      <c r="E9" s="114"/>
      <c r="F9" s="114"/>
      <c r="G9" s="104"/>
      <c r="H9" s="455">
        <f>Assumptions!I27</f>
        <v>12</v>
      </c>
      <c r="I9" s="346"/>
      <c r="J9" s="346"/>
      <c r="K9" s="346"/>
      <c r="L9" s="346"/>
      <c r="M9" s="346"/>
      <c r="N9" s="346"/>
      <c r="O9" s="346"/>
      <c r="P9" s="346"/>
      <c r="Q9" s="346"/>
      <c r="R9" s="346"/>
      <c r="S9" s="346"/>
      <c r="T9" s="128">
        <f t="shared" si="1"/>
        <v>12</v>
      </c>
      <c r="U9" s="114"/>
      <c r="V9" s="114">
        <f t="shared" si="2"/>
        <v>7500</v>
      </c>
      <c r="X9" s="114"/>
      <c r="Z9" s="186"/>
    </row>
    <row r="10" spans="1:35" s="128" customFormat="1" outlineLevel="1" x14ac:dyDescent="0.2">
      <c r="A10" s="355"/>
      <c r="B10" s="356"/>
      <c r="C10" s="362"/>
      <c r="D10" s="358"/>
      <c r="E10" s="363"/>
      <c r="F10" s="363"/>
      <c r="G10" s="360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1"/>
      <c r="S10" s="361"/>
      <c r="T10" s="358">
        <f t="shared" si="1"/>
        <v>0</v>
      </c>
      <c r="U10" s="114"/>
      <c r="V10" s="114">
        <f t="shared" si="2"/>
        <v>0</v>
      </c>
      <c r="X10" s="114"/>
      <c r="Z10" s="186"/>
    </row>
    <row r="11" spans="1:35" s="128" customFormat="1" outlineLevel="1" x14ac:dyDescent="0.2">
      <c r="A11" s="340"/>
      <c r="B11" s="344"/>
      <c r="C11" s="114"/>
      <c r="E11" s="114"/>
      <c r="F11" s="114"/>
      <c r="G11" s="104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6"/>
      <c r="S11" s="346"/>
      <c r="T11" s="128">
        <f t="shared" si="1"/>
        <v>0</v>
      </c>
      <c r="U11" s="114"/>
      <c r="V11" s="114">
        <f t="shared" si="2"/>
        <v>0</v>
      </c>
      <c r="X11" s="114"/>
      <c r="Z11" s="186"/>
    </row>
    <row r="12" spans="1:35" s="128" customFormat="1" outlineLevel="1" x14ac:dyDescent="0.2">
      <c r="A12" s="184"/>
      <c r="B12" s="232" t="s">
        <v>235</v>
      </c>
      <c r="C12" s="233"/>
      <c r="D12" s="186"/>
      <c r="E12" s="186"/>
      <c r="F12" s="186"/>
      <c r="G12" s="346"/>
      <c r="H12" s="56">
        <f t="shared" ref="H12:T12" si="3">SUM(H6:H11)</f>
        <v>12</v>
      </c>
      <c r="I12" s="56">
        <f t="shared" si="3"/>
        <v>18</v>
      </c>
      <c r="J12" s="56">
        <f t="shared" si="3"/>
        <v>30</v>
      </c>
      <c r="K12" s="56">
        <f t="shared" si="3"/>
        <v>20</v>
      </c>
      <c r="L12" s="56">
        <f t="shared" si="3"/>
        <v>0</v>
      </c>
      <c r="M12" s="56">
        <f t="shared" si="3"/>
        <v>0</v>
      </c>
      <c r="N12" s="56">
        <f t="shared" si="3"/>
        <v>0</v>
      </c>
      <c r="O12" s="56">
        <f t="shared" si="3"/>
        <v>0</v>
      </c>
      <c r="P12" s="56">
        <f t="shared" si="3"/>
        <v>0</v>
      </c>
      <c r="Q12" s="56">
        <f t="shared" si="3"/>
        <v>0</v>
      </c>
      <c r="R12" s="56">
        <f t="shared" si="3"/>
        <v>0</v>
      </c>
      <c r="S12" s="56">
        <f t="shared" si="3"/>
        <v>0</v>
      </c>
      <c r="T12" s="232">
        <f t="shared" si="3"/>
        <v>80</v>
      </c>
      <c r="U12" s="56"/>
      <c r="V12" s="410"/>
      <c r="W12" s="343"/>
      <c r="X12" s="67"/>
      <c r="Y12" s="411"/>
    </row>
    <row r="13" spans="1:35" s="128" customFormat="1" outlineLevel="1" x14ac:dyDescent="0.2">
      <c r="A13" s="184"/>
      <c r="B13" s="128" t="s">
        <v>609</v>
      </c>
      <c r="C13" s="32">
        <f>SUMPRODUCT(C6:C11,T6:T11)</f>
        <v>65500</v>
      </c>
      <c r="D13" s="347"/>
      <c r="E13" s="347"/>
      <c r="F13" s="347"/>
      <c r="G13" s="680"/>
      <c r="H13" s="681"/>
      <c r="I13" s="681"/>
      <c r="J13" s="681"/>
      <c r="K13" s="681"/>
      <c r="L13" s="681"/>
      <c r="M13" s="681"/>
      <c r="N13" s="681"/>
      <c r="O13" s="681"/>
      <c r="P13" s="681"/>
      <c r="Q13" s="681"/>
      <c r="R13" s="681"/>
      <c r="S13" s="681"/>
      <c r="U13" s="346"/>
      <c r="V13" s="412">
        <f ca="1">T184/C13</f>
        <v>2479.8586272142556</v>
      </c>
      <c r="W13" s="801">
        <f ca="1">T184/80</f>
        <v>2030384.2510316719</v>
      </c>
    </row>
    <row r="14" spans="1:35" s="128" customFormat="1" ht="8" customHeight="1" outlineLevel="1" x14ac:dyDescent="0.2">
      <c r="A14" s="184"/>
      <c r="C14" s="348"/>
      <c r="D14" s="348"/>
      <c r="E14" s="348"/>
      <c r="F14" s="348"/>
      <c r="G14" s="346"/>
      <c r="H14" s="346"/>
      <c r="I14" s="346"/>
      <c r="J14" s="346"/>
      <c r="K14" s="346"/>
      <c r="L14" s="346"/>
      <c r="M14" s="346"/>
      <c r="N14" s="346"/>
      <c r="O14" s="346"/>
      <c r="P14" s="346"/>
      <c r="Q14" s="346"/>
      <c r="R14" s="346"/>
      <c r="S14" s="346"/>
    </row>
    <row r="15" spans="1:35" s="128" customFormat="1" ht="19" outlineLevel="1" x14ac:dyDescent="0.25">
      <c r="A15" s="184"/>
      <c r="B15" s="341" t="s">
        <v>241</v>
      </c>
      <c r="G15" s="346"/>
      <c r="H15" s="346"/>
      <c r="I15" s="346"/>
      <c r="J15" s="346"/>
      <c r="K15" s="346"/>
      <c r="L15" s="346"/>
      <c r="M15" s="346"/>
      <c r="N15" s="346"/>
      <c r="O15" s="346"/>
      <c r="P15" s="346"/>
      <c r="Q15" s="346"/>
      <c r="R15" s="346"/>
      <c r="S15" s="346"/>
      <c r="W15" s="413"/>
      <c r="X15" s="413"/>
      <c r="Y15" s="413"/>
      <c r="Z15" s="413"/>
      <c r="AA15" s="413"/>
      <c r="AB15" s="413"/>
    </row>
    <row r="16" spans="1:35" s="128" customFormat="1" outlineLevel="1" x14ac:dyDescent="0.2">
      <c r="A16" s="358"/>
      <c r="B16" s="356" t="str">
        <f>B6</f>
        <v>Lodge Rooms</v>
      </c>
      <c r="C16" s="364">
        <f>T16</f>
        <v>0</v>
      </c>
      <c r="D16" s="365"/>
      <c r="E16" s="365"/>
      <c r="F16" s="365"/>
      <c r="G16" s="361"/>
      <c r="H16" s="361">
        <f>ROUND(G6*Assumptions!$F33,0)</f>
        <v>0</v>
      </c>
      <c r="I16" s="361">
        <f>ROUND(H6*Assumptions!$F33,0)</f>
        <v>0</v>
      </c>
      <c r="J16" s="361">
        <f>ROUND(I6*Assumptions!$F33,0)</f>
        <v>0</v>
      </c>
      <c r="K16" s="361">
        <f>ROUND(J6*Assumptions!$F33,0)</f>
        <v>0</v>
      </c>
      <c r="L16" s="361">
        <f>ROUND(K6*Assumptions!$F33,0)</f>
        <v>0</v>
      </c>
      <c r="M16" s="361">
        <f>ROUND(L6*Assumptions!$F33,0)</f>
        <v>0</v>
      </c>
      <c r="N16" s="361">
        <f>ROUND(M6*Assumptions!$F33,0)</f>
        <v>0</v>
      </c>
      <c r="O16" s="361">
        <f>ROUND(N6*Assumptions!$F33,0)</f>
        <v>0</v>
      </c>
      <c r="P16" s="361">
        <f>ROUND(O6*Assumptions!$F33,0)</f>
        <v>0</v>
      </c>
      <c r="Q16" s="361">
        <f>ROUND(P6*Assumptions!$F33,0)</f>
        <v>0</v>
      </c>
      <c r="R16" s="361">
        <f>ROUND(Q6*Assumptions!$F33,0)</f>
        <v>0</v>
      </c>
      <c r="S16" s="361">
        <f>ROUND(R6*Assumptions!$F33,0)</f>
        <v>0</v>
      </c>
      <c r="T16" s="358">
        <f t="shared" ref="T16:T21" si="4">SUM(H16:S16)</f>
        <v>0</v>
      </c>
      <c r="W16" s="414"/>
      <c r="X16" s="414"/>
      <c r="Y16" s="414"/>
      <c r="Z16" s="414"/>
      <c r="AA16" s="414"/>
      <c r="AB16" s="414"/>
      <c r="AC16" s="414"/>
      <c r="AD16" s="414"/>
      <c r="AE16" s="414"/>
      <c r="AF16" s="414"/>
      <c r="AG16" s="414"/>
      <c r="AH16" s="414"/>
      <c r="AI16" s="414"/>
    </row>
    <row r="17" spans="1:46" s="128" customFormat="1" outlineLevel="1" x14ac:dyDescent="0.2">
      <c r="A17" s="184"/>
      <c r="B17" s="344" t="str">
        <f>B7</f>
        <v>Villa/Cabin</v>
      </c>
      <c r="C17" s="349">
        <f t="shared" ref="C17:C19" si="5">T17</f>
        <v>21</v>
      </c>
      <c r="D17" s="15"/>
      <c r="E17" s="15"/>
      <c r="F17" s="15"/>
      <c r="G17" s="346"/>
      <c r="H17" s="346">
        <f>ROUNDDOWN(G7*Assumptions!$G$33,0)</f>
        <v>0</v>
      </c>
      <c r="I17" s="346">
        <f>ROUNDDOWN(H7*Assumptions!$G$33,0)</f>
        <v>0</v>
      </c>
      <c r="J17" s="346">
        <f>ROUND(I7*Assumptions!$G33,0)</f>
        <v>7</v>
      </c>
      <c r="K17" s="346">
        <f>ROUND(J7*Assumptions!$G33,0)</f>
        <v>7</v>
      </c>
      <c r="L17" s="346">
        <f>ROUND(K7*Assumptions!$G33,0)</f>
        <v>7</v>
      </c>
      <c r="M17" s="346">
        <f>ROUND(L7*Assumptions!$G33,0)</f>
        <v>0</v>
      </c>
      <c r="N17" s="346">
        <f>ROUND(M7*Assumptions!$G33,0)</f>
        <v>0</v>
      </c>
      <c r="O17" s="346">
        <f>ROUND(N7*Assumptions!$G33,0)</f>
        <v>0</v>
      </c>
      <c r="P17" s="346">
        <f>ROUND(O7*Assumptions!$G33,0)</f>
        <v>0</v>
      </c>
      <c r="Q17" s="346">
        <f>ROUND(P7*Assumptions!$G33,0)</f>
        <v>0</v>
      </c>
      <c r="R17" s="346">
        <f>ROUND(Q7*Assumptions!$G33,0)</f>
        <v>0</v>
      </c>
      <c r="S17" s="346">
        <f>ROUND(R7*Assumptions!$G33,0)</f>
        <v>0</v>
      </c>
      <c r="T17" s="128">
        <f t="shared" si="4"/>
        <v>21</v>
      </c>
      <c r="W17" s="414"/>
      <c r="X17" s="414"/>
      <c r="Y17" s="414"/>
      <c r="Z17" s="414"/>
      <c r="AA17" s="414"/>
      <c r="AB17" s="414"/>
      <c r="AC17" s="414"/>
      <c r="AD17" s="414"/>
      <c r="AE17" s="414"/>
      <c r="AF17" s="414"/>
      <c r="AG17" s="414"/>
      <c r="AH17" s="414"/>
      <c r="AI17" s="414"/>
    </row>
    <row r="18" spans="1:46" s="128" customFormat="1" outlineLevel="1" x14ac:dyDescent="0.2">
      <c r="A18" s="358"/>
      <c r="B18" s="356" t="str">
        <f>B8</f>
        <v>Cottages</v>
      </c>
      <c r="C18" s="364">
        <f t="shared" si="5"/>
        <v>24</v>
      </c>
      <c r="D18" s="365"/>
      <c r="E18" s="365"/>
      <c r="F18" s="365"/>
      <c r="G18" s="361"/>
      <c r="H18" s="361">
        <f>ROUND(G8*Assumptions!$H33,0)</f>
        <v>0</v>
      </c>
      <c r="I18" s="361">
        <f>ROUND(H8*Assumptions!$H33,0)</f>
        <v>0</v>
      </c>
      <c r="J18" s="361">
        <f>ROUND(I8*Assumptions!$H33,0)</f>
        <v>0</v>
      </c>
      <c r="K18" s="361">
        <f>ROUND(J8*Assumptions!$H33,0)</f>
        <v>12</v>
      </c>
      <c r="L18" s="361">
        <f>ROUND(K8*Assumptions!$H33,0)</f>
        <v>12</v>
      </c>
      <c r="M18" s="361">
        <f>ROUND(L8*Assumptions!$H33,0)</f>
        <v>0</v>
      </c>
      <c r="N18" s="361">
        <f>ROUND(M8*Assumptions!$H33,0)</f>
        <v>0</v>
      </c>
      <c r="O18" s="361">
        <f>ROUND(N8*Assumptions!$H33,0)</f>
        <v>0</v>
      </c>
      <c r="P18" s="361">
        <f>ROUND(O8*Assumptions!$H33,0)</f>
        <v>0</v>
      </c>
      <c r="Q18" s="361">
        <f>ROUND(P8*Assumptions!$H33,0)</f>
        <v>0</v>
      </c>
      <c r="R18" s="361">
        <f>ROUND(Q8*Assumptions!$H33,0)</f>
        <v>0</v>
      </c>
      <c r="S18" s="361">
        <f>ROUND(R8*Assumptions!$H33,0)</f>
        <v>0</v>
      </c>
      <c r="T18" s="358">
        <f t="shared" si="4"/>
        <v>24</v>
      </c>
      <c r="W18" s="414"/>
      <c r="X18" s="414"/>
      <c r="Y18" s="414"/>
      <c r="Z18" s="414"/>
      <c r="AA18" s="414"/>
      <c r="AB18" s="414"/>
      <c r="AC18" s="414"/>
      <c r="AD18" s="414"/>
      <c r="AE18" s="414"/>
      <c r="AF18" s="414"/>
      <c r="AG18" s="414"/>
    </row>
    <row r="19" spans="1:46" s="128" customFormat="1" outlineLevel="1" x14ac:dyDescent="0.2">
      <c r="A19" s="184"/>
      <c r="B19" s="344" t="str">
        <f>B9</f>
        <v>Auton. Tents</v>
      </c>
      <c r="C19" s="349">
        <f t="shared" si="5"/>
        <v>0</v>
      </c>
      <c r="D19" s="15"/>
      <c r="E19" s="15"/>
      <c r="F19" s="15"/>
      <c r="G19" s="346"/>
      <c r="H19" s="346">
        <f>ROUND(G9*Assumptions!$I35,0)</f>
        <v>0</v>
      </c>
      <c r="I19" s="346">
        <f>ROUND(H9*Assumptions!$I35,0)</f>
        <v>0</v>
      </c>
      <c r="J19" s="346">
        <f>ROUND(I9*Assumptions!$I35,0)</f>
        <v>0</v>
      </c>
      <c r="K19" s="346">
        <f>ROUND(J9*Assumptions!$I35,0)</f>
        <v>0</v>
      </c>
      <c r="L19" s="346">
        <f>ROUND(K9*Assumptions!$I35,0)</f>
        <v>0</v>
      </c>
      <c r="M19" s="346">
        <f>ROUND(L9*Assumptions!$I35,0)</f>
        <v>0</v>
      </c>
      <c r="N19" s="346">
        <f>ROUND(M9*Assumptions!$I35,0)</f>
        <v>0</v>
      </c>
      <c r="O19" s="346">
        <f>ROUND(N9*Assumptions!$I35,0)</f>
        <v>0</v>
      </c>
      <c r="P19" s="346">
        <f>ROUND(O9*Assumptions!$I35,0)</f>
        <v>0</v>
      </c>
      <c r="Q19" s="346">
        <f>ROUND(P9*Assumptions!$I35,0)</f>
        <v>0</v>
      </c>
      <c r="R19" s="346">
        <f>ROUND(Q9*Assumptions!$I35,0)</f>
        <v>0</v>
      </c>
      <c r="S19" s="346">
        <f>ROUND(R9*Assumptions!$I35,0)</f>
        <v>0</v>
      </c>
      <c r="T19" s="128">
        <f t="shared" si="4"/>
        <v>0</v>
      </c>
      <c r="W19" s="414"/>
      <c r="X19" s="414"/>
      <c r="Y19" s="414"/>
      <c r="Z19" s="414"/>
      <c r="AA19" s="414"/>
      <c r="AB19" s="414"/>
      <c r="AC19" s="414"/>
      <c r="AD19" s="414"/>
      <c r="AE19" s="414"/>
      <c r="AF19" s="414"/>
      <c r="AG19" s="414"/>
    </row>
    <row r="20" spans="1:46" s="128" customFormat="1" outlineLevel="1" x14ac:dyDescent="0.2">
      <c r="A20" s="358"/>
      <c r="B20" s="356"/>
      <c r="C20" s="364"/>
      <c r="D20" s="365"/>
      <c r="E20" s="365"/>
      <c r="F20" s="365"/>
      <c r="G20" s="361"/>
      <c r="H20" s="361">
        <f>ROUNDDOWN(G10*Assumptions!$F$33,0)</f>
        <v>0</v>
      </c>
      <c r="I20" s="361">
        <f>ROUNDDOWN(H10*Assumptions!$F$33,0)</f>
        <v>0</v>
      </c>
      <c r="J20" s="361">
        <f>ROUNDDOWN(I10*Assumptions!$F$33,0)</f>
        <v>0</v>
      </c>
      <c r="K20" s="361">
        <f>ROUNDDOWN(J10*Assumptions!$F$33,0)</f>
        <v>0</v>
      </c>
      <c r="L20" s="361">
        <f>ROUNDDOWN(K10*Assumptions!$F$33,0)</f>
        <v>0</v>
      </c>
      <c r="M20" s="361">
        <f>ROUNDDOWN(L10*Assumptions!$F$33,0)</f>
        <v>0</v>
      </c>
      <c r="N20" s="361">
        <f>ROUNDDOWN(M10*Assumptions!$F$33,0)</f>
        <v>0</v>
      </c>
      <c r="O20" s="361">
        <f>ROUNDDOWN(N10*Assumptions!$F$33,0)</f>
        <v>0</v>
      </c>
      <c r="P20" s="361">
        <f>ROUNDDOWN(O10*Assumptions!$F$33,0)</f>
        <v>0</v>
      </c>
      <c r="Q20" s="361">
        <f>ROUNDDOWN(P10*Assumptions!$F$33,0)</f>
        <v>0</v>
      </c>
      <c r="R20" s="361">
        <f>ROUNDDOWN(Q10*Assumptions!$F$33,0)</f>
        <v>0</v>
      </c>
      <c r="S20" s="361">
        <f>R8</f>
        <v>0</v>
      </c>
      <c r="T20" s="358">
        <f t="shared" si="4"/>
        <v>0</v>
      </c>
      <c r="W20" s="414"/>
      <c r="X20" s="414"/>
      <c r="Y20" s="414"/>
      <c r="Z20" s="414"/>
      <c r="AA20" s="414"/>
      <c r="AB20" s="414"/>
      <c r="AC20" s="414"/>
      <c r="AD20" s="414"/>
      <c r="AE20" s="414"/>
      <c r="AF20" s="414"/>
      <c r="AG20" s="414"/>
    </row>
    <row r="21" spans="1:46" s="128" customFormat="1" outlineLevel="1" x14ac:dyDescent="0.2">
      <c r="A21" s="184"/>
      <c r="B21" s="344"/>
      <c r="C21" s="349"/>
      <c r="D21" s="15"/>
      <c r="E21" s="15"/>
      <c r="F21" s="15"/>
      <c r="G21" s="346"/>
      <c r="H21" s="346">
        <f>ROUNDDOWN(G11*Assumptions!$G$33,0)</f>
        <v>0</v>
      </c>
      <c r="I21" s="346">
        <f>ROUNDDOWN(H11*Assumptions!$G$33,0)</f>
        <v>0</v>
      </c>
      <c r="J21" s="346">
        <f>ROUNDDOWN(I11*Assumptions!$G$33,0)</f>
        <v>0</v>
      </c>
      <c r="K21" s="346">
        <f>ROUNDDOWN(J11*Assumptions!$G$33,0)</f>
        <v>0</v>
      </c>
      <c r="L21" s="346">
        <f>ROUNDDOWN(K11*Assumptions!$G$33,0)</f>
        <v>0</v>
      </c>
      <c r="M21" s="346">
        <f>ROUNDDOWN(L11*Assumptions!$G$33,0)</f>
        <v>0</v>
      </c>
      <c r="N21" s="346">
        <f>ROUNDDOWN(M11*Assumptions!$G$33,0)</f>
        <v>0</v>
      </c>
      <c r="O21" s="346">
        <f>ROUNDDOWN(N11*Assumptions!$G$33,0)</f>
        <v>0</v>
      </c>
      <c r="P21" s="346">
        <f>ROUNDDOWN(O11*Assumptions!$G$33,0)</f>
        <v>0</v>
      </c>
      <c r="Q21" s="346">
        <f>ROUNDDOWN(P11*Assumptions!$G$33,0)</f>
        <v>0</v>
      </c>
      <c r="R21" s="346">
        <f>ROUNDDOWN(Q11*Assumptions!$G$33,0)</f>
        <v>0</v>
      </c>
      <c r="S21" s="346">
        <f>R9</f>
        <v>0</v>
      </c>
      <c r="T21" s="128">
        <f t="shared" si="4"/>
        <v>0</v>
      </c>
      <c r="W21" s="414"/>
      <c r="X21" s="414"/>
      <c r="Y21" s="414"/>
      <c r="Z21" s="414"/>
      <c r="AA21" s="414"/>
      <c r="AB21" s="414"/>
      <c r="AC21" s="414"/>
      <c r="AD21" s="414"/>
      <c r="AE21" s="414"/>
      <c r="AF21" s="414"/>
      <c r="AG21" s="414"/>
    </row>
    <row r="22" spans="1:46" s="128" customFormat="1" x14ac:dyDescent="0.2">
      <c r="A22" s="184"/>
      <c r="B22" s="232" t="s">
        <v>242</v>
      </c>
      <c r="C22" s="232">
        <f>SUM(C16:C21)</f>
        <v>45</v>
      </c>
      <c r="D22" s="186"/>
      <c r="E22" s="186"/>
      <c r="F22" s="186"/>
      <c r="H22" s="56">
        <f>SUM(H16:H21)</f>
        <v>0</v>
      </c>
      <c r="I22" s="56">
        <f>SUM(I16:I21)</f>
        <v>0</v>
      </c>
      <c r="J22" s="56">
        <f>SUM(J16:J21)</f>
        <v>7</v>
      </c>
      <c r="K22" s="56">
        <f>SUM(K16:K21)</f>
        <v>19</v>
      </c>
      <c r="L22" s="56">
        <f>SUM(L16:L21)</f>
        <v>19</v>
      </c>
      <c r="M22" s="56">
        <f t="shared" ref="M22:R22" si="6">SUM(M16:M21)</f>
        <v>0</v>
      </c>
      <c r="N22" s="56">
        <f t="shared" si="6"/>
        <v>0</v>
      </c>
      <c r="O22" s="56">
        <f t="shared" si="6"/>
        <v>0</v>
      </c>
      <c r="P22" s="56">
        <f t="shared" si="6"/>
        <v>0</v>
      </c>
      <c r="Q22" s="56">
        <f t="shared" si="6"/>
        <v>0</v>
      </c>
      <c r="R22" s="56">
        <f t="shared" si="6"/>
        <v>0</v>
      </c>
      <c r="S22" s="56">
        <f>SUM(S16:S21)</f>
        <v>0</v>
      </c>
      <c r="T22" s="232">
        <f>SUM(T16:T21)</f>
        <v>45</v>
      </c>
      <c r="U22" s="430">
        <f>T22/T12</f>
        <v>0.5625</v>
      </c>
      <c r="Y22" s="350"/>
    </row>
    <row r="23" spans="1:46" s="128" customFormat="1" ht="15.5" customHeight="1" x14ac:dyDescent="0.2">
      <c r="A23" s="184"/>
      <c r="B23" s="351" t="s">
        <v>610</v>
      </c>
      <c r="C23" s="15"/>
      <c r="D23" s="15"/>
      <c r="E23" s="15"/>
      <c r="F23" s="15"/>
      <c r="G23" s="339"/>
      <c r="H23" s="352">
        <f>G23</f>
        <v>0</v>
      </c>
      <c r="I23" s="352">
        <f>G23</f>
        <v>0</v>
      </c>
      <c r="J23" s="352">
        <f t="shared" ref="J23:P23" si="7">I23*(1+$C$24)</f>
        <v>0</v>
      </c>
      <c r="K23" s="352">
        <f t="shared" si="7"/>
        <v>0</v>
      </c>
      <c r="L23" s="352">
        <f t="shared" si="7"/>
        <v>0</v>
      </c>
      <c r="M23" s="352">
        <f t="shared" si="7"/>
        <v>0</v>
      </c>
      <c r="N23" s="352">
        <f t="shared" si="7"/>
        <v>0</v>
      </c>
      <c r="O23" s="352">
        <f t="shared" si="7"/>
        <v>0</v>
      </c>
      <c r="P23" s="352">
        <f t="shared" si="7"/>
        <v>0</v>
      </c>
      <c r="Q23" s="352">
        <f t="shared" ref="Q23:S23" si="8">P23*(1+$C$25)</f>
        <v>0</v>
      </c>
      <c r="R23" s="352">
        <f t="shared" si="8"/>
        <v>0</v>
      </c>
      <c r="S23" s="339">
        <f t="shared" si="8"/>
        <v>0</v>
      </c>
      <c r="W23" s="354"/>
    </row>
    <row r="24" spans="1:46" s="128" customFormat="1" x14ac:dyDescent="0.2">
      <c r="B24" s="128" t="s">
        <v>611</v>
      </c>
      <c r="C24" s="454">
        <f>Assumptions!F32</f>
        <v>0.05</v>
      </c>
      <c r="D24" s="15" t="s">
        <v>57</v>
      </c>
      <c r="E24" s="15"/>
      <c r="F24" s="15"/>
      <c r="G24" s="339">
        <f>Assumptions!F29</f>
        <v>0</v>
      </c>
      <c r="H24" s="339"/>
      <c r="I24" s="339"/>
      <c r="J24" s="339">
        <f>$G24</f>
        <v>0</v>
      </c>
      <c r="K24" s="339">
        <f>J24*(1+$C$24)</f>
        <v>0</v>
      </c>
      <c r="L24" s="339">
        <f>K24*(1+$C$24)</f>
        <v>0</v>
      </c>
      <c r="M24" s="339"/>
      <c r="N24" s="339"/>
      <c r="O24" s="339"/>
      <c r="P24" s="339"/>
      <c r="Q24" s="339"/>
      <c r="R24" s="339"/>
      <c r="S24" s="339"/>
      <c r="V24" s="353"/>
      <c r="W24" s="354"/>
    </row>
    <row r="25" spans="1:46" s="128" customFormat="1" x14ac:dyDescent="0.2">
      <c r="B25" s="128" t="s">
        <v>612</v>
      </c>
      <c r="C25" s="454">
        <f>Assumptions!G32</f>
        <v>0.1</v>
      </c>
      <c r="D25" s="15" t="s">
        <v>613</v>
      </c>
      <c r="E25" s="15"/>
      <c r="F25" s="15"/>
      <c r="G25" s="339">
        <v>2750</v>
      </c>
      <c r="H25" s="339"/>
      <c r="I25" s="339"/>
      <c r="J25" s="339">
        <f>$G25</f>
        <v>2750</v>
      </c>
      <c r="K25" s="339">
        <f>J25*(1+$C$25)</f>
        <v>3025.0000000000005</v>
      </c>
      <c r="L25" s="339">
        <f>K25*(1+$C$25)</f>
        <v>3327.5000000000009</v>
      </c>
      <c r="M25" s="339">
        <f t="shared" ref="M25:R25" si="9">L25*(1+$C$25)</f>
        <v>3660.2500000000014</v>
      </c>
      <c r="N25" s="339">
        <f t="shared" si="9"/>
        <v>4026.2750000000019</v>
      </c>
      <c r="O25" s="339">
        <f t="shared" si="9"/>
        <v>4428.9025000000029</v>
      </c>
      <c r="P25" s="339">
        <f t="shared" si="9"/>
        <v>4871.7927500000033</v>
      </c>
      <c r="Q25" s="339">
        <f t="shared" si="9"/>
        <v>5358.9720250000037</v>
      </c>
      <c r="R25" s="339">
        <f t="shared" si="9"/>
        <v>5894.8692275000049</v>
      </c>
      <c r="S25" s="339"/>
      <c r="T25" s="339"/>
      <c r="W25" s="354"/>
      <c r="AC25" s="418"/>
    </row>
    <row r="26" spans="1:46" s="128" customFormat="1" x14ac:dyDescent="0.2">
      <c r="B26" s="128" t="s">
        <v>614</v>
      </c>
      <c r="C26" s="454">
        <f>C25</f>
        <v>0.1</v>
      </c>
      <c r="D26" s="15" t="s">
        <v>51</v>
      </c>
      <c r="E26" s="15"/>
      <c r="F26" s="15"/>
      <c r="G26" s="339">
        <v>2500</v>
      </c>
      <c r="H26" s="339"/>
      <c r="I26" s="339"/>
      <c r="J26" s="339">
        <f>$G26</f>
        <v>2500</v>
      </c>
      <c r="K26" s="339">
        <f>J26*(1+$C26)</f>
        <v>2750</v>
      </c>
      <c r="L26" s="339">
        <f>K26*(1+$C26)</f>
        <v>3025.0000000000005</v>
      </c>
      <c r="M26" s="339">
        <f t="shared" ref="M26:R27" si="10">L26*(1+$C26)</f>
        <v>3327.5000000000009</v>
      </c>
      <c r="N26" s="339">
        <f t="shared" si="10"/>
        <v>3660.2500000000014</v>
      </c>
      <c r="O26" s="339">
        <f t="shared" si="10"/>
        <v>4026.2750000000019</v>
      </c>
      <c r="P26" s="339">
        <f t="shared" si="10"/>
        <v>4428.9025000000029</v>
      </c>
      <c r="Q26" s="339">
        <f t="shared" si="10"/>
        <v>4871.7927500000033</v>
      </c>
      <c r="R26" s="339">
        <f t="shared" si="10"/>
        <v>5358.9720250000037</v>
      </c>
      <c r="S26" s="339"/>
      <c r="T26" s="339"/>
      <c r="W26" s="354"/>
      <c r="AC26" s="418"/>
    </row>
    <row r="27" spans="1:46" s="128" customFormat="1" x14ac:dyDescent="0.2">
      <c r="B27" s="128" t="s">
        <v>615</v>
      </c>
      <c r="C27" s="454">
        <f>C26</f>
        <v>0.1</v>
      </c>
      <c r="D27" s="15" t="s">
        <v>59</v>
      </c>
      <c r="E27" s="15"/>
      <c r="F27" s="15"/>
      <c r="G27" s="339">
        <f>Assumptions!I29</f>
        <v>0</v>
      </c>
      <c r="H27" s="339">
        <f t="shared" ref="H27:I27" si="11">$G27</f>
        <v>0</v>
      </c>
      <c r="I27" s="339">
        <f t="shared" si="11"/>
        <v>0</v>
      </c>
      <c r="J27" s="339">
        <f>$G27</f>
        <v>0</v>
      </c>
      <c r="K27" s="339">
        <f>J27*(1+$C27)</f>
        <v>0</v>
      </c>
      <c r="L27" s="339">
        <f>K27*(1+$C27)</f>
        <v>0</v>
      </c>
      <c r="M27" s="339">
        <f t="shared" si="10"/>
        <v>0</v>
      </c>
      <c r="N27" s="339">
        <f t="shared" si="10"/>
        <v>0</v>
      </c>
      <c r="O27" s="339">
        <f t="shared" si="10"/>
        <v>0</v>
      </c>
      <c r="P27" s="339">
        <f t="shared" si="10"/>
        <v>0</v>
      </c>
      <c r="Q27" s="339">
        <f t="shared" si="10"/>
        <v>0</v>
      </c>
      <c r="R27" s="339">
        <f t="shared" si="10"/>
        <v>0</v>
      </c>
      <c r="S27" s="339"/>
      <c r="T27" s="339"/>
      <c r="W27" s="354"/>
      <c r="AC27" s="418"/>
    </row>
    <row r="28" spans="1:46" s="128" customFormat="1" x14ac:dyDescent="0.2">
      <c r="C28" s="454"/>
      <c r="D28" s="15"/>
      <c r="E28" s="15"/>
      <c r="F28" s="15"/>
      <c r="G28" s="339"/>
      <c r="H28" s="352"/>
      <c r="I28" s="339"/>
      <c r="J28" s="339"/>
      <c r="K28" s="339"/>
      <c r="L28" s="339"/>
      <c r="M28" s="339"/>
      <c r="N28" s="339"/>
      <c r="O28" s="339"/>
      <c r="P28" s="339"/>
      <c r="Q28" s="339"/>
      <c r="R28" s="339"/>
      <c r="S28" s="339"/>
      <c r="T28" s="339"/>
      <c r="W28" s="354"/>
      <c r="AC28" s="418"/>
    </row>
    <row r="29" spans="1:46" s="476" customFormat="1" x14ac:dyDescent="0.2">
      <c r="B29" s="477" t="s">
        <v>247</v>
      </c>
      <c r="C29" s="478"/>
      <c r="D29" s="478"/>
      <c r="E29" s="478"/>
      <c r="F29" s="478"/>
      <c r="G29" s="479"/>
      <c r="H29" s="480"/>
      <c r="I29" s="480"/>
      <c r="J29" s="481">
        <f>J60/J22</f>
        <v>2062500</v>
      </c>
      <c r="K29" s="481">
        <f>K60/K22</f>
        <v>3006907.8947368423</v>
      </c>
      <c r="L29" s="481"/>
      <c r="M29" s="480"/>
      <c r="N29" s="480"/>
      <c r="O29" s="480"/>
      <c r="P29" s="480"/>
      <c r="Q29" s="479" t="str">
        <f>IFERROR(SUM(P52+Q53)/Q22,"")</f>
        <v/>
      </c>
      <c r="R29" s="479" t="str">
        <f>IFERROR(SUM(Q52+R53)/R22,"")</f>
        <v/>
      </c>
      <c r="S29" s="479" t="str">
        <f>IFERROR(SUM(R52+S53)/S22,"")</f>
        <v/>
      </c>
      <c r="W29" s="482"/>
    </row>
    <row r="30" spans="1:46" s="3" customFormat="1" x14ac:dyDescent="0.2">
      <c r="A30" s="55"/>
      <c r="E30" s="6"/>
      <c r="F30" s="6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</row>
    <row r="31" spans="1:46" x14ac:dyDescent="0.2">
      <c r="B31" s="34" t="s">
        <v>134</v>
      </c>
      <c r="C31" s="161"/>
      <c r="D31" s="161"/>
      <c r="E31" s="161"/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</row>
    <row r="32" spans="1:46" x14ac:dyDescent="0.2">
      <c r="B32" s="4"/>
    </row>
    <row r="33" spans="2:20" x14ac:dyDescent="0.2">
      <c r="B33" s="81" t="s">
        <v>616</v>
      </c>
      <c r="T33" s="61"/>
    </row>
    <row r="34" spans="2:20" x14ac:dyDescent="0.2">
      <c r="B34" s="81"/>
      <c r="T34" s="61"/>
    </row>
    <row r="35" spans="2:20" x14ac:dyDescent="0.2">
      <c r="B35" s="517" t="s">
        <v>477</v>
      </c>
      <c r="T35" s="61">
        <f t="shared" ref="T35:T38" si="12">SUM(G35:R35)</f>
        <v>0</v>
      </c>
    </row>
    <row r="36" spans="2:20" x14ac:dyDescent="0.2">
      <c r="B36" s="132" t="s">
        <v>617</v>
      </c>
      <c r="I36" s="92"/>
      <c r="T36" s="61">
        <f t="shared" si="12"/>
        <v>0</v>
      </c>
    </row>
    <row r="37" spans="2:20" x14ac:dyDescent="0.2">
      <c r="B37" s="132" t="s">
        <v>478</v>
      </c>
      <c r="H37" s="68"/>
      <c r="T37" s="61">
        <f t="shared" si="12"/>
        <v>0</v>
      </c>
    </row>
    <row r="38" spans="2:20" x14ac:dyDescent="0.2">
      <c r="B38" s="676" t="s">
        <v>479</v>
      </c>
      <c r="C38" s="222"/>
      <c r="D38" s="222"/>
      <c r="E38" s="222"/>
      <c r="F38" s="222"/>
      <c r="G38" s="222"/>
      <c r="H38" s="321"/>
      <c r="I38" s="22">
        <f>-H38-I218</f>
        <v>0</v>
      </c>
      <c r="J38" s="222"/>
      <c r="K38" s="222"/>
      <c r="L38" s="222"/>
      <c r="M38" s="222"/>
      <c r="N38" s="222"/>
      <c r="O38" s="222"/>
      <c r="P38" s="222"/>
      <c r="Q38" s="222"/>
      <c r="R38" s="222"/>
      <c r="S38" s="222"/>
      <c r="T38" s="678">
        <f t="shared" si="12"/>
        <v>0</v>
      </c>
    </row>
    <row r="39" spans="2:20" x14ac:dyDescent="0.2">
      <c r="B39" t="s">
        <v>477</v>
      </c>
      <c r="G39" s="92">
        <f t="shared" ref="G39:H39" si="13">G36+G37+G38</f>
        <v>0</v>
      </c>
      <c r="H39" s="92">
        <f t="shared" si="13"/>
        <v>0</v>
      </c>
      <c r="I39" s="92">
        <f>I36+I37+I38</f>
        <v>0</v>
      </c>
      <c r="J39" s="92">
        <f t="shared" ref="J39:S39" si="14">J36+J37+J38</f>
        <v>0</v>
      </c>
      <c r="K39" s="92">
        <f t="shared" si="14"/>
        <v>0</v>
      </c>
      <c r="L39" s="92">
        <f t="shared" si="14"/>
        <v>0</v>
      </c>
      <c r="M39" s="92">
        <f t="shared" si="14"/>
        <v>0</v>
      </c>
      <c r="N39" s="92">
        <f t="shared" si="14"/>
        <v>0</v>
      </c>
      <c r="O39" s="92">
        <f t="shared" si="14"/>
        <v>0</v>
      </c>
      <c r="P39" s="92">
        <f t="shared" si="14"/>
        <v>0</v>
      </c>
      <c r="Q39" s="92">
        <f t="shared" si="14"/>
        <v>0</v>
      </c>
      <c r="R39" s="92">
        <f t="shared" si="14"/>
        <v>0</v>
      </c>
      <c r="S39" s="92">
        <f t="shared" si="14"/>
        <v>0</v>
      </c>
      <c r="T39" s="92">
        <f>SUM(G39:R39)</f>
        <v>0</v>
      </c>
    </row>
    <row r="40" spans="2:20" x14ac:dyDescent="0.2">
      <c r="B40" s="81"/>
      <c r="T40" s="61"/>
    </row>
    <row r="41" spans="2:20" x14ac:dyDescent="0.2">
      <c r="B41" s="517" t="s">
        <v>267</v>
      </c>
      <c r="G41" s="767" t="s">
        <v>618</v>
      </c>
      <c r="H41" s="767">
        <f ca="1">H255</f>
        <v>7262.0859474292956</v>
      </c>
      <c r="T41" s="61"/>
    </row>
    <row r="42" spans="2:20" x14ac:dyDescent="0.2">
      <c r="B42" s="132" t="s">
        <v>484</v>
      </c>
      <c r="C42" s="32">
        <f>W192</f>
        <v>28800000</v>
      </c>
      <c r="D42" s="11"/>
      <c r="E42" s="92"/>
      <c r="F42" s="92"/>
      <c r="G42" s="92"/>
      <c r="H42" s="92">
        <f>SUM(G184:H184)*(1+C202+C203)-H39-996000</f>
        <v>15279533.258128751</v>
      </c>
      <c r="I42" s="92">
        <f>W192-H42</f>
        <v>13520466.741871249</v>
      </c>
      <c r="J42" s="92"/>
      <c r="K42" s="92"/>
      <c r="L42" s="92"/>
      <c r="M42" s="92"/>
      <c r="N42" s="92"/>
      <c r="O42" s="92"/>
      <c r="P42" s="92"/>
      <c r="Q42" s="92"/>
      <c r="R42" s="92"/>
      <c r="S42" s="91"/>
      <c r="T42" s="67">
        <f>SUM(G42:R42)</f>
        <v>28800000</v>
      </c>
    </row>
    <row r="43" spans="2:20" x14ac:dyDescent="0.2">
      <c r="B43" s="132" t="s">
        <v>485</v>
      </c>
      <c r="C43" s="68">
        <f ca="1">W191</f>
        <v>103467740.55853662</v>
      </c>
      <c r="D43" s="10"/>
      <c r="E43" s="67"/>
      <c r="F43" s="92"/>
      <c r="G43" s="67"/>
      <c r="H43" s="67">
        <f ca="1">MAX(H184+H202+H203-H39-H42-H53-H60-G253,0)</f>
        <v>0</v>
      </c>
      <c r="I43" s="67">
        <f ca="1">MAX(I184+I202+I203+I214-I39-I42-I53-I60-H253,0)</f>
        <v>40492301.762506872</v>
      </c>
      <c r="J43" s="67">
        <f ca="1">MAX(J184+J202+J203+J214-J39-J42-J53-J60-I253,0)</f>
        <v>40147793.70280993</v>
      </c>
      <c r="K43" s="67">
        <f ca="1">MAX(K184+K202+K203-K39-K42-K53-K60-J253,0)</f>
        <v>0</v>
      </c>
      <c r="L43" s="67">
        <f ca="1">MAX(L184+L202+L203-L39-L42-L53-L60-K253,0)</f>
        <v>0</v>
      </c>
      <c r="M43" s="67"/>
      <c r="N43" s="67"/>
      <c r="O43" s="67"/>
      <c r="P43" s="67"/>
      <c r="Q43" s="67"/>
      <c r="R43" s="67"/>
      <c r="S43" s="67"/>
      <c r="T43" s="67">
        <f ca="1">SUM(G43:R43)</f>
        <v>80640095.465316802</v>
      </c>
    </row>
    <row r="44" spans="2:20" x14ac:dyDescent="0.2">
      <c r="B44" s="676" t="s">
        <v>487</v>
      </c>
      <c r="C44" s="321"/>
      <c r="D44" s="27"/>
      <c r="E44" s="77"/>
      <c r="F44" s="77"/>
      <c r="G44" s="77"/>
      <c r="H44" s="77">
        <f ca="1">SUM(H189:H190)</f>
        <v>0</v>
      </c>
      <c r="I44" s="77">
        <f t="shared" ref="I44:J44" ca="1" si="15">SUM(I189:I190)</f>
        <v>8480447.1310496069</v>
      </c>
      <c r="J44" s="77">
        <f t="shared" ca="1" si="15"/>
        <v>10694465.111563968</v>
      </c>
      <c r="K44" s="77">
        <f ca="1">C43-SUM(H43:J44)</f>
        <v>3652732.8506062478</v>
      </c>
      <c r="L44" s="77"/>
      <c r="M44" s="77"/>
      <c r="N44" s="77"/>
      <c r="O44" s="77"/>
      <c r="P44" s="77"/>
      <c r="Q44" s="77"/>
      <c r="R44" s="77"/>
      <c r="S44" s="77"/>
      <c r="T44" s="77">
        <f ca="1">SUM(G44:R44)</f>
        <v>22827645.093219824</v>
      </c>
    </row>
    <row r="45" spans="2:20" x14ac:dyDescent="0.2">
      <c r="B45" t="s">
        <v>267</v>
      </c>
      <c r="C45" s="68"/>
      <c r="D45" s="10"/>
      <c r="E45" s="67"/>
      <c r="F45" s="92"/>
      <c r="G45" s="67">
        <f t="shared" ref="G45:T45" si="16">SUM(G42:G44)</f>
        <v>0</v>
      </c>
      <c r="H45" s="67">
        <f t="shared" ca="1" si="16"/>
        <v>15279533.258128751</v>
      </c>
      <c r="I45" s="67">
        <f t="shared" ca="1" si="16"/>
        <v>62493215.635427728</v>
      </c>
      <c r="J45" s="67">
        <f t="shared" ca="1" si="16"/>
        <v>50842258.814373896</v>
      </c>
      <c r="K45" s="67">
        <f t="shared" ca="1" si="16"/>
        <v>3652732.8506062478</v>
      </c>
      <c r="L45" s="67">
        <f t="shared" ca="1" si="16"/>
        <v>0</v>
      </c>
      <c r="M45" s="67">
        <f t="shared" si="16"/>
        <v>0</v>
      </c>
      <c r="N45" s="67">
        <f t="shared" si="16"/>
        <v>0</v>
      </c>
      <c r="O45" s="67">
        <f t="shared" si="16"/>
        <v>0</v>
      </c>
      <c r="P45" s="67">
        <f t="shared" si="16"/>
        <v>0</v>
      </c>
      <c r="Q45" s="67">
        <f t="shared" si="16"/>
        <v>0</v>
      </c>
      <c r="R45" s="67">
        <f t="shared" si="16"/>
        <v>0</v>
      </c>
      <c r="S45" s="67">
        <f t="shared" si="16"/>
        <v>0</v>
      </c>
      <c r="T45" s="67">
        <f t="shared" ca="1" si="16"/>
        <v>132267740.55853662</v>
      </c>
    </row>
    <row r="46" spans="2:20" x14ac:dyDescent="0.2">
      <c r="B46" s="132"/>
      <c r="C46" s="15"/>
      <c r="D46" s="10"/>
      <c r="E46" s="67"/>
      <c r="F46" s="92"/>
      <c r="G46" s="67"/>
      <c r="H46" s="71"/>
      <c r="I46" s="71"/>
      <c r="J46" s="71"/>
      <c r="K46" s="71"/>
      <c r="L46" s="71"/>
      <c r="M46" s="71"/>
      <c r="N46" s="71"/>
      <c r="O46" s="67"/>
      <c r="P46" s="67"/>
      <c r="Q46" s="67"/>
      <c r="R46" s="67"/>
      <c r="S46" s="67"/>
      <c r="T46" s="23"/>
    </row>
    <row r="47" spans="2:20" outlineLevel="1" x14ac:dyDescent="0.2">
      <c r="B47" s="81" t="s">
        <v>619</v>
      </c>
      <c r="G47" s="694"/>
      <c r="H47" s="694"/>
      <c r="I47" s="694"/>
      <c r="J47" s="694"/>
      <c r="K47" s="694"/>
      <c r="L47" s="694"/>
      <c r="M47" s="694"/>
      <c r="N47" s="694"/>
      <c r="T47" s="61"/>
    </row>
    <row r="48" spans="2:20" outlineLevel="1" x14ac:dyDescent="0.2">
      <c r="B48" s="132" t="s">
        <v>620</v>
      </c>
      <c r="C48" s="169"/>
      <c r="D48" s="16"/>
      <c r="E48" s="32"/>
      <c r="F48" s="91"/>
      <c r="G48" s="67"/>
      <c r="H48" s="67" cm="1">
        <f t="array" aca="1" ref="H48" ca="1">INDEX('A+H Annual CF'!$C$54:$Y$54,0,MATCH(H3,'A+H Annual CF'!$C$4:$Y$4,0))</f>
        <v>0</v>
      </c>
      <c r="I48" s="67" cm="1">
        <f t="array" aca="1" ref="I48" ca="1">INDEX('A+H Annual CF'!$C$54:$Y$54,0,MATCH(I4,'A+H Annual CF'!$C$5:$Y$5,0))</f>
        <v>1004101.0160000001</v>
      </c>
      <c r="J48" s="67" cm="1">
        <f t="array" aca="1" ref="J48" ca="1">INDEX('A+H Annual CF'!$C$54:$Y$54,0,MATCH(J4,'A+H Annual CF'!$C$5:$Y$5,0))</f>
        <v>2000192.1075825999</v>
      </c>
      <c r="K48" s="67" cm="1">
        <f t="array" aca="1" ref="K48" ca="1">INDEX('A+H Annual CF'!$C$54:$Y$54,0,MATCH(K4,'A+H Annual CF'!$C$5:$Y$5,0))</f>
        <v>4885033.9687321</v>
      </c>
      <c r="L48" s="67" cm="1">
        <f t="array" aca="1" ref="L48" ca="1">INDEX('A+H Annual CF'!$C$54:$Y$54,0,MATCH(L4,'A+H Annual CF'!$C$5:$Y$5,0))</f>
        <v>5047494.0140163293</v>
      </c>
      <c r="M48" s="67" cm="1">
        <f t="array" aca="1" ref="M48" ca="1">INDEX('A+H Annual CF'!$C$54:$Y$54,0,MATCH(M4,'A+H Annual CF'!$C$5:$Y$5,0))</f>
        <v>5200868.8344368208</v>
      </c>
      <c r="N48" s="67" cm="1">
        <f t="array" aca="1" ref="N48" ca="1">INDEX('A+H Annual CF'!$C$54:$Y$54,0,MATCH(N4,'A+H Annual CF'!$C$5:$Y$5,0))</f>
        <v>5367492.0703775631</v>
      </c>
      <c r="O48" s="67"/>
      <c r="P48" s="67"/>
      <c r="Q48" s="67"/>
      <c r="R48" s="67"/>
      <c r="S48" s="67"/>
      <c r="T48" s="12">
        <f ca="1">SUM(G48:R48)</f>
        <v>23505182.011145409</v>
      </c>
    </row>
    <row r="49" spans="1:20" outlineLevel="1" x14ac:dyDescent="0.2">
      <c r="B49" s="170" t="s">
        <v>621</v>
      </c>
      <c r="C49" s="169"/>
      <c r="D49" s="16"/>
      <c r="E49" s="16"/>
      <c r="F49" s="16"/>
      <c r="G49" s="171"/>
      <c r="H49" s="171">
        <v>-0.5</v>
      </c>
      <c r="I49" s="171">
        <v>-0.5</v>
      </c>
      <c r="J49" s="171">
        <v>-0.25</v>
      </c>
      <c r="K49" s="171">
        <v>0</v>
      </c>
      <c r="L49" s="171">
        <v>0</v>
      </c>
      <c r="M49" s="171">
        <v>0</v>
      </c>
      <c r="N49" s="171">
        <v>0</v>
      </c>
      <c r="O49" s="171">
        <v>0</v>
      </c>
      <c r="P49" s="172"/>
      <c r="Q49" s="172"/>
      <c r="R49" s="172"/>
      <c r="S49" s="172"/>
      <c r="T49" s="12"/>
    </row>
    <row r="50" spans="1:20" outlineLevel="1" x14ac:dyDescent="0.2">
      <c r="B50" s="132" t="s">
        <v>622</v>
      </c>
      <c r="C50" s="15"/>
      <c r="D50" s="16"/>
      <c r="E50" s="32"/>
      <c r="F50" s="91"/>
      <c r="G50" s="67">
        <f t="shared" ref="G50:N50" si="17">G48*(1+G49)</f>
        <v>0</v>
      </c>
      <c r="H50" s="67">
        <f t="shared" ca="1" si="17"/>
        <v>0</v>
      </c>
      <c r="I50" s="67">
        <f t="shared" ca="1" si="17"/>
        <v>502050.50800000003</v>
      </c>
      <c r="J50" s="67">
        <f t="shared" ca="1" si="17"/>
        <v>1500144.0806869499</v>
      </c>
      <c r="K50" s="67">
        <f t="shared" ca="1" si="17"/>
        <v>4885033.9687321</v>
      </c>
      <c r="L50" s="67">
        <f t="shared" ca="1" si="17"/>
        <v>5047494.0140163293</v>
      </c>
      <c r="M50" s="67">
        <f t="shared" ca="1" si="17"/>
        <v>5200868.8344368208</v>
      </c>
      <c r="N50" s="67">
        <f t="shared" ca="1" si="17"/>
        <v>5367492.0703775631</v>
      </c>
      <c r="O50" s="67">
        <f t="shared" ref="O50" si="18">O48*(1+O49)</f>
        <v>0</v>
      </c>
      <c r="P50" s="67"/>
      <c r="Q50" s="67"/>
      <c r="R50" s="67"/>
      <c r="S50" s="32"/>
      <c r="T50" s="12">
        <f ca="1">SUM(G50:R50)</f>
        <v>22503083.476249766</v>
      </c>
    </row>
    <row r="51" spans="1:20" outlineLevel="1" x14ac:dyDescent="0.2">
      <c r="B51" s="163" t="s">
        <v>623</v>
      </c>
      <c r="C51" s="48"/>
      <c r="D51" s="11"/>
      <c r="E51" s="11"/>
      <c r="F51" s="11"/>
      <c r="G51" s="16"/>
      <c r="H51" s="16">
        <v>0</v>
      </c>
      <c r="I51" s="16">
        <v>5</v>
      </c>
      <c r="J51" s="16">
        <v>10</v>
      </c>
      <c r="K51" s="16">
        <v>20</v>
      </c>
      <c r="L51" s="16">
        <v>40</v>
      </c>
      <c r="M51" s="16">
        <v>60</v>
      </c>
      <c r="N51" s="16">
        <v>60</v>
      </c>
      <c r="O51" s="16">
        <v>60</v>
      </c>
      <c r="P51" s="16"/>
      <c r="Q51" s="16"/>
      <c r="R51" s="16"/>
      <c r="S51" s="11"/>
      <c r="T51" s="11"/>
    </row>
    <row r="52" spans="1:20" outlineLevel="1" x14ac:dyDescent="0.2">
      <c r="B52" s="168" t="s">
        <v>624</v>
      </c>
      <c r="C52" s="321">
        <v>35000</v>
      </c>
      <c r="D52" s="322" t="s">
        <v>625</v>
      </c>
      <c r="E52" s="22"/>
      <c r="F52" s="22"/>
      <c r="G52" s="22"/>
      <c r="H52" s="22">
        <f>IF(H3&lt;=Assumptions!$C$30,$C$52*H51,0)</f>
        <v>0</v>
      </c>
      <c r="I52" s="22">
        <f>IF(I3&lt;=Assumptions!$C$30,$C$52*I51,0)</f>
        <v>175000</v>
      </c>
      <c r="J52" s="22">
        <f>IF(J3&lt;=Assumptions!$C$30,$C$52*(1+0.03*H3)*J51,0)</f>
        <v>360500</v>
      </c>
      <c r="K52" s="22">
        <f>IF(K3&lt;=Assumptions!$C$30,$C$52*(1+0.03*I3)*K51,0)</f>
        <v>742000</v>
      </c>
      <c r="L52" s="22">
        <f>IF(L3&lt;=Assumptions!$C$30,$C$52*(1+0.03*J3)*L51,0)</f>
        <v>1526000</v>
      </c>
      <c r="M52" s="22">
        <f>IF(M3&lt;=Assumptions!$C$30,$C$52*(1+0.03*K3)*M51,0)</f>
        <v>2352000.0000000005</v>
      </c>
      <c r="N52" s="22">
        <f>IF(N3&lt;=Assumptions!$C$30,$C$52*(1+0.03*L3)*N51,0)</f>
        <v>2415000</v>
      </c>
      <c r="O52" s="22">
        <f>IF(O3&lt;=Assumptions!$C$30,$C$52*O51,0)</f>
        <v>0</v>
      </c>
      <c r="P52" s="22"/>
      <c r="Q52" s="22"/>
      <c r="R52" s="22"/>
      <c r="S52" s="22"/>
      <c r="T52" s="21">
        <f>SUM(G52:R52)</f>
        <v>7570500</v>
      </c>
    </row>
    <row r="53" spans="1:20" s="3" customFormat="1" x14ac:dyDescent="0.2">
      <c r="A53" s="55"/>
      <c r="B53" s="3" t="s">
        <v>626</v>
      </c>
      <c r="C53" s="31"/>
      <c r="D53" s="24"/>
      <c r="E53" s="24"/>
      <c r="F53" s="24"/>
      <c r="G53" s="24">
        <f t="shared" ref="G53:R53" si="19">G50+G52</f>
        <v>0</v>
      </c>
      <c r="H53" s="24">
        <f t="shared" ca="1" si="19"/>
        <v>0</v>
      </c>
      <c r="I53" s="24">
        <f t="shared" ca="1" si="19"/>
        <v>677050.50800000003</v>
      </c>
      <c r="J53" s="24">
        <f t="shared" ca="1" si="19"/>
        <v>1860644.0806869499</v>
      </c>
      <c r="K53" s="24">
        <f t="shared" ca="1" si="19"/>
        <v>5627033.9687321</v>
      </c>
      <c r="L53" s="24">
        <f t="shared" ca="1" si="19"/>
        <v>6573494.0140163293</v>
      </c>
      <c r="M53" s="24">
        <f t="shared" ca="1" si="19"/>
        <v>7552868.8344368208</v>
      </c>
      <c r="N53" s="24">
        <f t="shared" ca="1" si="19"/>
        <v>7782492.0703775631</v>
      </c>
      <c r="O53" s="24">
        <f t="shared" ref="O53" si="20">O50+O52</f>
        <v>0</v>
      </c>
      <c r="P53" s="24">
        <f t="shared" si="19"/>
        <v>0</v>
      </c>
      <c r="Q53" s="24">
        <f t="shared" si="19"/>
        <v>0</v>
      </c>
      <c r="R53" s="24">
        <f t="shared" si="19"/>
        <v>0</v>
      </c>
      <c r="S53" s="24"/>
      <c r="T53" s="66">
        <f ca="1">SUM(G53:R53)</f>
        <v>30073583.476249766</v>
      </c>
    </row>
    <row r="54" spans="1:20" x14ac:dyDescent="0.2">
      <c r="C54" s="14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47"/>
    </row>
    <row r="55" spans="1:20" outlineLevel="1" x14ac:dyDescent="0.2">
      <c r="B55" s="81" t="s">
        <v>276</v>
      </c>
      <c r="C55" s="14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33"/>
      <c r="O55" s="11"/>
      <c r="P55" s="11"/>
      <c r="Q55" s="11"/>
      <c r="R55" s="11"/>
      <c r="S55" s="11"/>
      <c r="T55" s="47"/>
    </row>
    <row r="56" spans="1:20" outlineLevel="1" x14ac:dyDescent="0.2">
      <c r="B56" s="170" t="s">
        <v>627</v>
      </c>
      <c r="C56" s="14"/>
      <c r="D56" s="11"/>
      <c r="E56" s="11"/>
      <c r="F56" s="11"/>
      <c r="G56" s="11">
        <f t="shared" ref="G56:R56" si="21">$C6*G24*G16</f>
        <v>0</v>
      </c>
      <c r="H56" s="11">
        <f t="shared" si="21"/>
        <v>0</v>
      </c>
      <c r="I56" s="11">
        <f t="shared" si="21"/>
        <v>0</v>
      </c>
      <c r="J56" s="11">
        <f t="shared" si="21"/>
        <v>0</v>
      </c>
      <c r="K56" s="11">
        <f t="shared" si="21"/>
        <v>0</v>
      </c>
      <c r="L56" s="11">
        <f t="shared" si="21"/>
        <v>0</v>
      </c>
      <c r="M56" s="11">
        <f t="shared" si="21"/>
        <v>0</v>
      </c>
      <c r="N56" s="11">
        <f t="shared" si="21"/>
        <v>0</v>
      </c>
      <c r="O56" s="11">
        <f t="shared" si="21"/>
        <v>0</v>
      </c>
      <c r="P56" s="11">
        <f t="shared" si="21"/>
        <v>0</v>
      </c>
      <c r="Q56" s="11">
        <f t="shared" si="21"/>
        <v>0</v>
      </c>
      <c r="R56" s="11">
        <f t="shared" si="21"/>
        <v>0</v>
      </c>
      <c r="S56" s="11"/>
      <c r="T56" s="12">
        <f>SUM(G56:R56)</f>
        <v>0</v>
      </c>
    </row>
    <row r="57" spans="1:20" outlineLevel="1" x14ac:dyDescent="0.2">
      <c r="B57" s="170" t="s">
        <v>628</v>
      </c>
      <c r="C57" s="14"/>
      <c r="D57" s="11"/>
      <c r="E57" s="11"/>
      <c r="F57" s="11"/>
      <c r="G57" s="11">
        <f t="shared" ref="G57:R57" si="22">$C7*G25*G17</f>
        <v>0</v>
      </c>
      <c r="H57" s="11">
        <f t="shared" si="22"/>
        <v>0</v>
      </c>
      <c r="I57" s="11">
        <f t="shared" si="22"/>
        <v>0</v>
      </c>
      <c r="J57" s="11">
        <f t="shared" si="22"/>
        <v>14437500</v>
      </c>
      <c r="K57" s="11">
        <f t="shared" si="22"/>
        <v>15881250.000000004</v>
      </c>
      <c r="L57" s="11">
        <f t="shared" si="22"/>
        <v>17469375.000000004</v>
      </c>
      <c r="M57" s="11">
        <f t="shared" si="22"/>
        <v>0</v>
      </c>
      <c r="N57" s="11">
        <f t="shared" si="22"/>
        <v>0</v>
      </c>
      <c r="O57" s="11">
        <f t="shared" si="22"/>
        <v>0</v>
      </c>
      <c r="P57" s="11">
        <f t="shared" si="22"/>
        <v>0</v>
      </c>
      <c r="Q57" s="11">
        <f t="shared" si="22"/>
        <v>0</v>
      </c>
      <c r="R57" s="11">
        <f t="shared" si="22"/>
        <v>0</v>
      </c>
      <c r="S57" s="11"/>
      <c r="T57" s="12">
        <f>SUM(G57:R57)</f>
        <v>47788125.000000007</v>
      </c>
    </row>
    <row r="58" spans="1:20" outlineLevel="1" x14ac:dyDescent="0.2">
      <c r="B58" s="170" t="s">
        <v>629</v>
      </c>
      <c r="C58" s="14"/>
      <c r="D58" s="11"/>
      <c r="E58" s="11"/>
      <c r="F58" s="11"/>
      <c r="G58" s="11">
        <f t="shared" ref="G58:R58" si="23">$C8*G26*G18</f>
        <v>0</v>
      </c>
      <c r="H58" s="11">
        <f t="shared" si="23"/>
        <v>0</v>
      </c>
      <c r="I58" s="11">
        <f t="shared" si="23"/>
        <v>0</v>
      </c>
      <c r="J58" s="11">
        <f t="shared" si="23"/>
        <v>0</v>
      </c>
      <c r="K58" s="11">
        <f t="shared" si="23"/>
        <v>41250000</v>
      </c>
      <c r="L58" s="11">
        <f t="shared" si="23"/>
        <v>45375000.000000007</v>
      </c>
      <c r="M58" s="11">
        <f t="shared" si="23"/>
        <v>0</v>
      </c>
      <c r="N58" s="11">
        <f t="shared" si="23"/>
        <v>0</v>
      </c>
      <c r="O58" s="11">
        <f t="shared" si="23"/>
        <v>0</v>
      </c>
      <c r="P58" s="11">
        <f t="shared" si="23"/>
        <v>0</v>
      </c>
      <c r="Q58" s="11">
        <f t="shared" si="23"/>
        <v>0</v>
      </c>
      <c r="R58" s="11">
        <f t="shared" si="23"/>
        <v>0</v>
      </c>
      <c r="S58" s="11"/>
      <c r="T58" s="47">
        <f>SUM(G58:R58)</f>
        <v>86625000</v>
      </c>
    </row>
    <row r="59" spans="1:20" outlineLevel="1" x14ac:dyDescent="0.2">
      <c r="B59" s="268" t="s">
        <v>630</v>
      </c>
      <c r="C59" s="327"/>
      <c r="D59" s="22"/>
      <c r="E59" s="22"/>
      <c r="F59" s="22"/>
      <c r="G59" s="22">
        <f t="shared" ref="G59:R59" si="24">$C9*G27*G19</f>
        <v>0</v>
      </c>
      <c r="H59" s="22">
        <f t="shared" si="24"/>
        <v>0</v>
      </c>
      <c r="I59" s="22">
        <f t="shared" si="24"/>
        <v>0</v>
      </c>
      <c r="J59" s="22">
        <f t="shared" si="24"/>
        <v>0</v>
      </c>
      <c r="K59" s="22">
        <f t="shared" si="24"/>
        <v>0</v>
      </c>
      <c r="L59" s="22">
        <f t="shared" si="24"/>
        <v>0</v>
      </c>
      <c r="M59" s="22">
        <f t="shared" si="24"/>
        <v>0</v>
      </c>
      <c r="N59" s="22">
        <f t="shared" si="24"/>
        <v>0</v>
      </c>
      <c r="O59" s="22">
        <f t="shared" si="24"/>
        <v>0</v>
      </c>
      <c r="P59" s="22">
        <f t="shared" si="24"/>
        <v>0</v>
      </c>
      <c r="Q59" s="22">
        <f t="shared" si="24"/>
        <v>0</v>
      </c>
      <c r="R59" s="22">
        <f t="shared" si="24"/>
        <v>0</v>
      </c>
      <c r="S59" s="22"/>
      <c r="T59" s="21">
        <f>SUM(G59:R59)</f>
        <v>0</v>
      </c>
    </row>
    <row r="60" spans="1:20" s="3" customFormat="1" x14ac:dyDescent="0.2">
      <c r="A60" s="55"/>
      <c r="B60" s="334" t="s">
        <v>631</v>
      </c>
      <c r="C60" s="31"/>
      <c r="D60" s="24"/>
      <c r="E60" s="24"/>
      <c r="F60" s="24"/>
      <c r="G60" s="24">
        <f>SUM(G56:G59)</f>
        <v>0</v>
      </c>
      <c r="H60" s="24">
        <f t="shared" ref="H60:R60" si="25">SUM(H56:H59)</f>
        <v>0</v>
      </c>
      <c r="I60" s="24">
        <f t="shared" si="25"/>
        <v>0</v>
      </c>
      <c r="J60" s="24">
        <f t="shared" si="25"/>
        <v>14437500</v>
      </c>
      <c r="K60" s="24">
        <f t="shared" si="25"/>
        <v>57131250</v>
      </c>
      <c r="L60" s="24">
        <f t="shared" si="25"/>
        <v>62844375.000000015</v>
      </c>
      <c r="M60" s="24">
        <f t="shared" si="25"/>
        <v>0</v>
      </c>
      <c r="N60" s="24">
        <f t="shared" si="25"/>
        <v>0</v>
      </c>
      <c r="O60" s="24">
        <f t="shared" si="25"/>
        <v>0</v>
      </c>
      <c r="P60" s="24">
        <f t="shared" si="25"/>
        <v>0</v>
      </c>
      <c r="Q60" s="24">
        <f t="shared" si="25"/>
        <v>0</v>
      </c>
      <c r="R60" s="24">
        <f t="shared" si="25"/>
        <v>0</v>
      </c>
      <c r="S60" s="24"/>
      <c r="T60" s="66">
        <f>SUM(G60:R60)</f>
        <v>134413125</v>
      </c>
    </row>
    <row r="61" spans="1:20" x14ac:dyDescent="0.2">
      <c r="B61" s="3"/>
      <c r="C61" s="31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66"/>
    </row>
    <row r="62" spans="1:20" outlineLevel="1" x14ac:dyDescent="0.2">
      <c r="B62" s="81" t="s">
        <v>632</v>
      </c>
      <c r="S62" s="108"/>
    </row>
    <row r="63" spans="1:20" outlineLevel="1" x14ac:dyDescent="0.2">
      <c r="B63" s="162" t="s">
        <v>633</v>
      </c>
      <c r="C63" s="40">
        <f>Assumptions!C31</f>
        <v>6.5000000000000002E-2</v>
      </c>
      <c r="D63" t="s">
        <v>68</v>
      </c>
      <c r="G63" s="11"/>
      <c r="H63" s="11">
        <f t="shared" ref="H63:Q63" ca="1" si="26">H53/$C$63</f>
        <v>0</v>
      </c>
      <c r="I63" s="11">
        <f t="shared" ca="1" si="26"/>
        <v>10416161.661538461</v>
      </c>
      <c r="J63" s="11">
        <f t="shared" ca="1" si="26"/>
        <v>28625293.549029998</v>
      </c>
      <c r="K63" s="11">
        <f t="shared" ca="1" si="26"/>
        <v>86569753.36510922</v>
      </c>
      <c r="L63" s="11">
        <f t="shared" ca="1" si="26"/>
        <v>101130677.13871275</v>
      </c>
      <c r="M63" s="11">
        <f t="shared" ca="1" si="26"/>
        <v>116197982.06825878</v>
      </c>
      <c r="N63" s="11">
        <f t="shared" ca="1" si="26"/>
        <v>119730647.23657788</v>
      </c>
      <c r="O63" s="11">
        <f t="shared" si="26"/>
        <v>0</v>
      </c>
      <c r="P63" s="11">
        <f t="shared" si="26"/>
        <v>0</v>
      </c>
      <c r="Q63" s="11">
        <f t="shared" si="26"/>
        <v>0</v>
      </c>
      <c r="R63" s="11">
        <f>R53/$C$63</f>
        <v>0</v>
      </c>
    </row>
    <row r="64" spans="1:20" outlineLevel="1" x14ac:dyDescent="0.2">
      <c r="B64" s="323"/>
      <c r="C64" s="509"/>
      <c r="D64" s="222"/>
      <c r="E64" s="222"/>
      <c r="F64" s="2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2"/>
      <c r="T64" s="222"/>
    </row>
    <row r="65" spans="1:23" s="3" customFormat="1" x14ac:dyDescent="0.2">
      <c r="A65" s="55"/>
      <c r="B65" s="26" t="s">
        <v>634</v>
      </c>
      <c r="G65" s="24"/>
      <c r="H65" s="24">
        <f>IF(H3=Assumptions!$C$30,H63-H64,0)</f>
        <v>0</v>
      </c>
      <c r="I65" s="24">
        <f>IF(I3=Assumptions!$C$30,I63-I64,0)</f>
        <v>0</v>
      </c>
      <c r="J65" s="24">
        <f>IF(J3=Assumptions!$C$30,J63-J64,0)</f>
        <v>0</v>
      </c>
      <c r="K65" s="24">
        <f>IF(K3=Assumptions!$C$30,K63-K64,0)</f>
        <v>0</v>
      </c>
      <c r="L65" s="24">
        <f>IF(L3=Assumptions!$C$30,L63-L64,0)</f>
        <v>0</v>
      </c>
      <c r="M65" s="24">
        <f>IF(M3=Assumptions!$C$30,M63-M64,0)</f>
        <v>0</v>
      </c>
      <c r="N65" s="24">
        <f ca="1">IF(N3=Assumptions!$C$30,N63-N64,0)</f>
        <v>119730647.23657788</v>
      </c>
      <c r="O65" s="24">
        <f>IF(O3=Assumptions!$C$30,O63-O64,0)</f>
        <v>0</v>
      </c>
      <c r="P65" s="24">
        <f>IF(P3=Assumptions!$C$30,P63-P64,0)</f>
        <v>0</v>
      </c>
      <c r="Q65" s="24">
        <f>IF(Q3=Assumptions!$C$30,Q63-Q64,0)</f>
        <v>0</v>
      </c>
      <c r="R65" s="24">
        <f>IF(R3=Assumptions!$C$30,R63-R64,0)</f>
        <v>0</v>
      </c>
      <c r="T65" s="66">
        <f ca="1">SUM(G65:R65)</f>
        <v>119730647.23657788</v>
      </c>
      <c r="V65" s="24">
        <f ca="1">T65+T60</f>
        <v>254143772.23657787</v>
      </c>
    </row>
    <row r="66" spans="1:23" x14ac:dyDescent="0.2">
      <c r="B66" s="162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</row>
    <row r="67" spans="1:23" x14ac:dyDescent="0.2">
      <c r="B67" s="26" t="s">
        <v>142</v>
      </c>
      <c r="C67" s="3"/>
      <c r="D67" s="3"/>
      <c r="E67" s="3"/>
      <c r="F67" s="3"/>
      <c r="G67" s="24">
        <f t="shared" ref="G67:R67" si="27">G39+G45+G53+G60+G65</f>
        <v>0</v>
      </c>
      <c r="H67" s="24">
        <f ca="1">H39+H45+H53+H60+H65</f>
        <v>15279533.258128751</v>
      </c>
      <c r="I67" s="24">
        <f ca="1">I39+I45+I53+I60+I65</f>
        <v>63170266.14342773</v>
      </c>
      <c r="J67" s="24">
        <f t="shared" ca="1" si="27"/>
        <v>67140402.895060837</v>
      </c>
      <c r="K67" s="24">
        <f t="shared" ca="1" si="27"/>
        <v>66411016.819338351</v>
      </c>
      <c r="L67" s="24">
        <f t="shared" ca="1" si="27"/>
        <v>69417869.014016345</v>
      </c>
      <c r="M67" s="24">
        <f t="shared" ca="1" si="27"/>
        <v>7552868.8344368208</v>
      </c>
      <c r="N67" s="24">
        <f t="shared" ca="1" si="27"/>
        <v>127513139.30695544</v>
      </c>
      <c r="O67" s="24">
        <f t="shared" si="27"/>
        <v>0</v>
      </c>
      <c r="P67" s="24">
        <f t="shared" si="27"/>
        <v>0</v>
      </c>
      <c r="Q67" s="24">
        <f t="shared" si="27"/>
        <v>0</v>
      </c>
      <c r="R67" s="24">
        <f t="shared" si="27"/>
        <v>0</v>
      </c>
      <c r="S67" s="3"/>
      <c r="T67" s="24">
        <f ca="1">SUM(G67:R67)</f>
        <v>416485096.27136433</v>
      </c>
      <c r="V67" s="111">
        <f ca="1">W191/W189</f>
        <v>0.78225983237950436</v>
      </c>
      <c r="W67" t="s">
        <v>262</v>
      </c>
    </row>
    <row r="68" spans="1:23" x14ac:dyDescent="0.2">
      <c r="B68" s="4"/>
    </row>
    <row r="69" spans="1:23" x14ac:dyDescent="0.2">
      <c r="B69" s="34" t="s">
        <v>143</v>
      </c>
      <c r="C69" s="161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</row>
    <row r="70" spans="1:23" x14ac:dyDescent="0.2">
      <c r="B70" s="81"/>
      <c r="G70" s="225"/>
      <c r="H70" s="225"/>
      <c r="I70" s="225"/>
      <c r="J70" s="225"/>
      <c r="K70" s="225"/>
      <c r="L70" s="225"/>
      <c r="M70" s="225"/>
      <c r="N70" s="225"/>
      <c r="O70" s="225"/>
      <c r="P70" s="225"/>
      <c r="Q70" s="225"/>
      <c r="R70" s="225"/>
      <c r="S70" s="225"/>
      <c r="T70" s="366"/>
    </row>
    <row r="71" spans="1:23" outlineLevel="1" x14ac:dyDescent="0.2">
      <c r="B71" s="162" t="s">
        <v>635</v>
      </c>
      <c r="C71" s="137"/>
      <c r="G71" s="225"/>
      <c r="H71" s="225"/>
      <c r="I71" s="225"/>
      <c r="J71" s="225"/>
      <c r="K71" s="225"/>
      <c r="L71" s="225"/>
      <c r="M71" s="225"/>
      <c r="N71" s="225"/>
      <c r="O71" s="225"/>
      <c r="P71" s="225"/>
      <c r="Q71" s="225"/>
      <c r="R71" s="225"/>
      <c r="S71" s="225"/>
      <c r="T71" s="366"/>
    </row>
    <row r="72" spans="1:23" outlineLevel="1" x14ac:dyDescent="0.2">
      <c r="B72" s="585" t="s">
        <v>494</v>
      </c>
      <c r="C72" s="90"/>
      <c r="D72" s="25"/>
      <c r="E72" s="61"/>
      <c r="G72" s="10" t="s">
        <v>636</v>
      </c>
      <c r="H72" s="12"/>
      <c r="I72" s="12">
        <f>'Proforma L+H'!G50</f>
        <v>15000000</v>
      </c>
      <c r="J72" s="12"/>
      <c r="K72" s="12"/>
      <c r="L72" s="12"/>
      <c r="M72" s="12"/>
      <c r="N72" s="12"/>
      <c r="O72" s="12"/>
      <c r="P72" s="12"/>
      <c r="Q72" s="12"/>
      <c r="R72" s="12"/>
      <c r="T72" s="368">
        <f>SUM(G72:R72)</f>
        <v>15000000</v>
      </c>
      <c r="V72" s="18">
        <f ca="1">T72/V65</f>
        <v>5.9021709908503167E-2</v>
      </c>
      <c r="W72" s="139"/>
    </row>
    <row r="73" spans="1:23" outlineLevel="1" x14ac:dyDescent="0.2">
      <c r="A73" s="224"/>
      <c r="B73" s="585" t="s">
        <v>495</v>
      </c>
      <c r="C73" s="90"/>
      <c r="E73" s="90">
        <v>0.02</v>
      </c>
      <c r="G73" s="10" t="s">
        <v>636</v>
      </c>
      <c r="H73" s="225"/>
      <c r="I73" s="225"/>
      <c r="J73" s="225"/>
      <c r="K73" s="225"/>
      <c r="L73" s="225"/>
      <c r="M73" s="225"/>
      <c r="N73" s="225"/>
      <c r="O73" s="225"/>
      <c r="P73" s="225"/>
      <c r="Q73" s="225"/>
      <c r="R73" s="12"/>
      <c r="T73" s="368">
        <f t="shared" ref="T73:T74" si="28">SUM(G73:R73)</f>
        <v>0</v>
      </c>
      <c r="V73" s="70"/>
      <c r="W73" s="139"/>
    </row>
    <row r="74" spans="1:23" outlineLevel="1" x14ac:dyDescent="0.2">
      <c r="A74" s="224"/>
      <c r="B74" s="585" t="s">
        <v>496</v>
      </c>
      <c r="C74" s="90"/>
      <c r="E74" s="102">
        <v>1.5E-3</v>
      </c>
      <c r="F74" s="225"/>
      <c r="G74" s="225"/>
      <c r="H74" s="225"/>
      <c r="I74" s="225"/>
      <c r="J74" s="225"/>
      <c r="K74" s="225"/>
      <c r="L74" s="225"/>
      <c r="M74" s="225"/>
      <c r="N74" s="225"/>
      <c r="O74" s="225"/>
      <c r="P74" s="225"/>
      <c r="Q74" s="225"/>
      <c r="R74" s="12"/>
      <c r="T74" s="368">
        <f t="shared" si="28"/>
        <v>0</v>
      </c>
      <c r="V74" s="70"/>
      <c r="W74" s="139"/>
    </row>
    <row r="75" spans="1:23" s="3" customFormat="1" x14ac:dyDescent="0.2">
      <c r="A75" s="55"/>
      <c r="B75" s="85" t="s">
        <v>637</v>
      </c>
      <c r="C75" s="49"/>
      <c r="D75" s="49"/>
      <c r="E75" s="49"/>
      <c r="G75" s="369"/>
      <c r="H75" s="369">
        <f>H72+H73</f>
        <v>0</v>
      </c>
      <c r="I75" s="369">
        <f>I72+I73</f>
        <v>15000000</v>
      </c>
      <c r="J75" s="369">
        <f t="shared" ref="J75:R75" si="29">J72+J73</f>
        <v>0</v>
      </c>
      <c r="K75" s="369">
        <f t="shared" si="29"/>
        <v>0</v>
      </c>
      <c r="L75" s="369">
        <f t="shared" si="29"/>
        <v>0</v>
      </c>
      <c r="M75" s="369">
        <f t="shared" si="29"/>
        <v>0</v>
      </c>
      <c r="N75" s="369">
        <f t="shared" si="29"/>
        <v>0</v>
      </c>
      <c r="O75" s="369">
        <f t="shared" si="29"/>
        <v>0</v>
      </c>
      <c r="P75" s="369">
        <f t="shared" si="29"/>
        <v>0</v>
      </c>
      <c r="Q75" s="369">
        <f t="shared" si="29"/>
        <v>0</v>
      </c>
      <c r="R75" s="369">
        <f t="shared" si="29"/>
        <v>0</v>
      </c>
      <c r="S75" s="369"/>
      <c r="T75" s="369">
        <f>SUM(G75:R75)</f>
        <v>15000000</v>
      </c>
      <c r="V75" s="63">
        <f ca="1">T75/V65</f>
        <v>5.9021709908503167E-2</v>
      </c>
      <c r="W75" s="216" t="s">
        <v>638</v>
      </c>
    </row>
    <row r="76" spans="1:23" x14ac:dyDescent="0.2">
      <c r="B76" s="4"/>
      <c r="E76" s="73"/>
      <c r="G76" s="225"/>
      <c r="H76" s="225"/>
      <c r="I76" s="225"/>
      <c r="J76" s="225"/>
      <c r="K76" s="225"/>
      <c r="L76" s="225"/>
      <c r="M76" s="225"/>
      <c r="N76" s="225"/>
      <c r="O76" s="225"/>
      <c r="P76" s="225"/>
      <c r="Q76" s="225"/>
      <c r="R76" s="225"/>
      <c r="S76" s="225"/>
      <c r="T76" s="366"/>
    </row>
    <row r="77" spans="1:23" ht="16.25" customHeight="1" outlineLevel="1" x14ac:dyDescent="0.2">
      <c r="B77" s="387" t="s">
        <v>639</v>
      </c>
      <c r="C77" s="388" t="s">
        <v>409</v>
      </c>
      <c r="D77" s="388" t="s">
        <v>640</v>
      </c>
      <c r="E77" s="388" t="s">
        <v>136</v>
      </c>
      <c r="F77" s="112"/>
      <c r="G77" s="370"/>
      <c r="H77" s="225"/>
      <c r="I77" s="225"/>
      <c r="J77" s="225"/>
      <c r="K77" s="225"/>
      <c r="L77" s="225"/>
      <c r="M77" s="225"/>
      <c r="N77" s="225"/>
      <c r="O77" s="225"/>
      <c r="P77" s="225"/>
      <c r="Q77" s="225"/>
      <c r="R77" s="225"/>
      <c r="S77" s="225"/>
      <c r="T77" s="366"/>
    </row>
    <row r="78" spans="1:23" outlineLevel="1" x14ac:dyDescent="0.2">
      <c r="B78" s="387" t="s">
        <v>641</v>
      </c>
      <c r="C78" s="78"/>
      <c r="D78" s="78"/>
      <c r="E78" s="120"/>
      <c r="F78" s="119"/>
      <c r="G78" s="371"/>
      <c r="H78" s="368"/>
      <c r="I78" s="368"/>
      <c r="J78" s="368"/>
      <c r="K78" s="368"/>
      <c r="L78" s="368"/>
      <c r="M78" s="368"/>
      <c r="N78" s="368"/>
      <c r="O78" s="368"/>
      <c r="P78" s="368"/>
      <c r="Q78" s="368"/>
      <c r="R78" s="368"/>
      <c r="S78" s="368"/>
      <c r="T78" s="368"/>
    </row>
    <row r="79" spans="1:23" outlineLevel="1" x14ac:dyDescent="0.2">
      <c r="B79" s="163" t="s">
        <v>642</v>
      </c>
      <c r="C79" s="78">
        <v>1</v>
      </c>
      <c r="D79" s="78">
        <v>5000</v>
      </c>
      <c r="E79" s="120">
        <v>1000</v>
      </c>
      <c r="F79" s="119"/>
      <c r="H79" s="368">
        <f t="shared" ref="H79:I79" si="30">$E79*$D79/2</f>
        <v>2500000</v>
      </c>
      <c r="I79" s="368">
        <f t="shared" si="30"/>
        <v>2500000</v>
      </c>
      <c r="J79" s="368"/>
      <c r="M79" s="368"/>
      <c r="N79" s="368"/>
      <c r="O79" s="368"/>
      <c r="P79" s="368"/>
      <c r="Q79" s="368"/>
      <c r="R79" s="368"/>
      <c r="S79" s="368"/>
      <c r="T79" s="368">
        <f>SUM(H79:R79)</f>
        <v>5000000</v>
      </c>
    </row>
    <row r="80" spans="1:23" outlineLevel="1" x14ac:dyDescent="0.2">
      <c r="B80" s="634" t="s">
        <v>643</v>
      </c>
      <c r="C80" s="78">
        <v>1</v>
      </c>
      <c r="D80" s="78">
        <v>3000</v>
      </c>
      <c r="E80" s="120">
        <v>250</v>
      </c>
      <c r="F80" s="119"/>
      <c r="H80" s="368">
        <f>$E80*$D80/2</f>
        <v>375000</v>
      </c>
      <c r="I80" s="368">
        <f>H80</f>
        <v>375000</v>
      </c>
      <c r="M80" s="368"/>
      <c r="N80" s="368"/>
      <c r="O80" s="368"/>
      <c r="P80" s="368"/>
      <c r="Q80" s="368"/>
      <c r="R80" s="368"/>
      <c r="S80" s="368"/>
      <c r="T80" s="368">
        <f t="shared" ref="T80:T85" si="31">SUM(H80:R80)</f>
        <v>750000</v>
      </c>
    </row>
    <row r="81" spans="1:23" outlineLevel="1" x14ac:dyDescent="0.2">
      <c r="B81" s="163" t="s">
        <v>644</v>
      </c>
      <c r="C81" s="78">
        <v>6</v>
      </c>
      <c r="D81" s="78">
        <f>C81*350</f>
        <v>2100</v>
      </c>
      <c r="E81" s="120">
        <v>500</v>
      </c>
      <c r="F81" s="119"/>
      <c r="H81" s="368">
        <f>$E81*$D81/2</f>
        <v>525000</v>
      </c>
      <c r="I81" s="368">
        <f>$E81*$D81/2</f>
        <v>525000</v>
      </c>
      <c r="J81" s="368"/>
      <c r="K81" s="368"/>
      <c r="M81" s="368"/>
      <c r="N81" s="368"/>
      <c r="O81" s="368"/>
      <c r="P81" s="368"/>
      <c r="Q81" s="368"/>
      <c r="R81" s="368"/>
      <c r="S81" s="368"/>
      <c r="T81" s="368">
        <f t="shared" si="31"/>
        <v>1050000</v>
      </c>
    </row>
    <row r="82" spans="1:23" outlineLevel="1" x14ac:dyDescent="0.2">
      <c r="B82" s="163" t="s">
        <v>645</v>
      </c>
      <c r="C82" s="78">
        <f>C81</f>
        <v>6</v>
      </c>
      <c r="D82" s="78">
        <f>C82*300</f>
        <v>1800</v>
      </c>
      <c r="E82" s="120">
        <v>500</v>
      </c>
      <c r="F82" s="119"/>
      <c r="H82" s="368">
        <f>$E82*$D82/2</f>
        <v>450000</v>
      </c>
      <c r="I82" s="368">
        <f>$E82*$D82/2</f>
        <v>450000</v>
      </c>
      <c r="J82" s="368"/>
      <c r="K82" s="368"/>
      <c r="M82" s="368"/>
      <c r="N82" s="368"/>
      <c r="O82" s="368"/>
      <c r="P82" s="368"/>
      <c r="Q82" s="368"/>
      <c r="R82" s="368"/>
      <c r="S82" s="368"/>
      <c r="T82" s="368">
        <f t="shared" si="31"/>
        <v>900000</v>
      </c>
    </row>
    <row r="83" spans="1:23" outlineLevel="1" x14ac:dyDescent="0.2">
      <c r="B83" s="163" t="s">
        <v>646</v>
      </c>
      <c r="C83" s="78">
        <v>3</v>
      </c>
      <c r="D83" s="78">
        <f>C83*1450</f>
        <v>4350</v>
      </c>
      <c r="E83" s="120">
        <v>250</v>
      </c>
      <c r="F83" s="119"/>
      <c r="H83" s="368">
        <f>$E83*$D83/2</f>
        <v>543750</v>
      </c>
      <c r="I83" s="368">
        <f>$E83*$D83/2</f>
        <v>543750</v>
      </c>
      <c r="J83" s="368"/>
      <c r="K83" s="368"/>
      <c r="L83" s="368"/>
      <c r="M83" s="368"/>
      <c r="N83" s="368"/>
      <c r="O83" s="368"/>
      <c r="P83" s="368"/>
      <c r="Q83" s="368"/>
      <c r="R83" s="368"/>
      <c r="S83" s="368"/>
      <c r="T83" s="368">
        <f t="shared" si="31"/>
        <v>1087500</v>
      </c>
    </row>
    <row r="84" spans="1:23" outlineLevel="1" x14ac:dyDescent="0.2">
      <c r="B84" s="163" t="s">
        <v>647</v>
      </c>
      <c r="C84" s="78">
        <v>1</v>
      </c>
      <c r="D84" s="78">
        <v>2000</v>
      </c>
      <c r="E84" s="422">
        <v>250</v>
      </c>
      <c r="F84" s="119"/>
      <c r="H84" s="368">
        <f>$E84*$D84/2</f>
        <v>250000</v>
      </c>
      <c r="I84" s="368">
        <f>H84</f>
        <v>250000</v>
      </c>
      <c r="J84" s="368"/>
      <c r="M84" s="368"/>
      <c r="N84" s="368"/>
      <c r="O84" s="368"/>
      <c r="P84" s="368"/>
      <c r="Q84" s="368"/>
      <c r="R84" s="368"/>
      <c r="S84" s="368"/>
      <c r="T84" s="368">
        <f t="shared" si="31"/>
        <v>500000</v>
      </c>
    </row>
    <row r="85" spans="1:23" outlineLevel="1" x14ac:dyDescent="0.2">
      <c r="B85" s="163" t="s">
        <v>648</v>
      </c>
      <c r="C85" s="108"/>
      <c r="D85" s="108">
        <f>D79+D80+D81+D82+D83+D84</f>
        <v>18250</v>
      </c>
      <c r="E85" s="483">
        <v>50</v>
      </c>
      <c r="F85" s="119"/>
      <c r="H85" s="368"/>
      <c r="I85" s="368">
        <f>($D85*$E85)*0.5</f>
        <v>456250</v>
      </c>
      <c r="J85" s="368">
        <f>($D85*$E85)*0.5</f>
        <v>456250</v>
      </c>
      <c r="K85" s="368"/>
      <c r="M85" s="368"/>
      <c r="N85" s="368"/>
      <c r="O85" s="368"/>
      <c r="P85" s="368"/>
      <c r="Q85" s="368"/>
      <c r="R85" s="368"/>
      <c r="S85" s="368"/>
      <c r="T85" s="368">
        <f t="shared" si="31"/>
        <v>912500</v>
      </c>
      <c r="W85" s="225">
        <f>T85</f>
        <v>912500</v>
      </c>
    </row>
    <row r="86" spans="1:23" s="3" customFormat="1" outlineLevel="1" x14ac:dyDescent="0.2">
      <c r="A86" s="55"/>
      <c r="B86" s="389" t="str">
        <f>B78</f>
        <v>Phase 1 - Amenity Build Out</v>
      </c>
      <c r="C86" s="107"/>
      <c r="D86" s="393">
        <f>SUM(D79:D84)</f>
        <v>18250</v>
      </c>
      <c r="E86" s="391"/>
      <c r="F86" s="392"/>
      <c r="G86" s="369">
        <f>SUM(G79:G85)</f>
        <v>0</v>
      </c>
      <c r="H86" s="369">
        <f>SUM(H79:H85)</f>
        <v>4643750</v>
      </c>
      <c r="I86" s="369">
        <f>SUM(I79:I85)</f>
        <v>5100000</v>
      </c>
      <c r="J86" s="369">
        <f>SUM(J79:J85)</f>
        <v>456250</v>
      </c>
      <c r="K86" s="369">
        <f t="shared" ref="K86" si="32">SUM(K79:K85)</f>
        <v>0</v>
      </c>
      <c r="L86" s="369">
        <f t="shared" ref="L86" si="33">SUM(L79:L85)</f>
        <v>0</v>
      </c>
      <c r="M86" s="369">
        <f t="shared" ref="M86" si="34">SUM(M79:M85)</f>
        <v>0</v>
      </c>
      <c r="N86" s="369">
        <f t="shared" ref="N86" si="35">SUM(N79:N85)</f>
        <v>0</v>
      </c>
      <c r="O86" s="369">
        <f t="shared" ref="O86" si="36">SUM(O79:O85)</f>
        <v>0</v>
      </c>
      <c r="P86" s="369">
        <f t="shared" ref="P86" si="37">SUM(P79:P85)</f>
        <v>0</v>
      </c>
      <c r="Q86" s="369">
        <f t="shared" ref="Q86" si="38">SUM(Q79:Q85)</f>
        <v>0</v>
      </c>
      <c r="R86" s="369">
        <f t="shared" ref="R86" si="39">SUM(R79:R85)</f>
        <v>0</v>
      </c>
      <c r="S86" s="373"/>
      <c r="T86" s="373">
        <f>SUM(G86:R86)</f>
        <v>10200000</v>
      </c>
      <c r="U86" s="423">
        <f>T86/D86</f>
        <v>558.90410958904113</v>
      </c>
      <c r="V86" s="424" t="s">
        <v>237</v>
      </c>
    </row>
    <row r="87" spans="1:23" outlineLevel="1" x14ac:dyDescent="0.2">
      <c r="B87" s="163"/>
      <c r="C87" s="108"/>
      <c r="D87" s="485"/>
      <c r="E87" s="483"/>
      <c r="F87" s="118"/>
      <c r="G87" s="372"/>
      <c r="H87" s="368"/>
      <c r="I87" s="368"/>
      <c r="J87" s="368"/>
      <c r="M87" s="368"/>
      <c r="N87" s="368"/>
      <c r="O87" s="368"/>
      <c r="P87" s="368"/>
      <c r="Q87" s="368"/>
      <c r="R87" s="368"/>
      <c r="S87" s="368"/>
      <c r="T87" s="368"/>
    </row>
    <row r="88" spans="1:23" outlineLevel="1" x14ac:dyDescent="0.2">
      <c r="B88" s="387" t="s">
        <v>649</v>
      </c>
      <c r="C88" s="78"/>
      <c r="D88" s="78"/>
      <c r="E88" s="120"/>
      <c r="F88" s="119"/>
      <c r="G88" s="371"/>
      <c r="H88" s="368"/>
      <c r="I88" s="368"/>
      <c r="J88" s="368"/>
      <c r="K88" s="368"/>
      <c r="L88" s="368"/>
      <c r="M88" s="368"/>
      <c r="N88" s="368"/>
      <c r="O88" s="368"/>
      <c r="P88" s="368"/>
      <c r="Q88" s="368"/>
      <c r="R88" s="368"/>
      <c r="S88" s="368"/>
      <c r="T88" s="368"/>
    </row>
    <row r="89" spans="1:23" outlineLevel="1" x14ac:dyDescent="0.2">
      <c r="B89" s="163" t="s">
        <v>650</v>
      </c>
      <c r="C89" s="78">
        <v>1</v>
      </c>
      <c r="D89" s="78">
        <v>8000</v>
      </c>
      <c r="E89" s="120">
        <v>350</v>
      </c>
      <c r="F89" s="119"/>
      <c r="G89" s="371"/>
      <c r="H89" s="368"/>
      <c r="I89" s="368">
        <f>$E89*$D89/2</f>
        <v>1400000</v>
      </c>
      <c r="J89" s="368">
        <f>I89</f>
        <v>1400000</v>
      </c>
      <c r="M89" s="368"/>
      <c r="N89" s="368"/>
      <c r="O89" s="368"/>
      <c r="P89" s="368"/>
      <c r="Q89" s="368"/>
      <c r="R89" s="368"/>
      <c r="S89" s="368"/>
      <c r="T89" s="368">
        <f>SUM(H89:R89)</f>
        <v>2800000</v>
      </c>
    </row>
    <row r="90" spans="1:23" outlineLevel="1" x14ac:dyDescent="0.2">
      <c r="B90" s="634" t="s">
        <v>651</v>
      </c>
      <c r="C90" s="78">
        <v>1</v>
      </c>
      <c r="D90" s="78">
        <v>3000</v>
      </c>
      <c r="E90" s="120">
        <v>200</v>
      </c>
      <c r="F90" s="119"/>
      <c r="G90" s="371"/>
      <c r="H90" s="368"/>
      <c r="I90" s="368">
        <f>$E90*$D90/2</f>
        <v>300000</v>
      </c>
      <c r="J90" s="368">
        <f>I90</f>
        <v>300000</v>
      </c>
      <c r="M90" s="368"/>
      <c r="N90" s="368"/>
      <c r="O90" s="368"/>
      <c r="P90" s="368"/>
      <c r="Q90" s="368"/>
      <c r="R90" s="368"/>
      <c r="S90" s="368"/>
      <c r="T90" s="368">
        <f t="shared" ref="T90:T95" si="40">SUM(H90:R90)</f>
        <v>600000</v>
      </c>
    </row>
    <row r="91" spans="1:23" outlineLevel="1" x14ac:dyDescent="0.2">
      <c r="B91" s="163" t="s">
        <v>644</v>
      </c>
      <c r="C91" s="78">
        <v>12</v>
      </c>
      <c r="D91" s="78">
        <f>C91*350</f>
        <v>4200</v>
      </c>
      <c r="E91" s="120">
        <v>500</v>
      </c>
      <c r="F91" s="119"/>
      <c r="G91" s="371"/>
      <c r="I91" s="368">
        <f t="shared" ref="I91:L92" si="41">$E91*$D91/4</f>
        <v>525000</v>
      </c>
      <c r="J91" s="368">
        <f t="shared" si="41"/>
        <v>525000</v>
      </c>
      <c r="K91" s="368">
        <f t="shared" si="41"/>
        <v>525000</v>
      </c>
      <c r="L91" s="368">
        <f t="shared" si="41"/>
        <v>525000</v>
      </c>
      <c r="M91" s="368"/>
      <c r="N91" s="368"/>
      <c r="O91" s="368"/>
      <c r="P91" s="368"/>
      <c r="Q91" s="368"/>
      <c r="R91" s="368"/>
      <c r="S91" s="368"/>
      <c r="T91" s="368">
        <f t="shared" si="40"/>
        <v>2100000</v>
      </c>
    </row>
    <row r="92" spans="1:23" outlineLevel="1" x14ac:dyDescent="0.2">
      <c r="B92" s="163" t="s">
        <v>645</v>
      </c>
      <c r="C92" s="78">
        <f>C91</f>
        <v>12</v>
      </c>
      <c r="D92" s="78">
        <f>C92*300</f>
        <v>3600</v>
      </c>
      <c r="E92" s="120">
        <v>500</v>
      </c>
      <c r="F92" s="119"/>
      <c r="G92" s="371"/>
      <c r="I92" s="368">
        <f t="shared" si="41"/>
        <v>450000</v>
      </c>
      <c r="J92" s="368">
        <f t="shared" si="41"/>
        <v>450000</v>
      </c>
      <c r="K92" s="368">
        <f t="shared" si="41"/>
        <v>450000</v>
      </c>
      <c r="L92" s="368">
        <f t="shared" si="41"/>
        <v>450000</v>
      </c>
      <c r="M92" s="368"/>
      <c r="N92" s="368"/>
      <c r="O92" s="368"/>
      <c r="P92" s="368"/>
      <c r="Q92" s="368"/>
      <c r="R92" s="368"/>
      <c r="S92" s="368"/>
      <c r="T92" s="368">
        <f t="shared" si="40"/>
        <v>1800000</v>
      </c>
    </row>
    <row r="93" spans="1:23" outlineLevel="1" x14ac:dyDescent="0.2">
      <c r="B93" s="163" t="s">
        <v>652</v>
      </c>
      <c r="C93" s="78">
        <v>3</v>
      </c>
      <c r="D93" s="78">
        <f>C93*1450</f>
        <v>4350</v>
      </c>
      <c r="E93" s="120">
        <v>250</v>
      </c>
      <c r="F93" s="119"/>
      <c r="G93" s="371"/>
      <c r="J93" s="368">
        <f>$E93*$D93/3</f>
        <v>362500</v>
      </c>
      <c r="K93" s="368">
        <f>$E93*$D93/3</f>
        <v>362500</v>
      </c>
      <c r="L93" s="368">
        <f>$E93*$D93/3</f>
        <v>362500</v>
      </c>
      <c r="M93" s="368"/>
      <c r="N93" s="368"/>
      <c r="O93" s="368"/>
      <c r="P93" s="368"/>
      <c r="Q93" s="368"/>
      <c r="R93" s="368"/>
      <c r="S93" s="368"/>
      <c r="T93" s="368">
        <f t="shared" si="40"/>
        <v>1087500</v>
      </c>
    </row>
    <row r="94" spans="1:23" outlineLevel="1" x14ac:dyDescent="0.2">
      <c r="B94" s="163" t="s">
        <v>647</v>
      </c>
      <c r="C94" s="78">
        <v>1</v>
      </c>
      <c r="D94" s="78">
        <v>2000</v>
      </c>
      <c r="E94" s="422">
        <v>250</v>
      </c>
      <c r="F94" s="119"/>
      <c r="G94" s="371"/>
      <c r="H94" s="368"/>
      <c r="I94" s="368">
        <f>$E94*$D94/2</f>
        <v>250000</v>
      </c>
      <c r="J94" s="368">
        <f>I94</f>
        <v>250000</v>
      </c>
      <c r="M94" s="368"/>
      <c r="N94" s="368"/>
      <c r="O94" s="368"/>
      <c r="P94" s="368"/>
      <c r="Q94" s="368"/>
      <c r="R94" s="368"/>
      <c r="S94" s="368"/>
      <c r="T94" s="368">
        <f t="shared" si="40"/>
        <v>500000</v>
      </c>
    </row>
    <row r="95" spans="1:23" outlineLevel="1" x14ac:dyDescent="0.2">
      <c r="B95" s="163" t="s">
        <v>648</v>
      </c>
      <c r="C95" s="108"/>
      <c r="D95" s="108">
        <f>D89+D90+D91+D92+D93+D94</f>
        <v>25150</v>
      </c>
      <c r="E95" s="483">
        <v>50</v>
      </c>
      <c r="F95" s="119"/>
      <c r="G95" s="371"/>
      <c r="H95" s="368"/>
      <c r="I95" s="368"/>
      <c r="J95" s="368">
        <f>($D95*$E95)*0.35</f>
        <v>440125</v>
      </c>
      <c r="K95" s="368">
        <f>($D95*$E95)*0.35</f>
        <v>440125</v>
      </c>
      <c r="L95" s="368">
        <f>($D95*$E95)*0.3</f>
        <v>377250</v>
      </c>
      <c r="M95" s="368"/>
      <c r="N95" s="368"/>
      <c r="O95" s="368"/>
      <c r="P95" s="368"/>
      <c r="Q95" s="368"/>
      <c r="R95" s="368"/>
      <c r="S95" s="368"/>
      <c r="T95" s="368">
        <f t="shared" si="40"/>
        <v>1257500</v>
      </c>
      <c r="W95" s="225">
        <f>T95</f>
        <v>1257500</v>
      </c>
    </row>
    <row r="96" spans="1:23" s="3" customFormat="1" outlineLevel="1" x14ac:dyDescent="0.2">
      <c r="A96" s="55"/>
      <c r="B96" s="389" t="str">
        <f>B88</f>
        <v>Phase 2 - Amenity Build Out</v>
      </c>
      <c r="C96" s="107"/>
      <c r="D96" s="393">
        <f>SUM(D89:D94)</f>
        <v>25150</v>
      </c>
      <c r="E96" s="391"/>
      <c r="F96" s="392"/>
      <c r="G96" s="369">
        <f t="shared" ref="G96:R96" si="42">SUM(G89:G95)</f>
        <v>0</v>
      </c>
      <c r="H96" s="369">
        <f t="shared" si="42"/>
        <v>0</v>
      </c>
      <c r="I96" s="369">
        <f t="shared" si="42"/>
        <v>2925000</v>
      </c>
      <c r="J96" s="369">
        <f t="shared" si="42"/>
        <v>3727625</v>
      </c>
      <c r="K96" s="369">
        <f t="shared" si="42"/>
        <v>1777625</v>
      </c>
      <c r="L96" s="369">
        <f t="shared" si="42"/>
        <v>1714750</v>
      </c>
      <c r="M96" s="369">
        <f t="shared" si="42"/>
        <v>0</v>
      </c>
      <c r="N96" s="369">
        <f t="shared" si="42"/>
        <v>0</v>
      </c>
      <c r="O96" s="369">
        <f t="shared" si="42"/>
        <v>0</v>
      </c>
      <c r="P96" s="369">
        <f t="shared" si="42"/>
        <v>0</v>
      </c>
      <c r="Q96" s="369">
        <f t="shared" si="42"/>
        <v>0</v>
      </c>
      <c r="R96" s="369">
        <f t="shared" si="42"/>
        <v>0</v>
      </c>
      <c r="S96" s="373"/>
      <c r="T96" s="373">
        <f>SUM(H96:R96)</f>
        <v>10145000</v>
      </c>
      <c r="U96" s="423">
        <f>T96/D96</f>
        <v>403.37972166998014</v>
      </c>
      <c r="V96" s="804"/>
    </row>
    <row r="97" spans="1:23" outlineLevel="1" x14ac:dyDescent="0.2">
      <c r="B97" s="163"/>
      <c r="C97" s="108"/>
      <c r="D97" s="485"/>
      <c r="E97" s="483"/>
      <c r="F97" s="118"/>
      <c r="G97" s="372"/>
      <c r="H97" s="368"/>
      <c r="I97" s="368"/>
      <c r="J97" s="368"/>
      <c r="M97" s="368"/>
      <c r="N97" s="368"/>
      <c r="O97" s="368"/>
      <c r="P97" s="368"/>
      <c r="Q97" s="368"/>
      <c r="R97" s="368"/>
      <c r="S97" s="368"/>
      <c r="T97" s="368"/>
    </row>
    <row r="98" spans="1:23" ht="16.25" customHeight="1" outlineLevel="1" x14ac:dyDescent="0.2">
      <c r="B98" s="387" t="s">
        <v>653</v>
      </c>
      <c r="C98" s="112"/>
      <c r="D98" s="112"/>
      <c r="E98" s="112"/>
      <c r="F98" s="112"/>
      <c r="G98" s="370"/>
      <c r="H98" s="225"/>
      <c r="I98" s="225"/>
      <c r="J98" s="225"/>
      <c r="K98" s="225"/>
      <c r="L98" s="225"/>
      <c r="M98" s="225"/>
      <c r="N98" s="225"/>
      <c r="O98" s="225"/>
      <c r="P98" s="225"/>
      <c r="Q98" s="225"/>
      <c r="R98" s="225"/>
      <c r="S98" s="225"/>
      <c r="T98" s="366"/>
    </row>
    <row r="99" spans="1:23" ht="16.25" customHeight="1" outlineLevel="1" x14ac:dyDescent="0.2">
      <c r="B99" s="163" t="str">
        <f>B6</f>
        <v>Lodge Rooms</v>
      </c>
      <c r="C99" s="72">
        <f>Assumptions!F27</f>
        <v>20</v>
      </c>
      <c r="D99" s="122">
        <f>C99*Assumptions!F28</f>
        <v>10000</v>
      </c>
      <c r="E99" s="121">
        <v>750</v>
      </c>
      <c r="F99" s="119"/>
      <c r="G99" s="371"/>
      <c r="H99" s="368"/>
      <c r="I99" s="225">
        <f>$C6*I6*$E99</f>
        <v>3750000</v>
      </c>
      <c r="J99" s="225">
        <f>$C6*J6*$E99</f>
        <v>3750000</v>
      </c>
      <c r="K99" s="225">
        <f>$C6*K6*$E99</f>
        <v>0</v>
      </c>
      <c r="L99" s="368"/>
      <c r="M99" s="368"/>
      <c r="N99" s="368"/>
      <c r="O99" s="368"/>
      <c r="P99" s="368"/>
      <c r="Q99" s="368"/>
      <c r="R99" s="368"/>
      <c r="S99" s="368"/>
      <c r="T99" s="368">
        <f t="shared" ref="T99:T107" si="43">SUM(H99:R99)</f>
        <v>7500000</v>
      </c>
    </row>
    <row r="100" spans="1:23" outlineLevel="1" x14ac:dyDescent="0.2">
      <c r="B100" s="634" t="s">
        <v>654</v>
      </c>
      <c r="C100" s="635">
        <f>C99</f>
        <v>20</v>
      </c>
      <c r="D100" s="122">
        <f>C100*250</f>
        <v>5000</v>
      </c>
      <c r="E100" s="421">
        <v>350</v>
      </c>
      <c r="F100" s="119"/>
      <c r="G100" s="371"/>
      <c r="H100" s="368"/>
      <c r="I100" s="636">
        <f>D100*E100/2</f>
        <v>875000</v>
      </c>
      <c r="J100" s="636">
        <f>I100</f>
        <v>875000</v>
      </c>
      <c r="K100" s="636"/>
      <c r="L100" s="368"/>
      <c r="M100" s="368"/>
      <c r="N100" s="368"/>
      <c r="O100" s="368"/>
      <c r="P100" s="368"/>
      <c r="Q100" s="368"/>
      <c r="R100" s="368"/>
      <c r="S100" s="368"/>
      <c r="T100" s="368">
        <f t="shared" si="43"/>
        <v>1750000</v>
      </c>
    </row>
    <row r="101" spans="1:23" ht="16.25" customHeight="1" outlineLevel="1" x14ac:dyDescent="0.2">
      <c r="B101" s="163" t="str">
        <f>B7</f>
        <v>Villa/Cabin</v>
      </c>
      <c r="C101" s="72">
        <f>Assumptions!G27</f>
        <v>24</v>
      </c>
      <c r="D101" s="122">
        <f>C101*Assumptions!G28</f>
        <v>18000</v>
      </c>
      <c r="E101" s="121">
        <v>950</v>
      </c>
      <c r="F101" s="119"/>
      <c r="G101" s="371"/>
      <c r="H101" s="368"/>
      <c r="I101" s="225">
        <f t="shared" ref="I101:K103" si="44">$C7*I7*$E101</f>
        <v>5700000</v>
      </c>
      <c r="J101" s="225">
        <f t="shared" si="44"/>
        <v>5700000</v>
      </c>
      <c r="K101" s="225">
        <f t="shared" si="44"/>
        <v>5700000</v>
      </c>
      <c r="L101" s="368"/>
      <c r="M101" s="368"/>
      <c r="N101" s="368"/>
      <c r="O101" s="368"/>
      <c r="P101" s="368"/>
      <c r="Q101" s="368"/>
      <c r="R101" s="368"/>
      <c r="S101" s="368"/>
      <c r="T101" s="368">
        <f t="shared" si="43"/>
        <v>17100000</v>
      </c>
    </row>
    <row r="102" spans="1:23" outlineLevel="1" x14ac:dyDescent="0.2">
      <c r="B102" s="163" t="str">
        <f>B8</f>
        <v>Cottages</v>
      </c>
      <c r="C102" s="72">
        <f>Assumptions!H27</f>
        <v>24</v>
      </c>
      <c r="D102" s="122">
        <f>C102*Assumptions!H28</f>
        <v>30000</v>
      </c>
      <c r="E102" s="421">
        <v>850</v>
      </c>
      <c r="F102" s="119"/>
      <c r="G102" s="371"/>
      <c r="H102" s="225">
        <f>$C8*H8*$E102</f>
        <v>0</v>
      </c>
      <c r="I102" s="225">
        <f t="shared" si="44"/>
        <v>0</v>
      </c>
      <c r="J102" s="225">
        <f t="shared" si="44"/>
        <v>12750000</v>
      </c>
      <c r="K102" s="225">
        <f t="shared" si="44"/>
        <v>12750000</v>
      </c>
      <c r="L102" s="368"/>
      <c r="M102" s="368"/>
      <c r="N102" s="368"/>
      <c r="O102" s="368"/>
      <c r="P102" s="368"/>
      <c r="Q102" s="368"/>
      <c r="R102" s="368"/>
      <c r="S102" s="368"/>
      <c r="T102" s="368">
        <f t="shared" si="43"/>
        <v>25500000</v>
      </c>
    </row>
    <row r="103" spans="1:23" outlineLevel="1" x14ac:dyDescent="0.2">
      <c r="B103" s="163" t="str">
        <f>B9</f>
        <v>Auton. Tents</v>
      </c>
      <c r="C103" s="72">
        <f>Assumptions!I27</f>
        <v>12</v>
      </c>
      <c r="D103" s="122">
        <f>C103*Assumptions!I28</f>
        <v>7500</v>
      </c>
      <c r="E103" s="421">
        <v>400</v>
      </c>
      <c r="F103" s="119"/>
      <c r="G103" s="371"/>
      <c r="H103" s="225">
        <f>$C9*H9*$E103</f>
        <v>3000000</v>
      </c>
      <c r="I103" s="225">
        <f t="shared" si="44"/>
        <v>0</v>
      </c>
      <c r="J103" s="225">
        <f t="shared" si="44"/>
        <v>0</v>
      </c>
      <c r="K103" s="225">
        <f t="shared" si="44"/>
        <v>0</v>
      </c>
      <c r="L103" s="368"/>
      <c r="M103" s="368"/>
      <c r="N103" s="368"/>
      <c r="O103" s="368"/>
      <c r="P103" s="368"/>
      <c r="Q103" s="368"/>
      <c r="R103" s="368"/>
      <c r="S103" s="368"/>
      <c r="T103" s="368">
        <f t="shared" si="43"/>
        <v>3000000</v>
      </c>
    </row>
    <row r="104" spans="1:23" outlineLevel="1" x14ac:dyDescent="0.2">
      <c r="B104" s="634" t="s">
        <v>655</v>
      </c>
      <c r="C104" s="635">
        <f>C101+C102+C103</f>
        <v>60</v>
      </c>
      <c r="D104" s="122">
        <f>C104*150</f>
        <v>9000</v>
      </c>
      <c r="E104" s="421">
        <v>250</v>
      </c>
      <c r="F104" s="119"/>
      <c r="G104" s="371"/>
      <c r="H104" s="368"/>
      <c r="I104" s="636">
        <f>D104*E104/2</f>
        <v>1125000</v>
      </c>
      <c r="J104" s="636">
        <f>I104</f>
        <v>1125000</v>
      </c>
      <c r="K104" s="636"/>
      <c r="L104" s="368"/>
      <c r="M104" s="368"/>
      <c r="N104" s="368"/>
      <c r="O104" s="368"/>
      <c r="P104" s="368"/>
      <c r="Q104" s="368"/>
      <c r="R104" s="368"/>
      <c r="S104" s="368"/>
      <c r="T104" s="368">
        <f t="shared" si="43"/>
        <v>2250000</v>
      </c>
    </row>
    <row r="105" spans="1:23" outlineLevel="1" x14ac:dyDescent="0.2">
      <c r="B105" s="163" t="s">
        <v>648</v>
      </c>
      <c r="C105" s="108"/>
      <c r="D105" s="108">
        <f>D99+D100+D101+D102+D103+D104</f>
        <v>79500</v>
      </c>
      <c r="E105" s="483">
        <v>75</v>
      </c>
      <c r="F105" s="119"/>
      <c r="G105" s="371"/>
      <c r="H105" s="368">
        <f>D103*E105</f>
        <v>562500</v>
      </c>
      <c r="I105" s="368">
        <f>(($D105-$D103)*$E105)/2</f>
        <v>2700000</v>
      </c>
      <c r="J105" s="368">
        <f>(($D105-$D103)*$E105)/2</f>
        <v>2700000</v>
      </c>
      <c r="K105" s="368"/>
      <c r="M105" s="368"/>
      <c r="N105" s="368"/>
      <c r="O105" s="368"/>
      <c r="P105" s="368"/>
      <c r="Q105" s="368"/>
      <c r="R105" s="368"/>
      <c r="S105" s="368"/>
      <c r="T105" s="368">
        <f t="shared" si="43"/>
        <v>5962500</v>
      </c>
      <c r="U105" s="33"/>
      <c r="W105" s="225">
        <f>T105</f>
        <v>5962500</v>
      </c>
    </row>
    <row r="106" spans="1:23" s="3" customFormat="1" outlineLevel="1" x14ac:dyDescent="0.2">
      <c r="A106" s="55"/>
      <c r="B106" s="390" t="s">
        <v>656</v>
      </c>
      <c r="C106" s="107"/>
      <c r="D106" s="393">
        <f>D99+SUM(D101:D103)</f>
        <v>65500</v>
      </c>
      <c r="E106" s="391"/>
      <c r="F106" s="392"/>
      <c r="G106" s="510">
        <f t="shared" ref="G106:I106" si="45">SUM(G99:G105)</f>
        <v>0</v>
      </c>
      <c r="H106" s="510">
        <f t="shared" si="45"/>
        <v>3562500</v>
      </c>
      <c r="I106" s="510">
        <f t="shared" si="45"/>
        <v>14150000</v>
      </c>
      <c r="J106" s="510">
        <f>SUM(J99:J105)</f>
        <v>26900000</v>
      </c>
      <c r="K106" s="369">
        <f t="shared" ref="K106:R106" si="46">SUM(K99:K105)</f>
        <v>18450000</v>
      </c>
      <c r="L106" s="369">
        <f t="shared" si="46"/>
        <v>0</v>
      </c>
      <c r="M106" s="369">
        <f t="shared" si="46"/>
        <v>0</v>
      </c>
      <c r="N106" s="369">
        <f t="shared" si="46"/>
        <v>0</v>
      </c>
      <c r="O106" s="369">
        <f t="shared" si="46"/>
        <v>0</v>
      </c>
      <c r="P106" s="369">
        <f t="shared" si="46"/>
        <v>0</v>
      </c>
      <c r="Q106" s="369">
        <f t="shared" si="46"/>
        <v>0</v>
      </c>
      <c r="R106" s="369">
        <f t="shared" si="46"/>
        <v>0</v>
      </c>
      <c r="S106" s="373"/>
      <c r="T106" s="373">
        <f t="shared" si="43"/>
        <v>63062500</v>
      </c>
      <c r="U106" s="423">
        <f>T106/D106</f>
        <v>962.78625954198469</v>
      </c>
      <c r="V106" s="424" t="s">
        <v>237</v>
      </c>
    </row>
    <row r="107" spans="1:23" s="270" customFormat="1" outlineLevel="1" x14ac:dyDescent="0.2">
      <c r="A107" s="796"/>
      <c r="B107" s="797"/>
      <c r="C107" s="769"/>
      <c r="D107" s="769"/>
      <c r="E107" s="798" t="s">
        <v>657</v>
      </c>
      <c r="F107" s="798"/>
      <c r="G107" s="799"/>
      <c r="H107" s="799"/>
      <c r="I107" s="799">
        <f>I101*(5/6)+I102+(D101*(5/6)+D102)*E105/2</f>
        <v>6437500</v>
      </c>
      <c r="J107" s="799">
        <f>J101*(5/6)+J102+(D101*(5/6)+D102)*E105/2</f>
        <v>19187500</v>
      </c>
      <c r="K107" s="799">
        <f>K101*(5/6)+K102</f>
        <v>17500000</v>
      </c>
      <c r="L107" s="799">
        <f>L101+L102</f>
        <v>0</v>
      </c>
      <c r="M107" s="799"/>
      <c r="N107" s="799"/>
      <c r="O107" s="799"/>
      <c r="P107" s="799"/>
      <c r="Q107" s="799"/>
      <c r="R107" s="799"/>
      <c r="S107" s="799"/>
      <c r="T107" s="799">
        <f t="shared" si="43"/>
        <v>43125000</v>
      </c>
      <c r="U107" s="800">
        <f>T107/T129</f>
        <v>0.40001769817433314</v>
      </c>
    </row>
    <row r="108" spans="1:23" outlineLevel="1" x14ac:dyDescent="0.2">
      <c r="B108" s="387" t="s">
        <v>658</v>
      </c>
      <c r="C108" s="78"/>
      <c r="D108" s="78"/>
      <c r="E108" s="120"/>
      <c r="F108" s="119"/>
      <c r="G108" s="371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</row>
    <row r="109" spans="1:23" outlineLevel="1" x14ac:dyDescent="0.2">
      <c r="B109" s="163" t="s">
        <v>659</v>
      </c>
      <c r="C109" s="72"/>
      <c r="D109" s="72">
        <f>(400+100+100+200+200)*1.2</f>
        <v>1200</v>
      </c>
      <c r="E109" s="421">
        <v>450</v>
      </c>
      <c r="F109" s="119"/>
      <c r="G109" s="371"/>
      <c r="H109" s="368"/>
      <c r="I109" s="368">
        <f t="shared" ref="I109:I112" si="47">D109*E109/2</f>
        <v>270000</v>
      </c>
      <c r="J109" s="368">
        <f t="shared" ref="J109:J112" si="48">I109</f>
        <v>270000</v>
      </c>
      <c r="M109" s="368"/>
      <c r="N109" s="368"/>
      <c r="O109" s="368"/>
      <c r="P109" s="368"/>
      <c r="Q109" s="368"/>
      <c r="R109" s="368"/>
      <c r="S109" s="368"/>
      <c r="T109" s="368">
        <f t="shared" ref="T109:T113" si="49">SUM(H109:R109)</f>
        <v>540000</v>
      </c>
    </row>
    <row r="110" spans="1:23" outlineLevel="1" x14ac:dyDescent="0.2">
      <c r="B110" s="163" t="s">
        <v>660</v>
      </c>
      <c r="C110" s="72"/>
      <c r="D110" s="72">
        <f>(2000+1200)*1.2</f>
        <v>3840</v>
      </c>
      <c r="E110" s="421">
        <v>450</v>
      </c>
      <c r="F110" s="119"/>
      <c r="G110" s="371"/>
      <c r="H110" s="368"/>
      <c r="I110" s="368">
        <f>D110*E110/2</f>
        <v>864000</v>
      </c>
      <c r="J110" s="368">
        <f>I110</f>
        <v>864000</v>
      </c>
      <c r="M110" s="368"/>
      <c r="N110" s="368"/>
      <c r="O110" s="368"/>
      <c r="P110" s="368"/>
      <c r="Q110" s="368"/>
      <c r="R110" s="368"/>
      <c r="S110" s="368"/>
      <c r="T110" s="368">
        <f>SUM(H110:R110)</f>
        <v>1728000</v>
      </c>
    </row>
    <row r="111" spans="1:23" outlineLevel="1" x14ac:dyDescent="0.2">
      <c r="B111" s="163" t="s">
        <v>661</v>
      </c>
      <c r="C111" s="72"/>
      <c r="D111" s="72">
        <f>(1000+600+200+600+200+200+400)*1.2</f>
        <v>3840</v>
      </c>
      <c r="E111" s="421">
        <v>450</v>
      </c>
      <c r="F111" s="119"/>
      <c r="G111" s="371"/>
      <c r="H111" s="368"/>
      <c r="I111" s="368">
        <f t="shared" ref="I111" si="50">D111*E111/2</f>
        <v>864000</v>
      </c>
      <c r="J111" s="368">
        <f t="shared" ref="J111" si="51">I111</f>
        <v>864000</v>
      </c>
      <c r="M111" s="368"/>
      <c r="N111" s="368"/>
      <c r="O111" s="368"/>
      <c r="P111" s="368"/>
      <c r="Q111" s="368"/>
      <c r="R111" s="368"/>
      <c r="S111" s="368"/>
      <c r="T111" s="368">
        <f t="shared" ref="T111" si="52">SUM(H111:R111)</f>
        <v>1728000</v>
      </c>
    </row>
    <row r="112" spans="1:23" outlineLevel="1" x14ac:dyDescent="0.2">
      <c r="B112" s="163" t="s">
        <v>662</v>
      </c>
      <c r="C112" s="72"/>
      <c r="D112" s="72">
        <f>800+500</f>
        <v>1300</v>
      </c>
      <c r="E112" s="421">
        <v>250</v>
      </c>
      <c r="F112" s="119"/>
      <c r="G112" s="371"/>
      <c r="H112" s="368"/>
      <c r="I112" s="368">
        <f t="shared" si="47"/>
        <v>162500</v>
      </c>
      <c r="J112" s="368">
        <f t="shared" si="48"/>
        <v>162500</v>
      </c>
      <c r="M112" s="368"/>
      <c r="N112" s="368"/>
      <c r="O112" s="368"/>
      <c r="P112" s="368"/>
      <c r="Q112" s="368"/>
      <c r="R112" s="368"/>
      <c r="S112" s="368"/>
      <c r="T112" s="368">
        <f t="shared" si="49"/>
        <v>325000</v>
      </c>
    </row>
    <row r="113" spans="1:24" outlineLevel="1" x14ac:dyDescent="0.2">
      <c r="B113" s="163" t="s">
        <v>648</v>
      </c>
      <c r="C113" s="108"/>
      <c r="D113" s="108">
        <f>D110+D109+D111+D112</f>
        <v>10180</v>
      </c>
      <c r="E113" s="483">
        <v>65</v>
      </c>
      <c r="F113" s="119"/>
      <c r="G113" s="371"/>
      <c r="H113" s="368"/>
      <c r="I113" s="368"/>
      <c r="J113" s="368">
        <f>D113*E113</f>
        <v>661700</v>
      </c>
      <c r="M113" s="368"/>
      <c r="N113" s="368"/>
      <c r="O113" s="368"/>
      <c r="P113" s="368"/>
      <c r="Q113" s="368"/>
      <c r="R113" s="368"/>
      <c r="S113" s="368"/>
      <c r="T113" s="368">
        <f t="shared" si="49"/>
        <v>661700</v>
      </c>
      <c r="W113" s="225">
        <f>T113</f>
        <v>661700</v>
      </c>
    </row>
    <row r="114" spans="1:24" s="3" customFormat="1" outlineLevel="1" x14ac:dyDescent="0.2">
      <c r="A114" s="55"/>
      <c r="B114" s="390" t="s">
        <v>663</v>
      </c>
      <c r="C114" s="107"/>
      <c r="D114" s="393">
        <f>SUM(D109:D111)</f>
        <v>8880</v>
      </c>
      <c r="E114" s="52"/>
      <c r="F114" s="66"/>
      <c r="G114" s="373">
        <f t="shared" ref="G114:R114" si="53">SUM(G109:G113)</f>
        <v>0</v>
      </c>
      <c r="H114" s="373">
        <f t="shared" si="53"/>
        <v>0</v>
      </c>
      <c r="I114" s="373">
        <f t="shared" si="53"/>
        <v>2160500</v>
      </c>
      <c r="J114" s="373">
        <f t="shared" si="53"/>
        <v>2822200</v>
      </c>
      <c r="K114" s="373">
        <f t="shared" si="53"/>
        <v>0</v>
      </c>
      <c r="L114" s="373">
        <f t="shared" si="53"/>
        <v>0</v>
      </c>
      <c r="M114" s="373">
        <f t="shared" si="53"/>
        <v>0</v>
      </c>
      <c r="N114" s="373">
        <f t="shared" si="53"/>
        <v>0</v>
      </c>
      <c r="O114" s="373">
        <f t="shared" si="53"/>
        <v>0</v>
      </c>
      <c r="P114" s="373">
        <f t="shared" si="53"/>
        <v>0</v>
      </c>
      <c r="Q114" s="373">
        <f t="shared" si="53"/>
        <v>0</v>
      </c>
      <c r="R114" s="373">
        <f t="shared" si="53"/>
        <v>0</v>
      </c>
      <c r="S114" s="373"/>
      <c r="T114" s="373">
        <f>SUM(H114:R114)</f>
        <v>4982700</v>
      </c>
      <c r="U114" s="423">
        <f>T114/D114</f>
        <v>561.1148648648649</v>
      </c>
      <c r="V114" s="424" t="s">
        <v>237</v>
      </c>
    </row>
    <row r="115" spans="1:24" s="3" customFormat="1" outlineLevel="1" x14ac:dyDescent="0.2">
      <c r="A115" s="55"/>
      <c r="B115" s="390"/>
      <c r="C115" s="106"/>
      <c r="D115" s="328"/>
      <c r="E115" s="392"/>
      <c r="F115" s="392"/>
      <c r="G115" s="431"/>
      <c r="H115" s="431"/>
      <c r="I115" s="431"/>
      <c r="J115" s="431"/>
      <c r="K115" s="431"/>
      <c r="L115" s="431"/>
      <c r="M115" s="381"/>
      <c r="N115" s="381"/>
      <c r="O115" s="381"/>
      <c r="P115" s="381"/>
      <c r="Q115" s="381"/>
      <c r="R115" s="381"/>
      <c r="S115" s="381"/>
      <c r="T115" s="381"/>
      <c r="U115" s="423"/>
      <c r="V115" s="424"/>
    </row>
    <row r="116" spans="1:24" ht="16.25" customHeight="1" outlineLevel="1" x14ac:dyDescent="0.2">
      <c r="B116" s="387" t="s">
        <v>664</v>
      </c>
      <c r="C116" s="484"/>
      <c r="D116" s="484"/>
      <c r="E116" s="484"/>
      <c r="F116" s="112"/>
      <c r="G116" s="370"/>
      <c r="H116" s="225"/>
      <c r="I116" s="225"/>
      <c r="J116" s="225"/>
      <c r="K116" s="225"/>
      <c r="L116" s="225"/>
      <c r="M116" s="225"/>
      <c r="N116" s="225"/>
      <c r="O116" s="225"/>
      <c r="P116" s="225"/>
      <c r="Q116" s="225"/>
      <c r="R116" s="225"/>
      <c r="S116" s="225"/>
      <c r="T116" s="366"/>
    </row>
    <row r="117" spans="1:24" ht="16.25" customHeight="1" outlineLevel="1" x14ac:dyDescent="0.2">
      <c r="B117" s="163" t="s">
        <v>665</v>
      </c>
      <c r="C117" s="72"/>
      <c r="D117" s="122">
        <f>(250+250)</f>
        <v>500</v>
      </c>
      <c r="E117" s="122">
        <v>350</v>
      </c>
      <c r="F117" s="112"/>
      <c r="G117" s="370"/>
      <c r="H117" s="368"/>
      <c r="I117" s="225">
        <f t="shared" ref="I117:I122" si="54">D117*E117/2</f>
        <v>87500</v>
      </c>
      <c r="J117" s="225">
        <f t="shared" ref="J117:J122" si="55">I117</f>
        <v>87500</v>
      </c>
      <c r="K117" s="225"/>
      <c r="L117" s="225"/>
      <c r="M117" s="225"/>
      <c r="N117" s="225"/>
      <c r="O117" s="225"/>
      <c r="P117" s="225"/>
      <c r="Q117" s="225"/>
      <c r="R117" s="225"/>
      <c r="S117" s="225"/>
      <c r="T117" s="368">
        <f t="shared" ref="T117:T123" si="56">SUM(H117:R117)</f>
        <v>175000</v>
      </c>
    </row>
    <row r="118" spans="1:24" outlineLevel="1" x14ac:dyDescent="0.2">
      <c r="B118" s="170" t="s">
        <v>666</v>
      </c>
      <c r="C118" s="72"/>
      <c r="D118" s="72">
        <f>480+1500</f>
        <v>1980</v>
      </c>
      <c r="E118" s="121">
        <v>400</v>
      </c>
      <c r="F118" s="119"/>
      <c r="G118" s="371"/>
      <c r="H118" s="366"/>
      <c r="I118" s="225">
        <f t="shared" ref="I118" si="57">D118*E118/2</f>
        <v>396000</v>
      </c>
      <c r="J118" s="225">
        <f t="shared" ref="J118" si="58">I118</f>
        <v>396000</v>
      </c>
      <c r="K118" s="368"/>
      <c r="L118" s="368"/>
      <c r="M118" s="368"/>
      <c r="N118" s="368"/>
      <c r="O118" s="368"/>
      <c r="P118" s="368"/>
      <c r="Q118" s="368"/>
      <c r="R118" s="368"/>
      <c r="S118" s="368"/>
      <c r="T118" s="368">
        <f t="shared" si="56"/>
        <v>792000</v>
      </c>
    </row>
    <row r="119" spans="1:24" outlineLevel="1" x14ac:dyDescent="0.2">
      <c r="B119" s="170" t="s">
        <v>667</v>
      </c>
      <c r="C119" s="72"/>
      <c r="D119" s="72">
        <v>2000</v>
      </c>
      <c r="E119" s="121">
        <v>400</v>
      </c>
      <c r="F119" s="119"/>
      <c r="G119" s="371"/>
      <c r="H119" s="366"/>
      <c r="I119" s="225">
        <f t="shared" si="54"/>
        <v>400000</v>
      </c>
      <c r="J119" s="225">
        <f t="shared" si="55"/>
        <v>400000</v>
      </c>
      <c r="K119" s="368"/>
      <c r="L119" s="368"/>
      <c r="M119" s="368"/>
      <c r="N119" s="368"/>
      <c r="O119" s="368"/>
      <c r="P119" s="368"/>
      <c r="Q119" s="368"/>
      <c r="R119" s="368"/>
      <c r="S119" s="368"/>
      <c r="T119" s="368">
        <f t="shared" si="56"/>
        <v>800000</v>
      </c>
    </row>
    <row r="120" spans="1:24" outlineLevel="1" x14ac:dyDescent="0.2">
      <c r="B120" s="170" t="s">
        <v>664</v>
      </c>
      <c r="C120" s="72"/>
      <c r="D120" s="72">
        <v>4000</v>
      </c>
      <c r="E120" s="421">
        <v>450</v>
      </c>
      <c r="F120" s="118"/>
      <c r="G120" s="372"/>
      <c r="H120" s="368"/>
      <c r="I120" s="368">
        <f>D120*E120/2</f>
        <v>900000</v>
      </c>
      <c r="J120" s="368">
        <f>I120</f>
        <v>900000</v>
      </c>
      <c r="L120" s="368"/>
      <c r="M120" s="368"/>
      <c r="N120" s="368"/>
      <c r="O120" s="368"/>
      <c r="P120" s="368"/>
      <c r="Q120" s="368"/>
      <c r="R120" s="368"/>
      <c r="S120" s="368"/>
      <c r="T120" s="368">
        <f t="shared" si="56"/>
        <v>1800000</v>
      </c>
    </row>
    <row r="121" spans="1:24" outlineLevel="1" x14ac:dyDescent="0.2">
      <c r="B121" s="170" t="s">
        <v>668</v>
      </c>
      <c r="C121" s="72"/>
      <c r="D121" s="72">
        <v>2000</v>
      </c>
      <c r="E121" s="121">
        <v>250</v>
      </c>
      <c r="F121" s="119"/>
      <c r="G121" s="371"/>
      <c r="H121" s="366"/>
      <c r="I121" s="225">
        <f>D121*E121/2</f>
        <v>250000</v>
      </c>
      <c r="J121" s="368">
        <f>I121</f>
        <v>250000</v>
      </c>
      <c r="K121" s="368"/>
      <c r="L121" s="368"/>
      <c r="M121" s="368"/>
      <c r="N121" s="368"/>
      <c r="O121" s="368"/>
      <c r="P121" s="368"/>
      <c r="Q121" s="368"/>
      <c r="R121" s="368"/>
      <c r="S121" s="368"/>
      <c r="T121" s="368">
        <f t="shared" si="56"/>
        <v>500000</v>
      </c>
    </row>
    <row r="122" spans="1:24" outlineLevel="1" x14ac:dyDescent="0.2">
      <c r="B122" s="170" t="s">
        <v>669</v>
      </c>
      <c r="C122" s="72"/>
      <c r="D122" s="72">
        <v>10000</v>
      </c>
      <c r="E122" s="121">
        <v>200</v>
      </c>
      <c r="F122" s="119"/>
      <c r="G122" s="371"/>
      <c r="H122" s="366"/>
      <c r="I122" s="225">
        <f t="shared" si="54"/>
        <v>1000000</v>
      </c>
      <c r="J122" s="225">
        <f t="shared" si="55"/>
        <v>1000000</v>
      </c>
      <c r="K122" s="368"/>
      <c r="L122" s="368"/>
      <c r="M122" s="368"/>
      <c r="N122" s="368"/>
      <c r="O122" s="368"/>
      <c r="P122" s="368"/>
      <c r="Q122" s="368"/>
      <c r="R122" s="368"/>
      <c r="S122" s="368"/>
      <c r="T122" s="368">
        <f t="shared" si="56"/>
        <v>2000000</v>
      </c>
    </row>
    <row r="123" spans="1:24" outlineLevel="1" x14ac:dyDescent="0.2">
      <c r="B123" s="163" t="s">
        <v>648</v>
      </c>
      <c r="C123" s="108"/>
      <c r="D123" s="108">
        <f>SUM(D117:D122)</f>
        <v>20480</v>
      </c>
      <c r="E123" s="483">
        <v>85</v>
      </c>
      <c r="F123" s="119"/>
      <c r="G123" s="371"/>
      <c r="H123" s="368"/>
      <c r="I123" s="368"/>
      <c r="J123" s="368">
        <f>D123*E123</f>
        <v>1740800</v>
      </c>
      <c r="M123" s="368"/>
      <c r="N123" s="368"/>
      <c r="O123" s="368"/>
      <c r="P123" s="368"/>
      <c r="Q123" s="368"/>
      <c r="R123" s="368"/>
      <c r="S123" s="368"/>
      <c r="T123" s="368">
        <f t="shared" si="56"/>
        <v>1740800</v>
      </c>
      <c r="W123" s="225">
        <f>T123</f>
        <v>1740800</v>
      </c>
    </row>
    <row r="124" spans="1:24" s="3" customFormat="1" outlineLevel="1" x14ac:dyDescent="0.2">
      <c r="A124" s="55"/>
      <c r="B124" s="390" t="s">
        <v>670</v>
      </c>
      <c r="C124" s="107"/>
      <c r="D124" s="393">
        <f>SUM(D117:D121)</f>
        <v>10480</v>
      </c>
      <c r="E124" s="391"/>
      <c r="F124" s="392"/>
      <c r="G124" s="369">
        <f t="shared" ref="G124:I124" si="59">SUM(G117:G123)</f>
        <v>0</v>
      </c>
      <c r="H124" s="369">
        <f t="shared" si="59"/>
        <v>0</v>
      </c>
      <c r="I124" s="369">
        <f t="shared" si="59"/>
        <v>3033500</v>
      </c>
      <c r="J124" s="369">
        <f>SUM(J117:J123)</f>
        <v>4774300</v>
      </c>
      <c r="K124" s="369">
        <f t="shared" ref="K124:R124" si="60">SUM(K117:K123)</f>
        <v>0</v>
      </c>
      <c r="L124" s="369">
        <f t="shared" si="60"/>
        <v>0</v>
      </c>
      <c r="M124" s="369">
        <f t="shared" si="60"/>
        <v>0</v>
      </c>
      <c r="N124" s="369">
        <f t="shared" si="60"/>
        <v>0</v>
      </c>
      <c r="O124" s="369">
        <f t="shared" si="60"/>
        <v>0</v>
      </c>
      <c r="P124" s="369">
        <f t="shared" si="60"/>
        <v>0</v>
      </c>
      <c r="Q124" s="369">
        <f t="shared" si="60"/>
        <v>0</v>
      </c>
      <c r="R124" s="369">
        <f t="shared" si="60"/>
        <v>0</v>
      </c>
      <c r="S124" s="369"/>
      <c r="T124" s="373">
        <f>SUM(H124:R124)</f>
        <v>7807800</v>
      </c>
      <c r="U124" s="423">
        <f>T124/D124</f>
        <v>745.01908396946567</v>
      </c>
      <c r="V124" s="424" t="s">
        <v>237</v>
      </c>
    </row>
    <row r="125" spans="1:24" s="3" customFormat="1" outlineLevel="1" x14ac:dyDescent="0.2">
      <c r="A125" s="55"/>
      <c r="B125" s="389"/>
      <c r="C125" s="106"/>
      <c r="D125" s="328"/>
      <c r="E125" s="66"/>
      <c r="F125" s="66"/>
      <c r="G125" s="381"/>
      <c r="H125" s="381"/>
      <c r="I125" s="381"/>
      <c r="J125" s="381"/>
      <c r="K125" s="381"/>
      <c r="L125" s="381"/>
      <c r="M125" s="381"/>
      <c r="N125" s="381"/>
      <c r="O125" s="381"/>
      <c r="P125" s="381"/>
      <c r="Q125" s="381"/>
      <c r="R125" s="381"/>
      <c r="S125" s="381"/>
      <c r="T125" s="381"/>
      <c r="U125" s="423"/>
      <c r="V125" s="424"/>
      <c r="W125" s="379">
        <f>SUM(W85:W123)</f>
        <v>10535000</v>
      </c>
      <c r="X125" s="331">
        <f>W125/164</f>
        <v>64237.804878048781</v>
      </c>
    </row>
    <row r="126" spans="1:24" outlineLevel="1" x14ac:dyDescent="0.2">
      <c r="B126" s="162" t="s">
        <v>518</v>
      </c>
      <c r="C126" s="90">
        <v>3.5000000000000003E-2</v>
      </c>
      <c r="D126" s="328"/>
      <c r="E126" s="12"/>
      <c r="F126" s="47"/>
      <c r="G126" s="368">
        <f>(G96+G106+G124+G114)*$C$126</f>
        <v>0</v>
      </c>
      <c r="H126" s="368">
        <f t="shared" ref="H126:P126" si="61">(H96+H106+H124+H114)*$C$126</f>
        <v>124687.50000000001</v>
      </c>
      <c r="I126" s="368">
        <f t="shared" si="61"/>
        <v>779415.00000000012</v>
      </c>
      <c r="J126" s="368">
        <f t="shared" si="61"/>
        <v>1337844.3750000002</v>
      </c>
      <c r="K126" s="368">
        <f t="shared" si="61"/>
        <v>707966.87500000012</v>
      </c>
      <c r="L126" s="368">
        <f t="shared" si="61"/>
        <v>60016.250000000007</v>
      </c>
      <c r="M126" s="368">
        <f t="shared" si="61"/>
        <v>0</v>
      </c>
      <c r="N126" s="368">
        <f t="shared" si="61"/>
        <v>0</v>
      </c>
      <c r="O126" s="368">
        <f t="shared" si="61"/>
        <v>0</v>
      </c>
      <c r="P126" s="368">
        <f t="shared" si="61"/>
        <v>0</v>
      </c>
      <c r="Q126" s="368"/>
      <c r="R126" s="368"/>
      <c r="S126" s="368"/>
      <c r="T126" s="368">
        <f t="shared" ref="T126" si="62">SUM(H126:R126)</f>
        <v>3009930.0000000005</v>
      </c>
    </row>
    <row r="127" spans="1:24" outlineLevel="1" x14ac:dyDescent="0.2">
      <c r="B127" s="162" t="s">
        <v>671</v>
      </c>
      <c r="C127" s="90">
        <v>0.1</v>
      </c>
      <c r="D127" s="328">
        <f>D86+D114+D124+D106+D96</f>
        <v>128260</v>
      </c>
      <c r="E127" s="12"/>
      <c r="F127" s="47"/>
      <c r="G127" s="368">
        <f t="shared" ref="G127:P127" si="63">(G96+G106+G124+G114)*$C$127</f>
        <v>0</v>
      </c>
      <c r="H127" s="368">
        <f t="shared" si="63"/>
        <v>356250</v>
      </c>
      <c r="I127" s="368">
        <f t="shared" si="63"/>
        <v>2226900</v>
      </c>
      <c r="J127" s="368">
        <f t="shared" si="63"/>
        <v>3822412.5</v>
      </c>
      <c r="K127" s="368">
        <f t="shared" si="63"/>
        <v>2022762.5</v>
      </c>
      <c r="L127" s="368">
        <f t="shared" si="63"/>
        <v>171475</v>
      </c>
      <c r="M127" s="368">
        <f t="shared" si="63"/>
        <v>0</v>
      </c>
      <c r="N127" s="368">
        <f t="shared" si="63"/>
        <v>0</v>
      </c>
      <c r="O127" s="368">
        <f t="shared" si="63"/>
        <v>0</v>
      </c>
      <c r="P127" s="368">
        <f t="shared" si="63"/>
        <v>0</v>
      </c>
      <c r="Q127" s="368"/>
      <c r="R127" s="368"/>
      <c r="S127" s="368"/>
      <c r="T127" s="368">
        <f t="shared" ref="T127" si="64">SUM(H127:R127)</f>
        <v>8599800</v>
      </c>
    </row>
    <row r="128" spans="1:24" outlineLevel="1" x14ac:dyDescent="0.2">
      <c r="B128" s="165"/>
      <c r="C128" s="108"/>
      <c r="D128" s="328"/>
      <c r="E128" s="12"/>
      <c r="F128" s="47"/>
      <c r="G128" s="368"/>
      <c r="H128" s="368"/>
      <c r="I128" s="368"/>
      <c r="J128" s="368"/>
      <c r="K128" s="368"/>
      <c r="L128" s="368"/>
      <c r="M128" s="368"/>
      <c r="N128" s="368"/>
      <c r="O128" s="368"/>
      <c r="P128" s="368"/>
      <c r="Q128" s="368"/>
      <c r="R128" s="368"/>
      <c r="S128" s="368"/>
      <c r="T128" s="368"/>
    </row>
    <row r="129" spans="1:24" s="3" customFormat="1" x14ac:dyDescent="0.2">
      <c r="A129" s="55"/>
      <c r="B129" s="85" t="s">
        <v>672</v>
      </c>
      <c r="C129" s="94"/>
      <c r="D129" s="486"/>
      <c r="E129" s="52"/>
      <c r="F129" s="66"/>
      <c r="G129" s="373">
        <f>G86+G96+G106+G124+G114+G126+G127</f>
        <v>0</v>
      </c>
      <c r="H129" s="373">
        <f t="shared" ref="H129:R129" si="65">H86+H96+H106+H124+H114+H126+H127</f>
        <v>8687187.5</v>
      </c>
      <c r="I129" s="373">
        <f t="shared" si="65"/>
        <v>30375315</v>
      </c>
      <c r="J129" s="373">
        <f t="shared" si="65"/>
        <v>43840631.875</v>
      </c>
      <c r="K129" s="373">
        <f t="shared" si="65"/>
        <v>22958354.375</v>
      </c>
      <c r="L129" s="373">
        <f t="shared" si="65"/>
        <v>1946241.25</v>
      </c>
      <c r="M129" s="373">
        <f t="shared" si="65"/>
        <v>0</v>
      </c>
      <c r="N129" s="373">
        <f t="shared" si="65"/>
        <v>0</v>
      </c>
      <c r="O129" s="373">
        <f t="shared" si="65"/>
        <v>0</v>
      </c>
      <c r="P129" s="373">
        <f t="shared" si="65"/>
        <v>0</v>
      </c>
      <c r="Q129" s="373">
        <f t="shared" si="65"/>
        <v>0</v>
      </c>
      <c r="R129" s="373">
        <f t="shared" si="65"/>
        <v>0</v>
      </c>
      <c r="S129" s="373"/>
      <c r="T129" s="373">
        <f>SUM(G129:R129)</f>
        <v>107807730</v>
      </c>
      <c r="U129" s="423">
        <f>T129/D127</f>
        <v>840.54054264774675</v>
      </c>
      <c r="V129" s="424" t="s">
        <v>237</v>
      </c>
      <c r="W129" s="379">
        <f>J95+J105+J123+J113</f>
        <v>5542625</v>
      </c>
      <c r="X129" s="3" t="s">
        <v>648</v>
      </c>
    </row>
    <row r="130" spans="1:24" s="3" customFormat="1" x14ac:dyDescent="0.2">
      <c r="A130" s="55"/>
      <c r="B130" s="639" t="s">
        <v>673</v>
      </c>
      <c r="C130" s="587"/>
      <c r="D130" s="543"/>
      <c r="E130" s="66"/>
      <c r="F130" s="66"/>
      <c r="G130" s="381"/>
      <c r="H130" s="640">
        <v>4</v>
      </c>
      <c r="I130" s="640"/>
      <c r="J130" s="640">
        <f>5+4+1+1+(SUM(I7:I8)/2)</f>
        <v>15</v>
      </c>
      <c r="K130" s="640">
        <f t="shared" ref="K130:P130" si="66">(SUM(J7:J8)/2)</f>
        <v>10</v>
      </c>
      <c r="L130" s="640">
        <f t="shared" si="66"/>
        <v>10</v>
      </c>
      <c r="M130" s="640">
        <f t="shared" si="66"/>
        <v>0</v>
      </c>
      <c r="N130" s="640">
        <f t="shared" si="66"/>
        <v>0</v>
      </c>
      <c r="O130" s="640">
        <f t="shared" si="66"/>
        <v>0</v>
      </c>
      <c r="P130" s="640">
        <f t="shared" si="66"/>
        <v>0</v>
      </c>
      <c r="Q130" s="640"/>
      <c r="R130" s="640"/>
      <c r="S130" s="381"/>
      <c r="T130" s="381"/>
      <c r="U130" s="423"/>
      <c r="V130" s="424"/>
      <c r="W130" s="379"/>
    </row>
    <row r="131" spans="1:24" x14ac:dyDescent="0.2">
      <c r="B131" s="162"/>
      <c r="C131" s="117"/>
      <c r="D131" s="12"/>
      <c r="E131" s="12"/>
      <c r="F131" s="47"/>
      <c r="G131" s="368"/>
      <c r="H131" s="368"/>
      <c r="I131" s="368"/>
      <c r="J131" s="368"/>
      <c r="K131" s="368"/>
      <c r="L131" s="368"/>
      <c r="M131" s="368"/>
      <c r="N131" s="368"/>
      <c r="O131" s="368"/>
      <c r="P131" s="368"/>
      <c r="Q131" s="368"/>
      <c r="R131" s="368"/>
      <c r="S131" s="368"/>
      <c r="T131" s="374"/>
      <c r="V131" s="131"/>
    </row>
    <row r="132" spans="1:24" outlineLevel="1" x14ac:dyDescent="0.2">
      <c r="B132" s="166" t="s">
        <v>674</v>
      </c>
      <c r="C132" s="329"/>
      <c r="D132" s="167"/>
      <c r="E132" s="167"/>
      <c r="F132" s="167"/>
      <c r="G132" s="225"/>
      <c r="H132" s="225"/>
      <c r="I132" s="225"/>
      <c r="J132" s="225"/>
      <c r="K132" s="225"/>
      <c r="L132" s="225"/>
      <c r="M132" s="225"/>
      <c r="N132" s="225"/>
      <c r="O132" s="225"/>
      <c r="P132" s="225"/>
      <c r="Q132" s="225"/>
      <c r="R132" s="225"/>
      <c r="S132" s="225"/>
      <c r="T132" s="368"/>
    </row>
    <row r="133" spans="1:24" outlineLevel="1" x14ac:dyDescent="0.2">
      <c r="B133" s="163" t="s">
        <v>675</v>
      </c>
      <c r="C133" s="71">
        <v>50000</v>
      </c>
      <c r="D133" s="61"/>
      <c r="G133" s="225"/>
      <c r="H133" s="366">
        <f>$C133*H130</f>
        <v>200000</v>
      </c>
      <c r="I133" s="366">
        <f t="shared" ref="I133:O133" si="67">$C133*J130</f>
        <v>750000</v>
      </c>
      <c r="J133" s="366">
        <f t="shared" si="67"/>
        <v>500000</v>
      </c>
      <c r="K133" s="366">
        <f t="shared" si="67"/>
        <v>500000</v>
      </c>
      <c r="L133" s="366">
        <f t="shared" si="67"/>
        <v>0</v>
      </c>
      <c r="M133" s="366">
        <f t="shared" si="67"/>
        <v>0</v>
      </c>
      <c r="N133" s="366">
        <f t="shared" si="67"/>
        <v>0</v>
      </c>
      <c r="O133" s="366">
        <f t="shared" si="67"/>
        <v>0</v>
      </c>
      <c r="P133" s="366"/>
      <c r="Q133" s="366"/>
      <c r="R133" s="366"/>
      <c r="S133" s="366"/>
      <c r="T133" s="366">
        <f>SUM(G133:R133)</f>
        <v>1950000</v>
      </c>
    </row>
    <row r="134" spans="1:24" outlineLevel="1" x14ac:dyDescent="0.2">
      <c r="B134" s="163" t="s">
        <v>676</v>
      </c>
      <c r="C134" s="71">
        <f>135000*1.25</f>
        <v>168750</v>
      </c>
      <c r="D134" s="71"/>
      <c r="E134" s="12"/>
      <c r="F134" s="12"/>
      <c r="G134" s="12"/>
      <c r="H134" s="12"/>
      <c r="I134" s="12"/>
      <c r="J134" s="12">
        <f>$C$134</f>
        <v>168750</v>
      </c>
      <c r="K134" s="12"/>
      <c r="L134" s="12"/>
      <c r="M134" s="12"/>
      <c r="N134" s="12"/>
      <c r="O134" s="12"/>
      <c r="P134" s="12"/>
      <c r="Q134" s="12"/>
      <c r="R134" s="12"/>
      <c r="T134" s="11">
        <f t="shared" ref="T134:T144" si="68">C134-R134</f>
        <v>168750</v>
      </c>
    </row>
    <row r="135" spans="1:24" outlineLevel="1" x14ac:dyDescent="0.2">
      <c r="B135" s="163" t="s">
        <v>677</v>
      </c>
      <c r="C135" s="71">
        <f>(40000*1.25)+20*4000</f>
        <v>130000</v>
      </c>
      <c r="D135" s="71"/>
      <c r="E135" s="12"/>
      <c r="F135" s="12">
        <v>0</v>
      </c>
      <c r="G135" s="12"/>
      <c r="H135" s="12">
        <f>$C$135/2</f>
        <v>65000</v>
      </c>
      <c r="I135" s="12">
        <f>$C$135/2</f>
        <v>65000</v>
      </c>
      <c r="J135" s="12"/>
      <c r="K135" s="12"/>
      <c r="L135" s="12"/>
      <c r="M135" s="12"/>
      <c r="N135" s="12"/>
      <c r="O135" s="12"/>
      <c r="P135" s="12"/>
      <c r="Q135" s="12"/>
      <c r="R135" s="12"/>
      <c r="T135" s="11">
        <f t="shared" si="68"/>
        <v>130000</v>
      </c>
    </row>
    <row r="136" spans="1:24" outlineLevel="1" x14ac:dyDescent="0.2">
      <c r="B136" s="163" t="s">
        <v>678</v>
      </c>
      <c r="C136" s="71">
        <f>(4000*15)*1.25</f>
        <v>75000</v>
      </c>
      <c r="D136" s="71"/>
      <c r="E136" s="12"/>
      <c r="F136" s="12"/>
      <c r="G136" s="12"/>
      <c r="H136" s="12">
        <f>$C$136/2</f>
        <v>37500</v>
      </c>
      <c r="I136" s="12">
        <f>$C$136/2</f>
        <v>37500</v>
      </c>
      <c r="J136" s="12"/>
      <c r="K136" s="12"/>
      <c r="L136" s="12"/>
      <c r="M136" s="12"/>
      <c r="N136" s="12"/>
      <c r="O136" s="12"/>
      <c r="P136" s="12"/>
      <c r="Q136" s="12"/>
      <c r="R136" s="12"/>
      <c r="T136" s="11">
        <f t="shared" si="68"/>
        <v>75000</v>
      </c>
    </row>
    <row r="137" spans="1:24" outlineLevel="1" x14ac:dyDescent="0.2">
      <c r="B137" s="163" t="s">
        <v>679</v>
      </c>
      <c r="C137" s="71">
        <f>225000*1.25</f>
        <v>281250</v>
      </c>
      <c r="D137" s="71"/>
      <c r="E137" s="12"/>
      <c r="F137" s="12"/>
      <c r="G137" s="12"/>
      <c r="H137" s="12">
        <f>$C$137/2</f>
        <v>140625</v>
      </c>
      <c r="I137" s="12">
        <f>$C$137/2</f>
        <v>140625</v>
      </c>
      <c r="J137" s="12"/>
      <c r="K137" s="12"/>
      <c r="L137" s="12"/>
      <c r="M137" s="12"/>
      <c r="N137" s="12"/>
      <c r="O137" s="12"/>
      <c r="P137" s="12"/>
      <c r="Q137" s="12"/>
      <c r="R137" s="12"/>
      <c r="T137" s="11">
        <f t="shared" si="68"/>
        <v>281250</v>
      </c>
    </row>
    <row r="138" spans="1:24" outlineLevel="1" x14ac:dyDescent="0.2">
      <c r="B138" s="163" t="s">
        <v>680</v>
      </c>
      <c r="C138" s="71">
        <f>130000*1.25</f>
        <v>162500</v>
      </c>
      <c r="D138" s="71"/>
      <c r="E138" s="12"/>
      <c r="F138" s="12"/>
      <c r="G138" s="12"/>
      <c r="H138" s="12">
        <f>$C$138/2</f>
        <v>81250</v>
      </c>
      <c r="I138" s="12">
        <f>$C$138/2</f>
        <v>81250</v>
      </c>
      <c r="J138" s="12"/>
      <c r="K138" s="12"/>
      <c r="L138" s="12"/>
      <c r="M138" s="12"/>
      <c r="N138" s="12"/>
      <c r="O138" s="12"/>
      <c r="P138" s="12"/>
      <c r="Q138" s="12"/>
      <c r="R138" s="12"/>
      <c r="T138" s="11">
        <f t="shared" si="68"/>
        <v>162500</v>
      </c>
    </row>
    <row r="139" spans="1:24" outlineLevel="1" x14ac:dyDescent="0.2">
      <c r="B139" s="163" t="s">
        <v>681</v>
      </c>
      <c r="C139" s="71">
        <f>250000*1.25</f>
        <v>312500</v>
      </c>
      <c r="D139" s="71"/>
      <c r="E139" s="12"/>
      <c r="F139" s="12"/>
      <c r="G139" s="12"/>
      <c r="H139" s="12">
        <f>$C$139/2</f>
        <v>156250</v>
      </c>
      <c r="I139" s="12">
        <f>$C$139/2</f>
        <v>156250</v>
      </c>
      <c r="J139" s="12"/>
      <c r="K139" s="12"/>
      <c r="L139" s="12"/>
      <c r="M139" s="12"/>
      <c r="N139" s="12"/>
      <c r="O139" s="12"/>
      <c r="P139" s="12"/>
      <c r="Q139" s="12"/>
      <c r="R139" s="12"/>
      <c r="T139" s="11">
        <f t="shared" si="68"/>
        <v>312500</v>
      </c>
    </row>
    <row r="140" spans="1:24" outlineLevel="1" x14ac:dyDescent="0.2">
      <c r="B140" s="163" t="s">
        <v>682</v>
      </c>
      <c r="C140" s="71">
        <f>225000*1.25</f>
        <v>281250</v>
      </c>
      <c r="D140" s="71"/>
      <c r="E140" s="12"/>
      <c r="F140" s="12"/>
      <c r="G140" s="12"/>
      <c r="H140" s="12">
        <f>$C$140/4</f>
        <v>70312.5</v>
      </c>
      <c r="I140" s="12">
        <f>$C$140/4</f>
        <v>70312.5</v>
      </c>
      <c r="J140" s="12">
        <f>$C$140/4</f>
        <v>70312.5</v>
      </c>
      <c r="K140" s="12">
        <f>$C$140/4</f>
        <v>70312.5</v>
      </c>
      <c r="L140" s="12"/>
      <c r="M140" s="12"/>
      <c r="N140" s="12"/>
      <c r="O140" s="12"/>
      <c r="P140" s="12"/>
      <c r="Q140" s="12"/>
      <c r="R140" s="12"/>
      <c r="T140" s="11">
        <f t="shared" si="68"/>
        <v>281250</v>
      </c>
    </row>
    <row r="141" spans="1:24" outlineLevel="1" x14ac:dyDescent="0.2">
      <c r="B141" s="163" t="s">
        <v>683</v>
      </c>
      <c r="C141" s="71">
        <f>90000*1.25</f>
        <v>112500</v>
      </c>
      <c r="D141" s="71"/>
      <c r="E141" s="12"/>
      <c r="F141" s="12"/>
      <c r="G141" s="12"/>
      <c r="H141" s="12">
        <f>$C$141/2</f>
        <v>56250</v>
      </c>
      <c r="I141" s="12">
        <f>$C$141/2</f>
        <v>56250</v>
      </c>
      <c r="J141" s="12"/>
      <c r="K141" s="12"/>
      <c r="L141" s="12"/>
      <c r="M141" s="12"/>
      <c r="N141" s="12"/>
      <c r="O141" s="12"/>
      <c r="P141" s="12"/>
      <c r="Q141" s="12"/>
      <c r="R141" s="12"/>
      <c r="T141" s="11">
        <f t="shared" si="68"/>
        <v>112500</v>
      </c>
    </row>
    <row r="142" spans="1:24" outlineLevel="1" x14ac:dyDescent="0.2">
      <c r="B142" s="163" t="s">
        <v>684</v>
      </c>
      <c r="C142" s="71">
        <f>465000*1.25</f>
        <v>581250</v>
      </c>
      <c r="D142" s="71"/>
      <c r="E142" s="12"/>
      <c r="F142" s="12"/>
      <c r="G142" s="12"/>
      <c r="H142" s="12">
        <f>$C$142/2</f>
        <v>290625</v>
      </c>
      <c r="I142" s="12">
        <f>$C$142/2</f>
        <v>290625</v>
      </c>
      <c r="J142" s="12"/>
      <c r="K142" s="12"/>
      <c r="L142" s="12"/>
      <c r="M142" s="12"/>
      <c r="N142" s="12"/>
      <c r="O142" s="12"/>
      <c r="P142" s="12"/>
      <c r="Q142" s="12"/>
      <c r="R142" s="12"/>
      <c r="T142" s="11">
        <f t="shared" si="68"/>
        <v>581250</v>
      </c>
    </row>
    <row r="143" spans="1:24" outlineLevel="1" x14ac:dyDescent="0.2">
      <c r="B143" s="163" t="s">
        <v>685</v>
      </c>
      <c r="C143" s="71">
        <f>505000*1.25</f>
        <v>631250</v>
      </c>
      <c r="D143" s="71"/>
      <c r="E143" s="12"/>
      <c r="F143" s="12"/>
      <c r="G143" s="12"/>
      <c r="H143" s="12">
        <f>$C$143/2</f>
        <v>315625</v>
      </c>
      <c r="I143" s="12">
        <f>$C$143/2</f>
        <v>315625</v>
      </c>
      <c r="J143" s="12"/>
      <c r="K143" s="12"/>
      <c r="L143" s="12"/>
      <c r="M143" s="12"/>
      <c r="N143" s="12"/>
      <c r="O143" s="12"/>
      <c r="P143" s="12"/>
      <c r="Q143" s="12"/>
      <c r="R143" s="12"/>
      <c r="T143" s="11">
        <f t="shared" si="68"/>
        <v>631250</v>
      </c>
    </row>
    <row r="144" spans="1:24" outlineLevel="1" x14ac:dyDescent="0.2">
      <c r="B144" s="163" t="s">
        <v>686</v>
      </c>
      <c r="C144" s="71">
        <f>750000</f>
        <v>750000</v>
      </c>
      <c r="D144" s="71"/>
      <c r="E144" s="12"/>
      <c r="F144" s="12"/>
      <c r="G144" s="12"/>
      <c r="H144" s="12">
        <f>$C$144/2</f>
        <v>375000</v>
      </c>
      <c r="I144" s="12">
        <f>$C$144/2</f>
        <v>375000</v>
      </c>
      <c r="J144" s="12"/>
      <c r="K144" s="12"/>
      <c r="L144" s="12"/>
      <c r="M144" s="12"/>
      <c r="N144" s="12"/>
      <c r="O144" s="12"/>
      <c r="P144" s="12"/>
      <c r="Q144" s="12"/>
      <c r="R144" s="12"/>
      <c r="T144" s="11">
        <f t="shared" si="68"/>
        <v>750000</v>
      </c>
    </row>
    <row r="145" spans="1:23" outlineLevel="1" x14ac:dyDescent="0.2">
      <c r="B145" s="163" t="s">
        <v>687</v>
      </c>
      <c r="C145" s="71">
        <v>750000</v>
      </c>
      <c r="D145" s="71"/>
      <c r="E145" s="12"/>
      <c r="F145" s="12">
        <f>$C$103/3</f>
        <v>4</v>
      </c>
      <c r="G145" s="12"/>
      <c r="H145" s="12">
        <f>$C145*I$76</f>
        <v>0</v>
      </c>
      <c r="I145" s="12">
        <f>$C145/2</f>
        <v>375000</v>
      </c>
      <c r="J145" s="12">
        <f>$C145/2</f>
        <v>375000</v>
      </c>
      <c r="K145" s="12"/>
      <c r="L145" s="12"/>
      <c r="M145" s="12"/>
      <c r="N145" s="12"/>
      <c r="O145" s="12"/>
      <c r="P145" s="12"/>
      <c r="Q145" s="12"/>
      <c r="R145" s="12"/>
      <c r="T145" s="11">
        <f t="shared" ref="T145" si="69">C145-R145</f>
        <v>750000</v>
      </c>
    </row>
    <row r="146" spans="1:23" outlineLevel="1" x14ac:dyDescent="0.2">
      <c r="B146" s="163" t="s">
        <v>688</v>
      </c>
      <c r="C146" s="71">
        <v>150000</v>
      </c>
      <c r="D146" s="61"/>
      <c r="E146" s="61"/>
      <c r="F146" s="108"/>
      <c r="G146" s="366"/>
      <c r="H146" s="366">
        <f t="shared" ref="H146:N146" si="70">$C146*H130</f>
        <v>600000</v>
      </c>
      <c r="I146" s="366">
        <f t="shared" si="70"/>
        <v>0</v>
      </c>
      <c r="J146" s="366">
        <f t="shared" si="70"/>
        <v>2250000</v>
      </c>
      <c r="K146" s="366">
        <f t="shared" si="70"/>
        <v>1500000</v>
      </c>
      <c r="L146" s="366">
        <f t="shared" si="70"/>
        <v>1500000</v>
      </c>
      <c r="M146" s="366">
        <f t="shared" si="70"/>
        <v>0</v>
      </c>
      <c r="N146" s="366">
        <f t="shared" si="70"/>
        <v>0</v>
      </c>
      <c r="O146" s="366">
        <f t="shared" ref="O146:P146" si="71">$C146*O130</f>
        <v>0</v>
      </c>
      <c r="P146" s="366">
        <f t="shared" si="71"/>
        <v>0</v>
      </c>
      <c r="Q146" s="366"/>
      <c r="R146" s="366"/>
      <c r="S146" s="366"/>
      <c r="T146" s="366">
        <f>SUM(G146:R146)</f>
        <v>5850000</v>
      </c>
    </row>
    <row r="147" spans="1:23" s="3" customFormat="1" x14ac:dyDescent="0.2">
      <c r="A147" s="55"/>
      <c r="B147" s="85" t="str">
        <f>B132</f>
        <v xml:space="preserve">HARD COSTS - SITE </v>
      </c>
      <c r="C147" s="330"/>
      <c r="D147" s="51"/>
      <c r="E147" s="51"/>
      <c r="F147" s="24"/>
      <c r="G147" s="375">
        <f t="shared" ref="G147:R147" si="72">SUM(G132:G146)</f>
        <v>0</v>
      </c>
      <c r="H147" s="375">
        <f t="shared" si="72"/>
        <v>2388437.5</v>
      </c>
      <c r="I147" s="375">
        <f t="shared" si="72"/>
        <v>2713437.5</v>
      </c>
      <c r="J147" s="375">
        <f t="shared" si="72"/>
        <v>3364062.5</v>
      </c>
      <c r="K147" s="375">
        <f t="shared" si="72"/>
        <v>2070312.5</v>
      </c>
      <c r="L147" s="375">
        <f t="shared" si="72"/>
        <v>1500000</v>
      </c>
      <c r="M147" s="375">
        <f t="shared" si="72"/>
        <v>0</v>
      </c>
      <c r="N147" s="375">
        <f t="shared" si="72"/>
        <v>0</v>
      </c>
      <c r="O147" s="375">
        <f t="shared" si="72"/>
        <v>0</v>
      </c>
      <c r="P147" s="375">
        <f t="shared" si="72"/>
        <v>0</v>
      </c>
      <c r="Q147" s="375">
        <f t="shared" si="72"/>
        <v>0</v>
      </c>
      <c r="R147" s="375">
        <f t="shared" si="72"/>
        <v>0</v>
      </c>
      <c r="S147" s="375"/>
      <c r="T147" s="373">
        <f>SUM(G147:R147)</f>
        <v>12036250</v>
      </c>
      <c r="V147" s="331">
        <f>T147+T129</f>
        <v>119843980</v>
      </c>
      <c r="W147" s="512">
        <f>V150/V147</f>
        <v>6.4190050263684503E-2</v>
      </c>
    </row>
    <row r="148" spans="1:23" x14ac:dyDescent="0.2">
      <c r="B148" s="162"/>
      <c r="C148" s="117"/>
      <c r="D148" s="61"/>
      <c r="E148" s="12"/>
      <c r="F148" s="47"/>
      <c r="G148" s="368"/>
      <c r="H148" s="368"/>
      <c r="I148" s="368"/>
      <c r="J148" s="368"/>
      <c r="K148" s="368"/>
      <c r="L148" s="368"/>
      <c r="M148" s="368"/>
      <c r="N148" s="368"/>
      <c r="O148" s="368"/>
      <c r="P148" s="368"/>
      <c r="Q148" s="368"/>
      <c r="R148" s="368"/>
      <c r="S148" s="368"/>
      <c r="T148" s="374"/>
      <c r="V148" s="131"/>
    </row>
    <row r="149" spans="1:23" outlineLevel="1" x14ac:dyDescent="0.2">
      <c r="B149" t="s">
        <v>689</v>
      </c>
      <c r="G149" s="225"/>
      <c r="H149" s="225"/>
      <c r="I149" s="225"/>
      <c r="J149" s="225"/>
      <c r="K149" s="225"/>
      <c r="L149" s="225"/>
      <c r="M149" s="225"/>
      <c r="N149" s="225"/>
      <c r="O149" s="225"/>
      <c r="P149" s="225"/>
      <c r="Q149" s="225"/>
      <c r="R149" s="225"/>
      <c r="S149" s="225"/>
      <c r="T149" s="368">
        <f t="shared" ref="T149:T160" si="73">SUM(G149:R149)</f>
        <v>0</v>
      </c>
    </row>
    <row r="150" spans="1:23" outlineLevel="1" x14ac:dyDescent="0.2">
      <c r="B150" s="163" t="s">
        <v>690</v>
      </c>
      <c r="C150" s="65">
        <v>7.4999999999999997E-2</v>
      </c>
      <c r="D150" s="32"/>
      <c r="E150" s="12"/>
      <c r="F150" s="91"/>
      <c r="G150" s="376">
        <f>$C150*H$133</f>
        <v>15000</v>
      </c>
      <c r="H150" s="376">
        <f>$C150*I$133</f>
        <v>56250</v>
      </c>
      <c r="I150" s="376">
        <f>$C150*J$133</f>
        <v>37500</v>
      </c>
      <c r="J150" s="376">
        <f>$C150*K$133</f>
        <v>37500</v>
      </c>
      <c r="K150" s="376">
        <f>$C150*L$133</f>
        <v>0</v>
      </c>
      <c r="L150" s="376"/>
      <c r="M150" s="376"/>
      <c r="N150" s="376"/>
      <c r="O150" s="376"/>
      <c r="P150" s="376"/>
      <c r="Q150" s="376"/>
      <c r="R150" s="376"/>
      <c r="S150" s="376"/>
      <c r="T150" s="368">
        <f t="shared" si="73"/>
        <v>146250</v>
      </c>
      <c r="V150" s="225">
        <f>SUM(T150:T152)</f>
        <v>7692791.0999999996</v>
      </c>
    </row>
    <row r="151" spans="1:23" outlineLevel="1" x14ac:dyDescent="0.2">
      <c r="B151" s="163" t="s">
        <v>691</v>
      </c>
      <c r="C151" s="65">
        <v>0.05</v>
      </c>
      <c r="D151" s="32"/>
      <c r="E151" s="12"/>
      <c r="F151" s="91"/>
      <c r="G151" s="376">
        <f>$C151*H$129</f>
        <v>434359.375</v>
      </c>
      <c r="H151" s="376">
        <f>$C151*I$129</f>
        <v>1518765.75</v>
      </c>
      <c r="I151" s="376">
        <f>$C151*J$129</f>
        <v>2192031.59375</v>
      </c>
      <c r="J151" s="376">
        <f t="shared" ref="J151:L151" si="74">$C151*K$129</f>
        <v>1147917.71875</v>
      </c>
      <c r="K151" s="376">
        <f t="shared" si="74"/>
        <v>97312.0625</v>
      </c>
      <c r="L151" s="376">
        <f t="shared" si="74"/>
        <v>0</v>
      </c>
      <c r="M151" s="376"/>
      <c r="N151" s="376"/>
      <c r="O151" s="376"/>
      <c r="P151" s="376"/>
      <c r="Q151" s="376"/>
      <c r="R151" s="376"/>
      <c r="S151" s="376"/>
      <c r="T151" s="368">
        <f t="shared" si="73"/>
        <v>5390386.5</v>
      </c>
    </row>
    <row r="152" spans="1:23" outlineLevel="1" x14ac:dyDescent="0.2">
      <c r="B152" s="163" t="s">
        <v>692</v>
      </c>
      <c r="C152" s="65">
        <v>0.02</v>
      </c>
      <c r="D152" s="32"/>
      <c r="E152" s="32"/>
      <c r="F152" s="91"/>
      <c r="G152" s="376">
        <f>$C152*G$129</f>
        <v>0</v>
      </c>
      <c r="H152" s="376">
        <f t="shared" ref="H152:N152" si="75">$C152*H$129</f>
        <v>173743.75</v>
      </c>
      <c r="I152" s="376">
        <f t="shared" si="75"/>
        <v>607506.30000000005</v>
      </c>
      <c r="J152" s="376">
        <f t="shared" si="75"/>
        <v>876812.63750000007</v>
      </c>
      <c r="K152" s="376">
        <f t="shared" si="75"/>
        <v>459167.08750000002</v>
      </c>
      <c r="L152" s="376">
        <f t="shared" si="75"/>
        <v>38924.825000000004</v>
      </c>
      <c r="M152" s="376">
        <f t="shared" si="75"/>
        <v>0</v>
      </c>
      <c r="N152" s="376">
        <f t="shared" si="75"/>
        <v>0</v>
      </c>
      <c r="O152" s="376"/>
      <c r="P152" s="376"/>
      <c r="Q152" s="376"/>
      <c r="R152" s="376"/>
      <c r="S152" s="376"/>
      <c r="T152" s="368">
        <f t="shared" si="73"/>
        <v>2156154.6</v>
      </c>
    </row>
    <row r="153" spans="1:23" outlineLevel="1" x14ac:dyDescent="0.2">
      <c r="B153" s="163" t="s">
        <v>693</v>
      </c>
      <c r="C153" s="65">
        <v>0.1</v>
      </c>
      <c r="D153" s="32"/>
      <c r="E153" s="32"/>
      <c r="F153" s="91"/>
      <c r="G153" s="376">
        <f t="shared" ref="G153:H153" si="76">$C$153*H146</f>
        <v>60000</v>
      </c>
      <c r="H153" s="376">
        <f t="shared" si="76"/>
        <v>0</v>
      </c>
      <c r="I153" s="376">
        <f>$C$153*J146</f>
        <v>225000</v>
      </c>
      <c r="J153" s="376">
        <f t="shared" ref="J153:O153" si="77">$C$153*K146</f>
        <v>150000</v>
      </c>
      <c r="K153" s="376">
        <f t="shared" si="77"/>
        <v>150000</v>
      </c>
      <c r="L153" s="376">
        <f t="shared" si="77"/>
        <v>0</v>
      </c>
      <c r="M153" s="376">
        <f t="shared" si="77"/>
        <v>0</v>
      </c>
      <c r="N153" s="376">
        <f t="shared" si="77"/>
        <v>0</v>
      </c>
      <c r="O153" s="376">
        <f t="shared" si="77"/>
        <v>0</v>
      </c>
      <c r="P153" s="376"/>
      <c r="Q153" s="376"/>
      <c r="R153" s="376"/>
      <c r="S153" s="376"/>
      <c r="T153" s="368">
        <f t="shared" si="73"/>
        <v>585000</v>
      </c>
    </row>
    <row r="154" spans="1:23" outlineLevel="1" x14ac:dyDescent="0.2">
      <c r="B154" s="163" t="s">
        <v>694</v>
      </c>
      <c r="C154" s="65">
        <v>3.5000000000000003E-2</v>
      </c>
      <c r="D154" s="32"/>
      <c r="E154" s="32"/>
      <c r="F154" s="91"/>
      <c r="G154" s="376">
        <f>$C$154*G146</f>
        <v>0</v>
      </c>
      <c r="H154" s="376">
        <f>$C$154*H146</f>
        <v>21000.000000000004</v>
      </c>
      <c r="I154" s="376">
        <f t="shared" ref="I154:O154" si="78">$C$154*I146</f>
        <v>0</v>
      </c>
      <c r="J154" s="376">
        <f t="shared" si="78"/>
        <v>78750.000000000015</v>
      </c>
      <c r="K154" s="376">
        <f t="shared" si="78"/>
        <v>52500.000000000007</v>
      </c>
      <c r="L154" s="376">
        <f t="shared" si="78"/>
        <v>52500.000000000007</v>
      </c>
      <c r="M154" s="376">
        <f t="shared" si="78"/>
        <v>0</v>
      </c>
      <c r="N154" s="376">
        <f t="shared" si="78"/>
        <v>0</v>
      </c>
      <c r="O154" s="376">
        <f t="shared" si="78"/>
        <v>0</v>
      </c>
      <c r="P154" s="376"/>
      <c r="Q154" s="376"/>
      <c r="R154" s="376"/>
      <c r="S154" s="376"/>
      <c r="T154" s="368">
        <f t="shared" si="73"/>
        <v>204750.00000000003</v>
      </c>
    </row>
    <row r="155" spans="1:23" outlineLevel="1" x14ac:dyDescent="0.2">
      <c r="B155" s="163" t="s">
        <v>695</v>
      </c>
      <c r="C155" s="64">
        <v>4</v>
      </c>
      <c r="D155" s="32"/>
      <c r="E155" s="32"/>
      <c r="F155" s="91"/>
      <c r="G155" s="452">
        <v>25000</v>
      </c>
      <c r="H155" s="376">
        <f>($C155*$D$127)/4</f>
        <v>128260</v>
      </c>
      <c r="I155" s="376">
        <f>($C155*$D$127)/4</f>
        <v>128260</v>
      </c>
      <c r="J155" s="376">
        <f>($C155*$D$127)/4</f>
        <v>128260</v>
      </c>
      <c r="K155" s="376">
        <f>($C155*$D$127)/4</f>
        <v>128260</v>
      </c>
      <c r="L155" s="376"/>
      <c r="M155" s="376"/>
      <c r="N155" s="376"/>
      <c r="O155" s="376"/>
      <c r="P155" s="376"/>
      <c r="Q155" s="225"/>
      <c r="R155" s="225"/>
      <c r="S155" s="225"/>
      <c r="T155" s="368">
        <f t="shared" si="73"/>
        <v>538040</v>
      </c>
    </row>
    <row r="156" spans="1:23" outlineLevel="1" x14ac:dyDescent="0.2">
      <c r="B156" s="163" t="s">
        <v>696</v>
      </c>
      <c r="C156" s="64">
        <v>1.5</v>
      </c>
      <c r="D156" s="32"/>
      <c r="E156" s="32"/>
      <c r="F156" s="91"/>
      <c r="G156" s="376"/>
      <c r="I156" s="376">
        <f>($C$156*$D$127)/4</f>
        <v>48097.5</v>
      </c>
      <c r="J156" s="376">
        <f>($C$156*$D$127)/4</f>
        <v>48097.5</v>
      </c>
      <c r="K156" s="376">
        <f>($C$156*$D$127)/4</f>
        <v>48097.5</v>
      </c>
      <c r="L156" s="376">
        <f>($C$156*$D$127)/4</f>
        <v>48097.5</v>
      </c>
      <c r="M156" s="376"/>
      <c r="N156" s="376"/>
      <c r="O156" s="376"/>
      <c r="P156" s="376"/>
      <c r="Q156" s="225"/>
      <c r="R156" s="225"/>
      <c r="S156" s="225"/>
      <c r="T156" s="368">
        <f t="shared" si="73"/>
        <v>192390</v>
      </c>
    </row>
    <row r="157" spans="1:23" outlineLevel="1" x14ac:dyDescent="0.2">
      <c r="B157" s="163" t="s">
        <v>331</v>
      </c>
      <c r="C157" s="10">
        <f>250000</f>
        <v>250000</v>
      </c>
      <c r="D157" s="32"/>
      <c r="E157" s="32"/>
      <c r="F157" s="91"/>
      <c r="H157" s="376">
        <f>$C$157/4</f>
        <v>62500</v>
      </c>
      <c r="I157" s="376">
        <f>$C$157/4</f>
        <v>62500</v>
      </c>
      <c r="J157" s="376">
        <f>$C$157/4</f>
        <v>62500</v>
      </c>
      <c r="K157" s="376">
        <f>$C$157/4</f>
        <v>62500</v>
      </c>
      <c r="L157" s="376"/>
      <c r="M157" s="376"/>
      <c r="N157" s="376"/>
      <c r="O157" s="376"/>
      <c r="P157" s="376"/>
      <c r="Q157" s="225"/>
      <c r="R157" s="225"/>
      <c r="S157" s="225"/>
      <c r="T157" s="368">
        <f>SUM(H157:R157)</f>
        <v>250000</v>
      </c>
    </row>
    <row r="158" spans="1:23" outlineLevel="1" x14ac:dyDescent="0.2">
      <c r="B158" s="163" t="s">
        <v>697</v>
      </c>
      <c r="C158" s="10">
        <f>3500*3</f>
        <v>10500</v>
      </c>
      <c r="D158" s="12"/>
      <c r="E158" s="12"/>
      <c r="F158" s="47"/>
      <c r="H158" s="368">
        <f t="shared" ref="H158:L158" si="79">$C$158</f>
        <v>10500</v>
      </c>
      <c r="I158" s="368">
        <f t="shared" si="79"/>
        <v>10500</v>
      </c>
      <c r="J158" s="368">
        <f t="shared" si="79"/>
        <v>10500</v>
      </c>
      <c r="K158" s="368">
        <f t="shared" si="79"/>
        <v>10500</v>
      </c>
      <c r="L158" s="368">
        <f t="shared" si="79"/>
        <v>10500</v>
      </c>
      <c r="M158" s="368"/>
      <c r="N158" s="368"/>
      <c r="O158" s="368"/>
      <c r="P158" s="368"/>
      <c r="Q158" s="368"/>
      <c r="R158" s="368"/>
      <c r="S158" s="368"/>
      <c r="T158" s="368">
        <f>SUM(H158:R158)</f>
        <v>52500</v>
      </c>
    </row>
    <row r="159" spans="1:23" outlineLevel="1" x14ac:dyDescent="0.2">
      <c r="B159" s="168" t="s">
        <v>333</v>
      </c>
      <c r="C159" s="419">
        <v>0.05</v>
      </c>
      <c r="D159" s="22"/>
      <c r="E159" s="22"/>
      <c r="F159" s="11"/>
      <c r="G159" s="377">
        <f>SUM(G149:G158)*$C$159</f>
        <v>26717.96875</v>
      </c>
      <c r="H159" s="377">
        <f>SUM(H149:H158)*$C$159</f>
        <v>98550.975000000006</v>
      </c>
      <c r="I159" s="377">
        <f t="shared" ref="I159:R159" si="80">SUM(I149:I158)*$C$159</f>
        <v>165569.7696875</v>
      </c>
      <c r="J159" s="377">
        <f t="shared" si="80"/>
        <v>127016.89281250001</v>
      </c>
      <c r="K159" s="377">
        <f t="shared" si="80"/>
        <v>50416.832500000004</v>
      </c>
      <c r="L159" s="377">
        <f t="shared" si="80"/>
        <v>7501.1162500000009</v>
      </c>
      <c r="M159" s="377">
        <f t="shared" si="80"/>
        <v>0</v>
      </c>
      <c r="N159" s="377">
        <f t="shared" si="80"/>
        <v>0</v>
      </c>
      <c r="O159" s="377">
        <f t="shared" si="80"/>
        <v>0</v>
      </c>
      <c r="P159" s="377">
        <f t="shared" si="80"/>
        <v>0</v>
      </c>
      <c r="Q159" s="377">
        <f t="shared" si="80"/>
        <v>0</v>
      </c>
      <c r="R159" s="377">
        <f t="shared" si="80"/>
        <v>0</v>
      </c>
      <c r="S159" s="377"/>
      <c r="T159" s="378">
        <f t="shared" si="73"/>
        <v>475773.55500000005</v>
      </c>
    </row>
    <row r="160" spans="1:23" s="3" customFormat="1" x14ac:dyDescent="0.2">
      <c r="A160" s="55"/>
      <c r="B160" s="115" t="str">
        <f>B149</f>
        <v>SOFT COSTS - PROFESSIONALS</v>
      </c>
      <c r="C160" s="420"/>
      <c r="D160" s="51"/>
      <c r="E160" s="51"/>
      <c r="F160" s="24"/>
      <c r="G160" s="375">
        <f t="shared" ref="G160:R160" si="81">SUM(G149:G159)</f>
        <v>561077.34375</v>
      </c>
      <c r="H160" s="375">
        <f t="shared" si="81"/>
        <v>2069570.4750000001</v>
      </c>
      <c r="I160" s="375">
        <f t="shared" si="81"/>
        <v>3476965.1634374997</v>
      </c>
      <c r="J160" s="375">
        <f t="shared" si="81"/>
        <v>2667354.7490625</v>
      </c>
      <c r="K160" s="375">
        <f t="shared" si="81"/>
        <v>1058753.4824999999</v>
      </c>
      <c r="L160" s="375">
        <f t="shared" si="81"/>
        <v>157523.44125</v>
      </c>
      <c r="M160" s="375">
        <f t="shared" si="81"/>
        <v>0</v>
      </c>
      <c r="N160" s="375">
        <f t="shared" si="81"/>
        <v>0</v>
      </c>
      <c r="O160" s="375">
        <f t="shared" si="81"/>
        <v>0</v>
      </c>
      <c r="P160" s="375">
        <f t="shared" si="81"/>
        <v>0</v>
      </c>
      <c r="Q160" s="375">
        <f t="shared" si="81"/>
        <v>0</v>
      </c>
      <c r="R160" s="375">
        <f t="shared" si="81"/>
        <v>0</v>
      </c>
      <c r="S160" s="375"/>
      <c r="T160" s="373">
        <f t="shared" si="73"/>
        <v>9991244.6549999993</v>
      </c>
    </row>
    <row r="161" spans="1:20" x14ac:dyDescent="0.2">
      <c r="G161" s="225"/>
      <c r="H161" s="225"/>
      <c r="I161" s="225"/>
      <c r="J161" s="225"/>
      <c r="K161" s="225"/>
      <c r="L161" s="225"/>
      <c r="M161" s="225"/>
      <c r="N161" s="225"/>
      <c r="O161" s="225"/>
      <c r="P161" s="225"/>
      <c r="Q161" s="225"/>
      <c r="R161" s="225"/>
      <c r="S161" s="225"/>
      <c r="T161" s="368"/>
    </row>
    <row r="162" spans="1:20" outlineLevel="1" x14ac:dyDescent="0.2">
      <c r="B162" s="81" t="s">
        <v>353</v>
      </c>
      <c r="G162" s="225"/>
      <c r="H162" s="225"/>
      <c r="I162" s="225"/>
      <c r="J162" s="225"/>
      <c r="K162" s="225"/>
      <c r="L162" s="225"/>
      <c r="M162" s="225"/>
      <c r="N162" s="225"/>
      <c r="O162" s="225"/>
      <c r="P162" s="225"/>
      <c r="Q162" s="225"/>
      <c r="R162" s="225"/>
      <c r="S162" s="225"/>
      <c r="T162" s="368"/>
    </row>
    <row r="163" spans="1:20" outlineLevel="1" x14ac:dyDescent="0.2">
      <c r="B163" s="163" t="s">
        <v>47</v>
      </c>
      <c r="C163" s="90">
        <v>4.4999999999999998E-2</v>
      </c>
      <c r="G163" s="225">
        <f t="shared" ref="G163:R163" si="82">G60*$C$163</f>
        <v>0</v>
      </c>
      <c r="H163" s="225">
        <f t="shared" si="82"/>
        <v>0</v>
      </c>
      <c r="I163" s="225">
        <f t="shared" si="82"/>
        <v>0</v>
      </c>
      <c r="J163" s="225">
        <f t="shared" si="82"/>
        <v>649687.5</v>
      </c>
      <c r="K163" s="225">
        <f t="shared" si="82"/>
        <v>2570906.25</v>
      </c>
      <c r="L163" s="225">
        <f t="shared" si="82"/>
        <v>2827996.8750000005</v>
      </c>
      <c r="M163" s="225">
        <f t="shared" si="82"/>
        <v>0</v>
      </c>
      <c r="N163" s="225">
        <f t="shared" si="82"/>
        <v>0</v>
      </c>
      <c r="O163" s="225">
        <f t="shared" si="82"/>
        <v>0</v>
      </c>
      <c r="P163" s="225">
        <f t="shared" si="82"/>
        <v>0</v>
      </c>
      <c r="Q163" s="225">
        <f t="shared" si="82"/>
        <v>0</v>
      </c>
      <c r="R163" s="225">
        <f t="shared" si="82"/>
        <v>0</v>
      </c>
      <c r="S163" s="225"/>
      <c r="T163" s="366">
        <f>SUM(G163:R163)</f>
        <v>6048590.625</v>
      </c>
    </row>
    <row r="164" spans="1:20" outlineLevel="1" x14ac:dyDescent="0.2">
      <c r="B164" s="163" t="s">
        <v>354</v>
      </c>
      <c r="G164" s="225"/>
      <c r="H164" s="225"/>
      <c r="I164" s="225"/>
      <c r="J164" s="225"/>
      <c r="K164" s="225"/>
      <c r="L164" s="225"/>
      <c r="M164" s="225"/>
      <c r="N164" s="225"/>
      <c r="O164" s="225"/>
      <c r="P164" s="225"/>
      <c r="Q164" s="225"/>
      <c r="R164" s="225"/>
      <c r="S164" s="225"/>
      <c r="T164" s="368">
        <f t="shared" ref="T164:T167" si="83">SUM(G164:R164)</f>
        <v>0</v>
      </c>
    </row>
    <row r="165" spans="1:20" outlineLevel="1" x14ac:dyDescent="0.2">
      <c r="B165" s="163" t="s">
        <v>355</v>
      </c>
      <c r="C165" s="10">
        <v>100000</v>
      </c>
      <c r="D165" s="88" t="s">
        <v>356</v>
      </c>
      <c r="G165" s="368">
        <f t="shared" ref="G165:R165" si="84">IF(G60&gt;0,$C$165,0)</f>
        <v>0</v>
      </c>
      <c r="H165" s="368">
        <f t="shared" si="84"/>
        <v>0</v>
      </c>
      <c r="I165" s="368">
        <f t="shared" si="84"/>
        <v>0</v>
      </c>
      <c r="J165" s="368">
        <f t="shared" si="84"/>
        <v>100000</v>
      </c>
      <c r="K165" s="368">
        <f t="shared" si="84"/>
        <v>100000</v>
      </c>
      <c r="L165" s="368">
        <f t="shared" si="84"/>
        <v>100000</v>
      </c>
      <c r="M165" s="368">
        <f t="shared" si="84"/>
        <v>0</v>
      </c>
      <c r="N165" s="368">
        <f t="shared" si="84"/>
        <v>0</v>
      </c>
      <c r="O165" s="368">
        <f t="shared" si="84"/>
        <v>0</v>
      </c>
      <c r="P165" s="368">
        <f t="shared" si="84"/>
        <v>0</v>
      </c>
      <c r="Q165" s="368">
        <f t="shared" si="84"/>
        <v>0</v>
      </c>
      <c r="R165" s="368">
        <f t="shared" si="84"/>
        <v>0</v>
      </c>
      <c r="S165" s="225"/>
      <c r="T165" s="366">
        <f t="shared" si="83"/>
        <v>300000</v>
      </c>
    </row>
    <row r="166" spans="1:20" outlineLevel="1" x14ac:dyDescent="0.2">
      <c r="B166" s="163" t="s">
        <v>357</v>
      </c>
      <c r="C166" s="10"/>
      <c r="D166" s="88"/>
      <c r="G166" s="368"/>
      <c r="H166" s="368"/>
      <c r="I166" s="368"/>
      <c r="J166" s="368"/>
      <c r="K166" s="368"/>
      <c r="L166" s="368"/>
      <c r="M166" s="368"/>
      <c r="N166" s="368"/>
      <c r="O166" s="368"/>
      <c r="P166" s="368"/>
      <c r="Q166" s="368"/>
      <c r="R166" s="368"/>
      <c r="S166" s="225"/>
      <c r="T166" s="366">
        <f t="shared" si="83"/>
        <v>0</v>
      </c>
    </row>
    <row r="167" spans="1:20" outlineLevel="1" x14ac:dyDescent="0.2">
      <c r="B167" s="168" t="s">
        <v>698</v>
      </c>
      <c r="C167" s="419">
        <v>0.05</v>
      </c>
      <c r="D167" s="222"/>
      <c r="E167" s="222"/>
      <c r="F167" s="222"/>
      <c r="G167" s="377">
        <f>$C$167*G65</f>
        <v>0</v>
      </c>
      <c r="H167" s="377">
        <f t="shared" ref="H167:R167" si="85">$C$167*H65</f>
        <v>0</v>
      </c>
      <c r="I167" s="377">
        <f>$C$167*I65</f>
        <v>0</v>
      </c>
      <c r="J167" s="377">
        <f t="shared" si="85"/>
        <v>0</v>
      </c>
      <c r="K167" s="377">
        <f t="shared" si="85"/>
        <v>0</v>
      </c>
      <c r="L167" s="377">
        <f t="shared" si="85"/>
        <v>0</v>
      </c>
      <c r="M167" s="377">
        <f t="shared" si="85"/>
        <v>0</v>
      </c>
      <c r="N167" s="377">
        <f t="shared" ca="1" si="85"/>
        <v>5986532.3618288944</v>
      </c>
      <c r="O167" s="377">
        <f t="shared" si="85"/>
        <v>0</v>
      </c>
      <c r="P167" s="377">
        <f t="shared" si="85"/>
        <v>0</v>
      </c>
      <c r="Q167" s="377">
        <f t="shared" si="85"/>
        <v>0</v>
      </c>
      <c r="R167" s="377">
        <f t="shared" si="85"/>
        <v>0</v>
      </c>
      <c r="S167" s="377"/>
      <c r="T167" s="378">
        <f t="shared" ca="1" si="83"/>
        <v>5986532.3618288944</v>
      </c>
    </row>
    <row r="168" spans="1:20" s="3" customFormat="1" x14ac:dyDescent="0.2">
      <c r="A168" s="55"/>
      <c r="B168" s="49" t="str">
        <f>B162</f>
        <v>SOFT COSTS - SALES</v>
      </c>
      <c r="C168" s="49"/>
      <c r="D168" s="49"/>
      <c r="E168" s="49"/>
      <c r="G168" s="373">
        <f>SUM(G163:G167)</f>
        <v>0</v>
      </c>
      <c r="H168" s="373">
        <f t="shared" ref="H168:R168" si="86">SUM(H163:H167)</f>
        <v>0</v>
      </c>
      <c r="I168" s="373">
        <f t="shared" si="86"/>
        <v>0</v>
      </c>
      <c r="J168" s="373">
        <f t="shared" si="86"/>
        <v>749687.5</v>
      </c>
      <c r="K168" s="373">
        <f t="shared" si="86"/>
        <v>2670906.25</v>
      </c>
      <c r="L168" s="373">
        <f t="shared" si="86"/>
        <v>2927996.8750000005</v>
      </c>
      <c r="M168" s="373">
        <f t="shared" si="86"/>
        <v>0</v>
      </c>
      <c r="N168" s="373">
        <f t="shared" ca="1" si="86"/>
        <v>5986532.3618288944</v>
      </c>
      <c r="O168" s="373">
        <f t="shared" si="86"/>
        <v>0</v>
      </c>
      <c r="P168" s="373">
        <f t="shared" si="86"/>
        <v>0</v>
      </c>
      <c r="Q168" s="373">
        <f t="shared" si="86"/>
        <v>0</v>
      </c>
      <c r="R168" s="373">
        <f t="shared" si="86"/>
        <v>0</v>
      </c>
      <c r="S168" s="375"/>
      <c r="T168" s="373">
        <f ca="1">SUM(G168:R168)</f>
        <v>12335122.986828893</v>
      </c>
    </row>
    <row r="169" spans="1:20" x14ac:dyDescent="0.2">
      <c r="B169" s="3"/>
      <c r="G169" s="225"/>
      <c r="H169" s="225"/>
      <c r="I169" s="225"/>
      <c r="J169" s="225"/>
      <c r="K169" s="225"/>
      <c r="L169" s="225"/>
      <c r="M169" s="225"/>
      <c r="N169" s="225"/>
      <c r="O169" s="225"/>
      <c r="P169" s="225"/>
      <c r="Q169" s="225"/>
      <c r="R169" s="225"/>
      <c r="S169" s="225"/>
      <c r="T169" s="368"/>
    </row>
    <row r="170" spans="1:20" outlineLevel="1" x14ac:dyDescent="0.2">
      <c r="B170" t="s">
        <v>358</v>
      </c>
      <c r="G170" s="225"/>
      <c r="H170" s="225"/>
      <c r="I170" s="225"/>
      <c r="J170" s="225"/>
      <c r="K170" s="225"/>
      <c r="L170" s="225"/>
      <c r="M170" s="225"/>
      <c r="N170" s="225"/>
      <c r="O170" s="225"/>
      <c r="P170" s="225"/>
      <c r="Q170" s="225"/>
      <c r="R170" s="225"/>
      <c r="S170" s="225"/>
      <c r="T170" s="368">
        <f t="shared" ref="T170:T173" si="87">SUM(G170:R170)</f>
        <v>0</v>
      </c>
    </row>
    <row r="171" spans="1:20" outlineLevel="1" x14ac:dyDescent="0.2">
      <c r="B171" s="163" t="s">
        <v>359</v>
      </c>
      <c r="C171" s="68">
        <f>Assumptions!N27</f>
        <v>256</v>
      </c>
      <c r="D171" s="68" t="s">
        <v>360</v>
      </c>
      <c r="E171" s="12"/>
      <c r="F171" s="47"/>
      <c r="G171" s="368"/>
      <c r="H171" s="368">
        <f>IF(H3&lt;=Assumptions!$C$30,$C$171*($C$22-SUM($G22:H22)),0)</f>
        <v>11520</v>
      </c>
      <c r="I171" s="368">
        <f>IF(I3&lt;=Assumptions!$C$30,$C$171*($C$22-SUM($G22:I22)),0)</f>
        <v>11520</v>
      </c>
      <c r="J171" s="368">
        <f>IF(J3&lt;=Assumptions!$C$30,$C$171*($C$22-SUM($G22:J22)),0)</f>
        <v>9728</v>
      </c>
      <c r="K171" s="368">
        <f>IF(K3&lt;=Assumptions!$C$30,$C$171*($C$22-SUM($G22:K22)),0)</f>
        <v>4864</v>
      </c>
      <c r="L171" s="368">
        <f>IF(L3&lt;=Assumptions!$C$30,$C$171*($C$22-SUM($G22:L22)),0)</f>
        <v>0</v>
      </c>
      <c r="M171" s="368">
        <f>IF(M3&lt;=Assumptions!$C$30,$C$171*($C$22-SUM($G22:M22)),0)</f>
        <v>0</v>
      </c>
      <c r="N171" s="368">
        <f>IF(N3&lt;=Assumptions!$C$30,$C$171*($C$22-SUM($G22:N22)),0)</f>
        <v>0</v>
      </c>
      <c r="O171" s="368">
        <f>IF(O3&lt;=Assumptions!$C$30,$C$171*($C$22-SUM($G22:O22)),0)</f>
        <v>0</v>
      </c>
      <c r="P171" s="368">
        <f>IF(P3&lt;=Assumptions!$C$30,$C$171*($C$22-SUM($G22:P22)),0)</f>
        <v>0</v>
      </c>
      <c r="Q171" s="368">
        <f>IF(Q3&lt;=Assumptions!$C$30,$C$171*($C$22-SUM($G22:Q22)),0)</f>
        <v>0</v>
      </c>
      <c r="R171" s="368">
        <f>IF(R3&lt;=Assumptions!$C$30,$C$171*($C$22-SUM($G22:R22)),0)</f>
        <v>0</v>
      </c>
      <c r="S171" s="368"/>
      <c r="T171" s="368">
        <f t="shared" si="87"/>
        <v>37632</v>
      </c>
    </row>
    <row r="172" spans="1:20" outlineLevel="1" x14ac:dyDescent="0.2">
      <c r="B172" s="168" t="s">
        <v>361</v>
      </c>
      <c r="C172" s="58">
        <v>5.4999999999999997E-3</v>
      </c>
      <c r="D172" s="21"/>
      <c r="E172" s="21"/>
      <c r="F172" s="47"/>
      <c r="G172" s="378">
        <f t="shared" ref="G172:R172" si="88">$C$172*(G129+G147)</f>
        <v>0</v>
      </c>
      <c r="H172" s="378">
        <f t="shared" si="88"/>
        <v>60915.9375</v>
      </c>
      <c r="I172" s="378">
        <f t="shared" si="88"/>
        <v>181988.13874999998</v>
      </c>
      <c r="J172" s="378">
        <f t="shared" si="88"/>
        <v>259625.8190625</v>
      </c>
      <c r="K172" s="378">
        <f t="shared" si="88"/>
        <v>137657.6678125</v>
      </c>
      <c r="L172" s="378">
        <f t="shared" si="88"/>
        <v>18954.326874999999</v>
      </c>
      <c r="M172" s="378">
        <f t="shared" si="88"/>
        <v>0</v>
      </c>
      <c r="N172" s="378">
        <f t="shared" si="88"/>
        <v>0</v>
      </c>
      <c r="O172" s="378">
        <f t="shared" si="88"/>
        <v>0</v>
      </c>
      <c r="P172" s="378">
        <f t="shared" si="88"/>
        <v>0</v>
      </c>
      <c r="Q172" s="378">
        <f t="shared" si="88"/>
        <v>0</v>
      </c>
      <c r="R172" s="378">
        <f t="shared" si="88"/>
        <v>0</v>
      </c>
      <c r="S172" s="378"/>
      <c r="T172" s="378">
        <f t="shared" si="87"/>
        <v>659141.89</v>
      </c>
    </row>
    <row r="173" spans="1:20" s="3" customFormat="1" x14ac:dyDescent="0.2">
      <c r="A173" s="55"/>
      <c r="B173" s="115" t="str">
        <f>B170</f>
        <v>SOFT COSTS - TAXES AND INSURANCE</v>
      </c>
      <c r="C173" s="420"/>
      <c r="D173" s="52"/>
      <c r="E173" s="52"/>
      <c r="F173" s="66"/>
      <c r="G173" s="373">
        <f t="shared" ref="G173:R173" si="89">SUM(G171:G172)</f>
        <v>0</v>
      </c>
      <c r="H173" s="373">
        <f t="shared" si="89"/>
        <v>72435.9375</v>
      </c>
      <c r="I173" s="373">
        <f t="shared" si="89"/>
        <v>193508.13874999998</v>
      </c>
      <c r="J173" s="373">
        <f t="shared" si="89"/>
        <v>269353.81906250003</v>
      </c>
      <c r="K173" s="373">
        <f t="shared" si="89"/>
        <v>142521.6678125</v>
      </c>
      <c r="L173" s="373">
        <f t="shared" si="89"/>
        <v>18954.326874999999</v>
      </c>
      <c r="M173" s="373">
        <f t="shared" si="89"/>
        <v>0</v>
      </c>
      <c r="N173" s="373">
        <f t="shared" si="89"/>
        <v>0</v>
      </c>
      <c r="O173" s="373">
        <f t="shared" si="89"/>
        <v>0</v>
      </c>
      <c r="P173" s="373">
        <f t="shared" si="89"/>
        <v>0</v>
      </c>
      <c r="Q173" s="373">
        <f t="shared" si="89"/>
        <v>0</v>
      </c>
      <c r="R173" s="373">
        <f t="shared" si="89"/>
        <v>0</v>
      </c>
      <c r="S173" s="373"/>
      <c r="T173" s="373">
        <f t="shared" si="87"/>
        <v>696773.89</v>
      </c>
    </row>
    <row r="174" spans="1:20" x14ac:dyDescent="0.2">
      <c r="C174" s="9"/>
      <c r="G174" s="225"/>
      <c r="H174" s="225"/>
      <c r="I174" s="225"/>
      <c r="J174" s="225"/>
      <c r="K174" s="225"/>
      <c r="L174" s="225"/>
      <c r="M174" s="225"/>
      <c r="N174" s="225"/>
      <c r="O174" s="225"/>
      <c r="P174" s="225"/>
      <c r="Q174" s="225"/>
      <c r="R174" s="225"/>
      <c r="S174" s="225"/>
      <c r="T174" s="368"/>
    </row>
    <row r="175" spans="1:20" outlineLevel="1" x14ac:dyDescent="0.2">
      <c r="B175" t="s">
        <v>363</v>
      </c>
      <c r="C175" s="9"/>
      <c r="G175" s="225"/>
      <c r="H175" s="225"/>
      <c r="I175" s="225"/>
      <c r="J175" s="225"/>
      <c r="K175" s="225"/>
      <c r="L175" s="225"/>
      <c r="M175" s="225"/>
      <c r="N175" s="225"/>
      <c r="O175" s="225"/>
      <c r="P175" s="225"/>
      <c r="Q175" s="225"/>
      <c r="R175" s="225"/>
      <c r="S175" s="225"/>
      <c r="T175" s="368">
        <f t="shared" ref="T175:T182" si="90">SUM(G175:R175)</f>
        <v>0</v>
      </c>
    </row>
    <row r="176" spans="1:20" outlineLevel="1" x14ac:dyDescent="0.2">
      <c r="B176" s="163" t="s">
        <v>699</v>
      </c>
      <c r="C176" s="93">
        <v>2.5000000000000001E-3</v>
      </c>
      <c r="D176" s="47"/>
      <c r="E176" s="47"/>
      <c r="F176" s="47"/>
      <c r="G176" s="380">
        <f t="shared" ref="G176:R176" si="91">$C$176*G129</f>
        <v>0</v>
      </c>
      <c r="H176" s="380">
        <f t="shared" si="91"/>
        <v>21717.96875</v>
      </c>
      <c r="I176" s="380">
        <f t="shared" si="91"/>
        <v>75938.287500000006</v>
      </c>
      <c r="J176" s="380">
        <f t="shared" si="91"/>
        <v>109601.57968750001</v>
      </c>
      <c r="K176" s="380">
        <f t="shared" si="91"/>
        <v>57395.885937500003</v>
      </c>
      <c r="L176" s="380">
        <f t="shared" si="91"/>
        <v>4865.6031250000005</v>
      </c>
      <c r="M176" s="380">
        <f t="shared" si="91"/>
        <v>0</v>
      </c>
      <c r="N176" s="380">
        <f t="shared" si="91"/>
        <v>0</v>
      </c>
      <c r="O176" s="380">
        <f t="shared" si="91"/>
        <v>0</v>
      </c>
      <c r="P176" s="380">
        <f t="shared" si="91"/>
        <v>0</v>
      </c>
      <c r="Q176" s="380">
        <f t="shared" si="91"/>
        <v>0</v>
      </c>
      <c r="R176" s="380">
        <f t="shared" si="91"/>
        <v>0</v>
      </c>
      <c r="S176" s="380"/>
      <c r="T176" s="368">
        <f t="shared" si="90"/>
        <v>269519.32500000001</v>
      </c>
    </row>
    <row r="177" spans="1:25" outlineLevel="1" x14ac:dyDescent="0.2">
      <c r="B177" s="168" t="s">
        <v>700</v>
      </c>
      <c r="C177" s="27">
        <v>0</v>
      </c>
      <c r="D177" s="21"/>
      <c r="E177" s="21"/>
      <c r="F177" s="47"/>
      <c r="G177" s="378"/>
      <c r="H177" s="378"/>
      <c r="I177" s="378"/>
      <c r="J177" s="378"/>
      <c r="K177" s="378"/>
      <c r="L177" s="378"/>
      <c r="M177" s="378"/>
      <c r="N177" s="378"/>
      <c r="O177" s="378"/>
      <c r="P177" s="378"/>
      <c r="Q177" s="378"/>
      <c r="R177" s="378"/>
      <c r="S177" s="378"/>
      <c r="T177" s="378">
        <f t="shared" si="90"/>
        <v>0</v>
      </c>
    </row>
    <row r="178" spans="1:25" s="3" customFormat="1" x14ac:dyDescent="0.2">
      <c r="A178" s="55"/>
      <c r="B178" s="115" t="str">
        <f>B175</f>
        <v>SOFT COSTS - MUNICIPALITY FEES</v>
      </c>
      <c r="C178" s="52"/>
      <c r="D178" s="52"/>
      <c r="E178" s="52"/>
      <c r="F178" s="66"/>
      <c r="G178" s="373">
        <f t="shared" ref="G178:R178" si="92">SUM(G176:G177)</f>
        <v>0</v>
      </c>
      <c r="H178" s="373">
        <f t="shared" si="92"/>
        <v>21717.96875</v>
      </c>
      <c r="I178" s="373">
        <f t="shared" si="92"/>
        <v>75938.287500000006</v>
      </c>
      <c r="J178" s="373">
        <f t="shared" si="92"/>
        <v>109601.57968750001</v>
      </c>
      <c r="K178" s="373">
        <f t="shared" si="92"/>
        <v>57395.885937500003</v>
      </c>
      <c r="L178" s="373">
        <f t="shared" si="92"/>
        <v>4865.6031250000005</v>
      </c>
      <c r="M178" s="373">
        <f t="shared" si="92"/>
        <v>0</v>
      </c>
      <c r="N178" s="373">
        <f t="shared" si="92"/>
        <v>0</v>
      </c>
      <c r="O178" s="373">
        <f t="shared" si="92"/>
        <v>0</v>
      </c>
      <c r="P178" s="373">
        <f t="shared" si="92"/>
        <v>0</v>
      </c>
      <c r="Q178" s="373">
        <f t="shared" si="92"/>
        <v>0</v>
      </c>
      <c r="R178" s="373">
        <f t="shared" si="92"/>
        <v>0</v>
      </c>
      <c r="S178" s="373"/>
      <c r="T178" s="373">
        <f t="shared" si="90"/>
        <v>269519.32500000001</v>
      </c>
    </row>
    <row r="179" spans="1:25" x14ac:dyDescent="0.2">
      <c r="G179" s="225"/>
      <c r="H179" s="225"/>
      <c r="I179" s="225"/>
      <c r="J179" s="225"/>
      <c r="K179" s="225"/>
      <c r="L179" s="225"/>
      <c r="M179" s="225"/>
      <c r="N179" s="225"/>
      <c r="O179" s="225"/>
      <c r="P179" s="225"/>
      <c r="Q179" s="225"/>
      <c r="R179" s="225"/>
      <c r="S179" s="225"/>
      <c r="T179" s="368">
        <f t="shared" si="90"/>
        <v>0</v>
      </c>
    </row>
    <row r="180" spans="1:25" outlineLevel="1" x14ac:dyDescent="0.2">
      <c r="B180" t="s">
        <v>370</v>
      </c>
      <c r="G180" s="225"/>
      <c r="H180" s="225"/>
      <c r="I180" s="225"/>
      <c r="J180" s="225"/>
      <c r="K180" s="225"/>
      <c r="L180" s="225"/>
      <c r="M180" s="225"/>
      <c r="N180" s="225"/>
      <c r="O180" s="225"/>
      <c r="P180" s="225"/>
      <c r="Q180" s="225"/>
      <c r="R180" s="225"/>
      <c r="S180" s="225"/>
      <c r="T180" s="368">
        <f t="shared" si="90"/>
        <v>0</v>
      </c>
    </row>
    <row r="181" spans="1:25" outlineLevel="1" x14ac:dyDescent="0.2">
      <c r="B181" s="168" t="s">
        <v>701</v>
      </c>
      <c r="C181" s="116">
        <v>0.03</v>
      </c>
      <c r="D181" s="22"/>
      <c r="E181" s="22"/>
      <c r="F181" s="11"/>
      <c r="G181" s="377">
        <f>(G129+G147+G160+G168+G173+G178)*$C$181</f>
        <v>16832.3203125</v>
      </c>
      <c r="H181" s="377">
        <f>(H129+H147+H160+H168+H173+H178)*$C$181</f>
        <v>397180.48143749998</v>
      </c>
      <c r="I181" s="377">
        <f t="shared" ref="I181:R181" si="93">(I129+I147+I160+I168+I173+I178)*$C$181</f>
        <v>1105054.9226906251</v>
      </c>
      <c r="J181" s="377">
        <f t="shared" si="93"/>
        <v>1530020.760684375</v>
      </c>
      <c r="K181" s="377">
        <f t="shared" si="93"/>
        <v>868747.3248375</v>
      </c>
      <c r="L181" s="377">
        <f t="shared" si="93"/>
        <v>196667.44488750002</v>
      </c>
      <c r="M181" s="377">
        <f t="shared" si="93"/>
        <v>0</v>
      </c>
      <c r="N181" s="377">
        <f t="shared" ca="1" si="93"/>
        <v>179595.97085486681</v>
      </c>
      <c r="O181" s="377">
        <f t="shared" si="93"/>
        <v>0</v>
      </c>
      <c r="P181" s="377">
        <f t="shared" si="93"/>
        <v>0</v>
      </c>
      <c r="Q181" s="377">
        <f t="shared" si="93"/>
        <v>0</v>
      </c>
      <c r="R181" s="377">
        <f t="shared" si="93"/>
        <v>0</v>
      </c>
      <c r="S181" s="377"/>
      <c r="T181" s="378">
        <f t="shared" ca="1" si="90"/>
        <v>4294099.2257048674</v>
      </c>
      <c r="V181" s="225"/>
    </row>
    <row r="182" spans="1:25" s="3" customFormat="1" x14ac:dyDescent="0.2">
      <c r="A182" s="55"/>
      <c r="B182" s="115" t="str">
        <f>B180</f>
        <v>DEVELOPMENT FEES</v>
      </c>
      <c r="C182" s="50"/>
      <c r="D182" s="51"/>
      <c r="E182" s="51"/>
      <c r="F182" s="24"/>
      <c r="G182" s="375">
        <f t="shared" ref="G182:R182" si="94">SUM(G181:G181)</f>
        <v>16832.3203125</v>
      </c>
      <c r="H182" s="375">
        <f t="shared" si="94"/>
        <v>397180.48143749998</v>
      </c>
      <c r="I182" s="375">
        <f t="shared" si="94"/>
        <v>1105054.9226906251</v>
      </c>
      <c r="J182" s="375">
        <f t="shared" si="94"/>
        <v>1530020.760684375</v>
      </c>
      <c r="K182" s="375">
        <f t="shared" si="94"/>
        <v>868747.3248375</v>
      </c>
      <c r="L182" s="375">
        <f t="shared" si="94"/>
        <v>196667.44488750002</v>
      </c>
      <c r="M182" s="375">
        <f t="shared" si="94"/>
        <v>0</v>
      </c>
      <c r="N182" s="375">
        <f t="shared" ca="1" si="94"/>
        <v>179595.97085486681</v>
      </c>
      <c r="O182" s="375">
        <f t="shared" si="94"/>
        <v>0</v>
      </c>
      <c r="P182" s="375">
        <f t="shared" si="94"/>
        <v>0</v>
      </c>
      <c r="Q182" s="375">
        <f t="shared" si="94"/>
        <v>0</v>
      </c>
      <c r="R182" s="375">
        <f t="shared" si="94"/>
        <v>0</v>
      </c>
      <c r="S182" s="375"/>
      <c r="T182" s="373">
        <f t="shared" ca="1" si="90"/>
        <v>4294099.2257048674</v>
      </c>
    </row>
    <row r="183" spans="1:25" x14ac:dyDescent="0.2">
      <c r="B183" s="132"/>
      <c r="C183" s="31"/>
      <c r="D183" s="11"/>
      <c r="E183" s="11"/>
      <c r="F183" s="11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381"/>
    </row>
    <row r="184" spans="1:25" x14ac:dyDescent="0.2">
      <c r="B184" s="115" t="s">
        <v>376</v>
      </c>
      <c r="C184" s="50"/>
      <c r="D184" s="51"/>
      <c r="E184" s="51">
        <f>E129+E173+E178+E182</f>
        <v>0</v>
      </c>
      <c r="F184" s="24"/>
      <c r="G184" s="375">
        <f>G75+G129+G147+G168+G173+G178+G182+G160</f>
        <v>577909.6640625</v>
      </c>
      <c r="H184" s="375">
        <f t="shared" ref="H184:S184" si="95">H75+H129+H147+H168+H173+H178+H182+H160</f>
        <v>13636529.8626875</v>
      </c>
      <c r="I184" s="375">
        <f t="shared" si="95"/>
        <v>52940219.012378126</v>
      </c>
      <c r="J184" s="375">
        <f t="shared" si="95"/>
        <v>52530712.783496879</v>
      </c>
      <c r="K184" s="375">
        <f t="shared" si="95"/>
        <v>29826991.486087501</v>
      </c>
      <c r="L184" s="375">
        <f t="shared" si="95"/>
        <v>6752248.941137501</v>
      </c>
      <c r="M184" s="375">
        <f t="shared" si="95"/>
        <v>0</v>
      </c>
      <c r="N184" s="375">
        <f t="shared" ca="1" si="95"/>
        <v>6166128.3326837616</v>
      </c>
      <c r="O184" s="375">
        <f t="shared" si="95"/>
        <v>0</v>
      </c>
      <c r="P184" s="375">
        <f t="shared" si="95"/>
        <v>0</v>
      </c>
      <c r="Q184" s="375">
        <f t="shared" si="95"/>
        <v>0</v>
      </c>
      <c r="R184" s="375">
        <f t="shared" si="95"/>
        <v>0</v>
      </c>
      <c r="S184" s="375">
        <f t="shared" si="95"/>
        <v>0</v>
      </c>
      <c r="T184" s="375">
        <f ca="1">T75+T129+T147+T168+T173+T178+T182+T160</f>
        <v>162430740.08253375</v>
      </c>
      <c r="U184" s="24">
        <f ca="1">T184/164</f>
        <v>990431.34196666919</v>
      </c>
      <c r="V184" s="306">
        <f ca="1">(T184-T75)/V65</f>
        <v>0.58010762484981582</v>
      </c>
      <c r="W184" s="216" t="s">
        <v>638</v>
      </c>
      <c r="X184" s="134"/>
    </row>
    <row r="185" spans="1:25" x14ac:dyDescent="0.2"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V185" s="812" t="s">
        <v>534</v>
      </c>
      <c r="W185" s="812"/>
      <c r="X185" s="656" t="s">
        <v>702</v>
      </c>
    </row>
    <row r="186" spans="1:25" outlineLevel="1" x14ac:dyDescent="0.2">
      <c r="B186" s="81" t="s">
        <v>383</v>
      </c>
      <c r="C186" s="31"/>
      <c r="D186" s="24"/>
      <c r="E186" s="24"/>
      <c r="F186" s="24"/>
      <c r="G186" s="379"/>
      <c r="H186" s="379"/>
      <c r="I186" s="379"/>
      <c r="J186" s="379"/>
      <c r="K186" s="379"/>
      <c r="L186" s="379"/>
      <c r="M186" s="379"/>
      <c r="N186" s="379"/>
      <c r="O186" s="379"/>
      <c r="P186" s="379"/>
      <c r="Q186" s="379"/>
      <c r="R186" s="379"/>
      <c r="S186" s="379"/>
      <c r="T186" s="374"/>
      <c r="V186" t="s">
        <v>703</v>
      </c>
      <c r="W186" s="147">
        <f>SUM(G184:J184)+X186</f>
        <v>121685371.32262501</v>
      </c>
      <c r="X186" s="320">
        <v>2000000</v>
      </c>
    </row>
    <row r="187" spans="1:25" outlineLevel="1" x14ac:dyDescent="0.2">
      <c r="B187" s="81" t="s">
        <v>265</v>
      </c>
      <c r="C187" s="31"/>
      <c r="D187" s="24"/>
      <c r="E187" s="24"/>
      <c r="F187" s="24"/>
      <c r="G187" s="379"/>
      <c r="H187" s="379"/>
      <c r="I187" s="379"/>
      <c r="J187" s="379"/>
      <c r="K187" s="379"/>
      <c r="L187" s="379"/>
      <c r="M187" s="379"/>
      <c r="N187" s="379"/>
      <c r="O187" s="379"/>
      <c r="P187" s="379"/>
      <c r="Q187" s="379"/>
      <c r="R187" s="379"/>
      <c r="S187" s="379"/>
      <c r="T187" s="374"/>
      <c r="V187" s="440" t="s">
        <v>704</v>
      </c>
      <c r="W187" s="146">
        <f ca="1">SUM(I53:J53)+J60+T36</f>
        <v>16975194.588686951</v>
      </c>
    </row>
    <row r="188" spans="1:25" outlineLevel="1" x14ac:dyDescent="0.2">
      <c r="B188" s="170" t="s">
        <v>705</v>
      </c>
      <c r="C188" s="236">
        <f ca="1">W191</f>
        <v>103467740.55853662</v>
      </c>
      <c r="D188" s="438">
        <v>4</v>
      </c>
      <c r="E188" s="24"/>
      <c r="F188" s="24"/>
      <c r="G188" s="367">
        <f t="shared" ref="G188:R188" si="96">F192+G43</f>
        <v>0</v>
      </c>
      <c r="H188" s="367">
        <f t="shared" ca="1" si="96"/>
        <v>0</v>
      </c>
      <c r="I188" s="367">
        <f t="shared" ca="1" si="96"/>
        <v>40492301.762506872</v>
      </c>
      <c r="J188" s="367">
        <f t="shared" ca="1" si="96"/>
        <v>89120542.596366405</v>
      </c>
      <c r="K188" s="367">
        <f t="shared" ca="1" si="96"/>
        <v>99815007.707930371</v>
      </c>
      <c r="L188" s="367">
        <f t="shared" ca="1" si="96"/>
        <v>91516971.262106985</v>
      </c>
      <c r="M188" s="367">
        <f t="shared" ca="1" si="96"/>
        <v>0</v>
      </c>
      <c r="N188" s="367">
        <f t="shared" si="96"/>
        <v>0</v>
      </c>
      <c r="O188" s="367">
        <f t="shared" si="96"/>
        <v>0</v>
      </c>
      <c r="P188" s="367">
        <f t="shared" si="96"/>
        <v>0</v>
      </c>
      <c r="Q188" s="367">
        <f t="shared" si="96"/>
        <v>0</v>
      </c>
      <c r="R188" s="367">
        <f t="shared" si="96"/>
        <v>0</v>
      </c>
      <c r="S188" s="379"/>
      <c r="T188" s="374"/>
      <c r="V188" t="s">
        <v>706</v>
      </c>
      <c r="W188" s="147">
        <f ca="1">W186-W187</f>
        <v>104710176.73393807</v>
      </c>
      <c r="X188" s="319" t="s">
        <v>252</v>
      </c>
    </row>
    <row r="189" spans="1:25" outlineLevel="1" x14ac:dyDescent="0.2">
      <c r="B189" s="163" t="s">
        <v>433</v>
      </c>
      <c r="C189" s="428">
        <f>Assumptions!G8</f>
        <v>0.12</v>
      </c>
      <c r="D189" s="437">
        <v>0.09</v>
      </c>
      <c r="E189" s="24"/>
      <c r="F189" s="24"/>
      <c r="G189" s="367">
        <f t="shared" ref="G189:R189" si="97">G188*IF(G3&lt;$D$188,$C$189,$D$189)</f>
        <v>0</v>
      </c>
      <c r="H189" s="367">
        <f t="shared" ca="1" si="97"/>
        <v>0</v>
      </c>
      <c r="I189" s="367">
        <f t="shared" ca="1" si="97"/>
        <v>4859076.2115008244</v>
      </c>
      <c r="J189" s="367">
        <f t="shared" ca="1" si="97"/>
        <v>10694465.111563968</v>
      </c>
      <c r="K189" s="367">
        <f t="shared" ca="1" si="97"/>
        <v>8983350.6937137339</v>
      </c>
      <c r="L189" s="367">
        <f t="shared" ca="1" si="97"/>
        <v>8236527.4135896284</v>
      </c>
      <c r="M189" s="367">
        <f t="shared" ca="1" si="97"/>
        <v>0</v>
      </c>
      <c r="N189" s="367">
        <f t="shared" si="97"/>
        <v>0</v>
      </c>
      <c r="O189" s="367">
        <f t="shared" si="97"/>
        <v>0</v>
      </c>
      <c r="P189" s="367">
        <f t="shared" si="97"/>
        <v>0</v>
      </c>
      <c r="Q189" s="367">
        <f t="shared" si="97"/>
        <v>0</v>
      </c>
      <c r="R189" s="367">
        <f t="shared" si="97"/>
        <v>0</v>
      </c>
      <c r="S189" s="367"/>
      <c r="T189" s="382">
        <f ca="1">SUM(D189:R189)</f>
        <v>32773419.520368151</v>
      </c>
      <c r="V189" t="s">
        <v>256</v>
      </c>
      <c r="W189" s="147">
        <f ca="1">W188*(1+Assumptions!G11)</f>
        <v>132267740.55853662</v>
      </c>
      <c r="X189" s="320">
        <f ca="1">W188+SUM(G189:K189)+I190</f>
        <v>132868439.67026538</v>
      </c>
    </row>
    <row r="190" spans="1:25" outlineLevel="1" x14ac:dyDescent="0.2">
      <c r="B190" s="163" t="s">
        <v>707</v>
      </c>
      <c r="C190" s="428">
        <f>Assumptions!G9</f>
        <v>3.5000000000000003E-2</v>
      </c>
      <c r="D190" s="24"/>
      <c r="E190" s="24"/>
      <c r="F190" s="24"/>
      <c r="G190" s="367"/>
      <c r="H190" s="376">
        <f ca="1">IF(AND(H188&gt;0,SUM($G190:G190)=0),$C$188*$C$190,0)</f>
        <v>0</v>
      </c>
      <c r="I190" s="376">
        <f ca="1">IF(AND(I188&gt;0,SUM($G190:H190)=0),$C$188*$C$190,0)</f>
        <v>3621370.9195487821</v>
      </c>
      <c r="J190" s="376">
        <f ca="1">IF(AND(J188&gt;0,SUM($G190:I190)=0),$C$188*$C$190,0)</f>
        <v>0</v>
      </c>
      <c r="K190" s="376">
        <f ca="1">IF(AND(K188&gt;0,SUM($G190:J190)=0),$C$188*$C$190,0)</f>
        <v>0</v>
      </c>
      <c r="L190" s="376">
        <f ca="1">IF(AND(L188&gt;0,SUM($G190:K190)=0),$C$188*$C$190,0)</f>
        <v>0</v>
      </c>
      <c r="M190" s="376">
        <f ca="1">IF(AND(M188&gt;0,SUM($G190:L190)=0),$C$188*$C$190,0)</f>
        <v>0</v>
      </c>
      <c r="N190" s="660">
        <f ca="1">IF(AND(N188&gt;0,SUM($G190:M190)=0),$C$188*$C$190,0)</f>
        <v>0</v>
      </c>
      <c r="O190" s="376">
        <f ca="1">IF(AND(O188&gt;0,SUM($G190:N190)=0),$C$188*$C$190,0)</f>
        <v>0</v>
      </c>
      <c r="P190" s="376">
        <f ca="1">IF(AND(P188&gt;0,SUM($G190:O190)=0),$C$188*$C$190,0)</f>
        <v>0</v>
      </c>
      <c r="Q190" s="376">
        <f ca="1">IF(AND(Q188&gt;0,SUM($G190:P190)=0),$C$188*$C$190,0)</f>
        <v>0</v>
      </c>
      <c r="R190" s="376">
        <f ca="1">IF(AND(R188&gt;0,SUM($G190:Q190)=0),$C$188*$C$190,0)</f>
        <v>0</v>
      </c>
      <c r="S190" s="379"/>
      <c r="T190" s="382">
        <f ca="1">SUM(D190:R190)</f>
        <v>3621370.9195487821</v>
      </c>
      <c r="V190" s="440" t="s">
        <v>262</v>
      </c>
      <c r="W190" s="129">
        <f>Assumptions!G7</f>
        <v>0.77</v>
      </c>
      <c r="X190" s="771">
        <f ca="1">W191/W189</f>
        <v>0.78225983237950436</v>
      </c>
    </row>
    <row r="191" spans="1:25" outlineLevel="1" x14ac:dyDescent="0.2">
      <c r="B191" s="163" t="s">
        <v>708</v>
      </c>
      <c r="C191" s="14"/>
      <c r="D191" s="24"/>
      <c r="E191" s="24"/>
      <c r="F191" s="24"/>
      <c r="G191" s="383"/>
      <c r="H191" s="661"/>
      <c r="I191" s="661"/>
      <c r="J191" s="661"/>
      <c r="K191" s="383">
        <f ca="1">MAX(MIN(K67+J253-K184-SUM(K189:K190)-SUM(K202:K203)-K214,SUM(K188:K190)),0)</f>
        <v>17281387.139537118</v>
      </c>
      <c r="L191" s="383">
        <f ca="1">L188</f>
        <v>91516971.262106985</v>
      </c>
      <c r="M191" s="383">
        <f ca="1">MAX(MIN(M67+L253-M184-SUM(M189:M190)-SUM(M202:M203)-M214,SUM(M188:M190)),0)</f>
        <v>0</v>
      </c>
      <c r="N191" s="383">
        <f ca="1">MAX(MIN(N67+M253-N184-SUM(N189:N190)-SUM(N202:N203)-N214,SUM(N188:N190)),0)</f>
        <v>0</v>
      </c>
      <c r="O191" s="383">
        <f ca="1">MAX(MIN(O67+N253-O184-SUM(O189:O190)-SUM(O202:O203),SUM(O188:O190)),0)</f>
        <v>0</v>
      </c>
      <c r="P191" s="383">
        <f ca="1">MAX(MIN(P67+O253-P184-SUM(P189:P190)-SUM(P202:P203),SUM(P188:P190)),0)</f>
        <v>0</v>
      </c>
      <c r="Q191" s="383">
        <f ca="1">MAX(MIN(Q67+P253-Q184-SUM(Q189:Q190)-SUM(Q202:Q203),SUM(Q188:Q190)),0)</f>
        <v>0</v>
      </c>
      <c r="R191" s="383">
        <f ca="1">MAX(MIN(R67+Q253-R184-SUM(R189:R190)-SUM(R202:R203),SUM(R188:R190)),0)</f>
        <v>0</v>
      </c>
      <c r="S191" s="379"/>
      <c r="T191" s="382">
        <f ca="1">SUM(D191:R191)</f>
        <v>108798358.40164411</v>
      </c>
      <c r="V191" s="440" t="s">
        <v>264</v>
      </c>
      <c r="W191" s="147">
        <f ca="1">W189-W192</f>
        <v>103467740.55853662</v>
      </c>
    </row>
    <row r="192" spans="1:25" outlineLevel="1" x14ac:dyDescent="0.2">
      <c r="B192" s="170" t="s">
        <v>709</v>
      </c>
      <c r="C192" s="14"/>
      <c r="D192" s="24"/>
      <c r="E192" s="24"/>
      <c r="F192" s="24"/>
      <c r="G192" s="383">
        <f>SUM(G188:G190)-G191</f>
        <v>0</v>
      </c>
      <c r="H192" s="383">
        <f t="shared" ref="H192:K192" ca="1" si="98">SUM(H188:H190)-H191</f>
        <v>0</v>
      </c>
      <c r="I192" s="383">
        <f t="shared" ca="1" si="98"/>
        <v>48972748.893556476</v>
      </c>
      <c r="J192" s="383">
        <f t="shared" ca="1" si="98"/>
        <v>99815007.707930371</v>
      </c>
      <c r="K192" s="383">
        <f t="shared" ca="1" si="98"/>
        <v>91516971.262106985</v>
      </c>
      <c r="L192" s="383">
        <f ca="1">L188-L191</f>
        <v>0</v>
      </c>
      <c r="M192" s="383"/>
      <c r="N192" s="383"/>
      <c r="O192" s="383"/>
      <c r="P192" s="383"/>
      <c r="Q192" s="383"/>
      <c r="R192" s="383"/>
      <c r="S192" s="379"/>
      <c r="T192" s="382"/>
      <c r="V192" s="440" t="s">
        <v>710</v>
      </c>
      <c r="W192" s="147">
        <f>36*800000</f>
        <v>28800000</v>
      </c>
      <c r="X192" s="648">
        <f>W192+'Proforma L+H'!F45</f>
        <v>49600000</v>
      </c>
      <c r="Y192" s="147"/>
    </row>
    <row r="193" spans="1:23" x14ac:dyDescent="0.2">
      <c r="B193" s="3"/>
      <c r="C193" s="31"/>
      <c r="D193" s="24"/>
      <c r="E193" s="24"/>
      <c r="F193" s="24"/>
      <c r="G193" s="379"/>
      <c r="H193" s="379"/>
      <c r="I193" s="379"/>
      <c r="J193" s="379"/>
      <c r="K193" s="379"/>
      <c r="L193" s="379"/>
      <c r="M193" s="379"/>
      <c r="N193" s="379"/>
      <c r="O193" s="379"/>
      <c r="P193" s="379"/>
      <c r="Q193" s="379"/>
      <c r="R193" s="379"/>
      <c r="S193" s="379"/>
      <c r="T193" s="431"/>
    </row>
    <row r="194" spans="1:23" s="654" customFormat="1" outlineLevel="1" x14ac:dyDescent="0.2">
      <c r="A194" s="647"/>
      <c r="B194" s="81" t="s">
        <v>711</v>
      </c>
      <c r="C194" s="648"/>
      <c r="D194" s="649"/>
      <c r="E194" s="650"/>
      <c r="F194" s="650"/>
      <c r="G194" s="651"/>
      <c r="H194" s="651"/>
      <c r="I194" s="651"/>
      <c r="J194" s="651"/>
      <c r="K194" s="651"/>
      <c r="L194" s="651"/>
      <c r="M194" s="651"/>
      <c r="N194" s="651"/>
      <c r="O194" s="651"/>
      <c r="P194" s="651"/>
      <c r="Q194" s="651"/>
      <c r="R194" s="651"/>
      <c r="S194" s="652"/>
      <c r="T194" s="653"/>
      <c r="V194" s="655" t="s">
        <v>712</v>
      </c>
      <c r="W194" s="655"/>
    </row>
    <row r="195" spans="1:23" s="654" customFormat="1" outlineLevel="1" x14ac:dyDescent="0.2">
      <c r="A195" s="647"/>
      <c r="B195" s="170" t="s">
        <v>713</v>
      </c>
      <c r="C195" s="428"/>
      <c r="D195" s="762"/>
      <c r="E195" s="24"/>
      <c r="F195" s="24"/>
      <c r="G195" s="225"/>
      <c r="H195" s="225"/>
      <c r="I195" s="225"/>
      <c r="J195" s="225"/>
      <c r="K195" s="225"/>
      <c r="L195" s="225">
        <f ca="1">W199</f>
        <v>75848007.854034558</v>
      </c>
      <c r="M195" s="225"/>
      <c r="N195" s="225"/>
      <c r="O195" s="225"/>
      <c r="P195" s="225"/>
      <c r="Q195" s="225"/>
      <c r="R195" s="225"/>
      <c r="S195" s="225"/>
      <c r="T195" s="382">
        <f t="shared" ref="T195" ca="1" si="99">SUM(D195:R195)</f>
        <v>75848007.854034558</v>
      </c>
      <c r="U195"/>
      <c r="V195" s="128" t="s">
        <v>714</v>
      </c>
      <c r="W195" s="146">
        <f ca="1">L53</f>
        <v>6573494.0140163293</v>
      </c>
    </row>
    <row r="196" spans="1:23" s="654" customFormat="1" outlineLevel="1" x14ac:dyDescent="0.2">
      <c r="A196" s="647"/>
      <c r="B196" s="170" t="s">
        <v>715</v>
      </c>
      <c r="C196" s="428"/>
      <c r="D196" s="24"/>
      <c r="E196" s="24"/>
      <c r="F196" s="24"/>
      <c r="G196" s="225"/>
      <c r="H196" s="368"/>
      <c r="I196" s="368"/>
      <c r="J196" s="368"/>
      <c r="K196" s="368"/>
      <c r="L196" s="368"/>
      <c r="M196" s="368">
        <f ca="1">W202*12</f>
        <v>7653253.9812230021</v>
      </c>
      <c r="N196" s="366">
        <f ca="1">M196</f>
        <v>7653253.9812230021</v>
      </c>
      <c r="O196" s="368"/>
      <c r="P196" s="368"/>
      <c r="Q196" s="368"/>
      <c r="R196" s="368"/>
      <c r="S196" s="379"/>
      <c r="T196" s="382">
        <f t="shared" ref="T196:T198" ca="1" si="100">SUM(D196:R196)</f>
        <v>15306507.962446004</v>
      </c>
      <c r="U196"/>
      <c r="V196" s="128" t="s">
        <v>716</v>
      </c>
      <c r="W196" s="439">
        <f>C63</f>
        <v>6.5000000000000002E-2</v>
      </c>
    </row>
    <row r="197" spans="1:23" s="654" customFormat="1" outlineLevel="1" x14ac:dyDescent="0.2">
      <c r="A197" s="647"/>
      <c r="B197" s="170" t="s">
        <v>717</v>
      </c>
      <c r="C197" s="428"/>
      <c r="D197" s="24"/>
      <c r="E197" s="24"/>
      <c r="F197" s="24"/>
      <c r="G197" s="763"/>
      <c r="H197" s="763"/>
      <c r="I197" s="763"/>
      <c r="J197" s="763"/>
      <c r="K197" s="763"/>
      <c r="L197" s="763">
        <f ca="1">W204*W199</f>
        <v>1516960.1570806911</v>
      </c>
      <c r="M197" s="763"/>
      <c r="N197" s="763"/>
      <c r="O197" s="763"/>
      <c r="P197" s="763"/>
      <c r="Q197" s="763"/>
      <c r="R197" s="763">
        <f>W207*W210</f>
        <v>0</v>
      </c>
      <c r="S197" s="379"/>
      <c r="T197" s="382">
        <f t="shared" ca="1" si="100"/>
        <v>1516960.1570806911</v>
      </c>
      <c r="U197"/>
      <c r="V197" s="440" t="s">
        <v>718</v>
      </c>
      <c r="W197" s="146">
        <f ca="1">W195/W196</f>
        <v>101130677.13871275</v>
      </c>
    </row>
    <row r="198" spans="1:23" s="654" customFormat="1" outlineLevel="1" x14ac:dyDescent="0.2">
      <c r="A198" s="647"/>
      <c r="B198" s="170" t="s">
        <v>708</v>
      </c>
      <c r="C198" s="428"/>
      <c r="D198" s="24"/>
      <c r="E198" s="24"/>
      <c r="F198" s="24"/>
      <c r="G198" s="763"/>
      <c r="H198" s="763"/>
      <c r="I198" s="763"/>
      <c r="J198" s="763"/>
      <c r="K198" s="763"/>
      <c r="L198" s="763"/>
      <c r="M198" s="763"/>
      <c r="N198" s="763">
        <f ca="1">W203</f>
        <v>74866168.280517608</v>
      </c>
      <c r="O198" s="763"/>
      <c r="P198" s="763"/>
      <c r="Q198" s="763"/>
      <c r="R198" s="763">
        <f>W207</f>
        <v>0</v>
      </c>
      <c r="S198" s="379"/>
      <c r="T198" s="382">
        <f t="shared" ca="1" si="100"/>
        <v>74866168.280517608</v>
      </c>
      <c r="U198"/>
      <c r="V198" s="128" t="s">
        <v>260</v>
      </c>
      <c r="W198" s="129">
        <v>0.75</v>
      </c>
    </row>
    <row r="199" spans="1:23" s="654" customFormat="1" outlineLevel="1" x14ac:dyDescent="0.2">
      <c r="A199" s="647"/>
      <c r="B199" s="170"/>
      <c r="C199" s="428"/>
      <c r="D199" s="24"/>
      <c r="E199" s="24"/>
      <c r="F199" s="24"/>
      <c r="G199" s="763"/>
      <c r="H199" s="763"/>
      <c r="I199" s="763"/>
      <c r="J199" s="763"/>
      <c r="K199" s="763"/>
      <c r="L199" s="763"/>
      <c r="M199" s="763"/>
      <c r="N199" s="763"/>
      <c r="O199" s="763"/>
      <c r="P199" s="763"/>
      <c r="Q199" s="763"/>
      <c r="R199" s="763"/>
      <c r="S199" s="379"/>
      <c r="T199" s="380"/>
      <c r="U199"/>
      <c r="V199" t="s">
        <v>264</v>
      </c>
      <c r="W199" s="761">
        <f ca="1">W197*W198</f>
        <v>75848007.854034558</v>
      </c>
    </row>
    <row r="200" spans="1:23" s="654" customFormat="1" x14ac:dyDescent="0.2">
      <c r="A200" s="647"/>
      <c r="B200" s="81" t="s">
        <v>719</v>
      </c>
      <c r="C200" s="428"/>
      <c r="D200" s="11"/>
      <c r="E200" s="11"/>
      <c r="F200" s="11"/>
      <c r="G200" s="225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/>
      <c r="V200" s="440" t="s">
        <v>583</v>
      </c>
      <c r="W200" s="147">
        <f ca="1">W197-W199</f>
        <v>25282669.284678191</v>
      </c>
    </row>
    <row r="201" spans="1:23" outlineLevel="1" x14ac:dyDescent="0.2">
      <c r="A201"/>
      <c r="B201" s="163" t="s">
        <v>720</v>
      </c>
      <c r="C201" s="14">
        <f>1-'Proforma L+H'!C162</f>
        <v>0.44999999999999996</v>
      </c>
      <c r="D201" s="24"/>
      <c r="E201" s="24"/>
      <c r="F201" s="24"/>
      <c r="G201" s="225"/>
      <c r="H201" s="225">
        <f>$C$201*H42</f>
        <v>6875789.9661579374</v>
      </c>
      <c r="I201" s="225">
        <f>H206+$C$201*I42</f>
        <v>12960000</v>
      </c>
      <c r="J201" s="225">
        <f t="shared" ref="J201:N201" si="101">I206+$C$201*J42</f>
        <v>12960000</v>
      </c>
      <c r="K201" s="225">
        <f t="shared" si="101"/>
        <v>12960000</v>
      </c>
      <c r="L201" s="225">
        <f t="shared" si="101"/>
        <v>12960000</v>
      </c>
      <c r="M201" s="225">
        <f t="shared" si="101"/>
        <v>0</v>
      </c>
      <c r="N201" s="225">
        <f t="shared" si="101"/>
        <v>0</v>
      </c>
      <c r="O201" s="225"/>
      <c r="P201" s="225"/>
      <c r="Q201" s="225"/>
      <c r="R201" s="225"/>
      <c r="S201" s="225"/>
      <c r="T201" s="382">
        <f t="shared" ref="T201:T206" si="102">SUM(D201:R201)</f>
        <v>58715789.966157936</v>
      </c>
      <c r="V201" s="440" t="s">
        <v>22</v>
      </c>
      <c r="W201" s="18">
        <v>9.5000000000000001E-2</v>
      </c>
    </row>
    <row r="202" spans="1:23" outlineLevel="1" x14ac:dyDescent="0.2">
      <c r="A202"/>
      <c r="B202" s="163" t="s">
        <v>433</v>
      </c>
      <c r="C202" s="14">
        <f>Assumptions!L6</f>
        <v>0.13500000000000001</v>
      </c>
      <c r="D202" s="24"/>
      <c r="E202" s="24"/>
      <c r="F202" s="24"/>
      <c r="G202" s="225"/>
      <c r="H202" s="225">
        <f>H201*$C$202</f>
        <v>928231.64543132158</v>
      </c>
      <c r="I202" s="225">
        <f t="shared" ref="I202:N202" si="103">I201*$C$202</f>
        <v>1749600</v>
      </c>
      <c r="J202" s="225">
        <f t="shared" si="103"/>
        <v>1749600</v>
      </c>
      <c r="K202" s="225">
        <f t="shared" si="103"/>
        <v>1749600</v>
      </c>
      <c r="L202" s="225">
        <f t="shared" si="103"/>
        <v>1749600</v>
      </c>
      <c r="M202" s="225">
        <f t="shared" si="103"/>
        <v>0</v>
      </c>
      <c r="N202" s="225">
        <f t="shared" si="103"/>
        <v>0</v>
      </c>
      <c r="O202" s="225"/>
      <c r="P202" s="225"/>
      <c r="Q202" s="225"/>
      <c r="R202" s="225"/>
      <c r="S202" s="225"/>
      <c r="T202" s="382">
        <f t="shared" si="102"/>
        <v>7926631.6454313211</v>
      </c>
      <c r="V202" s="440" t="s">
        <v>721</v>
      </c>
      <c r="W202" s="646">
        <f ca="1">PMT(W201/12,360,-W199)</f>
        <v>637771.16510191688</v>
      </c>
    </row>
    <row r="203" spans="1:23" outlineLevel="1" x14ac:dyDescent="0.2">
      <c r="A203"/>
      <c r="B203" s="163" t="s">
        <v>722</v>
      </c>
      <c r="C203" s="14">
        <f>Assumptions!L7</f>
        <v>0.01</v>
      </c>
      <c r="D203" s="24"/>
      <c r="E203" s="24"/>
      <c r="F203" s="24"/>
      <c r="G203" s="225"/>
      <c r="H203" s="225">
        <f>I201*C203</f>
        <v>129600</v>
      </c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382">
        <f t="shared" si="102"/>
        <v>129600</v>
      </c>
      <c r="V203" s="440" t="s">
        <v>723</v>
      </c>
      <c r="W203" s="646">
        <f ca="1">PV(W201/12,360-2*12,-W202)</f>
        <v>74866168.280517608</v>
      </c>
    </row>
    <row r="204" spans="1:23" outlineLevel="1" x14ac:dyDescent="0.2">
      <c r="A204"/>
      <c r="B204" s="163" t="s">
        <v>724</v>
      </c>
      <c r="C204" s="14">
        <f>Assumptions!L8</f>
        <v>0.01</v>
      </c>
      <c r="D204" s="24"/>
      <c r="E204" s="24"/>
      <c r="F204" s="24"/>
      <c r="G204" s="225"/>
      <c r="H204" s="225"/>
      <c r="I204" s="225"/>
      <c r="J204" s="225"/>
      <c r="K204" s="225"/>
      <c r="L204" s="225">
        <f>C204*L201</f>
        <v>129600</v>
      </c>
      <c r="M204" s="225"/>
      <c r="N204" s="225"/>
      <c r="O204" s="225"/>
      <c r="P204" s="225"/>
      <c r="Q204" s="225"/>
      <c r="R204" s="225"/>
      <c r="S204" s="225"/>
      <c r="T204" s="382"/>
      <c r="V204" s="440" t="s">
        <v>725</v>
      </c>
      <c r="W204" s="425">
        <v>0.02</v>
      </c>
    </row>
    <row r="205" spans="1:23" outlineLevel="1" x14ac:dyDescent="0.2">
      <c r="A205"/>
      <c r="B205" s="163" t="s">
        <v>708</v>
      </c>
      <c r="C205" s="14"/>
      <c r="D205" s="24"/>
      <c r="E205" s="24"/>
      <c r="F205" s="24"/>
      <c r="G205" s="225"/>
      <c r="H205" s="225"/>
      <c r="I205" s="225"/>
      <c r="J205" s="225"/>
      <c r="K205" s="225"/>
      <c r="L205" s="225">
        <f>L201</f>
        <v>12960000</v>
      </c>
      <c r="M205" s="225"/>
      <c r="N205" s="225"/>
      <c r="O205" s="225"/>
      <c r="P205" s="225"/>
      <c r="Q205" s="225"/>
      <c r="R205" s="225"/>
      <c r="S205" s="225"/>
      <c r="T205" s="382">
        <f t="shared" si="102"/>
        <v>12960000</v>
      </c>
      <c r="V205" s="440" t="s">
        <v>724</v>
      </c>
      <c r="W205" s="425">
        <v>0.01</v>
      </c>
    </row>
    <row r="206" spans="1:23" outlineLevel="1" x14ac:dyDescent="0.2">
      <c r="A206"/>
      <c r="B206" s="163" t="s">
        <v>709</v>
      </c>
      <c r="C206" s="14"/>
      <c r="D206" s="24"/>
      <c r="E206" s="24"/>
      <c r="F206" s="24"/>
      <c r="G206" s="225"/>
      <c r="H206" s="114">
        <f t="shared" ref="H206:O206" si="104">H201-H205</f>
        <v>6875789.9661579374</v>
      </c>
      <c r="I206" s="114">
        <f t="shared" si="104"/>
        <v>12960000</v>
      </c>
      <c r="J206" s="114">
        <f t="shared" si="104"/>
        <v>12960000</v>
      </c>
      <c r="K206" s="114">
        <f t="shared" si="104"/>
        <v>12960000</v>
      </c>
      <c r="L206" s="114">
        <f t="shared" si="104"/>
        <v>0</v>
      </c>
      <c r="M206" s="114">
        <f t="shared" si="104"/>
        <v>0</v>
      </c>
      <c r="N206" s="114">
        <f t="shared" si="104"/>
        <v>0</v>
      </c>
      <c r="O206" s="114">
        <f t="shared" si="104"/>
        <v>0</v>
      </c>
      <c r="P206" s="225"/>
      <c r="Q206" s="225"/>
      <c r="R206" s="225"/>
      <c r="S206" s="225"/>
      <c r="T206" s="382">
        <f t="shared" si="102"/>
        <v>45755789.966157936</v>
      </c>
    </row>
    <row r="207" spans="1:23" outlineLevel="1" x14ac:dyDescent="0.2">
      <c r="A207"/>
      <c r="B207" s="227"/>
      <c r="C207" s="148"/>
      <c r="D207" s="24"/>
      <c r="E207" s="24"/>
      <c r="F207" s="24"/>
      <c r="G207" s="225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645"/>
      <c r="V207" s="440"/>
      <c r="W207" s="646"/>
    </row>
    <row r="208" spans="1:23" x14ac:dyDescent="0.2">
      <c r="B208" s="49" t="s">
        <v>383</v>
      </c>
      <c r="C208" s="50"/>
      <c r="D208" s="51"/>
      <c r="E208" s="51"/>
      <c r="F208" s="24"/>
      <c r="G208" s="375">
        <f>SUM(G189:G191)+SUM(G196:G198)-G195</f>
        <v>0</v>
      </c>
      <c r="H208" s="375">
        <f t="shared" ref="H208:R208" ca="1" si="105">SUM(H189:H191)+SUM(H196:H198)-H195+SUM(H202:H205)</f>
        <v>1057831.6454313216</v>
      </c>
      <c r="I208" s="375">
        <f t="shared" ca="1" si="105"/>
        <v>10230047.131049607</v>
      </c>
      <c r="J208" s="375">
        <f t="shared" ca="1" si="105"/>
        <v>12444065.111563968</v>
      </c>
      <c r="K208" s="375">
        <f t="shared" ca="1" si="105"/>
        <v>28014337.83325085</v>
      </c>
      <c r="L208" s="375">
        <f t="shared" ca="1" si="105"/>
        <v>40261650.978742748</v>
      </c>
      <c r="M208" s="375">
        <f t="shared" ca="1" si="105"/>
        <v>7653253.9812230021</v>
      </c>
      <c r="N208" s="375">
        <f t="shared" ca="1" si="105"/>
        <v>82519422.26174061</v>
      </c>
      <c r="O208" s="375">
        <f t="shared" ca="1" si="105"/>
        <v>0</v>
      </c>
      <c r="P208" s="375">
        <f t="shared" ca="1" si="105"/>
        <v>0</v>
      </c>
      <c r="Q208" s="375">
        <f t="shared" ca="1" si="105"/>
        <v>0</v>
      </c>
      <c r="R208" s="375">
        <f t="shared" ca="1" si="105"/>
        <v>0</v>
      </c>
      <c r="S208" s="375"/>
      <c r="T208" s="375">
        <f ca="1">SUM(G208:R208)</f>
        <v>182180608.9430021</v>
      </c>
    </row>
    <row r="209" spans="1:24" hidden="1" outlineLevel="1" x14ac:dyDescent="0.2">
      <c r="A209"/>
      <c r="B209" t="s">
        <v>552</v>
      </c>
      <c r="C209" s="148"/>
      <c r="D209" s="24"/>
      <c r="E209" s="24"/>
      <c r="F209" s="24"/>
      <c r="G209" s="225"/>
      <c r="H209" s="225">
        <f t="shared" ref="H209:T209" ca="1" si="106">SUM(H189:H190)+SUM(H202:H204)</f>
        <v>1057831.6454313216</v>
      </c>
      <c r="I209" s="225">
        <f t="shared" ca="1" si="106"/>
        <v>10230047.131049607</v>
      </c>
      <c r="J209" s="225">
        <f t="shared" ca="1" si="106"/>
        <v>12444065.111563968</v>
      </c>
      <c r="K209" s="225">
        <f t="shared" ca="1" si="106"/>
        <v>10732950.693713734</v>
      </c>
      <c r="L209" s="225">
        <f t="shared" ca="1" si="106"/>
        <v>10115727.413589628</v>
      </c>
      <c r="M209" s="225">
        <f t="shared" ca="1" si="106"/>
        <v>0</v>
      </c>
      <c r="N209" s="225">
        <f t="shared" ca="1" si="106"/>
        <v>0</v>
      </c>
      <c r="O209" s="225">
        <f t="shared" ca="1" si="106"/>
        <v>0</v>
      </c>
      <c r="P209" s="225">
        <f t="shared" ca="1" si="106"/>
        <v>0</v>
      </c>
      <c r="Q209" s="225">
        <f t="shared" ca="1" si="106"/>
        <v>0</v>
      </c>
      <c r="R209" s="225">
        <f t="shared" ca="1" si="106"/>
        <v>0</v>
      </c>
      <c r="S209" s="225">
        <f t="shared" si="106"/>
        <v>0</v>
      </c>
      <c r="T209" s="225">
        <f t="shared" ca="1" si="106"/>
        <v>44451022.085348248</v>
      </c>
      <c r="V209" s="440"/>
      <c r="W209" s="425"/>
    </row>
    <row r="210" spans="1:24" hidden="1" outlineLevel="1" x14ac:dyDescent="0.2">
      <c r="A210"/>
      <c r="C210" s="148"/>
      <c r="D210" s="24"/>
      <c r="E210" s="24"/>
      <c r="F210" s="24"/>
      <c r="G210" s="225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645"/>
      <c r="V210" s="440"/>
      <c r="W210" s="425"/>
    </row>
    <row r="211" spans="1:24" collapsed="1" x14ac:dyDescent="0.2">
      <c r="B211" s="81" t="s">
        <v>553</v>
      </c>
      <c r="G211" s="68"/>
      <c r="H211" s="68"/>
      <c r="I211" s="68"/>
      <c r="J211" s="68"/>
      <c r="K211" s="540"/>
      <c r="L211" s="540"/>
      <c r="M211" s="540"/>
      <c r="N211" s="540"/>
      <c r="O211" s="46"/>
      <c r="P211" s="46"/>
      <c r="Q211" s="46"/>
      <c r="R211" s="46"/>
      <c r="S211" s="46"/>
      <c r="T211" s="11"/>
    </row>
    <row r="212" spans="1:24" x14ac:dyDescent="0.2">
      <c r="B212" s="440" t="s">
        <v>386</v>
      </c>
      <c r="C212" s="128"/>
      <c r="D212" s="128"/>
      <c r="E212" s="128"/>
      <c r="F212" s="128"/>
      <c r="G212" s="92"/>
      <c r="H212" s="92">
        <f t="shared" ref="H212:N212" ca="1" si="107">MAX(H67+G253-H184-H208,0)</f>
        <v>7262.0859474292956</v>
      </c>
      <c r="I212" s="92">
        <f t="shared" ca="1" si="107"/>
        <v>0</v>
      </c>
      <c r="J212" s="92">
        <f t="shared" ca="1" si="107"/>
        <v>2165624.9999999907</v>
      </c>
      <c r="K212" s="92">
        <f t="shared" ca="1" si="107"/>
        <v>8569687.5</v>
      </c>
      <c r="L212" s="92">
        <f t="shared" ca="1" si="107"/>
        <v>22403969.094136097</v>
      </c>
      <c r="M212" s="92">
        <f t="shared" ca="1" si="107"/>
        <v>0</v>
      </c>
      <c r="N212" s="92">
        <f t="shared" ca="1" si="107"/>
        <v>38727203.565744892</v>
      </c>
      <c r="O212" s="92">
        <f ca="1">MAX(O67-O184-O208,0)</f>
        <v>0</v>
      </c>
      <c r="P212" s="92">
        <f ca="1">MAX(P67-P184-P208,0)</f>
        <v>0</v>
      </c>
      <c r="Q212" s="92">
        <f ca="1">MAX(Q67-Q184-Q208,0)</f>
        <v>0</v>
      </c>
      <c r="R212" s="92">
        <f ca="1">MAX(R67-R184-R208,0)</f>
        <v>0</v>
      </c>
      <c r="S212" s="92">
        <f>MAX(S67-S184-S208,0)</f>
        <v>0</v>
      </c>
      <c r="T212" s="32">
        <f ca="1">SUM(G212:S212)</f>
        <v>71873747.245828405</v>
      </c>
    </row>
    <row r="213" spans="1:24" x14ac:dyDescent="0.2">
      <c r="B213" s="440"/>
      <c r="C213" s="128"/>
      <c r="D213" s="128"/>
      <c r="E213" s="128"/>
      <c r="F213" s="128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32"/>
    </row>
    <row r="214" spans="1:24" x14ac:dyDescent="0.2">
      <c r="B214" s="166" t="s">
        <v>554</v>
      </c>
      <c r="C214" s="14">
        <v>0.15</v>
      </c>
      <c r="D214" s="128"/>
      <c r="E214" s="128"/>
      <c r="F214" s="128"/>
      <c r="G214" s="92"/>
      <c r="H214" s="92">
        <f>H60*$C$214</f>
        <v>0</v>
      </c>
      <c r="I214" s="92">
        <f t="shared" ref="I214:K214" si="108">I60*$C$214</f>
        <v>0</v>
      </c>
      <c r="J214" s="92">
        <f t="shared" si="108"/>
        <v>2165625</v>
      </c>
      <c r="K214" s="92">
        <f t="shared" si="108"/>
        <v>8569687.5</v>
      </c>
      <c r="L214" s="92">
        <f>-K215</f>
        <v>-10735312.5</v>
      </c>
      <c r="M214" s="92"/>
      <c r="N214" s="92"/>
      <c r="O214" s="92"/>
      <c r="P214" s="92"/>
      <c r="Q214" s="92"/>
      <c r="R214" s="92"/>
      <c r="S214" s="92"/>
      <c r="T214" s="32">
        <f>SUM(G214:S214)</f>
        <v>0</v>
      </c>
    </row>
    <row r="215" spans="1:24" x14ac:dyDescent="0.2">
      <c r="B215" s="166" t="s">
        <v>555</v>
      </c>
      <c r="C215" s="14"/>
      <c r="D215" s="128"/>
      <c r="E215" s="128"/>
      <c r="F215" s="128"/>
      <c r="G215" s="92"/>
      <c r="H215" s="92">
        <f>H214</f>
        <v>0</v>
      </c>
      <c r="I215" s="92">
        <f>H215+I214</f>
        <v>0</v>
      </c>
      <c r="J215" s="92">
        <f t="shared" ref="J215:K215" si="109">I215+J214</f>
        <v>2165625</v>
      </c>
      <c r="K215" s="92">
        <f t="shared" si="109"/>
        <v>10735312.5</v>
      </c>
      <c r="L215" s="92">
        <f t="shared" ref="L215" si="110">K215+L214</f>
        <v>0</v>
      </c>
      <c r="M215" s="92">
        <f t="shared" ref="M215" si="111">L215+M214</f>
        <v>0</v>
      </c>
      <c r="N215" s="92"/>
      <c r="O215" s="92"/>
      <c r="P215" s="92"/>
      <c r="Q215" s="92"/>
      <c r="R215" s="92"/>
      <c r="S215" s="92"/>
      <c r="T215" s="32"/>
    </row>
    <row r="216" spans="1:24" x14ac:dyDescent="0.2">
      <c r="B216" s="3"/>
      <c r="F216" s="128"/>
      <c r="G216" s="92"/>
      <c r="H216" s="92"/>
      <c r="I216" s="92"/>
      <c r="J216" s="92"/>
      <c r="K216" s="532"/>
      <c r="L216" s="532"/>
      <c r="M216" s="532"/>
      <c r="N216" s="532"/>
      <c r="O216" s="91"/>
      <c r="P216" s="91"/>
      <c r="Q216" s="91"/>
      <c r="R216" s="91"/>
      <c r="S216" s="91"/>
      <c r="T216" s="114"/>
    </row>
    <row r="217" spans="1:24" hidden="1" x14ac:dyDescent="0.2">
      <c r="B217" t="s">
        <v>556</v>
      </c>
      <c r="F217" s="128"/>
      <c r="G217" s="92"/>
      <c r="H217" s="92"/>
      <c r="I217" s="92"/>
      <c r="J217" s="92"/>
      <c r="K217" s="532"/>
      <c r="L217" s="532"/>
      <c r="M217" s="532"/>
      <c r="N217" s="532"/>
      <c r="O217" s="91"/>
      <c r="P217" s="91"/>
      <c r="Q217" s="91"/>
      <c r="R217" s="91"/>
      <c r="S217" s="91"/>
      <c r="T217" s="114"/>
    </row>
    <row r="218" spans="1:24" hidden="1" x14ac:dyDescent="0.2">
      <c r="B218" s="170" t="s">
        <v>557</v>
      </c>
      <c r="C218" s="62">
        <f>Assumptions!K5</f>
        <v>0.1</v>
      </c>
      <c r="D218" s="62"/>
      <c r="E218" s="62"/>
      <c r="F218" s="128"/>
      <c r="G218" s="128"/>
      <c r="H218" s="92">
        <f>G220*$C$218</f>
        <v>0</v>
      </c>
      <c r="I218" s="92">
        <f>H220*$C$218</f>
        <v>0</v>
      </c>
      <c r="J218" s="92"/>
      <c r="K218" s="92"/>
      <c r="L218" s="92"/>
      <c r="M218" s="92"/>
      <c r="N218" s="92"/>
      <c r="O218" s="92"/>
      <c r="P218" s="91"/>
      <c r="Q218" s="91"/>
      <c r="R218" s="91"/>
      <c r="S218" s="91"/>
      <c r="T218" s="11">
        <f>SUM(H218:S218)</f>
        <v>0</v>
      </c>
    </row>
    <row r="219" spans="1:24" hidden="1" x14ac:dyDescent="0.2">
      <c r="B219" s="170" t="s">
        <v>32</v>
      </c>
      <c r="C219" s="62">
        <f>IFERROR(H38/H39,0)</f>
        <v>0</v>
      </c>
      <c r="D219" s="62"/>
      <c r="E219" s="62"/>
      <c r="F219" s="128"/>
      <c r="G219" s="128"/>
      <c r="H219" s="92"/>
      <c r="I219" s="92">
        <f>-I38</f>
        <v>0</v>
      </c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11">
        <f>SUM(H219:S219)</f>
        <v>0</v>
      </c>
    </row>
    <row r="220" spans="1:24" hidden="1" x14ac:dyDescent="0.2">
      <c r="B220" s="227" t="s">
        <v>558</v>
      </c>
      <c r="C220" s="236"/>
      <c r="D220" s="236"/>
      <c r="E220" s="236"/>
      <c r="G220" s="146"/>
      <c r="H220" s="92">
        <f>H38</f>
        <v>0</v>
      </c>
      <c r="I220" s="92">
        <v>0</v>
      </c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114"/>
      <c r="X220" s="320"/>
    </row>
    <row r="221" spans="1:24" hidden="1" x14ac:dyDescent="0.2">
      <c r="B221" s="227" t="s">
        <v>559</v>
      </c>
      <c r="C221" s="236"/>
      <c r="D221" s="236"/>
      <c r="E221" s="236"/>
      <c r="F221" s="146"/>
      <c r="G221" s="146"/>
      <c r="H221" s="92">
        <f>-H220</f>
        <v>0</v>
      </c>
      <c r="I221" s="92">
        <f t="shared" ref="I221:O221" si="112">I219</f>
        <v>0</v>
      </c>
      <c r="J221" s="92">
        <f t="shared" si="112"/>
        <v>0</v>
      </c>
      <c r="K221" s="92">
        <f t="shared" si="112"/>
        <v>0</v>
      </c>
      <c r="L221" s="92">
        <f t="shared" si="112"/>
        <v>0</v>
      </c>
      <c r="M221" s="92">
        <f t="shared" si="112"/>
        <v>0</v>
      </c>
      <c r="N221" s="92">
        <f t="shared" si="112"/>
        <v>0</v>
      </c>
      <c r="O221" s="92">
        <f t="shared" si="112"/>
        <v>0</v>
      </c>
      <c r="P221" s="92"/>
      <c r="Q221" s="92"/>
      <c r="R221" s="92"/>
      <c r="S221" s="92"/>
      <c r="T221" s="11">
        <f>SUM(H221:S221)</f>
        <v>0</v>
      </c>
      <c r="X221" s="320"/>
    </row>
    <row r="222" spans="1:24" hidden="1" x14ac:dyDescent="0.2">
      <c r="C222" s="534"/>
      <c r="D222" s="534"/>
      <c r="E222" s="534"/>
      <c r="F222" s="128"/>
      <c r="G222" s="128"/>
      <c r="H222" s="92"/>
      <c r="I222" s="92"/>
      <c r="J222" s="92"/>
      <c r="K222" s="92"/>
      <c r="L222" s="532"/>
      <c r="M222" s="532"/>
      <c r="N222" s="532"/>
      <c r="O222" s="532"/>
      <c r="P222" s="91"/>
      <c r="Q222" s="91"/>
      <c r="R222" s="91"/>
      <c r="S222" s="91"/>
      <c r="T222" s="114"/>
      <c r="V222" s="145"/>
      <c r="W222" s="146"/>
    </row>
    <row r="223" spans="1:24" hidden="1" x14ac:dyDescent="0.2">
      <c r="B223" t="s">
        <v>560</v>
      </c>
      <c r="F223" s="128"/>
      <c r="G223" s="128"/>
      <c r="H223" s="92"/>
      <c r="I223" s="92"/>
      <c r="J223" s="92"/>
      <c r="K223" s="92"/>
      <c r="L223" s="532"/>
      <c r="M223" s="532"/>
      <c r="N223" s="532"/>
      <c r="O223" s="532"/>
      <c r="P223" s="91"/>
      <c r="Q223" s="91"/>
      <c r="R223" s="91"/>
      <c r="S223" s="91"/>
      <c r="T223" s="114"/>
    </row>
    <row r="224" spans="1:24" hidden="1" x14ac:dyDescent="0.2">
      <c r="B224" s="170" t="s">
        <v>557</v>
      </c>
      <c r="C224" s="62">
        <f>Assumptions!K5</f>
        <v>0.1</v>
      </c>
      <c r="D224" s="62"/>
      <c r="E224" s="62"/>
      <c r="F224" s="128"/>
      <c r="G224" s="128"/>
      <c r="I224" s="92">
        <f>H226*$C$218</f>
        <v>0</v>
      </c>
      <c r="J224" s="92">
        <f t="shared" ref="J224:N224" si="113">I226*$C$218</f>
        <v>0</v>
      </c>
      <c r="K224" s="92">
        <f t="shared" si="113"/>
        <v>0</v>
      </c>
      <c r="L224" s="92">
        <f t="shared" ca="1" si="113"/>
        <v>0</v>
      </c>
      <c r="M224" s="92">
        <f t="shared" ca="1" si="113"/>
        <v>0</v>
      </c>
      <c r="N224" s="92">
        <f t="shared" ca="1" si="113"/>
        <v>0</v>
      </c>
      <c r="O224" s="92"/>
      <c r="P224" s="91"/>
      <c r="Q224" s="91"/>
      <c r="R224" s="91"/>
      <c r="S224" s="91"/>
      <c r="T224" s="11">
        <f ca="1">SUM(I224:S224)</f>
        <v>0</v>
      </c>
    </row>
    <row r="225" spans="2:23" hidden="1" x14ac:dyDescent="0.2">
      <c r="B225" s="170" t="s">
        <v>32</v>
      </c>
      <c r="C225" s="62">
        <f>IFERROR(H37/H39,0)</f>
        <v>0</v>
      </c>
      <c r="D225" s="62"/>
      <c r="E225" s="62"/>
      <c r="F225" s="128"/>
      <c r="G225" s="128"/>
      <c r="H225" s="92"/>
      <c r="I225" s="92"/>
      <c r="J225" s="92"/>
      <c r="K225" s="92">
        <f t="shared" ref="K225:M225" ca="1" si="114">MIN(K212*$C$225,J226+K224)</f>
        <v>0</v>
      </c>
      <c r="L225" s="92">
        <f t="shared" ca="1" si="114"/>
        <v>0</v>
      </c>
      <c r="M225" s="92">
        <f t="shared" ca="1" si="114"/>
        <v>0</v>
      </c>
      <c r="N225" s="92">
        <f ca="1">MIN(N212*$C$225,M226+N224)</f>
        <v>0</v>
      </c>
      <c r="O225" s="92"/>
      <c r="P225" s="91"/>
      <c r="Q225" s="91"/>
      <c r="R225" s="91"/>
      <c r="S225" s="91"/>
      <c r="T225" s="11">
        <f ca="1">SUM(H225:S225)</f>
        <v>0</v>
      </c>
    </row>
    <row r="226" spans="2:23" hidden="1" x14ac:dyDescent="0.2">
      <c r="B226" s="227" t="s">
        <v>558</v>
      </c>
      <c r="F226" s="128"/>
      <c r="G226" s="128"/>
      <c r="H226" s="92">
        <f>H37</f>
        <v>0</v>
      </c>
      <c r="I226" s="92">
        <f>H226+I224-I225</f>
        <v>0</v>
      </c>
      <c r="J226" s="92">
        <f t="shared" ref="J226:R226" si="115">I226+J224-J225</f>
        <v>0</v>
      </c>
      <c r="K226" s="92">
        <f t="shared" ca="1" si="115"/>
        <v>0</v>
      </c>
      <c r="L226" s="92">
        <f t="shared" ca="1" si="115"/>
        <v>0</v>
      </c>
      <c r="M226" s="92">
        <f t="shared" ca="1" si="115"/>
        <v>0</v>
      </c>
      <c r="N226" s="92">
        <f t="shared" ca="1" si="115"/>
        <v>0</v>
      </c>
      <c r="O226" s="92">
        <f t="shared" ca="1" si="115"/>
        <v>0</v>
      </c>
      <c r="P226" s="92">
        <f t="shared" ca="1" si="115"/>
        <v>0</v>
      </c>
      <c r="Q226" s="92">
        <f t="shared" ca="1" si="115"/>
        <v>0</v>
      </c>
      <c r="R226" s="92">
        <f t="shared" ca="1" si="115"/>
        <v>0</v>
      </c>
      <c r="S226" s="92"/>
      <c r="T226" s="114"/>
    </row>
    <row r="227" spans="2:23" hidden="1" x14ac:dyDescent="0.2">
      <c r="B227" s="227" t="s">
        <v>559</v>
      </c>
      <c r="C227" s="659" t="e">
        <f ca="1">IRR(E227:Q227)</f>
        <v>#NUM!</v>
      </c>
      <c r="F227" s="128"/>
      <c r="G227" s="128"/>
      <c r="H227" s="92">
        <f>-H226</f>
        <v>0</v>
      </c>
      <c r="I227" s="92">
        <f t="shared" ref="I227:O227" si="116">I225</f>
        <v>0</v>
      </c>
      <c r="J227" s="92">
        <f t="shared" si="116"/>
        <v>0</v>
      </c>
      <c r="K227" s="92">
        <f t="shared" ca="1" si="116"/>
        <v>0</v>
      </c>
      <c r="L227" s="92">
        <f t="shared" ca="1" si="116"/>
        <v>0</v>
      </c>
      <c r="M227" s="92">
        <f t="shared" ca="1" si="116"/>
        <v>0</v>
      </c>
      <c r="N227" s="92">
        <f t="shared" ca="1" si="116"/>
        <v>0</v>
      </c>
      <c r="O227" s="92">
        <f t="shared" si="116"/>
        <v>0</v>
      </c>
      <c r="P227" s="92"/>
      <c r="Q227" s="92"/>
      <c r="R227" s="92"/>
      <c r="S227" s="92"/>
      <c r="T227" s="11">
        <f ca="1">SUM(H227:S227)</f>
        <v>0</v>
      </c>
    </row>
    <row r="228" spans="2:23" hidden="1" x14ac:dyDescent="0.2">
      <c r="B228" s="170"/>
      <c r="F228" s="128"/>
      <c r="G228" s="92"/>
      <c r="H228" s="92"/>
      <c r="I228" s="92"/>
      <c r="J228" s="92"/>
      <c r="K228" s="532"/>
      <c r="L228" s="532"/>
      <c r="M228" s="532"/>
      <c r="N228" s="532"/>
      <c r="O228" s="91"/>
      <c r="P228" s="91"/>
      <c r="Q228" s="91"/>
      <c r="R228" s="91"/>
      <c r="S228" s="91"/>
      <c r="T228" s="114"/>
    </row>
    <row r="229" spans="2:23" x14ac:dyDescent="0.2">
      <c r="B229" s="619" t="s">
        <v>562</v>
      </c>
      <c r="C229" s="620"/>
      <c r="D229" s="620"/>
      <c r="E229" s="620"/>
      <c r="F229" s="621"/>
      <c r="G229" s="77">
        <f>MAX(G212-G219-G225-G214,0)</f>
        <v>0</v>
      </c>
      <c r="H229" s="77">
        <f t="shared" ref="H229:O229" ca="1" si="117">MAX(H212-H219-H225-H214,0)</f>
        <v>7262.0859474292956</v>
      </c>
      <c r="I229" s="77">
        <f t="shared" ca="1" si="117"/>
        <v>0</v>
      </c>
      <c r="J229" s="77">
        <f t="shared" ca="1" si="117"/>
        <v>0</v>
      </c>
      <c r="K229" s="77">
        <f t="shared" ca="1" si="117"/>
        <v>0</v>
      </c>
      <c r="L229" s="77">
        <f ca="1">MAX(L212-L219-L225-L214,0)</f>
        <v>33139281.594136097</v>
      </c>
      <c r="M229" s="77">
        <f t="shared" ca="1" si="117"/>
        <v>0</v>
      </c>
      <c r="N229" s="77">
        <f t="shared" ca="1" si="117"/>
        <v>38727203.565744892</v>
      </c>
      <c r="O229" s="77">
        <f t="shared" ca="1" si="117"/>
        <v>0</v>
      </c>
      <c r="P229" s="77"/>
      <c r="Q229" s="77"/>
      <c r="R229" s="77"/>
      <c r="S229" s="77"/>
      <c r="T229" s="22"/>
      <c r="V229" s="145"/>
      <c r="W229" s="146"/>
    </row>
    <row r="230" spans="2:23" x14ac:dyDescent="0.2">
      <c r="C230" s="534"/>
      <c r="D230" s="534"/>
      <c r="E230" s="534"/>
      <c r="F230" s="128"/>
      <c r="G230" s="92"/>
      <c r="H230" s="92"/>
      <c r="I230" s="92"/>
      <c r="J230" s="92"/>
      <c r="K230" s="532"/>
      <c r="L230" s="532"/>
      <c r="M230" s="532"/>
      <c r="N230" s="532"/>
      <c r="O230" s="91"/>
      <c r="P230" s="91"/>
      <c r="Q230" s="91"/>
      <c r="R230" s="91"/>
      <c r="S230" s="91"/>
      <c r="T230" s="114"/>
      <c r="V230" s="145"/>
      <c r="W230" s="146"/>
    </row>
    <row r="231" spans="2:23" hidden="1" x14ac:dyDescent="0.2">
      <c r="B231" s="239" t="s">
        <v>726</v>
      </c>
      <c r="F231" s="128"/>
      <c r="G231" s="92"/>
      <c r="H231" s="92"/>
      <c r="I231" s="92"/>
      <c r="J231" s="533"/>
      <c r="K231" s="533"/>
      <c r="L231" s="533"/>
      <c r="M231" s="532"/>
      <c r="N231" s="532">
        <v>0</v>
      </c>
      <c r="O231" s="91"/>
      <c r="P231" s="91"/>
      <c r="Q231" s="91"/>
      <c r="R231" s="91"/>
      <c r="S231" s="91"/>
      <c r="T231" s="114">
        <f t="shared" ref="T231:T247" si="118">SUM(G231:S231)</f>
        <v>0</v>
      </c>
      <c r="V231" s="145"/>
      <c r="W231" s="146"/>
    </row>
    <row r="232" spans="2:23" hidden="1" x14ac:dyDescent="0.2">
      <c r="B232" s="170" t="s">
        <v>727</v>
      </c>
      <c r="C232" s="659" t="e">
        <f>IRR(G232:S232)</f>
        <v>#NUM!</v>
      </c>
      <c r="D232" s="659"/>
      <c r="E232" s="659"/>
      <c r="F232" s="114"/>
      <c r="G232" s="114">
        <f>G221+G233</f>
        <v>0</v>
      </c>
      <c r="H232" s="114">
        <f t="shared" ref="H232:M232" si="119">H221+H233</f>
        <v>0</v>
      </c>
      <c r="I232" s="114">
        <f t="shared" si="119"/>
        <v>0</v>
      </c>
      <c r="J232" s="114">
        <f t="shared" si="119"/>
        <v>0</v>
      </c>
      <c r="K232" s="114">
        <f t="shared" si="119"/>
        <v>0</v>
      </c>
      <c r="L232" s="114">
        <f t="shared" si="119"/>
        <v>0</v>
      </c>
      <c r="M232" s="114">
        <f t="shared" si="119"/>
        <v>0</v>
      </c>
      <c r="N232" s="114">
        <f>N221+N233</f>
        <v>0</v>
      </c>
      <c r="O232" s="114"/>
      <c r="P232" s="114"/>
      <c r="Q232" s="114"/>
      <c r="R232" s="114"/>
      <c r="S232" s="114"/>
      <c r="T232" s="114">
        <f t="shared" si="118"/>
        <v>0</v>
      </c>
      <c r="V232" s="145"/>
      <c r="W232" s="146"/>
    </row>
    <row r="233" spans="2:23" hidden="1" x14ac:dyDescent="0.2">
      <c r="B233" s="227" t="s">
        <v>564</v>
      </c>
      <c r="C233" s="84">
        <f>C219</f>
        <v>0</v>
      </c>
      <c r="D233" s="84"/>
      <c r="E233" s="84"/>
      <c r="F233" s="92"/>
      <c r="G233" s="92"/>
      <c r="H233" s="92"/>
      <c r="I233" s="92"/>
      <c r="J233" s="92"/>
      <c r="K233" s="92"/>
      <c r="L233" s="92"/>
      <c r="M233" s="92"/>
      <c r="N233" s="92">
        <f t="shared" ref="N233" si="120">N231*$C$233</f>
        <v>0</v>
      </c>
      <c r="O233" s="92"/>
      <c r="P233" s="92"/>
      <c r="Q233" s="92"/>
      <c r="R233" s="92"/>
      <c r="S233" s="92"/>
      <c r="T233" s="11">
        <f t="shared" si="118"/>
        <v>0</v>
      </c>
      <c r="V233" s="145"/>
      <c r="W233" s="146"/>
    </row>
    <row r="234" spans="2:23" hidden="1" x14ac:dyDescent="0.2">
      <c r="B234" s="658" t="s">
        <v>565</v>
      </c>
      <c r="C234" s="54">
        <f>1-C233</f>
        <v>1</v>
      </c>
      <c r="D234" s="54"/>
      <c r="E234" s="54"/>
      <c r="F234" s="77"/>
      <c r="G234" s="77"/>
      <c r="H234" s="77"/>
      <c r="I234" s="77"/>
      <c r="J234" s="77"/>
      <c r="K234" s="77"/>
      <c r="L234" s="77"/>
      <c r="M234" s="77"/>
      <c r="N234" s="77">
        <f t="shared" ref="N234" si="121">N231-N233</f>
        <v>0</v>
      </c>
      <c r="O234" s="77"/>
      <c r="P234" s="77"/>
      <c r="Q234" s="77"/>
      <c r="R234" s="77"/>
      <c r="S234" s="77"/>
      <c r="T234" s="45">
        <f t="shared" si="118"/>
        <v>0</v>
      </c>
      <c r="V234" s="145"/>
      <c r="W234" s="146"/>
    </row>
    <row r="235" spans="2:23" hidden="1" x14ac:dyDescent="0.2">
      <c r="B235" s="239" t="s">
        <v>728</v>
      </c>
      <c r="C235" s="84">
        <f>2/3</f>
        <v>0.66666666666666663</v>
      </c>
      <c r="D235" s="84"/>
      <c r="E235" s="84"/>
      <c r="F235" s="128"/>
      <c r="G235" s="92"/>
      <c r="H235" s="92"/>
      <c r="I235" s="92"/>
      <c r="J235" s="533"/>
      <c r="K235" s="533"/>
      <c r="L235" s="533"/>
      <c r="M235" s="532"/>
      <c r="N235" s="540"/>
      <c r="O235" s="91"/>
      <c r="P235" s="91"/>
      <c r="Q235" s="91"/>
      <c r="R235" s="91"/>
      <c r="S235" s="91"/>
      <c r="T235" s="114">
        <f t="shared" si="118"/>
        <v>0</v>
      </c>
      <c r="V235" s="145"/>
      <c r="W235" s="146"/>
    </row>
    <row r="236" spans="2:23" hidden="1" x14ac:dyDescent="0.2">
      <c r="B236" s="170" t="s">
        <v>727</v>
      </c>
      <c r="C236" s="659" t="e">
        <f>IRR(G236:S236)</f>
        <v>#NUM!</v>
      </c>
      <c r="D236" s="659"/>
      <c r="E236" s="659"/>
      <c r="F236" s="114"/>
      <c r="G236" s="114">
        <f>G232+G237</f>
        <v>0</v>
      </c>
      <c r="H236" s="114">
        <f t="shared" ref="H236:N236" si="122">H232+H237</f>
        <v>0</v>
      </c>
      <c r="I236" s="114">
        <f t="shared" si="122"/>
        <v>0</v>
      </c>
      <c r="J236" s="114">
        <f t="shared" si="122"/>
        <v>0</v>
      </c>
      <c r="K236" s="114">
        <f t="shared" si="122"/>
        <v>0</v>
      </c>
      <c r="L236" s="114">
        <f t="shared" si="122"/>
        <v>0</v>
      </c>
      <c r="M236" s="114">
        <f t="shared" si="122"/>
        <v>0</v>
      </c>
      <c r="N236" s="114">
        <f t="shared" si="122"/>
        <v>0</v>
      </c>
      <c r="O236" s="114"/>
      <c r="P236" s="114"/>
      <c r="Q236" s="114"/>
      <c r="R236" s="114"/>
      <c r="S236" s="114"/>
      <c r="T236" s="114">
        <f t="shared" si="118"/>
        <v>0</v>
      </c>
      <c r="V236" s="145"/>
      <c r="W236" s="146"/>
    </row>
    <row r="237" spans="2:23" hidden="1" x14ac:dyDescent="0.2">
      <c r="B237" s="227" t="s">
        <v>564</v>
      </c>
      <c r="C237" s="43">
        <f>C233</f>
        <v>0</v>
      </c>
      <c r="D237" s="43"/>
      <c r="E237" s="43"/>
      <c r="F237" s="92"/>
      <c r="G237" s="92"/>
      <c r="H237" s="92"/>
      <c r="I237" s="92"/>
      <c r="J237" s="92"/>
      <c r="K237" s="92"/>
      <c r="L237" s="92"/>
      <c r="M237" s="92"/>
      <c r="N237" s="92">
        <f t="shared" ref="N237" si="123">N235*$C$235*$C$237</f>
        <v>0</v>
      </c>
      <c r="O237" s="92"/>
      <c r="P237" s="92"/>
      <c r="Q237" s="92"/>
      <c r="R237" s="92"/>
      <c r="S237" s="92"/>
      <c r="T237" s="11">
        <f t="shared" si="118"/>
        <v>0</v>
      </c>
      <c r="V237" s="145"/>
      <c r="W237" s="146"/>
    </row>
    <row r="238" spans="2:23" hidden="1" x14ac:dyDescent="0.2">
      <c r="B238" s="658" t="s">
        <v>565</v>
      </c>
      <c r="C238" s="43">
        <f>1-C233</f>
        <v>1</v>
      </c>
      <c r="D238" s="43"/>
      <c r="E238" s="43"/>
      <c r="F238" s="92"/>
      <c r="G238" s="92"/>
      <c r="H238" s="92"/>
      <c r="I238" s="92"/>
      <c r="J238" s="92"/>
      <c r="K238" s="92"/>
      <c r="L238" s="92"/>
      <c r="M238" s="92"/>
      <c r="N238" s="92">
        <f t="shared" ref="N238" si="124">N235*$C$235*$C$238</f>
        <v>0</v>
      </c>
      <c r="O238" s="92"/>
      <c r="P238" s="92"/>
      <c r="Q238" s="92"/>
      <c r="R238" s="92"/>
      <c r="S238" s="92"/>
      <c r="T238" s="11">
        <f t="shared" si="118"/>
        <v>0</v>
      </c>
      <c r="V238" s="145"/>
      <c r="W238" s="146"/>
    </row>
    <row r="239" spans="2:23" hidden="1" x14ac:dyDescent="0.2">
      <c r="B239" s="658" t="s">
        <v>566</v>
      </c>
      <c r="C239" s="419">
        <f>1/3</f>
        <v>0.33333333333333331</v>
      </c>
      <c r="D239" s="419"/>
      <c r="E239" s="419"/>
      <c r="F239" s="77"/>
      <c r="G239" s="77"/>
      <c r="H239" s="77"/>
      <c r="I239" s="77"/>
      <c r="J239" s="77"/>
      <c r="K239" s="77"/>
      <c r="L239" s="77"/>
      <c r="M239" s="77"/>
      <c r="N239" s="77">
        <f t="shared" ref="N239" si="125">N235*$C$239</f>
        <v>0</v>
      </c>
      <c r="O239" s="77"/>
      <c r="P239" s="77"/>
      <c r="Q239" s="77"/>
      <c r="R239" s="77"/>
      <c r="S239" s="77"/>
      <c r="T239" s="45">
        <f t="shared" si="118"/>
        <v>0</v>
      </c>
      <c r="V239" s="145"/>
      <c r="W239" s="146"/>
    </row>
    <row r="240" spans="2:23" hidden="1" x14ac:dyDescent="0.2">
      <c r="B240" s="239" t="s">
        <v>729</v>
      </c>
      <c r="C240" s="84">
        <v>0.3</v>
      </c>
      <c r="D240" s="84"/>
      <c r="E240" s="84"/>
      <c r="F240" s="128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114">
        <f t="shared" si="118"/>
        <v>0</v>
      </c>
      <c r="V240" s="145"/>
      <c r="W240" s="146"/>
    </row>
    <row r="241" spans="1:23" hidden="1" x14ac:dyDescent="0.2">
      <c r="B241" s="170" t="s">
        <v>727</v>
      </c>
      <c r="C241" s="659" t="e">
        <f>IRR(G241:S241)</f>
        <v>#NUM!</v>
      </c>
      <c r="D241" s="659"/>
      <c r="E241" s="659"/>
      <c r="F241" s="114"/>
      <c r="G241" s="114">
        <f>G236+G242</f>
        <v>0</v>
      </c>
      <c r="H241" s="114">
        <f t="shared" ref="H241:N241" si="126">H236+H242</f>
        <v>0</v>
      </c>
      <c r="I241" s="114">
        <f t="shared" si="126"/>
        <v>0</v>
      </c>
      <c r="J241" s="114">
        <f t="shared" si="126"/>
        <v>0</v>
      </c>
      <c r="K241" s="114">
        <f t="shared" si="126"/>
        <v>0</v>
      </c>
      <c r="L241" s="114">
        <f t="shared" si="126"/>
        <v>0</v>
      </c>
      <c r="M241" s="114">
        <f t="shared" si="126"/>
        <v>0</v>
      </c>
      <c r="N241" s="114">
        <f t="shared" si="126"/>
        <v>0</v>
      </c>
      <c r="O241" s="114"/>
      <c r="P241" s="114"/>
      <c r="Q241" s="114"/>
      <c r="R241" s="114"/>
      <c r="S241" s="114"/>
      <c r="T241" s="114">
        <f t="shared" si="118"/>
        <v>0</v>
      </c>
      <c r="V241" s="145"/>
      <c r="W241" s="146"/>
    </row>
    <row r="242" spans="1:23" hidden="1" x14ac:dyDescent="0.2">
      <c r="B242" s="227" t="s">
        <v>564</v>
      </c>
      <c r="C242" s="43">
        <f>C237</f>
        <v>0</v>
      </c>
      <c r="D242" s="43"/>
      <c r="E242" s="43"/>
      <c r="F242" s="92"/>
      <c r="G242" s="92"/>
      <c r="H242" s="92"/>
      <c r="I242" s="92"/>
      <c r="J242" s="92"/>
      <c r="K242" s="92"/>
      <c r="L242" s="92"/>
      <c r="M242" s="92"/>
      <c r="N242" s="92">
        <f t="shared" ref="N242" si="127">N240*$C$240*$C$242</f>
        <v>0</v>
      </c>
      <c r="O242" s="92"/>
      <c r="P242" s="92"/>
      <c r="Q242" s="92"/>
      <c r="R242" s="92"/>
      <c r="S242" s="92"/>
      <c r="T242" s="11">
        <f t="shared" si="118"/>
        <v>0</v>
      </c>
      <c r="V242" s="145"/>
      <c r="W242" s="146"/>
    </row>
    <row r="243" spans="1:23" hidden="1" x14ac:dyDescent="0.2">
      <c r="B243" s="227" t="s">
        <v>565</v>
      </c>
      <c r="C243" s="43">
        <f>C238</f>
        <v>1</v>
      </c>
      <c r="D243" s="43"/>
      <c r="E243" s="43"/>
      <c r="F243" s="92"/>
      <c r="G243" s="92"/>
      <c r="H243" s="92"/>
      <c r="I243" s="92"/>
      <c r="J243" s="92"/>
      <c r="K243" s="92"/>
      <c r="L243" s="92"/>
      <c r="M243" s="92"/>
      <c r="N243" s="92">
        <f>N240*$C$240*$C$243</f>
        <v>0</v>
      </c>
      <c r="O243" s="92"/>
      <c r="P243" s="92"/>
      <c r="Q243" s="92"/>
      <c r="R243" s="92"/>
      <c r="S243" s="92"/>
      <c r="T243" s="11">
        <f t="shared" si="118"/>
        <v>0</v>
      </c>
      <c r="V243" s="145"/>
      <c r="W243" s="146"/>
    </row>
    <row r="244" spans="1:23" x14ac:dyDescent="0.2">
      <c r="B244" s="619" t="s">
        <v>569</v>
      </c>
      <c r="C244" s="419">
        <v>1</v>
      </c>
      <c r="D244" s="419"/>
      <c r="E244" s="419"/>
      <c r="F244" s="77"/>
      <c r="G244" s="77">
        <f t="shared" ref="G244:M244" si="128">G229</f>
        <v>0</v>
      </c>
      <c r="H244" s="77">
        <f t="shared" ca="1" si="128"/>
        <v>7262.0859474292956</v>
      </c>
      <c r="I244" s="77">
        <f t="shared" ca="1" si="128"/>
        <v>0</v>
      </c>
      <c r="J244" s="77">
        <f t="shared" ca="1" si="128"/>
        <v>0</v>
      </c>
      <c r="K244" s="77">
        <f t="shared" ca="1" si="128"/>
        <v>0</v>
      </c>
      <c r="L244" s="77">
        <f t="shared" ca="1" si="128"/>
        <v>33139281.594136097</v>
      </c>
      <c r="M244" s="77">
        <f t="shared" ca="1" si="128"/>
        <v>0</v>
      </c>
      <c r="N244" s="77">
        <f ca="1">N229</f>
        <v>38727203.565744892</v>
      </c>
      <c r="O244" s="77">
        <f ca="1">O229</f>
        <v>0</v>
      </c>
      <c r="P244" s="77">
        <f t="shared" ref="P244:R244" si="129">P229</f>
        <v>0</v>
      </c>
      <c r="Q244" s="77">
        <f t="shared" si="129"/>
        <v>0</v>
      </c>
      <c r="R244" s="77">
        <f t="shared" si="129"/>
        <v>0</v>
      </c>
      <c r="S244" s="77"/>
      <c r="T244" s="45">
        <f t="shared" ca="1" si="118"/>
        <v>71873747.24582842</v>
      </c>
      <c r="V244" s="145"/>
      <c r="W244" s="146"/>
    </row>
    <row r="245" spans="1:23" s="457" customFormat="1" hidden="1" x14ac:dyDescent="0.2">
      <c r="A245" s="529"/>
      <c r="B245" s="440" t="s">
        <v>570</v>
      </c>
      <c r="C245" s="40"/>
      <c r="D245" s="40"/>
      <c r="E245" s="40"/>
      <c r="F245" s="92"/>
      <c r="G245" s="92">
        <f>G219</f>
        <v>0</v>
      </c>
      <c r="H245" s="92">
        <f t="shared" ref="H245:M245" si="130">H219</f>
        <v>0</v>
      </c>
      <c r="I245" s="92">
        <f t="shared" si="130"/>
        <v>0</v>
      </c>
      <c r="J245" s="92">
        <f t="shared" si="130"/>
        <v>0</v>
      </c>
      <c r="K245" s="92">
        <f t="shared" si="130"/>
        <v>0</v>
      </c>
      <c r="L245" s="92">
        <f t="shared" si="130"/>
        <v>0</v>
      </c>
      <c r="M245" s="92">
        <f t="shared" si="130"/>
        <v>0</v>
      </c>
      <c r="N245" s="92">
        <f>N219+N233+N237+N242</f>
        <v>0</v>
      </c>
      <c r="O245" s="92">
        <f>O219+O233+O237+O242</f>
        <v>0</v>
      </c>
      <c r="P245" s="92"/>
      <c r="Q245" s="92"/>
      <c r="R245" s="92"/>
      <c r="S245" s="92"/>
      <c r="T245" s="11">
        <f t="shared" si="118"/>
        <v>0</v>
      </c>
    </row>
    <row r="246" spans="1:23" s="457" customFormat="1" x14ac:dyDescent="0.2">
      <c r="A246" s="529"/>
      <c r="B246" s="440" t="s">
        <v>571</v>
      </c>
      <c r="C246" s="40"/>
      <c r="D246" s="40"/>
      <c r="E246" s="40"/>
      <c r="F246" s="92"/>
      <c r="G246" s="92">
        <f>G225</f>
        <v>0</v>
      </c>
      <c r="H246" s="92">
        <f t="shared" ref="H246:R246" si="131">H225</f>
        <v>0</v>
      </c>
      <c r="I246" s="92">
        <f t="shared" si="131"/>
        <v>0</v>
      </c>
      <c r="J246" s="92">
        <f t="shared" si="131"/>
        <v>0</v>
      </c>
      <c r="K246" s="92">
        <f t="shared" ca="1" si="131"/>
        <v>0</v>
      </c>
      <c r="L246" s="92">
        <f t="shared" ca="1" si="131"/>
        <v>0</v>
      </c>
      <c r="M246" s="92">
        <f t="shared" ca="1" si="131"/>
        <v>0</v>
      </c>
      <c r="N246" s="92">
        <f t="shared" ca="1" si="131"/>
        <v>0</v>
      </c>
      <c r="O246" s="92">
        <f t="shared" ref="O246" si="132">O225</f>
        <v>0</v>
      </c>
      <c r="P246" s="92">
        <f t="shared" si="131"/>
        <v>0</v>
      </c>
      <c r="Q246" s="92">
        <f t="shared" si="131"/>
        <v>0</v>
      </c>
      <c r="R246" s="92">
        <f t="shared" si="131"/>
        <v>0</v>
      </c>
      <c r="S246" s="92"/>
      <c r="T246" s="11">
        <f t="shared" ca="1" si="118"/>
        <v>0</v>
      </c>
    </row>
    <row r="247" spans="1:23" s="457" customFormat="1" x14ac:dyDescent="0.2">
      <c r="A247" s="529"/>
      <c r="B247" s="440" t="s">
        <v>572</v>
      </c>
      <c r="C247" s="40"/>
      <c r="D247" s="40"/>
      <c r="E247" s="40"/>
      <c r="F247" s="92"/>
      <c r="G247" s="92">
        <f t="shared" ref="G247:M247" si="133">G239+G244</f>
        <v>0</v>
      </c>
      <c r="H247" s="92">
        <f t="shared" ca="1" si="133"/>
        <v>7262.0859474292956</v>
      </c>
      <c r="I247" s="92">
        <f t="shared" ca="1" si="133"/>
        <v>0</v>
      </c>
      <c r="J247" s="92">
        <f t="shared" ca="1" si="133"/>
        <v>0</v>
      </c>
      <c r="K247" s="92">
        <f t="shared" ca="1" si="133"/>
        <v>0</v>
      </c>
      <c r="L247" s="92">
        <f t="shared" ca="1" si="133"/>
        <v>33139281.594136097</v>
      </c>
      <c r="M247" s="92">
        <f t="shared" ca="1" si="133"/>
        <v>0</v>
      </c>
      <c r="N247" s="92">
        <f ca="1">N239+N244</f>
        <v>38727203.565744892</v>
      </c>
      <c r="O247" s="92">
        <f ca="1">O239+O244</f>
        <v>0</v>
      </c>
      <c r="P247" s="92"/>
      <c r="Q247" s="92"/>
      <c r="R247" s="92"/>
      <c r="S247" s="92"/>
      <c r="T247" s="11">
        <f t="shared" ca="1" si="118"/>
        <v>71873747.24582842</v>
      </c>
    </row>
    <row r="248" spans="1:23" x14ac:dyDescent="0.2">
      <c r="A248"/>
      <c r="C248" s="534"/>
      <c r="D248" s="128"/>
      <c r="E248" s="92"/>
      <c r="F248" s="24"/>
      <c r="G248" s="92"/>
      <c r="H248" s="383"/>
      <c r="I248" s="383"/>
      <c r="J248" s="383"/>
      <c r="K248" s="383"/>
      <c r="L248" s="383"/>
      <c r="M248" s="383"/>
      <c r="N248" s="383"/>
      <c r="O248" s="383"/>
      <c r="P248" s="383"/>
      <c r="Q248" s="383"/>
      <c r="R248" s="383"/>
      <c r="S248" s="225"/>
      <c r="T248" s="645"/>
    </row>
    <row r="249" spans="1:23" x14ac:dyDescent="0.2">
      <c r="B249" s="232" t="s">
        <v>399</v>
      </c>
      <c r="C249" s="164"/>
      <c r="D249" s="531"/>
      <c r="E249" s="530"/>
      <c r="F249" s="384"/>
      <c r="G249" s="384"/>
      <c r="H249" s="384">
        <f ca="1">H214+H244</f>
        <v>7262.0859474292956</v>
      </c>
      <c r="I249" s="384">
        <f t="shared" ref="I249:R249" ca="1" si="134">I214+I244</f>
        <v>0</v>
      </c>
      <c r="J249" s="384">
        <f t="shared" ca="1" si="134"/>
        <v>2165625</v>
      </c>
      <c r="K249" s="384">
        <f t="shared" ca="1" si="134"/>
        <v>8569687.5</v>
      </c>
      <c r="L249" s="384">
        <f t="shared" ca="1" si="134"/>
        <v>22403969.094136097</v>
      </c>
      <c r="M249" s="384">
        <f t="shared" ca="1" si="134"/>
        <v>0</v>
      </c>
      <c r="N249" s="384">
        <f t="shared" ca="1" si="134"/>
        <v>38727203.565744892</v>
      </c>
      <c r="O249" s="384">
        <f t="shared" ca="1" si="134"/>
        <v>0</v>
      </c>
      <c r="P249" s="384">
        <f t="shared" si="134"/>
        <v>0</v>
      </c>
      <c r="Q249" s="384">
        <f t="shared" si="134"/>
        <v>0</v>
      </c>
      <c r="R249" s="384">
        <f t="shared" si="134"/>
        <v>0</v>
      </c>
      <c r="S249" s="384"/>
      <c r="T249" s="375">
        <f ca="1">SUM(G249:R249)</f>
        <v>71873747.24582842</v>
      </c>
    </row>
    <row r="250" spans="1:23" ht="17" thickBot="1" x14ac:dyDescent="0.25">
      <c r="B250" s="228"/>
      <c r="C250" s="691"/>
      <c r="D250" s="692" t="s">
        <v>447</v>
      </c>
      <c r="E250" s="693"/>
      <c r="F250" s="228"/>
      <c r="G250" s="385"/>
      <c r="H250" s="679">
        <f ca="1">H212</f>
        <v>7262.0859474292956</v>
      </c>
      <c r="I250" s="679">
        <f t="shared" ref="I250:R250" ca="1" si="135">I212</f>
        <v>0</v>
      </c>
      <c r="J250" s="679">
        <f t="shared" ca="1" si="135"/>
        <v>2165624.9999999907</v>
      </c>
      <c r="K250" s="679">
        <f t="shared" ca="1" si="135"/>
        <v>8569687.5</v>
      </c>
      <c r="L250" s="679">
        <f t="shared" ca="1" si="135"/>
        <v>22403969.094136097</v>
      </c>
      <c r="M250" s="679">
        <f t="shared" ca="1" si="135"/>
        <v>0</v>
      </c>
      <c r="N250" s="679">
        <f t="shared" ca="1" si="135"/>
        <v>38727203.565744892</v>
      </c>
      <c r="O250" s="679">
        <f t="shared" ca="1" si="135"/>
        <v>0</v>
      </c>
      <c r="P250" s="679">
        <f t="shared" ca="1" si="135"/>
        <v>0</v>
      </c>
      <c r="Q250" s="679">
        <f t="shared" ca="1" si="135"/>
        <v>0</v>
      </c>
      <c r="R250" s="679">
        <f t="shared" ca="1" si="135"/>
        <v>0</v>
      </c>
      <c r="S250" s="385"/>
      <c r="T250" s="385"/>
    </row>
    <row r="251" spans="1:23" ht="17" thickTop="1" x14ac:dyDescent="0.2">
      <c r="B251" s="30" t="s">
        <v>150</v>
      </c>
      <c r="C251" s="30"/>
      <c r="D251" s="30"/>
      <c r="E251" s="30"/>
      <c r="F251" s="30"/>
      <c r="G251" s="386">
        <f t="shared" ref="G251:R251" si="136">G184+G208+G249</f>
        <v>577909.6640625</v>
      </c>
      <c r="H251" s="386">
        <f t="shared" ca="1" si="136"/>
        <v>14701623.594066251</v>
      </c>
      <c r="I251" s="386">
        <f t="shared" ca="1" si="136"/>
        <v>63170266.14342773</v>
      </c>
      <c r="J251" s="386">
        <f t="shared" ca="1" si="136"/>
        <v>67140402.895060837</v>
      </c>
      <c r="K251" s="386">
        <f t="shared" ca="1" si="136"/>
        <v>66411016.819338351</v>
      </c>
      <c r="L251" s="386">
        <f t="shared" ca="1" si="136"/>
        <v>69417869.014016345</v>
      </c>
      <c r="M251" s="386">
        <f t="shared" ca="1" si="136"/>
        <v>7653253.9812230021</v>
      </c>
      <c r="N251" s="386">
        <f t="shared" ca="1" si="136"/>
        <v>127412754.16016926</v>
      </c>
      <c r="O251" s="386">
        <f t="shared" ca="1" si="136"/>
        <v>0</v>
      </c>
      <c r="P251" s="386">
        <f t="shared" ca="1" si="136"/>
        <v>0</v>
      </c>
      <c r="Q251" s="386">
        <f t="shared" ca="1" si="136"/>
        <v>0</v>
      </c>
      <c r="R251" s="386">
        <f t="shared" ca="1" si="136"/>
        <v>0</v>
      </c>
      <c r="S251" s="386"/>
      <c r="T251" s="386">
        <f ca="1">SUM(G251:R251)</f>
        <v>416485096.27136427</v>
      </c>
    </row>
    <row r="252" spans="1:23" x14ac:dyDescent="0.2">
      <c r="C252" s="31"/>
      <c r="D252" s="24"/>
      <c r="E252" s="24"/>
      <c r="F252" s="24"/>
      <c r="G252" s="379"/>
      <c r="H252" s="379"/>
      <c r="I252" s="379"/>
      <c r="J252" s="379"/>
      <c r="K252" s="379"/>
      <c r="L252" s="379"/>
      <c r="M252" s="379"/>
      <c r="N252" s="379"/>
      <c r="O252" s="379"/>
      <c r="P252" s="379"/>
      <c r="Q252" s="379"/>
      <c r="R252" s="379"/>
      <c r="S252" s="379"/>
      <c r="T252" s="381"/>
    </row>
    <row r="253" spans="1:23" x14ac:dyDescent="0.2">
      <c r="B253" s="4" t="s">
        <v>400</v>
      </c>
      <c r="C253" s="31"/>
      <c r="D253" s="24"/>
      <c r="E253" s="24"/>
      <c r="F253" s="24"/>
      <c r="G253" s="379">
        <f t="shared" ref="G253:R253" si="137">F253+G67-G251</f>
        <v>-577909.6640625</v>
      </c>
      <c r="H253" s="379">
        <f t="shared" ca="1" si="137"/>
        <v>0</v>
      </c>
      <c r="I253" s="379">
        <f t="shared" ca="1" si="137"/>
        <v>0</v>
      </c>
      <c r="J253" s="379">
        <f t="shared" ca="1" si="137"/>
        <v>0</v>
      </c>
      <c r="K253" s="379">
        <f t="shared" ca="1" si="137"/>
        <v>0</v>
      </c>
      <c r="L253" s="379">
        <f ca="1">K253+L67-L251</f>
        <v>0</v>
      </c>
      <c r="M253" s="379">
        <f t="shared" ca="1" si="137"/>
        <v>-100385.14678618126</v>
      </c>
      <c r="N253" s="379">
        <f t="shared" ca="1" si="137"/>
        <v>0</v>
      </c>
      <c r="O253" s="379">
        <f t="shared" ca="1" si="137"/>
        <v>0</v>
      </c>
      <c r="P253" s="379">
        <f t="shared" ca="1" si="137"/>
        <v>0</v>
      </c>
      <c r="Q253" s="379">
        <f t="shared" ca="1" si="137"/>
        <v>0</v>
      </c>
      <c r="R253" s="379">
        <f t="shared" ca="1" si="137"/>
        <v>0</v>
      </c>
      <c r="S253" s="379"/>
      <c r="T253" s="381"/>
    </row>
    <row r="254" spans="1:23" x14ac:dyDescent="0.2">
      <c r="B254" s="4"/>
      <c r="C254" s="31"/>
      <c r="D254" s="24"/>
      <c r="E254" s="24"/>
      <c r="F254" s="24"/>
      <c r="G254" s="379"/>
      <c r="H254" s="379"/>
      <c r="I254" s="379"/>
      <c r="J254" s="379"/>
      <c r="K254" s="379"/>
      <c r="L254" s="379"/>
      <c r="M254" s="379"/>
      <c r="N254" s="379"/>
      <c r="O254" s="379"/>
      <c r="P254" s="379"/>
      <c r="Q254" s="379"/>
      <c r="R254" s="379"/>
      <c r="S254" s="379"/>
      <c r="T254" s="381"/>
    </row>
    <row r="255" spans="1:23" x14ac:dyDescent="0.2">
      <c r="B255" s="4" t="s">
        <v>401</v>
      </c>
      <c r="C255" s="31"/>
      <c r="D255" s="24"/>
      <c r="E255" s="24"/>
      <c r="F255" s="24"/>
      <c r="G255" s="379">
        <f t="shared" ref="G255:R255" si="138">-G39+G249</f>
        <v>0</v>
      </c>
      <c r="H255" s="379">
        <f t="shared" ca="1" si="138"/>
        <v>7262.0859474292956</v>
      </c>
      <c r="I255" s="379">
        <f t="shared" ca="1" si="138"/>
        <v>0</v>
      </c>
      <c r="J255" s="379">
        <f t="shared" ca="1" si="138"/>
        <v>2165625</v>
      </c>
      <c r="K255" s="379">
        <f t="shared" ca="1" si="138"/>
        <v>8569687.5</v>
      </c>
      <c r="L255" s="379">
        <f t="shared" ca="1" si="138"/>
        <v>22403969.094136097</v>
      </c>
      <c r="M255" s="379">
        <f t="shared" ca="1" si="138"/>
        <v>0</v>
      </c>
      <c r="N255" s="379">
        <f t="shared" ca="1" si="138"/>
        <v>38727203.565744892</v>
      </c>
      <c r="O255" s="379">
        <f t="shared" ca="1" si="138"/>
        <v>0</v>
      </c>
      <c r="P255" s="379">
        <f t="shared" si="138"/>
        <v>0</v>
      </c>
      <c r="Q255" s="379">
        <f t="shared" si="138"/>
        <v>0</v>
      </c>
      <c r="R255" s="379">
        <f t="shared" si="138"/>
        <v>0</v>
      </c>
      <c r="S255" s="379"/>
      <c r="T255" s="381">
        <f ca="1">SUM(G255:R255)</f>
        <v>71873747.24582842</v>
      </c>
    </row>
    <row r="256" spans="1:23" x14ac:dyDescent="0.2">
      <c r="B256" s="3"/>
      <c r="C256" s="31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66"/>
    </row>
    <row r="257" spans="2:22" x14ac:dyDescent="0.2">
      <c r="B257" s="3"/>
      <c r="C257" s="31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66"/>
    </row>
    <row r="259" spans="2:22" outlineLevel="1" x14ac:dyDescent="0.2">
      <c r="B259" s="3" t="str">
        <f>B1</f>
        <v>CLARENDON - AMENITY + HOTEL DEVELOPMENT: PROFORMA</v>
      </c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7"/>
    </row>
    <row r="260" spans="2:22" outlineLevel="1" x14ac:dyDescent="0.2">
      <c r="B260" s="3" t="s">
        <v>404</v>
      </c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7"/>
    </row>
    <row r="261" spans="2:22" outlineLevel="1" x14ac:dyDescent="0.2">
      <c r="B261" s="123" t="str">
        <f>B31</f>
        <v>SOURCES</v>
      </c>
      <c r="C261" s="123"/>
      <c r="D261" s="173"/>
      <c r="E261" s="173"/>
      <c r="F261" s="173"/>
      <c r="G261" s="173">
        <f t="shared" ref="G261:T261" si="139">G4</f>
        <v>45658</v>
      </c>
      <c r="H261" s="173">
        <f t="shared" si="139"/>
        <v>46023</v>
      </c>
      <c r="I261" s="173">
        <f t="shared" si="139"/>
        <v>46388</v>
      </c>
      <c r="J261" s="173">
        <f t="shared" si="139"/>
        <v>46753</v>
      </c>
      <c r="K261" s="173">
        <f t="shared" si="139"/>
        <v>47119</v>
      </c>
      <c r="L261" s="173">
        <f t="shared" si="139"/>
        <v>47484</v>
      </c>
      <c r="M261" s="173">
        <f t="shared" si="139"/>
        <v>47849</v>
      </c>
      <c r="N261" s="173">
        <f t="shared" si="139"/>
        <v>48214</v>
      </c>
      <c r="O261" s="173">
        <f t="shared" si="139"/>
        <v>48580</v>
      </c>
      <c r="P261" s="173">
        <f t="shared" si="139"/>
        <v>48945</v>
      </c>
      <c r="Q261" s="173">
        <f t="shared" si="139"/>
        <v>49310</v>
      </c>
      <c r="R261" s="173">
        <f t="shared" si="139"/>
        <v>49675</v>
      </c>
      <c r="S261" s="173">
        <f t="shared" si="139"/>
        <v>50041</v>
      </c>
      <c r="T261" s="38" t="str">
        <f t="shared" si="139"/>
        <v>TOTALS</v>
      </c>
    </row>
    <row r="262" spans="2:22" outlineLevel="1" x14ac:dyDescent="0.2">
      <c r="B262" t="str">
        <f>B36</f>
        <v>LAND EQUITY IN 80 ACRES - $15M in Equity derived from PUD</v>
      </c>
      <c r="C262" s="12"/>
      <c r="D262" s="174"/>
      <c r="E262" s="174"/>
      <c r="F262" s="175"/>
      <c r="G262" s="174">
        <f t="shared" ref="G262:T262" si="140">G36</f>
        <v>0</v>
      </c>
      <c r="H262" s="174">
        <f t="shared" si="140"/>
        <v>0</v>
      </c>
      <c r="I262" s="174">
        <f t="shared" si="140"/>
        <v>0</v>
      </c>
      <c r="J262" s="174">
        <f t="shared" si="140"/>
        <v>0</v>
      </c>
      <c r="K262" s="174">
        <f t="shared" si="140"/>
        <v>0</v>
      </c>
      <c r="L262" s="174">
        <f t="shared" si="140"/>
        <v>0</v>
      </c>
      <c r="M262" s="174">
        <f t="shared" si="140"/>
        <v>0</v>
      </c>
      <c r="N262" s="174">
        <f t="shared" si="140"/>
        <v>0</v>
      </c>
      <c r="O262" s="174">
        <f t="shared" si="140"/>
        <v>0</v>
      </c>
      <c r="P262" s="174">
        <f t="shared" si="140"/>
        <v>0</v>
      </c>
      <c r="Q262" s="174">
        <f t="shared" si="140"/>
        <v>0</v>
      </c>
      <c r="R262" s="174">
        <f t="shared" si="140"/>
        <v>0</v>
      </c>
      <c r="S262" s="174">
        <f t="shared" si="140"/>
        <v>0</v>
      </c>
      <c r="T262" s="174">
        <f t="shared" si="140"/>
        <v>0</v>
      </c>
      <c r="U262" s="174">
        <v>15000000</v>
      </c>
      <c r="V262" s="11">
        <f>T262-U262</f>
        <v>-15000000</v>
      </c>
    </row>
    <row r="263" spans="2:22" outlineLevel="1" x14ac:dyDescent="0.2">
      <c r="B263" t="str">
        <f>B37</f>
        <v>MTN ORIGINS - PURSUIT CAPITAL</v>
      </c>
      <c r="C263" s="12"/>
      <c r="D263" s="174"/>
      <c r="E263" s="174"/>
      <c r="F263" s="175"/>
      <c r="G263" s="174">
        <f t="shared" ref="G263:T263" si="141">G37</f>
        <v>0</v>
      </c>
      <c r="H263" s="174">
        <f t="shared" si="141"/>
        <v>0</v>
      </c>
      <c r="I263" s="174">
        <f t="shared" si="141"/>
        <v>0</v>
      </c>
      <c r="J263" s="174">
        <f t="shared" si="141"/>
        <v>0</v>
      </c>
      <c r="K263" s="174">
        <f t="shared" si="141"/>
        <v>0</v>
      </c>
      <c r="L263" s="174">
        <f t="shared" si="141"/>
        <v>0</v>
      </c>
      <c r="M263" s="174">
        <f t="shared" si="141"/>
        <v>0</v>
      </c>
      <c r="N263" s="174">
        <f t="shared" si="141"/>
        <v>0</v>
      </c>
      <c r="O263" s="174">
        <f t="shared" si="141"/>
        <v>0</v>
      </c>
      <c r="P263" s="174">
        <f t="shared" si="141"/>
        <v>0</v>
      </c>
      <c r="Q263" s="174">
        <f t="shared" si="141"/>
        <v>0</v>
      </c>
      <c r="R263" s="174">
        <f t="shared" si="141"/>
        <v>0</v>
      </c>
      <c r="S263" s="174">
        <f t="shared" si="141"/>
        <v>0</v>
      </c>
      <c r="T263" s="174">
        <f t="shared" si="141"/>
        <v>0</v>
      </c>
      <c r="U263" s="174">
        <v>0</v>
      </c>
      <c r="V263" s="11">
        <f t="shared" ref="V263:V271" si="142">T263-U263</f>
        <v>0</v>
      </c>
    </row>
    <row r="264" spans="2:22" outlineLevel="1" x14ac:dyDescent="0.2">
      <c r="B264" t="str">
        <f>B38</f>
        <v>JV - EQUITY CAPITAL</v>
      </c>
      <c r="C264" s="12"/>
      <c r="D264" s="174"/>
      <c r="E264" s="174"/>
      <c r="F264" s="175"/>
      <c r="G264" s="174">
        <f>G38</f>
        <v>0</v>
      </c>
      <c r="H264" s="174">
        <f>H38</f>
        <v>0</v>
      </c>
      <c r="I264" s="174">
        <v>0</v>
      </c>
      <c r="J264" s="174">
        <f t="shared" ref="J264:S264" si="143">J38</f>
        <v>0</v>
      </c>
      <c r="K264" s="174">
        <f t="shared" si="143"/>
        <v>0</v>
      </c>
      <c r="L264" s="174">
        <f t="shared" si="143"/>
        <v>0</v>
      </c>
      <c r="M264" s="174">
        <f t="shared" si="143"/>
        <v>0</v>
      </c>
      <c r="N264" s="174">
        <f t="shared" si="143"/>
        <v>0</v>
      </c>
      <c r="O264" s="174">
        <f t="shared" si="143"/>
        <v>0</v>
      </c>
      <c r="P264" s="174">
        <f t="shared" si="143"/>
        <v>0</v>
      </c>
      <c r="Q264" s="174">
        <f t="shared" si="143"/>
        <v>0</v>
      </c>
      <c r="R264" s="174">
        <f t="shared" si="143"/>
        <v>0</v>
      </c>
      <c r="S264" s="174">
        <f t="shared" si="143"/>
        <v>0</v>
      </c>
      <c r="T264" s="174">
        <f>H264</f>
        <v>0</v>
      </c>
      <c r="U264" s="174">
        <v>0</v>
      </c>
      <c r="V264" s="11">
        <f t="shared" si="142"/>
        <v>0</v>
      </c>
    </row>
    <row r="265" spans="2:22" outlineLevel="1" x14ac:dyDescent="0.2">
      <c r="B265" t="str">
        <f>B42</f>
        <v>EB5 - MEZZ DEBT</v>
      </c>
      <c r="C265" s="12"/>
      <c r="D265" s="174"/>
      <c r="E265" s="174"/>
      <c r="F265" s="175"/>
      <c r="G265" s="174">
        <f t="shared" ref="G265:T265" si="144">G42</f>
        <v>0</v>
      </c>
      <c r="H265" s="174">
        <f t="shared" si="144"/>
        <v>15279533.258128751</v>
      </c>
      <c r="I265" s="174">
        <f t="shared" si="144"/>
        <v>13520466.741871249</v>
      </c>
      <c r="J265" s="174">
        <f t="shared" si="144"/>
        <v>0</v>
      </c>
      <c r="K265" s="174">
        <f t="shared" si="144"/>
        <v>0</v>
      </c>
      <c r="L265" s="174">
        <f t="shared" si="144"/>
        <v>0</v>
      </c>
      <c r="M265" s="174">
        <f t="shared" si="144"/>
        <v>0</v>
      </c>
      <c r="N265" s="174">
        <f t="shared" si="144"/>
        <v>0</v>
      </c>
      <c r="O265" s="174">
        <f t="shared" si="144"/>
        <v>0</v>
      </c>
      <c r="P265" s="174">
        <f t="shared" si="144"/>
        <v>0</v>
      </c>
      <c r="Q265" s="174">
        <f t="shared" si="144"/>
        <v>0</v>
      </c>
      <c r="R265" s="174">
        <f t="shared" si="144"/>
        <v>0</v>
      </c>
      <c r="S265" s="174">
        <f t="shared" si="144"/>
        <v>0</v>
      </c>
      <c r="T265" s="174">
        <f t="shared" si="144"/>
        <v>28800000</v>
      </c>
      <c r="U265" s="174">
        <v>26710903.628517821</v>
      </c>
      <c r="V265" s="11">
        <f t="shared" si="142"/>
        <v>2089096.3714821786</v>
      </c>
    </row>
    <row r="266" spans="2:22" outlineLevel="1" x14ac:dyDescent="0.2">
      <c r="B266" t="s">
        <v>586</v>
      </c>
      <c r="C266" s="12"/>
      <c r="D266" s="174"/>
      <c r="E266" s="174"/>
      <c r="F266" s="175"/>
      <c r="G266" s="174">
        <f t="shared" ref="G266:T266" si="145">G43+G44</f>
        <v>0</v>
      </c>
      <c r="H266" s="174">
        <f t="shared" ca="1" si="145"/>
        <v>0</v>
      </c>
      <c r="I266" s="174">
        <f t="shared" ca="1" si="145"/>
        <v>48972748.893556476</v>
      </c>
      <c r="J266" s="174">
        <f t="shared" ca="1" si="145"/>
        <v>50842258.814373896</v>
      </c>
      <c r="K266" s="174">
        <f t="shared" ca="1" si="145"/>
        <v>3652732.8506062478</v>
      </c>
      <c r="L266" s="174">
        <f t="shared" ca="1" si="145"/>
        <v>0</v>
      </c>
      <c r="M266" s="174">
        <f t="shared" si="145"/>
        <v>0</v>
      </c>
      <c r="N266" s="174">
        <f t="shared" si="145"/>
        <v>0</v>
      </c>
      <c r="O266" s="174">
        <f t="shared" si="145"/>
        <v>0</v>
      </c>
      <c r="P266" s="174">
        <f t="shared" si="145"/>
        <v>0</v>
      </c>
      <c r="Q266" s="174">
        <f t="shared" si="145"/>
        <v>0</v>
      </c>
      <c r="R266" s="174">
        <f t="shared" si="145"/>
        <v>0</v>
      </c>
      <c r="S266" s="174">
        <f t="shared" si="145"/>
        <v>0</v>
      </c>
      <c r="T266" s="174">
        <f t="shared" ca="1" si="145"/>
        <v>103467740.55853662</v>
      </c>
      <c r="U266" s="174">
        <v>89423459.973733574</v>
      </c>
      <c r="V266" s="11">
        <f t="shared" ca="1" si="142"/>
        <v>14044280.584803045</v>
      </c>
    </row>
    <row r="267" spans="2:22" outlineLevel="1" x14ac:dyDescent="0.2">
      <c r="B267" t="str">
        <f>B53</f>
        <v>TOTAL NET OPERATING INCOME (NOI)</v>
      </c>
      <c r="C267" s="12"/>
      <c r="D267" s="174"/>
      <c r="E267" s="174"/>
      <c r="F267" s="175"/>
      <c r="G267" s="174">
        <f t="shared" ref="G267:T267" si="146">G53</f>
        <v>0</v>
      </c>
      <c r="H267" s="174">
        <f t="shared" ca="1" si="146"/>
        <v>0</v>
      </c>
      <c r="I267" s="174">
        <f t="shared" ca="1" si="146"/>
        <v>677050.50800000003</v>
      </c>
      <c r="J267" s="174">
        <f t="shared" ca="1" si="146"/>
        <v>1860644.0806869499</v>
      </c>
      <c r="K267" s="174">
        <f t="shared" ca="1" si="146"/>
        <v>5627033.9687321</v>
      </c>
      <c r="L267" s="174">
        <f t="shared" ca="1" si="146"/>
        <v>6573494.0140163293</v>
      </c>
      <c r="M267" s="174">
        <f t="shared" ca="1" si="146"/>
        <v>7552868.8344368208</v>
      </c>
      <c r="N267" s="174">
        <f t="shared" ca="1" si="146"/>
        <v>7782492.0703775631</v>
      </c>
      <c r="O267" s="174">
        <f t="shared" si="146"/>
        <v>0</v>
      </c>
      <c r="P267" s="174">
        <f t="shared" si="146"/>
        <v>0</v>
      </c>
      <c r="Q267" s="174">
        <f t="shared" si="146"/>
        <v>0</v>
      </c>
      <c r="R267" s="174">
        <f t="shared" si="146"/>
        <v>0</v>
      </c>
      <c r="S267" s="174">
        <f t="shared" si="146"/>
        <v>0</v>
      </c>
      <c r="T267" s="174">
        <f t="shared" ca="1" si="146"/>
        <v>30073583.476249766</v>
      </c>
      <c r="U267" s="174">
        <v>34079778.526280284</v>
      </c>
      <c r="V267" s="11">
        <f t="shared" ca="1" si="142"/>
        <v>-4006195.0500305183</v>
      </c>
    </row>
    <row r="268" spans="2:22" outlineLevel="1" x14ac:dyDescent="0.2">
      <c r="B268" t="str">
        <f>B60</f>
        <v>TOTAL UNIT SALES</v>
      </c>
      <c r="C268" s="12"/>
      <c r="D268" s="174"/>
      <c r="E268" s="174"/>
      <c r="F268" s="175"/>
      <c r="G268" s="174">
        <f t="shared" ref="G268:T268" si="147">G60</f>
        <v>0</v>
      </c>
      <c r="H268" s="174">
        <f t="shared" si="147"/>
        <v>0</v>
      </c>
      <c r="I268" s="174">
        <f t="shared" si="147"/>
        <v>0</v>
      </c>
      <c r="J268" s="174">
        <f t="shared" si="147"/>
        <v>14437500</v>
      </c>
      <c r="K268" s="174">
        <f t="shared" si="147"/>
        <v>57131250</v>
      </c>
      <c r="L268" s="174">
        <f t="shared" si="147"/>
        <v>62844375.000000015</v>
      </c>
      <c r="M268" s="174">
        <f t="shared" si="147"/>
        <v>0</v>
      </c>
      <c r="N268" s="174">
        <f t="shared" si="147"/>
        <v>0</v>
      </c>
      <c r="O268" s="174">
        <f t="shared" si="147"/>
        <v>0</v>
      </c>
      <c r="P268" s="174">
        <f t="shared" si="147"/>
        <v>0</v>
      </c>
      <c r="Q268" s="174">
        <f t="shared" si="147"/>
        <v>0</v>
      </c>
      <c r="R268" s="174">
        <f t="shared" si="147"/>
        <v>0</v>
      </c>
      <c r="S268" s="174">
        <f t="shared" si="147"/>
        <v>0</v>
      </c>
      <c r="T268" s="174">
        <f t="shared" si="147"/>
        <v>134413125</v>
      </c>
      <c r="U268" s="174">
        <v>89704476.5625</v>
      </c>
      <c r="V268" s="11">
        <f t="shared" si="142"/>
        <v>44708648.4375</v>
      </c>
    </row>
    <row r="269" spans="2:22" outlineLevel="1" x14ac:dyDescent="0.2">
      <c r="B269" t="str">
        <f>B65</f>
        <v>HOTEL SALE PROCEEDS / DISPOSITION</v>
      </c>
      <c r="C269" s="429"/>
      <c r="D269" s="435"/>
      <c r="E269" s="435"/>
      <c r="F269" s="435"/>
      <c r="G269" s="435">
        <f t="shared" ref="G269:T269" si="148">G65</f>
        <v>0</v>
      </c>
      <c r="H269" s="435">
        <f t="shared" si="148"/>
        <v>0</v>
      </c>
      <c r="I269" s="435">
        <f t="shared" si="148"/>
        <v>0</v>
      </c>
      <c r="J269" s="435">
        <f t="shared" si="148"/>
        <v>0</v>
      </c>
      <c r="K269" s="435">
        <f t="shared" si="148"/>
        <v>0</v>
      </c>
      <c r="L269" s="435">
        <f t="shared" si="148"/>
        <v>0</v>
      </c>
      <c r="M269" s="435">
        <f t="shared" si="148"/>
        <v>0</v>
      </c>
      <c r="N269" s="435">
        <f t="shared" ca="1" si="148"/>
        <v>119730647.23657788</v>
      </c>
      <c r="O269" s="435">
        <f t="shared" si="148"/>
        <v>0</v>
      </c>
      <c r="P269" s="435">
        <f t="shared" si="148"/>
        <v>0</v>
      </c>
      <c r="Q269" s="435">
        <f t="shared" si="148"/>
        <v>0</v>
      </c>
      <c r="R269" s="435">
        <f t="shared" si="148"/>
        <v>0</v>
      </c>
      <c r="S269" s="435">
        <f t="shared" si="148"/>
        <v>0</v>
      </c>
      <c r="T269" s="435">
        <f t="shared" ca="1" si="148"/>
        <v>119730647.23657788</v>
      </c>
      <c r="U269" s="174">
        <v>148366298.1594483</v>
      </c>
      <c r="V269" s="11">
        <f t="shared" ca="1" si="142"/>
        <v>-28635650.922870412</v>
      </c>
    </row>
    <row r="270" spans="2:22" outlineLevel="1" x14ac:dyDescent="0.2">
      <c r="B270" s="222" t="s">
        <v>730</v>
      </c>
      <c r="C270" s="433"/>
      <c r="D270" s="434"/>
      <c r="E270" s="434"/>
      <c r="F270" s="434"/>
      <c r="G270" s="434">
        <f t="shared" ref="G270:S270" si="149">MAX(G251-G67,0)</f>
        <v>577909.6640625</v>
      </c>
      <c r="H270" s="434">
        <f t="shared" ca="1" si="149"/>
        <v>0</v>
      </c>
      <c r="I270" s="434">
        <f t="shared" ca="1" si="149"/>
        <v>0</v>
      </c>
      <c r="J270" s="434">
        <f t="shared" ca="1" si="149"/>
        <v>0</v>
      </c>
      <c r="K270" s="434">
        <f t="shared" ca="1" si="149"/>
        <v>0</v>
      </c>
      <c r="L270" s="434">
        <f t="shared" ca="1" si="149"/>
        <v>0</v>
      </c>
      <c r="M270" s="434">
        <f t="shared" ca="1" si="149"/>
        <v>100385.14678618126</v>
      </c>
      <c r="N270" s="434">
        <f t="shared" ca="1" si="149"/>
        <v>0</v>
      </c>
      <c r="O270" s="434">
        <f t="shared" ca="1" si="149"/>
        <v>0</v>
      </c>
      <c r="P270" s="434">
        <f t="shared" ca="1" si="149"/>
        <v>0</v>
      </c>
      <c r="Q270" s="434">
        <f t="shared" ca="1" si="149"/>
        <v>0</v>
      </c>
      <c r="R270" s="434">
        <f t="shared" ca="1" si="149"/>
        <v>0</v>
      </c>
      <c r="S270" s="434">
        <f t="shared" si="149"/>
        <v>0</v>
      </c>
      <c r="T270" s="434">
        <f ca="1">SUM(G270:S270)</f>
        <v>678294.81084868126</v>
      </c>
      <c r="U270" s="174">
        <v>578982.82595587894</v>
      </c>
      <c r="V270" s="11">
        <f t="shared" ca="1" si="142"/>
        <v>99311.984892802313</v>
      </c>
    </row>
    <row r="271" spans="2:22" outlineLevel="1" x14ac:dyDescent="0.2">
      <c r="B271" s="3" t="str">
        <f>B67</f>
        <v>TOTAL SOURCES</v>
      </c>
      <c r="C271" s="23"/>
      <c r="D271" s="176"/>
      <c r="E271" s="176"/>
      <c r="F271" s="177"/>
      <c r="G271" s="176">
        <f t="shared" ref="G271:M271" si="150">SUM(G262:G270)</f>
        <v>577909.6640625</v>
      </c>
      <c r="H271" s="176">
        <f t="shared" ca="1" si="150"/>
        <v>15279533.258128751</v>
      </c>
      <c r="I271" s="176">
        <f t="shared" ca="1" si="150"/>
        <v>63170266.14342773</v>
      </c>
      <c r="J271" s="176">
        <f t="shared" ca="1" si="150"/>
        <v>67140402.895060837</v>
      </c>
      <c r="K271" s="176">
        <f t="shared" ca="1" si="150"/>
        <v>66411016.819338351</v>
      </c>
      <c r="L271" s="176">
        <f t="shared" ca="1" si="150"/>
        <v>69417869.014016345</v>
      </c>
      <c r="M271" s="176">
        <f t="shared" ca="1" si="150"/>
        <v>7653253.9812230021</v>
      </c>
      <c r="N271" s="176">
        <f ca="1">SUM(N262:N270)</f>
        <v>127513139.30695544</v>
      </c>
      <c r="O271" s="176">
        <f t="shared" ref="O271:S271" ca="1" si="151">SUM(O262:O270)</f>
        <v>0</v>
      </c>
      <c r="P271" s="176">
        <f t="shared" ca="1" si="151"/>
        <v>0</v>
      </c>
      <c r="Q271" s="176">
        <f t="shared" ca="1" si="151"/>
        <v>0</v>
      </c>
      <c r="R271" s="176">
        <f t="shared" ca="1" si="151"/>
        <v>0</v>
      </c>
      <c r="S271" s="176">
        <f t="shared" si="151"/>
        <v>0</v>
      </c>
      <c r="T271" s="176">
        <f ca="1">SUM(T262:T270)</f>
        <v>417163391.08221287</v>
      </c>
      <c r="U271" s="174">
        <v>403863899.67643583</v>
      </c>
      <c r="V271" s="11">
        <f t="shared" ca="1" si="142"/>
        <v>13299491.405777037</v>
      </c>
    </row>
    <row r="272" spans="2:22" outlineLevel="1" x14ac:dyDescent="0.2">
      <c r="C272" s="12"/>
      <c r="D272" s="178"/>
      <c r="E272" s="178"/>
      <c r="F272" s="179"/>
      <c r="G272" s="178">
        <f>G285-G271</f>
        <v>0</v>
      </c>
      <c r="H272" s="178">
        <f t="shared" ref="H272:R272" ca="1" si="152">H285-H271</f>
        <v>0</v>
      </c>
      <c r="I272" s="178">
        <f t="shared" ca="1" si="152"/>
        <v>0</v>
      </c>
      <c r="J272" s="178">
        <f t="shared" ca="1" si="152"/>
        <v>0</v>
      </c>
      <c r="K272" s="178">
        <f t="shared" ca="1" si="152"/>
        <v>0</v>
      </c>
      <c r="L272" s="178">
        <f t="shared" ca="1" si="152"/>
        <v>0</v>
      </c>
      <c r="M272" s="178">
        <f t="shared" ca="1" si="152"/>
        <v>0</v>
      </c>
      <c r="N272" s="178">
        <f t="shared" ca="1" si="152"/>
        <v>0</v>
      </c>
      <c r="O272" s="178">
        <f t="shared" ca="1" si="152"/>
        <v>0</v>
      </c>
      <c r="P272" s="178">
        <f t="shared" ca="1" si="152"/>
        <v>0</v>
      </c>
      <c r="Q272" s="178">
        <f t="shared" ca="1" si="152"/>
        <v>0</v>
      </c>
      <c r="R272" s="178">
        <f t="shared" ca="1" si="152"/>
        <v>0</v>
      </c>
      <c r="S272" s="178"/>
      <c r="T272" s="178"/>
      <c r="U272" s="174"/>
    </row>
    <row r="273" spans="2:22" outlineLevel="1" x14ac:dyDescent="0.2">
      <c r="B273" s="123" t="str">
        <f>B69</f>
        <v>USES</v>
      </c>
      <c r="C273" s="36"/>
      <c r="D273" s="180"/>
      <c r="E273" s="180"/>
      <c r="F273" s="181"/>
      <c r="G273" s="180">
        <f t="shared" ref="G273:T273" si="153">G261</f>
        <v>45658</v>
      </c>
      <c r="H273" s="180">
        <f t="shared" si="153"/>
        <v>46023</v>
      </c>
      <c r="I273" s="180">
        <f t="shared" si="153"/>
        <v>46388</v>
      </c>
      <c r="J273" s="180">
        <f t="shared" si="153"/>
        <v>46753</v>
      </c>
      <c r="K273" s="180">
        <f t="shared" si="153"/>
        <v>47119</v>
      </c>
      <c r="L273" s="180">
        <f t="shared" si="153"/>
        <v>47484</v>
      </c>
      <c r="M273" s="180">
        <f t="shared" si="153"/>
        <v>47849</v>
      </c>
      <c r="N273" s="180">
        <f t="shared" si="153"/>
        <v>48214</v>
      </c>
      <c r="O273" s="180">
        <f t="shared" si="153"/>
        <v>48580</v>
      </c>
      <c r="P273" s="180">
        <f t="shared" si="153"/>
        <v>48945</v>
      </c>
      <c r="Q273" s="180">
        <f t="shared" si="153"/>
        <v>49310</v>
      </c>
      <c r="R273" s="180">
        <f t="shared" si="153"/>
        <v>49675</v>
      </c>
      <c r="S273" s="180">
        <f t="shared" si="153"/>
        <v>50041</v>
      </c>
      <c r="T273" s="332" t="str">
        <f t="shared" si="153"/>
        <v>TOTALS</v>
      </c>
      <c r="U273" s="174"/>
    </row>
    <row r="274" spans="2:22" outlineLevel="1" x14ac:dyDescent="0.2">
      <c r="B274" t="str">
        <f>B75</f>
        <v>LAND ACQUISITION COSTS</v>
      </c>
      <c r="C274" s="12"/>
      <c r="D274" s="174"/>
      <c r="E274" s="174"/>
      <c r="F274" s="175"/>
      <c r="G274" s="174">
        <f t="shared" ref="G274:T274" si="154">G75</f>
        <v>0</v>
      </c>
      <c r="H274" s="174">
        <f t="shared" si="154"/>
        <v>0</v>
      </c>
      <c r="I274" s="174">
        <f t="shared" si="154"/>
        <v>15000000</v>
      </c>
      <c r="J274" s="174">
        <f t="shared" si="154"/>
        <v>0</v>
      </c>
      <c r="K274" s="174">
        <f t="shared" si="154"/>
        <v>0</v>
      </c>
      <c r="L274" s="174">
        <f t="shared" si="154"/>
        <v>0</v>
      </c>
      <c r="M274" s="174">
        <f t="shared" si="154"/>
        <v>0</v>
      </c>
      <c r="N274" s="174">
        <f t="shared" si="154"/>
        <v>0</v>
      </c>
      <c r="O274" s="174">
        <f t="shared" si="154"/>
        <v>0</v>
      </c>
      <c r="P274" s="174">
        <f t="shared" si="154"/>
        <v>0</v>
      </c>
      <c r="Q274" s="174">
        <f t="shared" si="154"/>
        <v>0</v>
      </c>
      <c r="R274" s="174">
        <f t="shared" si="154"/>
        <v>0</v>
      </c>
      <c r="S274" s="174">
        <f t="shared" si="154"/>
        <v>0</v>
      </c>
      <c r="T274" s="174">
        <f t="shared" si="154"/>
        <v>15000000</v>
      </c>
      <c r="U274" s="174">
        <v>15000000</v>
      </c>
      <c r="V274" s="11">
        <f>T274-U274</f>
        <v>0</v>
      </c>
    </row>
    <row r="275" spans="2:22" outlineLevel="1" x14ac:dyDescent="0.2">
      <c r="B275" t="str">
        <f>B129</f>
        <v>TOTAL VERTICAL CONSTRUCTION COSTS</v>
      </c>
      <c r="C275" s="12"/>
      <c r="D275" s="174"/>
      <c r="E275" s="174"/>
      <c r="F275" s="175"/>
      <c r="G275" s="174">
        <f t="shared" ref="G275:T275" si="155">G129</f>
        <v>0</v>
      </c>
      <c r="H275" s="174">
        <f t="shared" si="155"/>
        <v>8687187.5</v>
      </c>
      <c r="I275" s="174">
        <f t="shared" si="155"/>
        <v>30375315</v>
      </c>
      <c r="J275" s="174">
        <f t="shared" si="155"/>
        <v>43840631.875</v>
      </c>
      <c r="K275" s="174">
        <f t="shared" si="155"/>
        <v>22958354.375</v>
      </c>
      <c r="L275" s="174">
        <f t="shared" si="155"/>
        <v>1946241.25</v>
      </c>
      <c r="M275" s="174">
        <f t="shared" si="155"/>
        <v>0</v>
      </c>
      <c r="N275" s="174">
        <f t="shared" si="155"/>
        <v>0</v>
      </c>
      <c r="O275" s="174">
        <f t="shared" si="155"/>
        <v>0</v>
      </c>
      <c r="P275" s="174">
        <f t="shared" si="155"/>
        <v>0</v>
      </c>
      <c r="Q275" s="174">
        <f t="shared" si="155"/>
        <v>0</v>
      </c>
      <c r="R275" s="174">
        <f t="shared" si="155"/>
        <v>0</v>
      </c>
      <c r="S275" s="174">
        <f t="shared" si="155"/>
        <v>0</v>
      </c>
      <c r="T275" s="174">
        <f t="shared" si="155"/>
        <v>107807730</v>
      </c>
      <c r="U275" s="174">
        <v>88484355</v>
      </c>
      <c r="V275" s="11">
        <f t="shared" ref="V275:V285" si="156">T275-U275</f>
        <v>19323375</v>
      </c>
    </row>
    <row r="276" spans="2:22" outlineLevel="1" x14ac:dyDescent="0.2">
      <c r="B276" t="s">
        <v>731</v>
      </c>
      <c r="C276" s="12"/>
      <c r="D276" s="174"/>
      <c r="E276" s="174"/>
      <c r="F276" s="175"/>
      <c r="G276" s="174">
        <f t="shared" ref="G276:T276" si="157">G147</f>
        <v>0</v>
      </c>
      <c r="H276" s="174">
        <f t="shared" si="157"/>
        <v>2388437.5</v>
      </c>
      <c r="I276" s="174">
        <f t="shared" si="157"/>
        <v>2713437.5</v>
      </c>
      <c r="J276" s="174">
        <f t="shared" si="157"/>
        <v>3364062.5</v>
      </c>
      <c r="K276" s="174">
        <f t="shared" si="157"/>
        <v>2070312.5</v>
      </c>
      <c r="L276" s="174">
        <f t="shared" si="157"/>
        <v>1500000</v>
      </c>
      <c r="M276" s="174">
        <f t="shared" si="157"/>
        <v>0</v>
      </c>
      <c r="N276" s="174">
        <f t="shared" si="157"/>
        <v>0</v>
      </c>
      <c r="O276" s="174">
        <f t="shared" si="157"/>
        <v>0</v>
      </c>
      <c r="P276" s="174">
        <f t="shared" si="157"/>
        <v>0</v>
      </c>
      <c r="Q276" s="174">
        <f t="shared" si="157"/>
        <v>0</v>
      </c>
      <c r="R276" s="174">
        <f t="shared" si="157"/>
        <v>0</v>
      </c>
      <c r="S276" s="174">
        <f t="shared" si="157"/>
        <v>0</v>
      </c>
      <c r="T276" s="174">
        <f t="shared" si="157"/>
        <v>12036250</v>
      </c>
      <c r="U276" s="174">
        <v>12036250</v>
      </c>
      <c r="V276" s="11">
        <f t="shared" si="156"/>
        <v>0</v>
      </c>
    </row>
    <row r="277" spans="2:22" outlineLevel="1" x14ac:dyDescent="0.2">
      <c r="B277" t="s">
        <v>689</v>
      </c>
      <c r="C277" s="12"/>
      <c r="D277" s="174"/>
      <c r="E277" s="174"/>
      <c r="F277" s="175"/>
      <c r="G277" s="174">
        <f t="shared" ref="G277:T277" si="158">G160</f>
        <v>561077.34375</v>
      </c>
      <c r="H277" s="174">
        <f t="shared" si="158"/>
        <v>2069570.4750000001</v>
      </c>
      <c r="I277" s="174">
        <f t="shared" si="158"/>
        <v>3476965.1634374997</v>
      </c>
      <c r="J277" s="174">
        <f t="shared" si="158"/>
        <v>2667354.7490625</v>
      </c>
      <c r="K277" s="174">
        <f t="shared" si="158"/>
        <v>1058753.4824999999</v>
      </c>
      <c r="L277" s="174">
        <f t="shared" si="158"/>
        <v>157523.44125</v>
      </c>
      <c r="M277" s="174">
        <f t="shared" si="158"/>
        <v>0</v>
      </c>
      <c r="N277" s="174">
        <f t="shared" si="158"/>
        <v>0</v>
      </c>
      <c r="O277" s="174">
        <f t="shared" si="158"/>
        <v>0</v>
      </c>
      <c r="P277" s="174">
        <f t="shared" si="158"/>
        <v>0</v>
      </c>
      <c r="Q277" s="174">
        <f t="shared" si="158"/>
        <v>0</v>
      </c>
      <c r="R277" s="174">
        <f t="shared" si="158"/>
        <v>0</v>
      </c>
      <c r="S277" s="174">
        <f t="shared" si="158"/>
        <v>0</v>
      </c>
      <c r="T277" s="174">
        <f t="shared" si="158"/>
        <v>9991244.6549999993</v>
      </c>
      <c r="U277" s="174">
        <v>8581214.0924999993</v>
      </c>
      <c r="V277" s="11">
        <f t="shared" si="156"/>
        <v>1410030.5625</v>
      </c>
    </row>
    <row r="278" spans="2:22" outlineLevel="1" x14ac:dyDescent="0.2">
      <c r="B278" t="str">
        <f>B168</f>
        <v>SOFT COSTS - SALES</v>
      </c>
      <c r="C278" s="12"/>
      <c r="D278" s="174"/>
      <c r="E278" s="174"/>
      <c r="F278" s="175"/>
      <c r="G278" s="174">
        <f t="shared" ref="G278:T278" si="159">G168</f>
        <v>0</v>
      </c>
      <c r="H278" s="174">
        <f t="shared" si="159"/>
        <v>0</v>
      </c>
      <c r="I278" s="174">
        <f t="shared" si="159"/>
        <v>0</v>
      </c>
      <c r="J278" s="174">
        <f t="shared" si="159"/>
        <v>749687.5</v>
      </c>
      <c r="K278" s="174">
        <f t="shared" si="159"/>
        <v>2670906.25</v>
      </c>
      <c r="L278" s="174">
        <f t="shared" si="159"/>
        <v>2927996.8750000005</v>
      </c>
      <c r="M278" s="174">
        <f t="shared" si="159"/>
        <v>0</v>
      </c>
      <c r="N278" s="174">
        <f t="shared" ca="1" si="159"/>
        <v>5986532.3618288944</v>
      </c>
      <c r="O278" s="174">
        <f t="shared" si="159"/>
        <v>0</v>
      </c>
      <c r="P278" s="174">
        <f t="shared" si="159"/>
        <v>0</v>
      </c>
      <c r="Q278" s="174">
        <f t="shared" si="159"/>
        <v>0</v>
      </c>
      <c r="R278" s="174">
        <f t="shared" si="159"/>
        <v>0</v>
      </c>
      <c r="S278" s="174">
        <f t="shared" si="159"/>
        <v>0</v>
      </c>
      <c r="T278" s="174">
        <f t="shared" ca="1" si="159"/>
        <v>12335122.986828893</v>
      </c>
      <c r="U278" s="174">
        <v>4985223.828125</v>
      </c>
      <c r="V278" s="11">
        <f t="shared" ca="1" si="156"/>
        <v>7349899.1587038934</v>
      </c>
    </row>
    <row r="279" spans="2:22" outlineLevel="1" x14ac:dyDescent="0.2">
      <c r="B279" t="str">
        <f>B173</f>
        <v>SOFT COSTS - TAXES AND INSURANCE</v>
      </c>
      <c r="C279" s="12"/>
      <c r="D279" s="174"/>
      <c r="E279" s="174"/>
      <c r="F279" s="175"/>
      <c r="G279" s="174">
        <f t="shared" ref="G279:T279" si="160">G173</f>
        <v>0</v>
      </c>
      <c r="H279" s="174">
        <f t="shared" si="160"/>
        <v>72435.9375</v>
      </c>
      <c r="I279" s="174">
        <f t="shared" si="160"/>
        <v>193508.13874999998</v>
      </c>
      <c r="J279" s="174">
        <f t="shared" si="160"/>
        <v>269353.81906250003</v>
      </c>
      <c r="K279" s="174">
        <f t="shared" si="160"/>
        <v>142521.6678125</v>
      </c>
      <c r="L279" s="174">
        <f t="shared" si="160"/>
        <v>18954.326874999999</v>
      </c>
      <c r="M279" s="174">
        <f t="shared" si="160"/>
        <v>0</v>
      </c>
      <c r="N279" s="174">
        <f t="shared" si="160"/>
        <v>0</v>
      </c>
      <c r="O279" s="174">
        <f t="shared" si="160"/>
        <v>0</v>
      </c>
      <c r="P279" s="174">
        <f t="shared" si="160"/>
        <v>0</v>
      </c>
      <c r="Q279" s="174">
        <f t="shared" si="160"/>
        <v>0</v>
      </c>
      <c r="R279" s="174">
        <f t="shared" si="160"/>
        <v>0</v>
      </c>
      <c r="S279" s="174">
        <f t="shared" si="160"/>
        <v>0</v>
      </c>
      <c r="T279" s="174">
        <f t="shared" si="160"/>
        <v>696773.89</v>
      </c>
      <c r="U279" s="174">
        <v>591263.32750000001</v>
      </c>
      <c r="V279" s="11">
        <f t="shared" si="156"/>
        <v>105510.5625</v>
      </c>
    </row>
    <row r="280" spans="2:22" outlineLevel="1" x14ac:dyDescent="0.2">
      <c r="B280" t="str">
        <f>B178</f>
        <v>SOFT COSTS - MUNICIPALITY FEES</v>
      </c>
      <c r="C280" s="12"/>
      <c r="D280" s="174"/>
      <c r="E280" s="174"/>
      <c r="F280" s="175"/>
      <c r="G280" s="174">
        <f t="shared" ref="G280:T280" si="161">G178</f>
        <v>0</v>
      </c>
      <c r="H280" s="174">
        <f t="shared" si="161"/>
        <v>21717.96875</v>
      </c>
      <c r="I280" s="174">
        <f t="shared" si="161"/>
        <v>75938.287500000006</v>
      </c>
      <c r="J280" s="174">
        <f t="shared" si="161"/>
        <v>109601.57968750001</v>
      </c>
      <c r="K280" s="174">
        <f t="shared" si="161"/>
        <v>57395.885937500003</v>
      </c>
      <c r="L280" s="174">
        <f t="shared" si="161"/>
        <v>4865.6031250000005</v>
      </c>
      <c r="M280" s="174">
        <f t="shared" si="161"/>
        <v>0</v>
      </c>
      <c r="N280" s="174">
        <f t="shared" si="161"/>
        <v>0</v>
      </c>
      <c r="O280" s="174">
        <f t="shared" si="161"/>
        <v>0</v>
      </c>
      <c r="P280" s="174">
        <f t="shared" si="161"/>
        <v>0</v>
      </c>
      <c r="Q280" s="174">
        <f t="shared" si="161"/>
        <v>0</v>
      </c>
      <c r="R280" s="174">
        <f t="shared" si="161"/>
        <v>0</v>
      </c>
      <c r="S280" s="174">
        <f t="shared" si="161"/>
        <v>0</v>
      </c>
      <c r="T280" s="174">
        <f t="shared" si="161"/>
        <v>269519.32500000001</v>
      </c>
      <c r="U280" s="174">
        <v>221210.88749999998</v>
      </c>
      <c r="V280" s="11">
        <f t="shared" si="156"/>
        <v>48308.437500000029</v>
      </c>
    </row>
    <row r="281" spans="2:22" outlineLevel="1" x14ac:dyDescent="0.2">
      <c r="B281" t="str">
        <f>B182</f>
        <v>DEVELOPMENT FEES</v>
      </c>
      <c r="C281" s="12"/>
      <c r="D281" s="174"/>
      <c r="E281" s="174"/>
      <c r="F281" s="175"/>
      <c r="G281" s="174">
        <f t="shared" ref="G281:T281" si="162">G182</f>
        <v>16832.3203125</v>
      </c>
      <c r="H281" s="174">
        <f t="shared" si="162"/>
        <v>397180.48143749998</v>
      </c>
      <c r="I281" s="174">
        <f t="shared" si="162"/>
        <v>1105054.9226906251</v>
      </c>
      <c r="J281" s="174">
        <f t="shared" si="162"/>
        <v>1530020.760684375</v>
      </c>
      <c r="K281" s="174">
        <f t="shared" si="162"/>
        <v>868747.3248375</v>
      </c>
      <c r="L281" s="174">
        <f t="shared" si="162"/>
        <v>196667.44488750002</v>
      </c>
      <c r="M281" s="174">
        <f t="shared" si="162"/>
        <v>0</v>
      </c>
      <c r="N281" s="174">
        <f t="shared" ca="1" si="162"/>
        <v>179595.97085486681</v>
      </c>
      <c r="O281" s="174">
        <f t="shared" si="162"/>
        <v>0</v>
      </c>
      <c r="P281" s="174">
        <f t="shared" si="162"/>
        <v>0</v>
      </c>
      <c r="Q281" s="174">
        <f t="shared" si="162"/>
        <v>0</v>
      </c>
      <c r="R281" s="174">
        <f t="shared" si="162"/>
        <v>0</v>
      </c>
      <c r="S281" s="174">
        <f t="shared" si="162"/>
        <v>0</v>
      </c>
      <c r="T281" s="174">
        <f t="shared" ca="1" si="162"/>
        <v>4294099.2257048674</v>
      </c>
      <c r="U281" s="174">
        <v>3446985.5140687502</v>
      </c>
      <c r="V281" s="11">
        <f t="shared" ca="1" si="156"/>
        <v>847113.71163611719</v>
      </c>
    </row>
    <row r="282" spans="2:22" outlineLevel="1" x14ac:dyDescent="0.2">
      <c r="B282" t="str">
        <f>B208</f>
        <v>FINANCING COSTS &amp; REPAYMENT</v>
      </c>
      <c r="C282" s="12"/>
      <c r="D282" s="174"/>
      <c r="E282" s="174"/>
      <c r="F282" s="175"/>
      <c r="G282" s="174">
        <f t="shared" ref="G282:T282" si="163">G208</f>
        <v>0</v>
      </c>
      <c r="H282" s="174">
        <f t="shared" ca="1" si="163"/>
        <v>1057831.6454313216</v>
      </c>
      <c r="I282" s="174">
        <f t="shared" ca="1" si="163"/>
        <v>10230047.131049607</v>
      </c>
      <c r="J282" s="174">
        <f t="shared" ca="1" si="163"/>
        <v>12444065.111563968</v>
      </c>
      <c r="K282" s="174">
        <f t="shared" ca="1" si="163"/>
        <v>28014337.83325085</v>
      </c>
      <c r="L282" s="174">
        <f t="shared" ca="1" si="163"/>
        <v>40261650.978742748</v>
      </c>
      <c r="M282" s="174">
        <f t="shared" ca="1" si="163"/>
        <v>7653253.9812230021</v>
      </c>
      <c r="N282" s="174">
        <f t="shared" ca="1" si="163"/>
        <v>82519422.26174061</v>
      </c>
      <c r="O282" s="174">
        <f t="shared" ca="1" si="163"/>
        <v>0</v>
      </c>
      <c r="P282" s="174">
        <f t="shared" ca="1" si="163"/>
        <v>0</v>
      </c>
      <c r="Q282" s="174">
        <f t="shared" ca="1" si="163"/>
        <v>0</v>
      </c>
      <c r="R282" s="174">
        <f t="shared" ca="1" si="163"/>
        <v>0</v>
      </c>
      <c r="S282" s="174">
        <f t="shared" si="163"/>
        <v>0</v>
      </c>
      <c r="T282" s="174">
        <f t="shared" ca="1" si="163"/>
        <v>182180608.9430021</v>
      </c>
      <c r="U282" s="174">
        <v>211070474.77326471</v>
      </c>
      <c r="V282" s="11">
        <f t="shared" ca="1" si="156"/>
        <v>-28889865.830262601</v>
      </c>
    </row>
    <row r="283" spans="2:22" outlineLevel="1" x14ac:dyDescent="0.2">
      <c r="B283" t="str">
        <f>B249</f>
        <v>DISTRIBUTIONS</v>
      </c>
      <c r="C283" s="12"/>
      <c r="D283" s="174"/>
      <c r="E283" s="174"/>
      <c r="F283" s="175"/>
      <c r="G283" s="174">
        <f>G249</f>
        <v>0</v>
      </c>
      <c r="H283" s="174">
        <f ca="1">H249</f>
        <v>7262.0859474292956</v>
      </c>
      <c r="I283" s="174">
        <f>I219</f>
        <v>0</v>
      </c>
      <c r="J283" s="174">
        <f t="shared" ref="J283:S283" ca="1" si="164">J249</f>
        <v>2165625</v>
      </c>
      <c r="K283" s="174">
        <f t="shared" ca="1" si="164"/>
        <v>8569687.5</v>
      </c>
      <c r="L283" s="174">
        <f t="shared" ca="1" si="164"/>
        <v>22403969.094136097</v>
      </c>
      <c r="M283" s="174">
        <f t="shared" ca="1" si="164"/>
        <v>0</v>
      </c>
      <c r="N283" s="174">
        <f t="shared" ca="1" si="164"/>
        <v>38727203.565744892</v>
      </c>
      <c r="O283" s="174">
        <f t="shared" ca="1" si="164"/>
        <v>0</v>
      </c>
      <c r="P283" s="174">
        <f t="shared" si="164"/>
        <v>0</v>
      </c>
      <c r="Q283" s="174">
        <f t="shared" si="164"/>
        <v>0</v>
      </c>
      <c r="R283" s="174">
        <f t="shared" si="164"/>
        <v>0</v>
      </c>
      <c r="S283" s="174">
        <f t="shared" si="164"/>
        <v>0</v>
      </c>
      <c r="T283" s="174">
        <f ca="1">T249+I283</f>
        <v>71873747.24582842</v>
      </c>
      <c r="U283" s="174">
        <v>58867939.427521527</v>
      </c>
      <c r="V283" s="11">
        <f t="shared" ca="1" si="156"/>
        <v>13005807.818306893</v>
      </c>
    </row>
    <row r="284" spans="2:22" outlineLevel="1" x14ac:dyDescent="0.2">
      <c r="B284" s="222" t="s">
        <v>732</v>
      </c>
      <c r="C284" s="21"/>
      <c r="D284" s="436"/>
      <c r="E284" s="436"/>
      <c r="F284" s="436"/>
      <c r="G284" s="436">
        <f t="shared" ref="G284:S284" si="165">MAX(G67-G251,0)</f>
        <v>0</v>
      </c>
      <c r="H284" s="436">
        <f t="shared" ca="1" si="165"/>
        <v>577909.6640625</v>
      </c>
      <c r="I284" s="436">
        <f t="shared" ca="1" si="165"/>
        <v>0</v>
      </c>
      <c r="J284" s="436">
        <f t="shared" ca="1" si="165"/>
        <v>0</v>
      </c>
      <c r="K284" s="436">
        <f t="shared" ca="1" si="165"/>
        <v>0</v>
      </c>
      <c r="L284" s="436">
        <f t="shared" ca="1" si="165"/>
        <v>0</v>
      </c>
      <c r="M284" s="436">
        <f t="shared" ca="1" si="165"/>
        <v>0</v>
      </c>
      <c r="N284" s="436">
        <f t="shared" ca="1" si="165"/>
        <v>100385.14678618312</v>
      </c>
      <c r="O284" s="436">
        <f t="shared" ca="1" si="165"/>
        <v>0</v>
      </c>
      <c r="P284" s="436">
        <f t="shared" ca="1" si="165"/>
        <v>0</v>
      </c>
      <c r="Q284" s="436">
        <f t="shared" ca="1" si="165"/>
        <v>0</v>
      </c>
      <c r="R284" s="436">
        <f t="shared" ca="1" si="165"/>
        <v>0</v>
      </c>
      <c r="S284" s="436">
        <f t="shared" si="165"/>
        <v>0</v>
      </c>
      <c r="T284" s="436">
        <f ca="1">SUM(G284:S284)</f>
        <v>678294.81084868312</v>
      </c>
      <c r="U284" s="174">
        <v>578982.82595587708</v>
      </c>
      <c r="V284" s="11">
        <f t="shared" ca="1" si="156"/>
        <v>99311.984892806038</v>
      </c>
    </row>
    <row r="285" spans="2:22" outlineLevel="1" x14ac:dyDescent="0.2">
      <c r="B285" s="3" t="str">
        <f>B251</f>
        <v>TOTAL USES</v>
      </c>
      <c r="C285" s="23"/>
      <c r="D285" s="176"/>
      <c r="E285" s="176"/>
      <c r="F285" s="177"/>
      <c r="G285" s="176">
        <f>SUM(G274:G284)</f>
        <v>577909.6640625</v>
      </c>
      <c r="H285" s="176">
        <f t="shared" ref="H285:S285" ca="1" si="166">SUM(H274:H284)</f>
        <v>15279533.258128751</v>
      </c>
      <c r="I285" s="176">
        <f t="shared" ca="1" si="166"/>
        <v>63170266.14342773</v>
      </c>
      <c r="J285" s="176">
        <f ca="1">SUM(J274:J284)</f>
        <v>67140402.895060837</v>
      </c>
      <c r="K285" s="176">
        <f t="shared" ca="1" si="166"/>
        <v>66411016.819338351</v>
      </c>
      <c r="L285" s="176">
        <f t="shared" ca="1" si="166"/>
        <v>69417869.014016345</v>
      </c>
      <c r="M285" s="176">
        <f t="shared" ca="1" si="166"/>
        <v>7653253.9812230021</v>
      </c>
      <c r="N285" s="176">
        <f t="shared" ca="1" si="166"/>
        <v>127513139.30695544</v>
      </c>
      <c r="O285" s="176">
        <f t="shared" ca="1" si="166"/>
        <v>0</v>
      </c>
      <c r="P285" s="176">
        <f t="shared" ca="1" si="166"/>
        <v>0</v>
      </c>
      <c r="Q285" s="176">
        <f t="shared" ca="1" si="166"/>
        <v>0</v>
      </c>
      <c r="R285" s="176">
        <f t="shared" ca="1" si="166"/>
        <v>0</v>
      </c>
      <c r="S285" s="176">
        <f t="shared" si="166"/>
        <v>0</v>
      </c>
      <c r="T285" s="176">
        <f ca="1">SUM(T274:T284)</f>
        <v>417163391.08221292</v>
      </c>
      <c r="U285" s="174">
        <v>403863899.67643589</v>
      </c>
      <c r="V285" s="11">
        <f t="shared" ca="1" si="156"/>
        <v>13299491.405777037</v>
      </c>
    </row>
    <row r="286" spans="2:22" outlineLevel="1" x14ac:dyDescent="0.2">
      <c r="T286" s="11"/>
    </row>
    <row r="287" spans="2:22" outlineLevel="1" x14ac:dyDescent="0.2">
      <c r="B287" s="123" t="s">
        <v>733</v>
      </c>
      <c r="C287" s="36"/>
      <c r="D287" s="180"/>
      <c r="E287" s="180"/>
      <c r="F287" s="181"/>
      <c r="G287" s="180">
        <f>G273</f>
        <v>45658</v>
      </c>
      <c r="H287" s="180">
        <f t="shared" ref="H287:T287" si="167">H273</f>
        <v>46023</v>
      </c>
      <c r="I287" s="180">
        <f t="shared" si="167"/>
        <v>46388</v>
      </c>
      <c r="J287" s="180">
        <f t="shared" si="167"/>
        <v>46753</v>
      </c>
      <c r="K287" s="180">
        <f t="shared" si="167"/>
        <v>47119</v>
      </c>
      <c r="L287" s="180">
        <f t="shared" si="167"/>
        <v>47484</v>
      </c>
      <c r="M287" s="180">
        <f t="shared" si="167"/>
        <v>47849</v>
      </c>
      <c r="N287" s="180">
        <f t="shared" si="167"/>
        <v>48214</v>
      </c>
      <c r="O287" s="180">
        <f t="shared" si="167"/>
        <v>48580</v>
      </c>
      <c r="P287" s="180">
        <f t="shared" si="167"/>
        <v>48945</v>
      </c>
      <c r="Q287" s="180">
        <f t="shared" si="167"/>
        <v>49310</v>
      </c>
      <c r="R287" s="180">
        <f t="shared" si="167"/>
        <v>49675</v>
      </c>
      <c r="S287" s="180">
        <f t="shared" si="167"/>
        <v>50041</v>
      </c>
      <c r="T287" s="180" t="str">
        <f t="shared" si="167"/>
        <v>TOTALS</v>
      </c>
      <c r="U287" s="174"/>
    </row>
    <row r="288" spans="2:22" outlineLevel="1" x14ac:dyDescent="0.2">
      <c r="B288" t="s">
        <v>595</v>
      </c>
      <c r="C288" s="12"/>
      <c r="D288" s="174"/>
      <c r="E288" s="174"/>
      <c r="F288" s="175"/>
      <c r="G288" s="174">
        <f>G60</f>
        <v>0</v>
      </c>
      <c r="H288" s="174">
        <f t="shared" ref="H288:S288" si="168">H60</f>
        <v>0</v>
      </c>
      <c r="I288" s="174">
        <f t="shared" si="168"/>
        <v>0</v>
      </c>
      <c r="J288" s="174">
        <f t="shared" si="168"/>
        <v>14437500</v>
      </c>
      <c r="K288" s="174">
        <f t="shared" si="168"/>
        <v>57131250</v>
      </c>
      <c r="L288" s="174">
        <f t="shared" si="168"/>
        <v>62844375.000000015</v>
      </c>
      <c r="M288" s="174">
        <f t="shared" si="168"/>
        <v>0</v>
      </c>
      <c r="N288" s="174">
        <f t="shared" si="168"/>
        <v>0</v>
      </c>
      <c r="O288" s="174">
        <f t="shared" si="168"/>
        <v>0</v>
      </c>
      <c r="P288" s="174">
        <f t="shared" si="168"/>
        <v>0</v>
      </c>
      <c r="Q288" s="174">
        <f t="shared" si="168"/>
        <v>0</v>
      </c>
      <c r="R288" s="174">
        <f t="shared" si="168"/>
        <v>0</v>
      </c>
      <c r="S288" s="174">
        <f t="shared" si="168"/>
        <v>0</v>
      </c>
      <c r="T288" s="174">
        <f>SUM(G288:S288)</f>
        <v>134413125</v>
      </c>
      <c r="U288" s="174"/>
      <c r="V288" s="11"/>
    </row>
    <row r="289" spans="2:22" outlineLevel="1" x14ac:dyDescent="0.2">
      <c r="B289" t="s">
        <v>596</v>
      </c>
      <c r="C289" s="12"/>
      <c r="D289" s="174"/>
      <c r="E289" s="174"/>
      <c r="F289" s="175"/>
      <c r="G289" s="174">
        <f>G107+(G147+G160)*$U$107</f>
        <v>224440.86754464405</v>
      </c>
      <c r="H289" s="174">
        <f t="shared" ref="H289:S289" si="169">H107+(H147+H160)*$U$107</f>
        <v>1783282.0886023198</v>
      </c>
      <c r="I289" s="174">
        <f>I107+(I147+I160)*$U$107</f>
        <v>8913770.6242005304</v>
      </c>
      <c r="J289" s="174">
        <f t="shared" si="169"/>
        <v>21600173.644698951</v>
      </c>
      <c r="K289" s="174">
        <f t="shared" si="169"/>
        <v>18751681.771755259</v>
      </c>
      <c r="L289" s="174">
        <f t="shared" si="169"/>
        <v>663038.71163882443</v>
      </c>
      <c r="M289" s="174">
        <f t="shared" si="169"/>
        <v>0</v>
      </c>
      <c r="N289" s="174">
        <f t="shared" si="169"/>
        <v>0</v>
      </c>
      <c r="O289" s="174">
        <f t="shared" si="169"/>
        <v>0</v>
      </c>
      <c r="P289" s="174">
        <f t="shared" si="169"/>
        <v>0</v>
      </c>
      <c r="Q289" s="174">
        <f t="shared" si="169"/>
        <v>0</v>
      </c>
      <c r="R289" s="174">
        <f t="shared" si="169"/>
        <v>0</v>
      </c>
      <c r="S289" s="174">
        <f t="shared" si="169"/>
        <v>0</v>
      </c>
      <c r="T289" s="174">
        <f t="shared" ref="T289:T291" si="170">SUM(G289:S289)</f>
        <v>51936387.708440527</v>
      </c>
      <c r="U289" s="174"/>
      <c r="V289" s="11"/>
    </row>
    <row r="290" spans="2:22" outlineLevel="1" x14ac:dyDescent="0.2">
      <c r="B290" s="222" t="s">
        <v>597</v>
      </c>
      <c r="C290" s="21"/>
      <c r="D290" s="436"/>
      <c r="E290" s="436"/>
      <c r="F290" s="436"/>
      <c r="G290" s="436">
        <f>G163</f>
        <v>0</v>
      </c>
      <c r="H290" s="436">
        <f t="shared" ref="H290:S290" si="171">H163</f>
        <v>0</v>
      </c>
      <c r="I290" s="436">
        <f t="shared" si="171"/>
        <v>0</v>
      </c>
      <c r="J290" s="436">
        <f t="shared" si="171"/>
        <v>649687.5</v>
      </c>
      <c r="K290" s="436">
        <f t="shared" si="171"/>
        <v>2570906.25</v>
      </c>
      <c r="L290" s="436">
        <f t="shared" si="171"/>
        <v>2827996.8750000005</v>
      </c>
      <c r="M290" s="436">
        <f t="shared" si="171"/>
        <v>0</v>
      </c>
      <c r="N290" s="436">
        <f t="shared" si="171"/>
        <v>0</v>
      </c>
      <c r="O290" s="436">
        <f t="shared" si="171"/>
        <v>0</v>
      </c>
      <c r="P290" s="436">
        <f t="shared" si="171"/>
        <v>0</v>
      </c>
      <c r="Q290" s="436">
        <f t="shared" si="171"/>
        <v>0</v>
      </c>
      <c r="R290" s="436">
        <f t="shared" si="171"/>
        <v>0</v>
      </c>
      <c r="S290" s="436">
        <f t="shared" si="171"/>
        <v>0</v>
      </c>
      <c r="T290" s="436">
        <f t="shared" si="170"/>
        <v>6048590.625</v>
      </c>
      <c r="U290" s="174"/>
      <c r="V290" s="11"/>
    </row>
    <row r="291" spans="2:22" outlineLevel="1" x14ac:dyDescent="0.2">
      <c r="B291" s="3" t="s">
        <v>598</v>
      </c>
      <c r="C291" s="23"/>
      <c r="D291" s="176"/>
      <c r="E291" s="176"/>
      <c r="F291" s="177"/>
      <c r="G291" s="176">
        <f>G288-G289-G290</f>
        <v>-224440.86754464405</v>
      </c>
      <c r="H291" s="176">
        <f t="shared" ref="H291:S291" si="172">H288-H289-H290</f>
        <v>-1783282.0886023198</v>
      </c>
      <c r="I291" s="176">
        <f t="shared" si="172"/>
        <v>-8913770.6242005304</v>
      </c>
      <c r="J291" s="176">
        <f t="shared" si="172"/>
        <v>-7812361.1446989514</v>
      </c>
      <c r="K291" s="176">
        <f t="shared" si="172"/>
        <v>35808661.978244737</v>
      </c>
      <c r="L291" s="176">
        <f t="shared" si="172"/>
        <v>59353339.413361192</v>
      </c>
      <c r="M291" s="176">
        <f t="shared" si="172"/>
        <v>0</v>
      </c>
      <c r="N291" s="176">
        <f t="shared" si="172"/>
        <v>0</v>
      </c>
      <c r="O291" s="176">
        <f t="shared" si="172"/>
        <v>0</v>
      </c>
      <c r="P291" s="176">
        <f t="shared" si="172"/>
        <v>0</v>
      </c>
      <c r="Q291" s="176">
        <f t="shared" si="172"/>
        <v>0</v>
      </c>
      <c r="R291" s="176">
        <f t="shared" si="172"/>
        <v>0</v>
      </c>
      <c r="S291" s="176">
        <f t="shared" si="172"/>
        <v>0</v>
      </c>
      <c r="T291" s="176">
        <f t="shared" si="170"/>
        <v>76428146.666559488</v>
      </c>
      <c r="U291" s="174"/>
      <c r="V291" s="11"/>
    </row>
  </sheetData>
  <mergeCells count="1">
    <mergeCell ref="V185:W185"/>
  </mergeCells>
  <dataValidations disablePrompts="1" count="1">
    <dataValidation type="list" allowBlank="1" showInputMessage="1" showErrorMessage="1" sqref="B3" xr:uid="{9158897A-C2C1-4AAC-B9C2-E13792523587}">
      <formula1>"Scenario 1, Scenario 2, Scenario 3"</formula1>
    </dataValidation>
  </dataValidations>
  <pageMargins left="0.7" right="0.7" top="0.5" bottom="0.5" header="0.3" footer="0.3"/>
  <pageSetup scale="4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rowBreaks count="1" manualBreakCount="1">
    <brk id="32" min="1" max="17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DA3C1-3B1B-4FBD-BF25-27408CC1381B}">
  <sheetPr codeName="Sheet7">
    <tabColor theme="5" tint="0.59999389629810485"/>
  </sheetPr>
  <dimension ref="A1:ED114"/>
  <sheetViews>
    <sheetView zoomScale="110" zoomScaleNormal="110" workbookViewId="0">
      <pane xSplit="2" ySplit="6" topLeftCell="AK7" activePane="bottomRight" state="frozen"/>
      <selection pane="topRight" activeCell="D1" sqref="D1"/>
      <selection pane="bottomLeft" activeCell="A6" sqref="A6"/>
      <selection pane="bottomRight" activeCell="AN11" sqref="AN11"/>
    </sheetView>
  </sheetViews>
  <sheetFormatPr baseColWidth="10" defaultColWidth="8.83203125" defaultRowHeight="15" x14ac:dyDescent="0.2"/>
  <cols>
    <col min="1" max="1" width="1.6640625" style="315" customWidth="1"/>
    <col min="2" max="2" width="52" style="149" customWidth="1"/>
    <col min="3" max="3" width="10.33203125" style="149" bestFit="1" customWidth="1"/>
    <col min="4" max="4" width="10.83203125" style="149" bestFit="1" customWidth="1"/>
    <col min="5" max="5" width="11.33203125" style="149" bestFit="1" customWidth="1"/>
    <col min="6" max="9" width="11.6640625" style="149" bestFit="1" customWidth="1"/>
    <col min="10" max="10" width="11.83203125" style="149" bestFit="1" customWidth="1"/>
    <col min="11" max="15" width="10.6640625" style="149" bestFit="1" customWidth="1"/>
    <col min="16" max="16" width="11.1640625" style="149" bestFit="1" customWidth="1"/>
    <col min="17" max="27" width="10.6640625" style="149" bestFit="1" customWidth="1"/>
    <col min="28" max="34" width="14.1640625" style="149" bestFit="1" customWidth="1"/>
    <col min="35" max="35" width="12.6640625" style="149" bestFit="1" customWidth="1"/>
    <col min="36" max="98" width="10.6640625" style="149" bestFit="1" customWidth="1"/>
    <col min="99" max="122" width="10.6640625" style="149" hidden="1" customWidth="1"/>
    <col min="123" max="127" width="8.83203125" style="149" bestFit="1" customWidth="1"/>
    <col min="128" max="16384" width="8.83203125" style="149"/>
  </cols>
  <sheetData>
    <row r="1" spans="1:134" s="315" customFormat="1" ht="21" x14ac:dyDescent="0.25">
      <c r="B1" s="313" t="s">
        <v>606</v>
      </c>
    </row>
    <row r="2" spans="1:134" customFormat="1" ht="16" x14ac:dyDescent="0.2">
      <c r="A2" s="2"/>
      <c r="B2" s="1" t="s">
        <v>734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97"/>
      <c r="T2" s="297"/>
      <c r="U2" s="297"/>
      <c r="V2" s="297"/>
      <c r="W2" s="297"/>
      <c r="X2" s="297"/>
      <c r="Y2" s="297"/>
      <c r="Z2" s="297"/>
      <c r="AA2" s="297"/>
      <c r="AB2" s="298"/>
      <c r="AC2" s="298"/>
      <c r="AD2" s="298"/>
      <c r="AE2" s="298"/>
      <c r="AF2" s="298"/>
      <c r="AG2" s="298"/>
      <c r="AH2" s="298"/>
      <c r="AI2" s="298"/>
      <c r="AJ2" s="297"/>
      <c r="AK2" s="297"/>
      <c r="AL2" s="297"/>
      <c r="AM2" s="297"/>
      <c r="AN2" s="297"/>
      <c r="AO2" s="297"/>
      <c r="AP2" s="297"/>
      <c r="AQ2" s="297"/>
      <c r="AR2" s="297"/>
      <c r="AS2" s="297"/>
      <c r="AT2" s="297"/>
      <c r="AU2" s="297"/>
      <c r="AV2" s="297"/>
      <c r="AW2" s="297"/>
      <c r="AX2" s="297"/>
      <c r="AY2" s="297"/>
      <c r="AZ2" s="297"/>
      <c r="BA2" s="297"/>
      <c r="BB2" s="297"/>
      <c r="BC2" s="297"/>
      <c r="BD2" s="297"/>
      <c r="BE2" s="297"/>
      <c r="BF2" s="297"/>
      <c r="BG2" s="297"/>
      <c r="BH2" s="297"/>
      <c r="BI2" s="297"/>
      <c r="BJ2" s="297"/>
      <c r="BK2" s="297"/>
      <c r="BL2" s="297"/>
      <c r="BM2" s="297"/>
      <c r="BN2" s="297"/>
      <c r="BO2" s="297"/>
      <c r="BP2" s="297"/>
      <c r="BQ2" s="297"/>
      <c r="BR2" s="297"/>
      <c r="BS2" s="297"/>
      <c r="BT2" s="297"/>
      <c r="BU2" s="297"/>
      <c r="BV2" s="297"/>
      <c r="BW2" s="297"/>
      <c r="BX2" s="297"/>
      <c r="BY2" s="297"/>
      <c r="BZ2" s="297"/>
      <c r="CA2" s="297"/>
      <c r="CB2" s="297"/>
      <c r="CC2" s="297"/>
      <c r="CD2" s="297"/>
      <c r="CE2" s="297"/>
      <c r="CF2" s="297"/>
      <c r="CG2" s="297"/>
      <c r="CH2" s="297"/>
      <c r="CI2" s="297"/>
      <c r="CJ2" s="297"/>
      <c r="CK2" s="297"/>
      <c r="CL2" s="297"/>
      <c r="CM2" s="297"/>
      <c r="CN2" s="297"/>
      <c r="CO2" s="297"/>
      <c r="CP2" s="297"/>
      <c r="CQ2" s="297"/>
      <c r="CR2" s="297"/>
      <c r="CS2" s="297"/>
      <c r="CT2" s="297"/>
      <c r="CU2" s="297"/>
      <c r="CV2" s="297"/>
      <c r="CW2" s="297"/>
      <c r="CX2" s="297"/>
      <c r="CY2" s="297"/>
      <c r="CZ2" s="297"/>
      <c r="DA2" s="297"/>
      <c r="DB2" s="297"/>
      <c r="DC2" s="297"/>
      <c r="DD2" s="297"/>
      <c r="DE2" s="297"/>
      <c r="DF2" s="297"/>
      <c r="DG2" s="297"/>
      <c r="DH2" s="297"/>
      <c r="DI2" s="297"/>
      <c r="DJ2" s="297"/>
      <c r="DK2" s="297"/>
      <c r="DL2" s="297"/>
      <c r="DM2" s="297"/>
      <c r="DN2" s="297"/>
      <c r="DO2" s="297"/>
      <c r="DP2" s="297"/>
      <c r="DQ2" s="297"/>
      <c r="DR2" s="297"/>
    </row>
    <row r="3" spans="1:134" ht="16" x14ac:dyDescent="0.2">
      <c r="B3" s="251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0"/>
      <c r="BO3" s="150"/>
      <c r="BP3" s="150"/>
      <c r="BQ3" s="150"/>
      <c r="BR3" s="150"/>
      <c r="BS3" s="150"/>
      <c r="BT3" s="150"/>
      <c r="BU3" s="150"/>
      <c r="BV3" s="150"/>
      <c r="BW3" s="150"/>
      <c r="BX3" s="150"/>
      <c r="BY3" s="150"/>
      <c r="BZ3" s="150"/>
      <c r="CA3" s="150"/>
      <c r="CB3" s="150"/>
      <c r="CC3" s="150"/>
      <c r="CD3" s="150"/>
      <c r="CE3" s="150"/>
      <c r="CF3" s="150"/>
      <c r="CG3" s="150"/>
      <c r="CH3" s="150"/>
      <c r="CI3" s="150"/>
      <c r="CJ3" s="150"/>
      <c r="CK3" s="150"/>
      <c r="CL3" s="150"/>
      <c r="CM3" s="150"/>
      <c r="CN3" s="150"/>
      <c r="CO3" s="150"/>
      <c r="CP3" s="150"/>
      <c r="CQ3" s="150"/>
      <c r="CR3" s="150"/>
      <c r="CS3" s="150"/>
      <c r="CT3" s="150"/>
      <c r="CU3" s="150"/>
      <c r="CV3" s="150"/>
      <c r="CW3" s="150"/>
      <c r="CX3" s="150"/>
      <c r="CY3" s="150"/>
      <c r="CZ3" s="150"/>
      <c r="DA3" s="150"/>
      <c r="DB3" s="150"/>
      <c r="DC3" s="150"/>
      <c r="DD3" s="150"/>
      <c r="DE3" s="150"/>
      <c r="DF3" s="150"/>
      <c r="DG3" s="150"/>
      <c r="DH3" s="150"/>
      <c r="DI3" s="150"/>
      <c r="DJ3" s="150"/>
      <c r="DK3" s="150"/>
      <c r="DL3" s="150"/>
      <c r="DM3" s="150"/>
      <c r="DN3" s="150"/>
      <c r="DO3" s="150"/>
      <c r="DP3" s="150"/>
      <c r="DQ3" s="150"/>
      <c r="DR3" s="150"/>
      <c r="DS3" s="150"/>
      <c r="DT3" s="150"/>
      <c r="DU3" s="150"/>
      <c r="DV3" s="150"/>
      <c r="DW3" s="150"/>
      <c r="DX3" s="150"/>
      <c r="DY3" s="150"/>
      <c r="DZ3" s="150"/>
      <c r="EA3" s="150"/>
      <c r="EB3" s="150"/>
      <c r="EC3" s="150"/>
      <c r="ED3" s="150"/>
    </row>
    <row r="4" spans="1:134" s="153" customFormat="1" ht="16" hidden="1" x14ac:dyDescent="0.2">
      <c r="A4" s="316"/>
      <c r="B4" s="747"/>
      <c r="C4" s="748">
        <v>1</v>
      </c>
      <c r="D4" s="748">
        <f t="shared" ref="D4:AI4" si="0">C4+1</f>
        <v>2</v>
      </c>
      <c r="E4" s="748">
        <f t="shared" si="0"/>
        <v>3</v>
      </c>
      <c r="F4" s="748">
        <f t="shared" si="0"/>
        <v>4</v>
      </c>
      <c r="G4" s="748">
        <f t="shared" si="0"/>
        <v>5</v>
      </c>
      <c r="H4" s="748">
        <f t="shared" si="0"/>
        <v>6</v>
      </c>
      <c r="I4" s="748">
        <f t="shared" si="0"/>
        <v>7</v>
      </c>
      <c r="J4" s="748">
        <f t="shared" si="0"/>
        <v>8</v>
      </c>
      <c r="K4" s="748">
        <f t="shared" si="0"/>
        <v>9</v>
      </c>
      <c r="L4" s="748">
        <f t="shared" si="0"/>
        <v>10</v>
      </c>
      <c r="M4" s="748">
        <f t="shared" si="0"/>
        <v>11</v>
      </c>
      <c r="N4" s="748">
        <f t="shared" si="0"/>
        <v>12</v>
      </c>
      <c r="O4" s="748">
        <f t="shared" si="0"/>
        <v>13</v>
      </c>
      <c r="P4" s="748">
        <f t="shared" si="0"/>
        <v>14</v>
      </c>
      <c r="Q4" s="748">
        <f t="shared" si="0"/>
        <v>15</v>
      </c>
      <c r="R4" s="748">
        <f t="shared" si="0"/>
        <v>16</v>
      </c>
      <c r="S4" s="748">
        <f t="shared" si="0"/>
        <v>17</v>
      </c>
      <c r="T4" s="748">
        <f t="shared" si="0"/>
        <v>18</v>
      </c>
      <c r="U4" s="748">
        <f t="shared" si="0"/>
        <v>19</v>
      </c>
      <c r="V4" s="748">
        <f t="shared" si="0"/>
        <v>20</v>
      </c>
      <c r="W4" s="748">
        <f t="shared" si="0"/>
        <v>21</v>
      </c>
      <c r="X4" s="748">
        <f t="shared" si="0"/>
        <v>22</v>
      </c>
      <c r="Y4" s="748">
        <f t="shared" si="0"/>
        <v>23</v>
      </c>
      <c r="Z4" s="748">
        <f t="shared" si="0"/>
        <v>24</v>
      </c>
      <c r="AA4" s="748">
        <f t="shared" si="0"/>
        <v>25</v>
      </c>
      <c r="AB4" s="748">
        <f t="shared" si="0"/>
        <v>26</v>
      </c>
      <c r="AC4" s="748">
        <f t="shared" si="0"/>
        <v>27</v>
      </c>
      <c r="AD4" s="748">
        <f t="shared" si="0"/>
        <v>28</v>
      </c>
      <c r="AE4" s="748">
        <f t="shared" si="0"/>
        <v>29</v>
      </c>
      <c r="AF4" s="748">
        <f t="shared" si="0"/>
        <v>30</v>
      </c>
      <c r="AG4" s="748">
        <f t="shared" si="0"/>
        <v>31</v>
      </c>
      <c r="AH4" s="748">
        <f t="shared" si="0"/>
        <v>32</v>
      </c>
      <c r="AI4" s="748">
        <f t="shared" si="0"/>
        <v>33</v>
      </c>
      <c r="AJ4" s="748">
        <f t="shared" ref="AJ4:BO4" si="1">AI4+1</f>
        <v>34</v>
      </c>
      <c r="AK4" s="748">
        <f t="shared" si="1"/>
        <v>35</v>
      </c>
      <c r="AL4" s="748">
        <f t="shared" si="1"/>
        <v>36</v>
      </c>
      <c r="AM4" s="748">
        <f t="shared" si="1"/>
        <v>37</v>
      </c>
      <c r="AN4" s="748">
        <f t="shared" si="1"/>
        <v>38</v>
      </c>
      <c r="AO4" s="748">
        <f t="shared" si="1"/>
        <v>39</v>
      </c>
      <c r="AP4" s="748">
        <f t="shared" si="1"/>
        <v>40</v>
      </c>
      <c r="AQ4" s="748">
        <f t="shared" si="1"/>
        <v>41</v>
      </c>
      <c r="AR4" s="748">
        <f t="shared" si="1"/>
        <v>42</v>
      </c>
      <c r="AS4" s="748">
        <f t="shared" si="1"/>
        <v>43</v>
      </c>
      <c r="AT4" s="748">
        <f t="shared" si="1"/>
        <v>44</v>
      </c>
      <c r="AU4" s="748">
        <f t="shared" si="1"/>
        <v>45</v>
      </c>
      <c r="AV4" s="748">
        <f t="shared" si="1"/>
        <v>46</v>
      </c>
      <c r="AW4" s="748">
        <f t="shared" si="1"/>
        <v>47</v>
      </c>
      <c r="AX4" s="748">
        <f t="shared" si="1"/>
        <v>48</v>
      </c>
      <c r="AY4" s="748">
        <f t="shared" si="1"/>
        <v>49</v>
      </c>
      <c r="AZ4" s="748">
        <f t="shared" si="1"/>
        <v>50</v>
      </c>
      <c r="BA4" s="748">
        <f t="shared" si="1"/>
        <v>51</v>
      </c>
      <c r="BB4" s="748">
        <f t="shared" si="1"/>
        <v>52</v>
      </c>
      <c r="BC4" s="748">
        <f t="shared" si="1"/>
        <v>53</v>
      </c>
      <c r="BD4" s="748">
        <f t="shared" si="1"/>
        <v>54</v>
      </c>
      <c r="BE4" s="748">
        <f t="shared" si="1"/>
        <v>55</v>
      </c>
      <c r="BF4" s="748">
        <f t="shared" si="1"/>
        <v>56</v>
      </c>
      <c r="BG4" s="748">
        <f t="shared" si="1"/>
        <v>57</v>
      </c>
      <c r="BH4" s="748">
        <f t="shared" si="1"/>
        <v>58</v>
      </c>
      <c r="BI4" s="748">
        <f t="shared" si="1"/>
        <v>59</v>
      </c>
      <c r="BJ4" s="748">
        <f t="shared" si="1"/>
        <v>60</v>
      </c>
      <c r="BK4" s="748">
        <f t="shared" si="1"/>
        <v>61</v>
      </c>
      <c r="BL4" s="748">
        <f t="shared" si="1"/>
        <v>62</v>
      </c>
      <c r="BM4" s="748">
        <f t="shared" si="1"/>
        <v>63</v>
      </c>
      <c r="BN4" s="748">
        <f t="shared" si="1"/>
        <v>64</v>
      </c>
      <c r="BO4" s="748">
        <f t="shared" si="1"/>
        <v>65</v>
      </c>
      <c r="BP4" s="748">
        <f t="shared" ref="BP4:CU4" si="2">BO4+1</f>
        <v>66</v>
      </c>
      <c r="BQ4" s="748">
        <f t="shared" si="2"/>
        <v>67</v>
      </c>
      <c r="BR4" s="748">
        <f t="shared" si="2"/>
        <v>68</v>
      </c>
      <c r="BS4" s="748">
        <f t="shared" si="2"/>
        <v>69</v>
      </c>
      <c r="BT4" s="748">
        <f t="shared" si="2"/>
        <v>70</v>
      </c>
      <c r="BU4" s="748">
        <f t="shared" si="2"/>
        <v>71</v>
      </c>
      <c r="BV4" s="748">
        <f t="shared" si="2"/>
        <v>72</v>
      </c>
      <c r="BW4" s="748">
        <f t="shared" si="2"/>
        <v>73</v>
      </c>
      <c r="BX4" s="748">
        <f t="shared" si="2"/>
        <v>74</v>
      </c>
      <c r="BY4" s="748">
        <f t="shared" si="2"/>
        <v>75</v>
      </c>
      <c r="BZ4" s="748">
        <f t="shared" si="2"/>
        <v>76</v>
      </c>
      <c r="CA4" s="748">
        <f t="shared" si="2"/>
        <v>77</v>
      </c>
      <c r="CB4" s="748">
        <f t="shared" si="2"/>
        <v>78</v>
      </c>
      <c r="CC4" s="748">
        <f t="shared" si="2"/>
        <v>79</v>
      </c>
      <c r="CD4" s="748">
        <f t="shared" si="2"/>
        <v>80</v>
      </c>
      <c r="CE4" s="748">
        <f t="shared" si="2"/>
        <v>81</v>
      </c>
      <c r="CF4" s="748">
        <f t="shared" si="2"/>
        <v>82</v>
      </c>
      <c r="CG4" s="748">
        <f t="shared" si="2"/>
        <v>83</v>
      </c>
      <c r="CH4" s="748">
        <f t="shared" si="2"/>
        <v>84</v>
      </c>
      <c r="CI4" s="748">
        <f t="shared" si="2"/>
        <v>85</v>
      </c>
      <c r="CJ4" s="748">
        <f t="shared" si="2"/>
        <v>86</v>
      </c>
      <c r="CK4" s="748">
        <f t="shared" si="2"/>
        <v>87</v>
      </c>
      <c r="CL4" s="748">
        <f t="shared" si="2"/>
        <v>88</v>
      </c>
      <c r="CM4" s="748">
        <f t="shared" si="2"/>
        <v>89</v>
      </c>
      <c r="CN4" s="748">
        <f t="shared" si="2"/>
        <v>90</v>
      </c>
      <c r="CO4" s="748">
        <f t="shared" si="2"/>
        <v>91</v>
      </c>
      <c r="CP4" s="748">
        <f t="shared" si="2"/>
        <v>92</v>
      </c>
      <c r="CQ4" s="748">
        <f t="shared" si="2"/>
        <v>93</v>
      </c>
      <c r="CR4" s="748">
        <f t="shared" si="2"/>
        <v>94</v>
      </c>
      <c r="CS4" s="748">
        <f t="shared" si="2"/>
        <v>95</v>
      </c>
      <c r="CT4" s="748">
        <f t="shared" si="2"/>
        <v>96</v>
      </c>
      <c r="CU4" s="748">
        <f t="shared" si="2"/>
        <v>97</v>
      </c>
      <c r="CV4" s="748">
        <f t="shared" ref="CV4:DR4" si="3">CU4+1</f>
        <v>98</v>
      </c>
      <c r="CW4" s="748">
        <f t="shared" si="3"/>
        <v>99</v>
      </c>
      <c r="CX4" s="748">
        <f t="shared" si="3"/>
        <v>100</v>
      </c>
      <c r="CY4" s="748">
        <f t="shared" si="3"/>
        <v>101</v>
      </c>
      <c r="CZ4" s="748">
        <f t="shared" si="3"/>
        <v>102</v>
      </c>
      <c r="DA4" s="748">
        <f t="shared" si="3"/>
        <v>103</v>
      </c>
      <c r="DB4" s="748">
        <f t="shared" si="3"/>
        <v>104</v>
      </c>
      <c r="DC4" s="748">
        <f t="shared" si="3"/>
        <v>105</v>
      </c>
      <c r="DD4" s="748">
        <f t="shared" si="3"/>
        <v>106</v>
      </c>
      <c r="DE4" s="748">
        <f t="shared" si="3"/>
        <v>107</v>
      </c>
      <c r="DF4" s="748">
        <f t="shared" si="3"/>
        <v>108</v>
      </c>
      <c r="DG4" s="748">
        <f t="shared" si="3"/>
        <v>109</v>
      </c>
      <c r="DH4" s="748">
        <f t="shared" si="3"/>
        <v>110</v>
      </c>
      <c r="DI4" s="748">
        <f t="shared" si="3"/>
        <v>111</v>
      </c>
      <c r="DJ4" s="748">
        <f t="shared" si="3"/>
        <v>112</v>
      </c>
      <c r="DK4" s="748">
        <f t="shared" si="3"/>
        <v>113</v>
      </c>
      <c r="DL4" s="748">
        <f t="shared" si="3"/>
        <v>114</v>
      </c>
      <c r="DM4" s="748">
        <f t="shared" si="3"/>
        <v>115</v>
      </c>
      <c r="DN4" s="748">
        <f t="shared" si="3"/>
        <v>116</v>
      </c>
      <c r="DO4" s="748">
        <f t="shared" si="3"/>
        <v>117</v>
      </c>
      <c r="DP4" s="748">
        <f t="shared" si="3"/>
        <v>118</v>
      </c>
      <c r="DQ4" s="748">
        <f t="shared" si="3"/>
        <v>119</v>
      </c>
      <c r="DR4" s="748">
        <f t="shared" si="3"/>
        <v>120</v>
      </c>
    </row>
    <row r="5" spans="1:134" s="159" customFormat="1" ht="16" x14ac:dyDescent="0.2">
      <c r="A5" s="685"/>
      <c r="B5" s="151" t="s">
        <v>735</v>
      </c>
      <c r="C5" s="750">
        <v>1</v>
      </c>
      <c r="D5" s="750">
        <v>1</v>
      </c>
      <c r="E5" s="750">
        <v>1</v>
      </c>
      <c r="F5" s="750">
        <v>1</v>
      </c>
      <c r="G5" s="750">
        <v>1</v>
      </c>
      <c r="H5" s="750">
        <v>2</v>
      </c>
      <c r="I5" s="750">
        <v>2</v>
      </c>
      <c r="J5" s="750">
        <v>2</v>
      </c>
      <c r="K5" s="750">
        <v>2</v>
      </c>
      <c r="L5" s="750">
        <v>2</v>
      </c>
      <c r="M5" s="750">
        <v>2</v>
      </c>
      <c r="N5" s="750">
        <v>2</v>
      </c>
      <c r="O5" s="750">
        <f>C5+1</f>
        <v>2</v>
      </c>
      <c r="P5" s="750">
        <f t="shared" ref="P5:CA5" si="4">D5+1</f>
        <v>2</v>
      </c>
      <c r="Q5" s="750">
        <f t="shared" si="4"/>
        <v>2</v>
      </c>
      <c r="R5" s="750">
        <f t="shared" si="4"/>
        <v>2</v>
      </c>
      <c r="S5" s="750">
        <f t="shared" si="4"/>
        <v>2</v>
      </c>
      <c r="T5" s="750">
        <f t="shared" si="4"/>
        <v>3</v>
      </c>
      <c r="U5" s="750">
        <f t="shared" si="4"/>
        <v>3</v>
      </c>
      <c r="V5" s="750">
        <f t="shared" si="4"/>
        <v>3</v>
      </c>
      <c r="W5" s="750">
        <f t="shared" si="4"/>
        <v>3</v>
      </c>
      <c r="X5" s="750">
        <f t="shared" si="4"/>
        <v>3</v>
      </c>
      <c r="Y5" s="750">
        <f t="shared" si="4"/>
        <v>3</v>
      </c>
      <c r="Z5" s="750">
        <f t="shared" si="4"/>
        <v>3</v>
      </c>
      <c r="AA5" s="750">
        <f t="shared" si="4"/>
        <v>3</v>
      </c>
      <c r="AB5" s="750">
        <f t="shared" si="4"/>
        <v>3</v>
      </c>
      <c r="AC5" s="750">
        <f t="shared" si="4"/>
        <v>3</v>
      </c>
      <c r="AD5" s="750">
        <f t="shared" si="4"/>
        <v>3</v>
      </c>
      <c r="AE5" s="750">
        <f t="shared" si="4"/>
        <v>3</v>
      </c>
      <c r="AF5" s="750">
        <f t="shared" si="4"/>
        <v>4</v>
      </c>
      <c r="AG5" s="750">
        <f t="shared" si="4"/>
        <v>4</v>
      </c>
      <c r="AH5" s="750">
        <f t="shared" si="4"/>
        <v>4</v>
      </c>
      <c r="AI5" s="750">
        <f t="shared" si="4"/>
        <v>4</v>
      </c>
      <c r="AJ5" s="750">
        <f t="shared" si="4"/>
        <v>4</v>
      </c>
      <c r="AK5" s="750">
        <f t="shared" si="4"/>
        <v>4</v>
      </c>
      <c r="AL5" s="750">
        <f t="shared" si="4"/>
        <v>4</v>
      </c>
      <c r="AM5" s="750">
        <f t="shared" si="4"/>
        <v>4</v>
      </c>
      <c r="AN5" s="750">
        <f t="shared" si="4"/>
        <v>4</v>
      </c>
      <c r="AO5" s="750">
        <f t="shared" si="4"/>
        <v>4</v>
      </c>
      <c r="AP5" s="750">
        <f t="shared" si="4"/>
        <v>4</v>
      </c>
      <c r="AQ5" s="750">
        <f t="shared" si="4"/>
        <v>4</v>
      </c>
      <c r="AR5" s="750">
        <f t="shared" si="4"/>
        <v>5</v>
      </c>
      <c r="AS5" s="750">
        <f t="shared" si="4"/>
        <v>5</v>
      </c>
      <c r="AT5" s="750">
        <f t="shared" si="4"/>
        <v>5</v>
      </c>
      <c r="AU5" s="750">
        <f t="shared" si="4"/>
        <v>5</v>
      </c>
      <c r="AV5" s="750">
        <f t="shared" si="4"/>
        <v>5</v>
      </c>
      <c r="AW5" s="750">
        <f t="shared" si="4"/>
        <v>5</v>
      </c>
      <c r="AX5" s="750">
        <f t="shared" si="4"/>
        <v>5</v>
      </c>
      <c r="AY5" s="750">
        <f t="shared" si="4"/>
        <v>5</v>
      </c>
      <c r="AZ5" s="750">
        <f t="shared" si="4"/>
        <v>5</v>
      </c>
      <c r="BA5" s="750">
        <f t="shared" si="4"/>
        <v>5</v>
      </c>
      <c r="BB5" s="750">
        <f t="shared" si="4"/>
        <v>5</v>
      </c>
      <c r="BC5" s="750">
        <f t="shared" si="4"/>
        <v>5</v>
      </c>
      <c r="BD5" s="750">
        <f t="shared" si="4"/>
        <v>6</v>
      </c>
      <c r="BE5" s="750">
        <f t="shared" si="4"/>
        <v>6</v>
      </c>
      <c r="BF5" s="750">
        <f t="shared" si="4"/>
        <v>6</v>
      </c>
      <c r="BG5" s="750">
        <f t="shared" si="4"/>
        <v>6</v>
      </c>
      <c r="BH5" s="750">
        <f t="shared" si="4"/>
        <v>6</v>
      </c>
      <c r="BI5" s="750">
        <f t="shared" si="4"/>
        <v>6</v>
      </c>
      <c r="BJ5" s="750">
        <f t="shared" si="4"/>
        <v>6</v>
      </c>
      <c r="BK5" s="750">
        <f t="shared" si="4"/>
        <v>6</v>
      </c>
      <c r="BL5" s="750">
        <f t="shared" si="4"/>
        <v>6</v>
      </c>
      <c r="BM5" s="750">
        <f t="shared" si="4"/>
        <v>6</v>
      </c>
      <c r="BN5" s="750">
        <f t="shared" si="4"/>
        <v>6</v>
      </c>
      <c r="BO5" s="750">
        <f t="shared" si="4"/>
        <v>6</v>
      </c>
      <c r="BP5" s="750">
        <f t="shared" si="4"/>
        <v>7</v>
      </c>
      <c r="BQ5" s="750">
        <f t="shared" si="4"/>
        <v>7</v>
      </c>
      <c r="BR5" s="750">
        <f t="shared" si="4"/>
        <v>7</v>
      </c>
      <c r="BS5" s="750">
        <f t="shared" si="4"/>
        <v>7</v>
      </c>
      <c r="BT5" s="750">
        <f t="shared" si="4"/>
        <v>7</v>
      </c>
      <c r="BU5" s="750">
        <f t="shared" si="4"/>
        <v>7</v>
      </c>
      <c r="BV5" s="750">
        <f t="shared" si="4"/>
        <v>7</v>
      </c>
      <c r="BW5" s="750">
        <f t="shared" si="4"/>
        <v>7</v>
      </c>
      <c r="BX5" s="750">
        <f t="shared" si="4"/>
        <v>7</v>
      </c>
      <c r="BY5" s="750">
        <f t="shared" si="4"/>
        <v>7</v>
      </c>
      <c r="BZ5" s="750">
        <f t="shared" si="4"/>
        <v>7</v>
      </c>
      <c r="CA5" s="750">
        <f t="shared" si="4"/>
        <v>7</v>
      </c>
      <c r="CB5" s="750">
        <f t="shared" ref="CB5:CT5" si="5">BP5+1</f>
        <v>8</v>
      </c>
      <c r="CC5" s="750">
        <f t="shared" si="5"/>
        <v>8</v>
      </c>
      <c r="CD5" s="750">
        <f t="shared" si="5"/>
        <v>8</v>
      </c>
      <c r="CE5" s="750">
        <f t="shared" si="5"/>
        <v>8</v>
      </c>
      <c r="CF5" s="750">
        <f t="shared" si="5"/>
        <v>8</v>
      </c>
      <c r="CG5" s="750">
        <f t="shared" si="5"/>
        <v>8</v>
      </c>
      <c r="CH5" s="750">
        <f t="shared" si="5"/>
        <v>8</v>
      </c>
      <c r="CI5" s="750">
        <f t="shared" si="5"/>
        <v>8</v>
      </c>
      <c r="CJ5" s="750">
        <f t="shared" si="5"/>
        <v>8</v>
      </c>
      <c r="CK5" s="750">
        <f t="shared" si="5"/>
        <v>8</v>
      </c>
      <c r="CL5" s="750">
        <f t="shared" si="5"/>
        <v>8</v>
      </c>
      <c r="CM5" s="750">
        <f t="shared" si="5"/>
        <v>8</v>
      </c>
      <c r="CN5" s="750">
        <f t="shared" si="5"/>
        <v>9</v>
      </c>
      <c r="CO5" s="750">
        <f t="shared" si="5"/>
        <v>9</v>
      </c>
      <c r="CP5" s="750">
        <f t="shared" si="5"/>
        <v>9</v>
      </c>
      <c r="CQ5" s="750">
        <f t="shared" si="5"/>
        <v>9</v>
      </c>
      <c r="CR5" s="750">
        <f t="shared" si="5"/>
        <v>9</v>
      </c>
      <c r="CS5" s="750">
        <f t="shared" si="5"/>
        <v>9</v>
      </c>
      <c r="CT5" s="750">
        <f t="shared" si="5"/>
        <v>9</v>
      </c>
      <c r="CU5" s="152">
        <f t="shared" ref="CU5:DR5" si="6">YEAR(CU6)</f>
        <v>2034</v>
      </c>
      <c r="CV5" s="152">
        <f t="shared" si="6"/>
        <v>2034</v>
      </c>
      <c r="CW5" s="152">
        <f t="shared" si="6"/>
        <v>2034</v>
      </c>
      <c r="CX5" s="152">
        <f t="shared" si="6"/>
        <v>2034</v>
      </c>
      <c r="CY5" s="152">
        <f t="shared" si="6"/>
        <v>2034</v>
      </c>
      <c r="CZ5" s="152">
        <f t="shared" si="6"/>
        <v>2034</v>
      </c>
      <c r="DA5" s="152">
        <f t="shared" si="6"/>
        <v>2034</v>
      </c>
      <c r="DB5" s="152">
        <f t="shared" si="6"/>
        <v>2034</v>
      </c>
      <c r="DC5" s="152">
        <f t="shared" si="6"/>
        <v>2034</v>
      </c>
      <c r="DD5" s="152">
        <f t="shared" si="6"/>
        <v>2034</v>
      </c>
      <c r="DE5" s="152">
        <f t="shared" si="6"/>
        <v>2034</v>
      </c>
      <c r="DF5" s="152">
        <f t="shared" si="6"/>
        <v>2035</v>
      </c>
      <c r="DG5" s="152">
        <f t="shared" si="6"/>
        <v>2035</v>
      </c>
      <c r="DH5" s="152">
        <f t="shared" si="6"/>
        <v>2035</v>
      </c>
      <c r="DI5" s="152">
        <f t="shared" si="6"/>
        <v>2035</v>
      </c>
      <c r="DJ5" s="152">
        <f t="shared" si="6"/>
        <v>2035</v>
      </c>
      <c r="DK5" s="152">
        <f t="shared" si="6"/>
        <v>2035</v>
      </c>
      <c r="DL5" s="152">
        <f t="shared" si="6"/>
        <v>2035</v>
      </c>
      <c r="DM5" s="152">
        <f t="shared" si="6"/>
        <v>2035</v>
      </c>
      <c r="DN5" s="152">
        <f t="shared" si="6"/>
        <v>2035</v>
      </c>
      <c r="DO5" s="152">
        <f t="shared" si="6"/>
        <v>2035</v>
      </c>
      <c r="DP5" s="152">
        <f t="shared" si="6"/>
        <v>2035</v>
      </c>
      <c r="DQ5" s="152">
        <f t="shared" si="6"/>
        <v>2035</v>
      </c>
      <c r="DR5" s="152">
        <f t="shared" si="6"/>
        <v>2036</v>
      </c>
      <c r="DS5" s="686"/>
      <c r="DT5" s="686"/>
      <c r="DU5" s="686"/>
      <c r="DV5" s="686"/>
      <c r="DW5" s="686"/>
      <c r="DX5" s="686"/>
      <c r="DY5" s="686"/>
      <c r="DZ5" s="686"/>
      <c r="EA5" s="686"/>
      <c r="EB5" s="686"/>
      <c r="EC5" s="686"/>
      <c r="ED5" s="686"/>
    </row>
    <row r="6" spans="1:134" s="687" customFormat="1" ht="16" x14ac:dyDescent="0.2">
      <c r="B6" s="690">
        <f>EDATE(C6,-1)</f>
        <v>46023</v>
      </c>
      <c r="C6" s="689">
        <f>MIN(Assumptions!C26,Assumptions!C40,Assumptions!C47,Assumptions!C55)+1</f>
        <v>46054</v>
      </c>
      <c r="D6" s="688">
        <f>EDATE(C6,1)</f>
        <v>46082</v>
      </c>
      <c r="E6" s="688">
        <f t="shared" ref="E6:BP6" si="7">EDATE(D6,1)</f>
        <v>46113</v>
      </c>
      <c r="F6" s="688">
        <f t="shared" si="7"/>
        <v>46143</v>
      </c>
      <c r="G6" s="688">
        <f t="shared" si="7"/>
        <v>46174</v>
      </c>
      <c r="H6" s="688">
        <f t="shared" si="7"/>
        <v>46204</v>
      </c>
      <c r="I6" s="688">
        <f t="shared" si="7"/>
        <v>46235</v>
      </c>
      <c r="J6" s="688">
        <f t="shared" si="7"/>
        <v>46266</v>
      </c>
      <c r="K6" s="688">
        <f t="shared" si="7"/>
        <v>46296</v>
      </c>
      <c r="L6" s="688">
        <f t="shared" si="7"/>
        <v>46327</v>
      </c>
      <c r="M6" s="688">
        <f t="shared" si="7"/>
        <v>46357</v>
      </c>
      <c r="N6" s="688">
        <f t="shared" si="7"/>
        <v>46388</v>
      </c>
      <c r="O6" s="688">
        <f t="shared" si="7"/>
        <v>46419</v>
      </c>
      <c r="P6" s="688">
        <f t="shared" si="7"/>
        <v>46447</v>
      </c>
      <c r="Q6" s="688">
        <f t="shared" si="7"/>
        <v>46478</v>
      </c>
      <c r="R6" s="688">
        <f t="shared" si="7"/>
        <v>46508</v>
      </c>
      <c r="S6" s="688">
        <f t="shared" si="7"/>
        <v>46539</v>
      </c>
      <c r="T6" s="688">
        <f t="shared" si="7"/>
        <v>46569</v>
      </c>
      <c r="U6" s="688">
        <f t="shared" si="7"/>
        <v>46600</v>
      </c>
      <c r="V6" s="688">
        <f t="shared" si="7"/>
        <v>46631</v>
      </c>
      <c r="W6" s="688">
        <f t="shared" si="7"/>
        <v>46661</v>
      </c>
      <c r="X6" s="688">
        <f t="shared" si="7"/>
        <v>46692</v>
      </c>
      <c r="Y6" s="688">
        <f t="shared" si="7"/>
        <v>46722</v>
      </c>
      <c r="Z6" s="688">
        <f t="shared" si="7"/>
        <v>46753</v>
      </c>
      <c r="AA6" s="688">
        <f t="shared" si="7"/>
        <v>46784</v>
      </c>
      <c r="AB6" s="688">
        <f t="shared" si="7"/>
        <v>46813</v>
      </c>
      <c r="AC6" s="688">
        <f t="shared" si="7"/>
        <v>46844</v>
      </c>
      <c r="AD6" s="688">
        <f t="shared" si="7"/>
        <v>46874</v>
      </c>
      <c r="AE6" s="688">
        <f t="shared" si="7"/>
        <v>46905</v>
      </c>
      <c r="AF6" s="688">
        <f t="shared" si="7"/>
        <v>46935</v>
      </c>
      <c r="AG6" s="688">
        <f t="shared" si="7"/>
        <v>46966</v>
      </c>
      <c r="AH6" s="688">
        <f t="shared" si="7"/>
        <v>46997</v>
      </c>
      <c r="AI6" s="688">
        <f t="shared" si="7"/>
        <v>47027</v>
      </c>
      <c r="AJ6" s="688">
        <f t="shared" si="7"/>
        <v>47058</v>
      </c>
      <c r="AK6" s="688">
        <f t="shared" si="7"/>
        <v>47088</v>
      </c>
      <c r="AL6" s="688">
        <f t="shared" si="7"/>
        <v>47119</v>
      </c>
      <c r="AM6" s="688">
        <f t="shared" si="7"/>
        <v>47150</v>
      </c>
      <c r="AN6" s="688">
        <f t="shared" si="7"/>
        <v>47178</v>
      </c>
      <c r="AO6" s="688">
        <f t="shared" si="7"/>
        <v>47209</v>
      </c>
      <c r="AP6" s="688">
        <f t="shared" si="7"/>
        <v>47239</v>
      </c>
      <c r="AQ6" s="688">
        <f t="shared" si="7"/>
        <v>47270</v>
      </c>
      <c r="AR6" s="688">
        <f t="shared" si="7"/>
        <v>47300</v>
      </c>
      <c r="AS6" s="688">
        <f t="shared" si="7"/>
        <v>47331</v>
      </c>
      <c r="AT6" s="688">
        <f t="shared" si="7"/>
        <v>47362</v>
      </c>
      <c r="AU6" s="688">
        <f t="shared" si="7"/>
        <v>47392</v>
      </c>
      <c r="AV6" s="688">
        <f t="shared" si="7"/>
        <v>47423</v>
      </c>
      <c r="AW6" s="688">
        <f t="shared" si="7"/>
        <v>47453</v>
      </c>
      <c r="AX6" s="688">
        <f t="shared" si="7"/>
        <v>47484</v>
      </c>
      <c r="AY6" s="688">
        <f t="shared" si="7"/>
        <v>47515</v>
      </c>
      <c r="AZ6" s="688">
        <f t="shared" si="7"/>
        <v>47543</v>
      </c>
      <c r="BA6" s="688">
        <f t="shared" si="7"/>
        <v>47574</v>
      </c>
      <c r="BB6" s="688">
        <f t="shared" si="7"/>
        <v>47604</v>
      </c>
      <c r="BC6" s="688">
        <f t="shared" si="7"/>
        <v>47635</v>
      </c>
      <c r="BD6" s="688">
        <f t="shared" si="7"/>
        <v>47665</v>
      </c>
      <c r="BE6" s="688">
        <f t="shared" si="7"/>
        <v>47696</v>
      </c>
      <c r="BF6" s="688">
        <f t="shared" si="7"/>
        <v>47727</v>
      </c>
      <c r="BG6" s="688">
        <f t="shared" si="7"/>
        <v>47757</v>
      </c>
      <c r="BH6" s="688">
        <f t="shared" si="7"/>
        <v>47788</v>
      </c>
      <c r="BI6" s="688">
        <f t="shared" si="7"/>
        <v>47818</v>
      </c>
      <c r="BJ6" s="688">
        <f t="shared" si="7"/>
        <v>47849</v>
      </c>
      <c r="BK6" s="688">
        <f t="shared" si="7"/>
        <v>47880</v>
      </c>
      <c r="BL6" s="688">
        <f t="shared" si="7"/>
        <v>47908</v>
      </c>
      <c r="BM6" s="688">
        <f t="shared" si="7"/>
        <v>47939</v>
      </c>
      <c r="BN6" s="688">
        <f t="shared" si="7"/>
        <v>47969</v>
      </c>
      <c r="BO6" s="688">
        <f t="shared" si="7"/>
        <v>48000</v>
      </c>
      <c r="BP6" s="688">
        <f t="shared" si="7"/>
        <v>48030</v>
      </c>
      <c r="BQ6" s="688">
        <f t="shared" ref="BQ6:CT6" si="8">EDATE(BP6,1)</f>
        <v>48061</v>
      </c>
      <c r="BR6" s="688">
        <f t="shared" si="8"/>
        <v>48092</v>
      </c>
      <c r="BS6" s="688">
        <f t="shared" si="8"/>
        <v>48122</v>
      </c>
      <c r="BT6" s="688">
        <f t="shared" si="8"/>
        <v>48153</v>
      </c>
      <c r="BU6" s="688">
        <f t="shared" si="8"/>
        <v>48183</v>
      </c>
      <c r="BV6" s="688">
        <f t="shared" si="8"/>
        <v>48214</v>
      </c>
      <c r="BW6" s="688">
        <f t="shared" si="8"/>
        <v>48245</v>
      </c>
      <c r="BX6" s="688">
        <f t="shared" si="8"/>
        <v>48274</v>
      </c>
      <c r="BY6" s="688">
        <f t="shared" si="8"/>
        <v>48305</v>
      </c>
      <c r="BZ6" s="688">
        <f t="shared" si="8"/>
        <v>48335</v>
      </c>
      <c r="CA6" s="688">
        <f t="shared" si="8"/>
        <v>48366</v>
      </c>
      <c r="CB6" s="688">
        <f t="shared" si="8"/>
        <v>48396</v>
      </c>
      <c r="CC6" s="688">
        <f t="shared" si="8"/>
        <v>48427</v>
      </c>
      <c r="CD6" s="688">
        <f t="shared" si="8"/>
        <v>48458</v>
      </c>
      <c r="CE6" s="688">
        <f t="shared" si="8"/>
        <v>48488</v>
      </c>
      <c r="CF6" s="688">
        <f t="shared" si="8"/>
        <v>48519</v>
      </c>
      <c r="CG6" s="688">
        <f t="shared" si="8"/>
        <v>48549</v>
      </c>
      <c r="CH6" s="688">
        <f t="shared" si="8"/>
        <v>48580</v>
      </c>
      <c r="CI6" s="688">
        <f t="shared" si="8"/>
        <v>48611</v>
      </c>
      <c r="CJ6" s="688">
        <f t="shared" si="8"/>
        <v>48639</v>
      </c>
      <c r="CK6" s="688">
        <f t="shared" si="8"/>
        <v>48670</v>
      </c>
      <c r="CL6" s="688">
        <f t="shared" si="8"/>
        <v>48700</v>
      </c>
      <c r="CM6" s="688">
        <f t="shared" si="8"/>
        <v>48731</v>
      </c>
      <c r="CN6" s="688">
        <f t="shared" si="8"/>
        <v>48761</v>
      </c>
      <c r="CO6" s="688">
        <f t="shared" si="8"/>
        <v>48792</v>
      </c>
      <c r="CP6" s="688">
        <f t="shared" si="8"/>
        <v>48823</v>
      </c>
      <c r="CQ6" s="688">
        <f t="shared" si="8"/>
        <v>48853</v>
      </c>
      <c r="CR6" s="688">
        <f t="shared" si="8"/>
        <v>48884</v>
      </c>
      <c r="CS6" s="688">
        <f t="shared" si="8"/>
        <v>48914</v>
      </c>
      <c r="CT6" s="688">
        <f t="shared" si="8"/>
        <v>48945</v>
      </c>
      <c r="CU6" s="688">
        <f t="shared" ref="CU6" si="9">EOMONTH(CT6,1)</f>
        <v>49003</v>
      </c>
      <c r="CV6" s="688">
        <f t="shared" ref="CV6:DR6" si="10">EOMONTH(CU6,1)</f>
        <v>49034</v>
      </c>
      <c r="CW6" s="688">
        <f t="shared" si="10"/>
        <v>49064</v>
      </c>
      <c r="CX6" s="688">
        <f t="shared" si="10"/>
        <v>49095</v>
      </c>
      <c r="CY6" s="688">
        <f t="shared" si="10"/>
        <v>49125</v>
      </c>
      <c r="CZ6" s="688">
        <f t="shared" si="10"/>
        <v>49156</v>
      </c>
      <c r="DA6" s="688">
        <f t="shared" si="10"/>
        <v>49187</v>
      </c>
      <c r="DB6" s="688">
        <f t="shared" si="10"/>
        <v>49217</v>
      </c>
      <c r="DC6" s="688">
        <f t="shared" si="10"/>
        <v>49248</v>
      </c>
      <c r="DD6" s="688">
        <f t="shared" si="10"/>
        <v>49278</v>
      </c>
      <c r="DE6" s="688">
        <f t="shared" si="10"/>
        <v>49309</v>
      </c>
      <c r="DF6" s="688">
        <f t="shared" si="10"/>
        <v>49340</v>
      </c>
      <c r="DG6" s="688">
        <f t="shared" si="10"/>
        <v>49368</v>
      </c>
      <c r="DH6" s="688">
        <f t="shared" si="10"/>
        <v>49399</v>
      </c>
      <c r="DI6" s="688">
        <f t="shared" si="10"/>
        <v>49429</v>
      </c>
      <c r="DJ6" s="688">
        <f t="shared" si="10"/>
        <v>49460</v>
      </c>
      <c r="DK6" s="688">
        <f t="shared" si="10"/>
        <v>49490</v>
      </c>
      <c r="DL6" s="688">
        <f t="shared" si="10"/>
        <v>49521</v>
      </c>
      <c r="DM6" s="688">
        <f t="shared" si="10"/>
        <v>49552</v>
      </c>
      <c r="DN6" s="688">
        <f t="shared" si="10"/>
        <v>49582</v>
      </c>
      <c r="DO6" s="688">
        <f t="shared" si="10"/>
        <v>49613</v>
      </c>
      <c r="DP6" s="688">
        <f t="shared" si="10"/>
        <v>49643</v>
      </c>
      <c r="DQ6" s="688">
        <f t="shared" si="10"/>
        <v>49674</v>
      </c>
      <c r="DR6" s="688">
        <f t="shared" si="10"/>
        <v>49705</v>
      </c>
      <c r="DS6" s="688"/>
      <c r="DT6" s="688"/>
      <c r="DU6" s="688"/>
      <c r="DV6" s="688"/>
      <c r="DW6" s="688"/>
      <c r="DX6" s="688"/>
      <c r="DY6" s="688"/>
      <c r="DZ6" s="688"/>
      <c r="EA6" s="688"/>
      <c r="EB6" s="688"/>
      <c r="EC6" s="688"/>
      <c r="ED6" s="688"/>
    </row>
    <row r="7" spans="1:134" s="404" customFormat="1" ht="16" x14ac:dyDescent="0.2">
      <c r="A7" s="402"/>
      <c r="B7" s="294"/>
      <c r="C7" s="401"/>
      <c r="D7" s="401"/>
      <c r="E7" s="401"/>
      <c r="F7" s="401"/>
      <c r="G7" s="401"/>
      <c r="H7" s="401"/>
      <c r="I7" s="401"/>
      <c r="J7" s="401"/>
      <c r="K7" s="401"/>
      <c r="L7" s="401"/>
      <c r="M7" s="401"/>
      <c r="N7" s="401"/>
      <c r="O7" s="401"/>
      <c r="P7" s="401"/>
      <c r="Q7" s="401"/>
      <c r="R7" s="401"/>
      <c r="S7" s="401"/>
      <c r="T7" s="401"/>
      <c r="U7" s="401"/>
      <c r="V7" s="401"/>
      <c r="W7" s="401"/>
      <c r="X7" s="401"/>
      <c r="Y7" s="401"/>
      <c r="Z7" s="401"/>
      <c r="AA7" s="401"/>
      <c r="AB7" s="401"/>
      <c r="AC7" s="401"/>
      <c r="AD7" s="401"/>
      <c r="AE7" s="401"/>
      <c r="AF7" s="401"/>
      <c r="AG7" s="401"/>
      <c r="AH7" s="401"/>
      <c r="AI7" s="401"/>
      <c r="AJ7" s="401"/>
      <c r="AK7" s="401"/>
      <c r="AL7" s="401"/>
      <c r="AM7" s="401"/>
      <c r="AN7" s="401"/>
      <c r="AO7" s="401"/>
      <c r="AP7" s="401"/>
      <c r="AQ7" s="401"/>
      <c r="AR7" s="401"/>
      <c r="AS7" s="401"/>
      <c r="AT7" s="401"/>
      <c r="AU7" s="401"/>
      <c r="AV7" s="401"/>
      <c r="AW7" s="401"/>
      <c r="AX7" s="401"/>
      <c r="AY7" s="401"/>
      <c r="AZ7" s="401"/>
      <c r="BA7" s="401"/>
      <c r="BB7" s="401"/>
      <c r="BC7" s="401"/>
      <c r="BD7" s="401"/>
      <c r="BE7" s="401"/>
      <c r="BF7" s="401"/>
      <c r="BG7" s="401"/>
      <c r="BH7" s="401"/>
      <c r="BI7" s="401"/>
      <c r="BJ7" s="401"/>
      <c r="BK7" s="401"/>
      <c r="BL7" s="401"/>
      <c r="BM7" s="401"/>
      <c r="BN7" s="401"/>
      <c r="BO7" s="401"/>
      <c r="BP7" s="401"/>
      <c r="BQ7" s="401"/>
      <c r="BR7" s="401"/>
      <c r="BS7" s="401"/>
      <c r="BT7" s="401"/>
      <c r="BU7" s="401"/>
      <c r="BV7" s="401"/>
      <c r="BW7" s="401"/>
      <c r="BX7" s="401"/>
      <c r="BY7" s="401"/>
      <c r="BZ7" s="401"/>
      <c r="CA7" s="401"/>
      <c r="CB7" s="401"/>
      <c r="CC7" s="401"/>
      <c r="CD7" s="401"/>
      <c r="CE7" s="401"/>
      <c r="CF7" s="401"/>
      <c r="CG7" s="401"/>
      <c r="CH7" s="401"/>
      <c r="CI7" s="401"/>
      <c r="CJ7" s="401"/>
      <c r="CK7" s="401"/>
      <c r="CL7" s="401"/>
      <c r="CM7" s="401"/>
      <c r="CN7" s="401"/>
      <c r="CO7" s="401"/>
      <c r="CP7" s="401"/>
      <c r="CQ7" s="403"/>
      <c r="CR7" s="403"/>
      <c r="CS7" s="403"/>
      <c r="CT7" s="403"/>
      <c r="CU7" s="403"/>
      <c r="CV7" s="403"/>
      <c r="CW7" s="403"/>
      <c r="CX7" s="403"/>
      <c r="CY7" s="403"/>
      <c r="CZ7" s="403"/>
      <c r="DA7" s="403"/>
      <c r="DB7" s="403"/>
      <c r="DC7" s="403"/>
      <c r="DD7" s="403"/>
      <c r="DE7" s="403"/>
      <c r="DF7" s="403"/>
      <c r="DG7" s="403"/>
      <c r="DH7" s="403"/>
      <c r="DI7" s="403"/>
      <c r="DJ7" s="403"/>
      <c r="DK7" s="403"/>
      <c r="DL7" s="403"/>
      <c r="DM7" s="403"/>
      <c r="DN7" s="403"/>
      <c r="DO7" s="403"/>
      <c r="DP7" s="403"/>
      <c r="DQ7" s="403"/>
      <c r="DR7" s="403"/>
      <c r="DS7" s="403"/>
      <c r="DT7" s="403"/>
      <c r="DU7" s="403"/>
      <c r="DV7" s="403"/>
      <c r="DW7" s="403"/>
      <c r="DX7" s="403"/>
      <c r="DY7" s="403"/>
      <c r="DZ7" s="403"/>
      <c r="EA7" s="403"/>
      <c r="EB7" s="403"/>
      <c r="EC7" s="403"/>
      <c r="ED7" s="403"/>
    </row>
    <row r="8" spans="1:134" s="404" customFormat="1" ht="16" x14ac:dyDescent="0.2">
      <c r="A8" s="402"/>
      <c r="B8" s="294" t="s">
        <v>736</v>
      </c>
      <c r="C8" s="403">
        <f>(C6-B6)*HLOOKUP(C$5,Assumptions!$F$44:$O$54,8,0)</f>
        <v>0</v>
      </c>
      <c r="D8" s="403">
        <f>(D6-C6)*HLOOKUP(D$5,Assumptions!$F$44:$O$54,8,0)</f>
        <v>0</v>
      </c>
      <c r="E8" s="403">
        <f>(E6-D6)*HLOOKUP(E$5,Assumptions!$F$44:$O$54,8,0)</f>
        <v>0</v>
      </c>
      <c r="F8" s="403">
        <f>(F6-E6)*HLOOKUP(F$5,Assumptions!$F$44:$O$54,8,0)</f>
        <v>0</v>
      </c>
      <c r="G8" s="403">
        <f>(G6-F6)*HLOOKUP(G$5,Assumptions!$F$44:$O$54,8,0)</f>
        <v>0</v>
      </c>
      <c r="H8" s="403">
        <f>(H6-G6)*HLOOKUP(H$5,Assumptions!$F$44:$O$54,8,0)</f>
        <v>760140</v>
      </c>
      <c r="I8" s="403">
        <f>(I6-H6)*HLOOKUP(I$5,Assumptions!$F$44:$O$54,8,0)</f>
        <v>785478</v>
      </c>
      <c r="J8" s="403">
        <f>(J6-I6)*HLOOKUP(J$5,Assumptions!$F$44:$O$54,8,0)</f>
        <v>785478</v>
      </c>
      <c r="K8" s="403">
        <f>(K6-J6)*HLOOKUP(K$5,Assumptions!$F$44:$O$54,8,0)</f>
        <v>760140</v>
      </c>
      <c r="L8" s="403">
        <f>(L6-K6)*HLOOKUP(L$5,Assumptions!$F$44:$O$54,8,0)</f>
        <v>785478</v>
      </c>
      <c r="M8" s="403">
        <f>(M6-L6)*HLOOKUP(M$5,Assumptions!$F$44:$O$54,8,0)</f>
        <v>760140</v>
      </c>
      <c r="N8" s="403">
        <f>(N6-M6)*HLOOKUP(N$5,Assumptions!$F$44:$O$54,8,0)</f>
        <v>785478</v>
      </c>
      <c r="O8" s="403">
        <f>(O6-N6)*HLOOKUP(O$5,Assumptions!$F$44:$O$54,8,0)</f>
        <v>785478</v>
      </c>
      <c r="P8" s="403">
        <f>(P6-O6)*HLOOKUP(P$5,Assumptions!$F$44:$O$54,8,0)</f>
        <v>709464</v>
      </c>
      <c r="Q8" s="403">
        <f>(Q6-P6)*HLOOKUP(Q$5,Assumptions!$F$44:$O$54,8,0)</f>
        <v>785478</v>
      </c>
      <c r="R8" s="403">
        <f>(R6-Q6)*HLOOKUP(R$5,Assumptions!$F$44:$O$54,8,0)</f>
        <v>760140</v>
      </c>
      <c r="S8" s="403">
        <f>(S6-R6)*HLOOKUP(S$5,Assumptions!$F$44:$O$54,8,0)</f>
        <v>785478</v>
      </c>
      <c r="T8" s="403">
        <f>(T6-S6)*HLOOKUP(T$5,Assumptions!$F$44:$O$54,8,0)</f>
        <v>782944.2</v>
      </c>
      <c r="U8" s="403">
        <f>(U6-T6)*HLOOKUP(U$5,Assumptions!$F$44:$O$54,8,0)</f>
        <v>809042.34</v>
      </c>
      <c r="V8" s="403">
        <f>(V6-U6)*HLOOKUP(V$5,Assumptions!$F$44:$O$54,8,0)</f>
        <v>809042.34</v>
      </c>
      <c r="W8" s="403">
        <f>(W6-V6)*HLOOKUP(W$5,Assumptions!$F$44:$O$54,8,0)</f>
        <v>782944.2</v>
      </c>
      <c r="X8" s="403">
        <f>(X6-W6)*HLOOKUP(X$5,Assumptions!$F$44:$O$54,8,0)</f>
        <v>809042.34</v>
      </c>
      <c r="Y8" s="403">
        <f>(Y6-X6)*HLOOKUP(Y$5,Assumptions!$F$44:$O$54,8,0)</f>
        <v>782944.2</v>
      </c>
      <c r="Z8" s="403">
        <f>(Z6-Y6)*HLOOKUP(Z$5,Assumptions!$F$44:$O$54,8,0)</f>
        <v>809042.34</v>
      </c>
      <c r="AA8" s="403">
        <f>(AA6-Z6)*HLOOKUP(AA$5,Assumptions!$F$44:$O$54,8,0)</f>
        <v>809042.34</v>
      </c>
      <c r="AB8" s="403">
        <f>(AB6-AA6)*HLOOKUP(AB$5,Assumptions!$F$44:$O$54,8,0)</f>
        <v>756846.05999999994</v>
      </c>
      <c r="AC8" s="403">
        <f>(AC6-AB6)*HLOOKUP(AC$5,Assumptions!$F$44:$O$54,8,0)</f>
        <v>809042.34</v>
      </c>
      <c r="AD8" s="403">
        <f>(AD6-AC6)*HLOOKUP(AD$5,Assumptions!$F$44:$O$54,8,0)</f>
        <v>782944.2</v>
      </c>
      <c r="AE8" s="403">
        <f>(AE6-AD6)*HLOOKUP(AE$5,Assumptions!$F$44:$O$54,8,0)</f>
        <v>809042.34</v>
      </c>
      <c r="AF8" s="403">
        <f>(AF6-AE6)*HLOOKUP(AF$5,Assumptions!$F$44:$O$54,8,0)</f>
        <v>3278181.0000000005</v>
      </c>
      <c r="AG8" s="403">
        <f>(AG6-AF6)*HLOOKUP(AG$5,Assumptions!$F$44:$O$54,8,0)</f>
        <v>3387453.7</v>
      </c>
      <c r="AH8" s="403">
        <f>(AH6-AG6)*HLOOKUP(AH$5,Assumptions!$F$44:$O$54,8,0)</f>
        <v>3387453.7</v>
      </c>
      <c r="AI8" s="403">
        <f>(AI6-AH6)*HLOOKUP(AI$5,Assumptions!$F$44:$O$54,8,0)</f>
        <v>3278181.0000000005</v>
      </c>
      <c r="AJ8" s="403">
        <f>(AJ6-AI6)*HLOOKUP(AJ$5,Assumptions!$F$44:$O$54,8,0)</f>
        <v>3387453.7</v>
      </c>
      <c r="AK8" s="403">
        <f>(AK6-AJ6)*HLOOKUP(AK$5,Assumptions!$F$44:$O$54,8,0)</f>
        <v>3278181.0000000005</v>
      </c>
      <c r="AL8" s="403">
        <f>(AL6-AK6)*HLOOKUP(AL$5,Assumptions!$F$44:$O$54,8,0)</f>
        <v>3387453.7</v>
      </c>
      <c r="AM8" s="403">
        <f>(AM6-AL6)*HLOOKUP(AM$5,Assumptions!$F$44:$O$54,8,0)</f>
        <v>3387453.7</v>
      </c>
      <c r="AN8" s="403">
        <f>(AN6-AM6)*HLOOKUP(AN$5,Assumptions!$F$44:$O$54,8,0)</f>
        <v>3059635.6000000006</v>
      </c>
      <c r="AO8" s="403">
        <f>(AO6-AN6)*HLOOKUP(AO$5,Assumptions!$F$44:$O$54,8,0)</f>
        <v>3387453.7</v>
      </c>
      <c r="AP8" s="403">
        <f>(AP6-AO6)*HLOOKUP(AP$5,Assumptions!$F$44:$O$54,8,0)</f>
        <v>3278181.0000000005</v>
      </c>
      <c r="AQ8" s="403">
        <f>(AQ6-AP6)*HLOOKUP(AQ$5,Assumptions!$F$44:$O$54,8,0)</f>
        <v>3387453.7</v>
      </c>
      <c r="AR8" s="403">
        <f>(AR6-AQ6)*HLOOKUP(AR$5,Assumptions!$F$44:$O$54,8,0)</f>
        <v>5128943.6471700007</v>
      </c>
      <c r="AS8" s="403">
        <f>(AS6-AR6)*HLOOKUP(AS$5,Assumptions!$F$44:$O$54,8,0)</f>
        <v>5299908.4354090001</v>
      </c>
      <c r="AT8" s="403">
        <f>(AT6-AS6)*HLOOKUP(AT$5,Assumptions!$F$44:$O$54,8,0)</f>
        <v>5299908.4354090001</v>
      </c>
      <c r="AU8" s="403">
        <f>(AU6-AT6)*HLOOKUP(AU$5,Assumptions!$F$44:$O$54,8,0)</f>
        <v>5128943.6471700007</v>
      </c>
      <c r="AV8" s="403">
        <f>(AV6-AU6)*HLOOKUP(AV$5,Assumptions!$F$44:$O$54,8,0)</f>
        <v>5299908.4354090001</v>
      </c>
      <c r="AW8" s="403">
        <f>(AW6-AV6)*HLOOKUP(AW$5,Assumptions!$F$44:$O$54,8,0)</f>
        <v>5128943.6471700007</v>
      </c>
      <c r="AX8" s="403">
        <f>(AX6-AW6)*HLOOKUP(AX$5,Assumptions!$F$44:$O$54,8,0)</f>
        <v>5299908.4354090001</v>
      </c>
      <c r="AY8" s="403">
        <f>(AY6-AX6)*HLOOKUP(AY$5,Assumptions!$F$44:$O$54,8,0)</f>
        <v>5299908.4354090001</v>
      </c>
      <c r="AZ8" s="403">
        <f>(AZ6-AY6)*HLOOKUP(AZ$5,Assumptions!$F$44:$O$54,8,0)</f>
        <v>4787014.0706920009</v>
      </c>
      <c r="BA8" s="403">
        <f>(BA6-AZ6)*HLOOKUP(BA$5,Assumptions!$F$44:$O$54,8,0)</f>
        <v>5299908.4354090001</v>
      </c>
      <c r="BB8" s="403">
        <f>(BB6-BA6)*HLOOKUP(BB$5,Assumptions!$F$44:$O$54,8,0)</f>
        <v>5128943.6471700007</v>
      </c>
      <c r="BC8" s="403">
        <f>(BC6-BB6)*HLOOKUP(BC$5,Assumptions!$F$44:$O$54,8,0)</f>
        <v>5299908.4354090001</v>
      </c>
      <c r="BD8" s="403">
        <f>(BD6-BC6)*HLOOKUP(BD$5,Assumptions!$F$44:$O$54,8,0)</f>
        <v>5282811.9565851009</v>
      </c>
      <c r="BE8" s="403">
        <f>(BE6-BD6)*HLOOKUP(BE$5,Assumptions!$F$44:$O$54,8,0)</f>
        <v>5458905.6884712707</v>
      </c>
      <c r="BF8" s="403">
        <f>(BF6-BE6)*HLOOKUP(BF$5,Assumptions!$F$44:$O$54,8,0)</f>
        <v>5458905.6884712707</v>
      </c>
      <c r="BG8" s="403">
        <f>(BG6-BF6)*HLOOKUP(BG$5,Assumptions!$F$44:$O$54,8,0)</f>
        <v>5282811.9565851009</v>
      </c>
      <c r="BH8" s="403">
        <f>(BH6-BG6)*HLOOKUP(BH$5,Assumptions!$F$44:$O$54,8,0)</f>
        <v>5458905.6884712707</v>
      </c>
      <c r="BI8" s="403">
        <f>(BI6-BH6)*HLOOKUP(BI$5,Assumptions!$F$44:$O$54,8,0)</f>
        <v>5282811.9565851009</v>
      </c>
      <c r="BJ8" s="403">
        <f>(BJ6-BI6)*HLOOKUP(BJ$5,Assumptions!$F$44:$O$54,8,0)</f>
        <v>5458905.6884712707</v>
      </c>
      <c r="BK8" s="403">
        <f>(BK6-BJ6)*HLOOKUP(BK$5,Assumptions!$F$44:$O$54,8,0)</f>
        <v>5458905.6884712707</v>
      </c>
      <c r="BL8" s="403">
        <f>(BL6-BK6)*HLOOKUP(BL$5,Assumptions!$F$44:$O$54,8,0)</f>
        <v>4930624.4928127602</v>
      </c>
      <c r="BM8" s="403">
        <f>(BM6-BL6)*HLOOKUP(BM$5,Assumptions!$F$44:$O$54,8,0)</f>
        <v>5458905.6884712707</v>
      </c>
      <c r="BN8" s="403">
        <f>(BN6-BM6)*HLOOKUP(BN$5,Assumptions!$F$44:$O$54,8,0)</f>
        <v>5282811.9565851009</v>
      </c>
      <c r="BO8" s="403">
        <f>(BO6-BN6)*HLOOKUP(BO$5,Assumptions!$F$44:$O$54,8,0)</f>
        <v>5458905.6884712707</v>
      </c>
      <c r="BP8" s="403">
        <f>(BP6-BO6)*HLOOKUP(BP$5,Assumptions!$F$44:$O$54,8,0)</f>
        <v>5441296.3152826531</v>
      </c>
      <c r="BQ8" s="403">
        <f>(BQ6-BP6)*HLOOKUP(BQ$5,Assumptions!$F$44:$O$54,8,0)</f>
        <v>5622672.8591254083</v>
      </c>
      <c r="BR8" s="403">
        <f>(BR6-BQ6)*HLOOKUP(BR$5,Assumptions!$F$44:$O$54,8,0)</f>
        <v>5622672.8591254083</v>
      </c>
      <c r="BS8" s="403">
        <f>(BS6-BR6)*HLOOKUP(BS$5,Assumptions!$F$44:$O$54,8,0)</f>
        <v>5441296.3152826531</v>
      </c>
      <c r="BT8" s="403">
        <f>(BT6-BS6)*HLOOKUP(BT$5,Assumptions!$F$44:$O$54,8,0)</f>
        <v>5622672.8591254083</v>
      </c>
      <c r="BU8" s="403">
        <f>(BU6-BT6)*HLOOKUP(BU$5,Assumptions!$F$44:$O$54,8,0)</f>
        <v>5441296.3152826531</v>
      </c>
      <c r="BV8" s="403">
        <f>(BV6-BU6)*HLOOKUP(BV$5,Assumptions!$F$44:$O$54,8,0)</f>
        <v>5622672.8591254083</v>
      </c>
      <c r="BW8" s="403">
        <f>(BW6-BV6)*HLOOKUP(BW$5,Assumptions!$F$44:$O$54,8,0)</f>
        <v>5622672.8591254083</v>
      </c>
      <c r="BX8" s="403">
        <f>(BX6-BW6)*HLOOKUP(BX$5,Assumptions!$F$44:$O$54,8,0)</f>
        <v>5259919.7714398978</v>
      </c>
      <c r="BY8" s="403">
        <f>(BY6-BX6)*HLOOKUP(BY$5,Assumptions!$F$44:$O$54,8,0)</f>
        <v>5622672.8591254083</v>
      </c>
      <c r="BZ8" s="403">
        <f>(BZ6-BY6)*HLOOKUP(BZ$5,Assumptions!$F$44:$O$54,8,0)</f>
        <v>5441296.3152826531</v>
      </c>
      <c r="CA8" s="403">
        <f>(CA6-BZ6)*HLOOKUP(CA$5,Assumptions!$F$44:$O$54,8,0)</f>
        <v>5622672.8591254083</v>
      </c>
      <c r="CB8" s="403">
        <f>(CB6-CA6)*HLOOKUP(CB$5,Assumptions!$F$44:$O$54,8,0)</f>
        <v>5604535.2047411334</v>
      </c>
      <c r="CC8" s="403">
        <f>(CC6-CB6)*HLOOKUP(CC$5,Assumptions!$F$44:$O$54,8,0)</f>
        <v>5791353.0448991712</v>
      </c>
      <c r="CD8" s="403">
        <f>(CD6-CC6)*HLOOKUP(CD$5,Assumptions!$F$44:$O$54,8,0)</f>
        <v>5791353.0448991712</v>
      </c>
      <c r="CE8" s="403">
        <f>(CE6-CD6)*HLOOKUP(CE$5,Assumptions!$F$44:$O$54,8,0)</f>
        <v>5604535.2047411334</v>
      </c>
      <c r="CF8" s="403">
        <f>(CF6-CE6)*HLOOKUP(CF$5,Assumptions!$F$44:$O$54,8,0)</f>
        <v>5791353.0448991712</v>
      </c>
      <c r="CG8" s="403">
        <f>(CG6-CF6)*HLOOKUP(CG$5,Assumptions!$F$44:$O$54,8,0)</f>
        <v>5604535.2047411334</v>
      </c>
      <c r="CH8" s="403">
        <f>(CH6-CG6)*HLOOKUP(CH$5,Assumptions!$F$44:$O$54,8,0)</f>
        <v>5791353.0448991712</v>
      </c>
      <c r="CI8" s="403">
        <f>(CI6-CH6)*HLOOKUP(CI$5,Assumptions!$F$44:$O$54,8,0)</f>
        <v>5791353.0448991712</v>
      </c>
      <c r="CJ8" s="403">
        <f>(CJ6-CI6)*HLOOKUP(CJ$5,Assumptions!$F$44:$O$54,8,0)</f>
        <v>5230899.5244250577</v>
      </c>
      <c r="CK8" s="403">
        <f>(CK6-CJ6)*HLOOKUP(CK$5,Assumptions!$F$44:$O$54,8,0)</f>
        <v>5791353.0448991712</v>
      </c>
      <c r="CL8" s="403">
        <f>(CL6-CK6)*HLOOKUP(CL$5,Assumptions!$F$44:$O$54,8,0)</f>
        <v>5604535.2047411334</v>
      </c>
      <c r="CM8" s="403">
        <f>(CM6-CL6)*HLOOKUP(CM$5,Assumptions!$F$44:$O$54,8,0)</f>
        <v>5791353.0448991712</v>
      </c>
      <c r="CN8" s="403">
        <f>(CN6-CM6)*HLOOKUP(CN$5,Assumptions!$F$44:$O$54,8,0)</f>
        <v>5772671.2608833676</v>
      </c>
      <c r="CO8" s="403">
        <f>(CO6-CN6)*HLOOKUP(CO$5,Assumptions!$F$44:$O$54,8,0)</f>
        <v>5965093.6362461466</v>
      </c>
      <c r="CP8" s="403">
        <f>(CP6-CO6)*HLOOKUP(CP$5,Assumptions!$F$44:$O$54,8,0)</f>
        <v>5965093.6362461466</v>
      </c>
      <c r="CQ8" s="403">
        <f>(CQ6-CP6)*HLOOKUP(CQ$5,Assumptions!$F$44:$O$54,8,0)</f>
        <v>5772671.2608833676</v>
      </c>
      <c r="CR8" s="403">
        <f>(CR6-CQ6)*HLOOKUP(CR$5,Assumptions!$F$44:$O$54,8,0)</f>
        <v>5965093.6362461466</v>
      </c>
      <c r="CS8" s="403">
        <f>(CS6-CR6)*HLOOKUP(CS$5,Assumptions!$F$44:$O$54,8,0)</f>
        <v>5772671.2608833676</v>
      </c>
      <c r="CT8" s="403">
        <f>(CT6-CS6)*HLOOKUP(CT$5,Assumptions!$F$44:$O$54,8,0)</f>
        <v>5965093.6362461466</v>
      </c>
      <c r="CU8" s="403" t="e">
        <f>(CU6-CT6)*HLOOKUP(CU$5,Assumptions!$F$44:$O$54,7,0)</f>
        <v>#N/A</v>
      </c>
      <c r="CV8" s="403" t="e">
        <f>(CV6-CU6)*HLOOKUP(CV$5,Assumptions!$F$44:$O$54,7,0)</f>
        <v>#N/A</v>
      </c>
      <c r="CW8" s="403" t="e">
        <f>(CW6-CV6)*HLOOKUP(CW$5,Assumptions!$F$44:$O$54,7,0)</f>
        <v>#N/A</v>
      </c>
      <c r="CX8" s="403" t="e">
        <f>(CX6-CW6)*HLOOKUP(CX$5,Assumptions!$F$44:$O$54,7,0)</f>
        <v>#N/A</v>
      </c>
      <c r="CY8" s="403" t="e">
        <f>(CY6-CX6)*HLOOKUP(CY$5,Assumptions!$F$44:$O$54,7,0)</f>
        <v>#N/A</v>
      </c>
      <c r="CZ8" s="403" t="e">
        <f>(CZ6-CY6)*HLOOKUP(CZ$5,Assumptions!$F$44:$O$54,7,0)</f>
        <v>#N/A</v>
      </c>
      <c r="DA8" s="403" t="e">
        <f>(DA6-CZ6)*HLOOKUP(DA$5,Assumptions!$F$44:$O$54,7,0)</f>
        <v>#N/A</v>
      </c>
      <c r="DB8" s="403" t="e">
        <f>(DB6-DA6)*HLOOKUP(DB$5,Assumptions!$F$44:$O$54,7,0)</f>
        <v>#N/A</v>
      </c>
      <c r="DC8" s="403" t="e">
        <f>(DC6-DB6)*HLOOKUP(DC$5,Assumptions!$F$44:$O$54,7,0)</f>
        <v>#N/A</v>
      </c>
      <c r="DD8" s="403" t="e">
        <f>(DD6-DC6)*HLOOKUP(DD$5,Assumptions!$F$44:$O$54,7,0)</f>
        <v>#N/A</v>
      </c>
      <c r="DE8" s="403" t="e">
        <f>(DE6-DD6)*HLOOKUP(DE$5,Assumptions!$F$44:$O$54,7,0)</f>
        <v>#N/A</v>
      </c>
      <c r="DF8" s="403" t="e">
        <f>(DF6-DE6)*HLOOKUP(DF$5,Assumptions!$F$44:$O$54,7,0)</f>
        <v>#N/A</v>
      </c>
      <c r="DG8" s="403" t="e">
        <f>(DG6-DF6)*HLOOKUP(DG$5,Assumptions!$F$44:$O$54,7,0)</f>
        <v>#N/A</v>
      </c>
      <c r="DH8" s="403" t="e">
        <f>(DH6-DG6)*HLOOKUP(DH$5,Assumptions!$F$44:$O$54,7,0)</f>
        <v>#N/A</v>
      </c>
      <c r="DI8" s="403" t="e">
        <f>(DI6-DH6)*HLOOKUP(DI$5,Assumptions!$F$44:$O$54,7,0)</f>
        <v>#N/A</v>
      </c>
      <c r="DJ8" s="403" t="e">
        <f>(DJ6-DI6)*HLOOKUP(DJ$5,Assumptions!$F$44:$O$54,7,0)</f>
        <v>#N/A</v>
      </c>
      <c r="DK8" s="403" t="e">
        <f>(DK6-DJ6)*HLOOKUP(DK$5,Assumptions!$F$44:$O$54,7,0)</f>
        <v>#N/A</v>
      </c>
      <c r="DL8" s="403" t="e">
        <f>(DL6-DK6)*HLOOKUP(DL$5,Assumptions!$F$44:$O$54,7,0)</f>
        <v>#N/A</v>
      </c>
      <c r="DM8" s="403" t="e">
        <f>(DM6-DL6)*HLOOKUP(DM$5,Assumptions!$F$44:$O$54,7,0)</f>
        <v>#N/A</v>
      </c>
      <c r="DN8" s="403" t="e">
        <f>(DN6-DM6)*HLOOKUP(DN$5,Assumptions!$F$44:$O$54,7,0)</f>
        <v>#N/A</v>
      </c>
      <c r="DO8" s="403" t="e">
        <f>(DO6-DN6)*HLOOKUP(DO$5,Assumptions!$F$44:$O$54,7,0)</f>
        <v>#N/A</v>
      </c>
      <c r="DP8" s="403" t="e">
        <f>(DP6-DO6)*HLOOKUP(DP$5,Assumptions!$F$44:$O$54,7,0)</f>
        <v>#N/A</v>
      </c>
      <c r="DQ8" s="403" t="e">
        <f>(DQ6-DP6)*HLOOKUP(DQ$5,Assumptions!$F$44:$O$54,7,0)</f>
        <v>#N/A</v>
      </c>
      <c r="DR8" s="403" t="e">
        <f>(DR6-DQ6)*HLOOKUP(DR$5,Assumptions!$F$44:$O$54,7,0)</f>
        <v>#N/A</v>
      </c>
      <c r="DS8" s="403"/>
      <c r="DT8" s="403"/>
      <c r="DU8" s="403"/>
      <c r="DV8" s="403"/>
      <c r="DW8" s="403"/>
      <c r="DX8" s="403"/>
      <c r="DY8" s="403"/>
      <c r="DZ8" s="403"/>
      <c r="EA8" s="403"/>
      <c r="EB8" s="403"/>
      <c r="EC8" s="403"/>
      <c r="ED8" s="403"/>
    </row>
    <row r="9" spans="1:134" s="404" customFormat="1" ht="16" hidden="1" x14ac:dyDescent="0.2">
      <c r="A9" s="402"/>
      <c r="B9" s="294"/>
      <c r="C9" s="403"/>
      <c r="D9" s="403"/>
      <c r="E9" s="403"/>
      <c r="F9" s="403"/>
      <c r="G9" s="403"/>
      <c r="H9" s="403"/>
      <c r="I9" s="403"/>
      <c r="J9" s="403"/>
      <c r="K9" s="403"/>
      <c r="L9" s="403"/>
      <c r="M9" s="403"/>
      <c r="N9" s="403"/>
      <c r="O9" s="403"/>
      <c r="P9" s="403"/>
      <c r="Q9" s="403"/>
      <c r="R9" s="403"/>
      <c r="S9" s="403"/>
      <c r="T9" s="403"/>
      <c r="U9" s="403"/>
      <c r="V9" s="403"/>
      <c r="W9" s="403"/>
      <c r="X9" s="403"/>
      <c r="Y9" s="403"/>
      <c r="Z9" s="403"/>
      <c r="AA9" s="403"/>
      <c r="AB9" s="403"/>
      <c r="AC9" s="403"/>
      <c r="AD9" s="403"/>
      <c r="AE9" s="403"/>
      <c r="AF9" s="403"/>
      <c r="AG9" s="403"/>
      <c r="AH9" s="403"/>
      <c r="AI9" s="403"/>
      <c r="AJ9" s="403"/>
      <c r="AK9" s="403"/>
      <c r="AL9" s="403"/>
      <c r="AM9" s="403"/>
      <c r="AN9" s="403"/>
      <c r="AO9" s="403"/>
      <c r="AP9" s="403"/>
      <c r="AQ9" s="403"/>
      <c r="AR9" s="403"/>
      <c r="AS9" s="403"/>
      <c r="AT9" s="403"/>
      <c r="AU9" s="403"/>
      <c r="AV9" s="403"/>
      <c r="AW9" s="403"/>
      <c r="AX9" s="403"/>
      <c r="AY9" s="403"/>
      <c r="AZ9" s="403"/>
      <c r="BA9" s="403"/>
      <c r="BB9" s="403"/>
      <c r="BC9" s="403"/>
      <c r="BD9" s="403"/>
      <c r="BE9" s="403"/>
      <c r="BF9" s="403"/>
      <c r="BG9" s="403"/>
      <c r="BH9" s="403"/>
      <c r="BI9" s="403"/>
      <c r="BJ9" s="403"/>
      <c r="BK9" s="403"/>
      <c r="BL9" s="403"/>
      <c r="BM9" s="403"/>
      <c r="BN9" s="403"/>
      <c r="BO9" s="403"/>
      <c r="BP9" s="403"/>
      <c r="BQ9" s="403"/>
      <c r="BR9" s="403"/>
      <c r="BS9" s="403"/>
      <c r="BT9" s="403"/>
      <c r="BU9" s="403"/>
      <c r="BV9" s="403"/>
      <c r="BW9" s="403"/>
      <c r="BX9" s="403"/>
      <c r="BY9" s="403"/>
      <c r="BZ9" s="403"/>
      <c r="CA9" s="403"/>
      <c r="CB9" s="403"/>
      <c r="CC9" s="403"/>
      <c r="CD9" s="403"/>
      <c r="CE9" s="403"/>
      <c r="CF9" s="403"/>
      <c r="CG9" s="403"/>
      <c r="CH9" s="403"/>
      <c r="CI9" s="403"/>
      <c r="CJ9" s="403"/>
      <c r="CK9" s="403"/>
      <c r="CL9" s="403"/>
      <c r="CM9" s="403"/>
      <c r="CN9" s="403"/>
      <c r="CO9" s="403"/>
      <c r="CP9" s="403"/>
      <c r="CQ9" s="403"/>
      <c r="CR9" s="403"/>
      <c r="CS9" s="403"/>
      <c r="CT9" s="403"/>
      <c r="CU9" s="403"/>
      <c r="CV9" s="403"/>
      <c r="CW9" s="403"/>
      <c r="CX9" s="403"/>
      <c r="CY9" s="403"/>
      <c r="CZ9" s="403"/>
      <c r="DA9" s="403"/>
      <c r="DB9" s="403"/>
      <c r="DC9" s="403"/>
      <c r="DD9" s="403"/>
      <c r="DE9" s="403"/>
      <c r="DF9" s="403"/>
      <c r="DG9" s="403"/>
      <c r="DH9" s="403"/>
      <c r="DI9" s="403"/>
      <c r="DJ9" s="403"/>
      <c r="DK9" s="403"/>
      <c r="DL9" s="403"/>
      <c r="DM9" s="403"/>
      <c r="DN9" s="403"/>
      <c r="DO9" s="403"/>
      <c r="DP9" s="403"/>
      <c r="DQ9" s="403"/>
      <c r="DR9" s="403"/>
      <c r="DS9" s="403"/>
      <c r="DT9" s="403"/>
      <c r="DU9" s="403"/>
      <c r="DV9" s="403"/>
      <c r="DW9" s="403"/>
      <c r="DX9" s="403"/>
      <c r="DY9" s="403"/>
      <c r="DZ9" s="403"/>
      <c r="EA9" s="403"/>
      <c r="EB9" s="403"/>
      <c r="EC9" s="403"/>
      <c r="ED9" s="403"/>
    </row>
    <row r="10" spans="1:134" s="404" customFormat="1" ht="16" hidden="1" x14ac:dyDescent="0.2">
      <c r="A10" s="402"/>
      <c r="B10" s="294"/>
      <c r="C10" s="403"/>
      <c r="D10" s="403"/>
      <c r="E10" s="403"/>
      <c r="F10" s="403"/>
      <c r="G10" s="403"/>
      <c r="H10" s="403"/>
      <c r="I10" s="403"/>
      <c r="J10" s="403"/>
      <c r="K10" s="403"/>
      <c r="L10" s="403"/>
      <c r="M10" s="403"/>
      <c r="N10" s="403"/>
      <c r="O10" s="403"/>
      <c r="P10" s="403"/>
      <c r="Q10" s="403"/>
      <c r="R10" s="403"/>
      <c r="S10" s="403"/>
      <c r="T10" s="403"/>
      <c r="U10" s="403"/>
      <c r="V10" s="403"/>
      <c r="W10" s="403"/>
      <c r="X10" s="403"/>
      <c r="Y10" s="403"/>
      <c r="Z10" s="403"/>
      <c r="AA10" s="403"/>
      <c r="AB10" s="403"/>
      <c r="AC10" s="403"/>
      <c r="AD10" s="403"/>
      <c r="AE10" s="403"/>
      <c r="AF10" s="403"/>
      <c r="AG10" s="403"/>
      <c r="AH10" s="403"/>
      <c r="AI10" s="403"/>
      <c r="AJ10" s="403"/>
      <c r="AK10" s="403"/>
      <c r="AL10" s="403"/>
      <c r="AM10" s="403"/>
      <c r="AN10" s="403"/>
      <c r="AO10" s="403"/>
      <c r="AP10" s="403"/>
      <c r="AQ10" s="403"/>
      <c r="AR10" s="403"/>
      <c r="AS10" s="403"/>
      <c r="AT10" s="403"/>
      <c r="AU10" s="403"/>
      <c r="AV10" s="403"/>
      <c r="AW10" s="403"/>
      <c r="AX10" s="403"/>
      <c r="AY10" s="403"/>
      <c r="AZ10" s="403"/>
      <c r="BA10" s="403"/>
      <c r="BB10" s="403"/>
      <c r="BC10" s="403"/>
      <c r="BD10" s="403"/>
      <c r="BE10" s="403"/>
      <c r="BF10" s="403"/>
      <c r="BG10" s="403"/>
      <c r="BH10" s="403"/>
      <c r="BI10" s="403"/>
      <c r="BJ10" s="403"/>
      <c r="BK10" s="403"/>
      <c r="BL10" s="403"/>
      <c r="BM10" s="403"/>
      <c r="BN10" s="403"/>
      <c r="BO10" s="403"/>
      <c r="BP10" s="403"/>
      <c r="BQ10" s="403"/>
      <c r="BR10" s="403"/>
      <c r="BS10" s="403"/>
      <c r="BT10" s="403"/>
      <c r="BU10" s="403"/>
      <c r="BV10" s="403"/>
      <c r="BW10" s="403"/>
      <c r="BX10" s="403"/>
      <c r="BY10" s="403"/>
      <c r="BZ10" s="403"/>
      <c r="CA10" s="403"/>
      <c r="CB10" s="403"/>
      <c r="CC10" s="403"/>
      <c r="CD10" s="403"/>
      <c r="CE10" s="403"/>
      <c r="CF10" s="403"/>
      <c r="CG10" s="403"/>
      <c r="CH10" s="403"/>
      <c r="CI10" s="403"/>
      <c r="CJ10" s="403"/>
      <c r="CK10" s="403"/>
      <c r="CL10" s="403"/>
      <c r="CM10" s="403"/>
      <c r="CN10" s="403"/>
      <c r="CO10" s="403"/>
      <c r="CP10" s="403"/>
      <c r="CQ10" s="403"/>
      <c r="CR10" s="403"/>
      <c r="CS10" s="403"/>
      <c r="CT10" s="403"/>
      <c r="CU10" s="403"/>
      <c r="CV10" s="403"/>
      <c r="CW10" s="403"/>
      <c r="CX10" s="403"/>
      <c r="CY10" s="403"/>
      <c r="CZ10" s="403"/>
      <c r="DA10" s="403"/>
      <c r="DB10" s="403"/>
      <c r="DC10" s="403"/>
      <c r="DD10" s="403"/>
      <c r="DE10" s="403"/>
      <c r="DF10" s="403"/>
      <c r="DG10" s="403"/>
      <c r="DH10" s="403"/>
      <c r="DI10" s="403"/>
      <c r="DJ10" s="403"/>
      <c r="DK10" s="403"/>
      <c r="DL10" s="403"/>
      <c r="DM10" s="403"/>
      <c r="DN10" s="403"/>
      <c r="DO10" s="403"/>
      <c r="DP10" s="403"/>
      <c r="DQ10" s="403"/>
      <c r="DR10" s="403"/>
      <c r="DS10" s="403"/>
      <c r="DT10" s="403"/>
      <c r="DU10" s="403"/>
      <c r="DV10" s="403"/>
      <c r="DW10" s="403"/>
      <c r="DX10" s="403"/>
      <c r="DY10" s="403"/>
      <c r="DZ10" s="403"/>
      <c r="EA10" s="403"/>
      <c r="EB10" s="403"/>
      <c r="EC10" s="403"/>
      <c r="ED10" s="403"/>
    </row>
    <row r="11" spans="1:134" s="153" customFormat="1" ht="16" x14ac:dyDescent="0.2">
      <c r="A11" s="316"/>
      <c r="B11" s="294" t="s">
        <v>737</v>
      </c>
      <c r="C11" s="156">
        <f>_xlfn.XLOOKUP(MONTH(C$6),Assumptions!$F$38:$Q$38,Assumptions!$F$40:$Q$40)</f>
        <v>0.75</v>
      </c>
      <c r="D11" s="156">
        <f>_xlfn.XLOOKUP(MONTH(D$6),Assumptions!$F$38:$Q$38,Assumptions!$F$40:$Q$40)</f>
        <v>0.65</v>
      </c>
      <c r="E11" s="156">
        <f>_xlfn.XLOOKUP(MONTH(E$6),Assumptions!$F$38:$Q$38,Assumptions!$F$40:$Q$40)</f>
        <v>0.3</v>
      </c>
      <c r="F11" s="156">
        <f>_xlfn.XLOOKUP(MONTH(F$6),Assumptions!$F$38:$Q$38,Assumptions!$F$40:$Q$40)</f>
        <v>0.3</v>
      </c>
      <c r="G11" s="156">
        <f>_xlfn.XLOOKUP(MONTH(G$6),Assumptions!$F$38:$Q$38,Assumptions!$F$40:$Q$40)</f>
        <v>0.55000000000000004</v>
      </c>
      <c r="H11" s="156">
        <f>_xlfn.XLOOKUP(MONTH(H$6),Assumptions!$F$38:$Q$38,Assumptions!$F$40:$Q$40)</f>
        <v>0.65</v>
      </c>
      <c r="I11" s="156">
        <f>_xlfn.XLOOKUP(MONTH(I$6),Assumptions!$F$38:$Q$38,Assumptions!$F$40:$Q$40)</f>
        <v>0.55000000000000004</v>
      </c>
      <c r="J11" s="156">
        <f>_xlfn.XLOOKUP(MONTH(J$6),Assumptions!$F$38:$Q$38,Assumptions!$F$40:$Q$40)</f>
        <v>0.5</v>
      </c>
      <c r="K11" s="156">
        <f>_xlfn.XLOOKUP(MONTH(K$6),Assumptions!$F$38:$Q$38,Assumptions!$F$40:$Q$40)</f>
        <v>0.3</v>
      </c>
      <c r="L11" s="156">
        <f>_xlfn.XLOOKUP(MONTH(L$6),Assumptions!$F$38:$Q$38,Assumptions!$F$40:$Q$40)</f>
        <v>0.2</v>
      </c>
      <c r="M11" s="156">
        <f>_xlfn.XLOOKUP(MONTH(M$6),Assumptions!$F$38:$Q$38,Assumptions!$F$40:$Q$40)</f>
        <v>0.55000000000000004</v>
      </c>
      <c r="N11" s="156">
        <f>_xlfn.XLOOKUP(MONTH(N$6),Assumptions!$F$38:$Q$38,Assumptions!$F$40:$Q$40)</f>
        <v>0.75</v>
      </c>
      <c r="O11" s="156">
        <f>_xlfn.XLOOKUP(MONTH(O$6),Assumptions!$F$38:$Q$38,Assumptions!$F$40:$Q$40)</f>
        <v>0.75</v>
      </c>
      <c r="P11" s="156">
        <f>_xlfn.XLOOKUP(MONTH(P$6),Assumptions!$F$38:$Q$38,Assumptions!$F$40:$Q$40)</f>
        <v>0.65</v>
      </c>
      <c r="Q11" s="156">
        <f>_xlfn.XLOOKUP(MONTH(Q$6),Assumptions!$F$38:$Q$38,Assumptions!$F$40:$Q$40)</f>
        <v>0.3</v>
      </c>
      <c r="R11" s="156">
        <f>_xlfn.XLOOKUP(MONTH(R$6),Assumptions!$F$38:$Q$38,Assumptions!$F$40:$Q$40)</f>
        <v>0.3</v>
      </c>
      <c r="S11" s="156">
        <f>_xlfn.XLOOKUP(MONTH(S$6),Assumptions!$F$38:$Q$38,Assumptions!$F$40:$Q$40)</f>
        <v>0.55000000000000004</v>
      </c>
      <c r="T11" s="156">
        <f>_xlfn.XLOOKUP(MONTH(T$6),Assumptions!$F$38:$Q$38,Assumptions!$F$40:$Q$40)</f>
        <v>0.65</v>
      </c>
      <c r="U11" s="156">
        <f>_xlfn.XLOOKUP(MONTH(U$6),Assumptions!$F$38:$Q$38,Assumptions!$F$40:$Q$40)</f>
        <v>0.55000000000000004</v>
      </c>
      <c r="V11" s="156">
        <f>_xlfn.XLOOKUP(MONTH(V$6),Assumptions!$F$38:$Q$38,Assumptions!$F$40:$Q$40)</f>
        <v>0.5</v>
      </c>
      <c r="W11" s="156">
        <f>_xlfn.XLOOKUP(MONTH(W$6),Assumptions!$F$38:$Q$38,Assumptions!$F$40:$Q$40)</f>
        <v>0.3</v>
      </c>
      <c r="X11" s="156">
        <f>_xlfn.XLOOKUP(MONTH(X$6),Assumptions!$F$38:$Q$38,Assumptions!$F$40:$Q$40)</f>
        <v>0.2</v>
      </c>
      <c r="Y11" s="156">
        <f>_xlfn.XLOOKUP(MONTH(Y$6),Assumptions!$F$38:$Q$38,Assumptions!$F$40:$Q$40)</f>
        <v>0.55000000000000004</v>
      </c>
      <c r="Z11" s="156">
        <f>_xlfn.XLOOKUP(MONTH(Z$6),Assumptions!$F$38:$Q$38,Assumptions!$F$40:$Q$40)</f>
        <v>0.75</v>
      </c>
      <c r="AA11" s="156">
        <f>_xlfn.XLOOKUP(MONTH(AA$6),Assumptions!$F$38:$Q$38,Assumptions!$F$40:$Q$40)</f>
        <v>0.75</v>
      </c>
      <c r="AB11" s="156">
        <f>_xlfn.XLOOKUP(MONTH(AB$6),Assumptions!$F$38:$Q$38,Assumptions!$F$40:$Q$40)</f>
        <v>0.65</v>
      </c>
      <c r="AC11" s="156">
        <f>_xlfn.XLOOKUP(MONTH(AC$6),Assumptions!$F$38:$Q$38,Assumptions!$F$40:$Q$40)</f>
        <v>0.3</v>
      </c>
      <c r="AD11" s="156">
        <f>_xlfn.XLOOKUP(MONTH(AD$6),Assumptions!$F$38:$Q$38,Assumptions!$F$40:$Q$40)</f>
        <v>0.3</v>
      </c>
      <c r="AE11" s="156">
        <f>_xlfn.XLOOKUP(MONTH(AE$6),Assumptions!$F$38:$Q$38,Assumptions!$F$40:$Q$40)</f>
        <v>0.55000000000000004</v>
      </c>
      <c r="AF11" s="156">
        <f>_xlfn.XLOOKUP(MONTH(AF$6),Assumptions!$F$38:$Q$38,Assumptions!$F$40:$Q$40)</f>
        <v>0.65</v>
      </c>
      <c r="AG11" s="156">
        <f>_xlfn.XLOOKUP(MONTH(AG$6),Assumptions!$F$38:$Q$38,Assumptions!$F$40:$Q$40)</f>
        <v>0.55000000000000004</v>
      </c>
      <c r="AH11" s="156">
        <f>_xlfn.XLOOKUP(MONTH(AH$6),Assumptions!$F$38:$Q$38,Assumptions!$F$40:$Q$40)</f>
        <v>0.5</v>
      </c>
      <c r="AI11" s="156">
        <f>_xlfn.XLOOKUP(MONTH(AI$6),Assumptions!$F$38:$Q$38,Assumptions!$F$40:$Q$40)</f>
        <v>0.3</v>
      </c>
      <c r="AJ11" s="156">
        <f>_xlfn.XLOOKUP(MONTH(AJ$6),Assumptions!$F$38:$Q$38,Assumptions!$F$40:$Q$40)</f>
        <v>0.2</v>
      </c>
      <c r="AK11" s="156">
        <f>_xlfn.XLOOKUP(MONTH(AK$6),Assumptions!$F$38:$Q$38,Assumptions!$F$40:$Q$40)</f>
        <v>0.55000000000000004</v>
      </c>
      <c r="AL11" s="156">
        <f>_xlfn.XLOOKUP(MONTH(AL$6),Assumptions!$F$38:$Q$38,Assumptions!$F$40:$Q$40)</f>
        <v>0.75</v>
      </c>
      <c r="AM11" s="156">
        <f>_xlfn.XLOOKUP(MONTH(AM$6),Assumptions!$F$38:$Q$38,Assumptions!$F$40:$Q$40)</f>
        <v>0.75</v>
      </c>
      <c r="AN11" s="156">
        <f>_xlfn.XLOOKUP(MONTH(AN$6),Assumptions!$F$38:$Q$38,Assumptions!$F$40:$Q$40)</f>
        <v>0.65</v>
      </c>
      <c r="AO11" s="156">
        <f>_xlfn.XLOOKUP(MONTH(AO$6),Assumptions!$F$38:$Q$38,Assumptions!$F$40:$Q$40)</f>
        <v>0.3</v>
      </c>
      <c r="AP11" s="156">
        <f>_xlfn.XLOOKUP(MONTH(AP$6),Assumptions!$F$38:$Q$38,Assumptions!$F$40:$Q$40)</f>
        <v>0.3</v>
      </c>
      <c r="AQ11" s="156">
        <f>_xlfn.XLOOKUP(MONTH(AQ$6),Assumptions!$F$38:$Q$38,Assumptions!$F$40:$Q$40)</f>
        <v>0.55000000000000004</v>
      </c>
      <c r="AR11" s="156">
        <f>_xlfn.XLOOKUP(MONTH(AR$6),Assumptions!$F$38:$Q$38,Assumptions!$F$40:$Q$40)</f>
        <v>0.65</v>
      </c>
      <c r="AS11" s="156">
        <f>_xlfn.XLOOKUP(MONTH(AS$6),Assumptions!$F$38:$Q$38,Assumptions!$F$40:$Q$40)</f>
        <v>0.55000000000000004</v>
      </c>
      <c r="AT11" s="156">
        <f>_xlfn.XLOOKUP(MONTH(AT$6),Assumptions!$F$38:$Q$38,Assumptions!$F$40:$Q$40)</f>
        <v>0.5</v>
      </c>
      <c r="AU11" s="156">
        <f>_xlfn.XLOOKUP(MONTH(AU$6),Assumptions!$F$38:$Q$38,Assumptions!$F$40:$Q$40)</f>
        <v>0.3</v>
      </c>
      <c r="AV11" s="156">
        <f>_xlfn.XLOOKUP(MONTH(AV$6),Assumptions!$F$38:$Q$38,Assumptions!$F$40:$Q$40)</f>
        <v>0.2</v>
      </c>
      <c r="AW11" s="156">
        <f>_xlfn.XLOOKUP(MONTH(AW$6),Assumptions!$F$38:$Q$38,Assumptions!$F$40:$Q$40)</f>
        <v>0.55000000000000004</v>
      </c>
      <c r="AX11" s="156">
        <f>_xlfn.XLOOKUP(MONTH(AX$6),Assumptions!$F$38:$Q$38,Assumptions!$F$40:$Q$40)</f>
        <v>0.75</v>
      </c>
      <c r="AY11" s="156">
        <f>_xlfn.XLOOKUP(MONTH(AY$6),Assumptions!$F$38:$Q$38,Assumptions!$F$40:$Q$40)</f>
        <v>0.75</v>
      </c>
      <c r="AZ11" s="156">
        <f>_xlfn.XLOOKUP(MONTH(AZ$6),Assumptions!$F$38:$Q$38,Assumptions!$F$40:$Q$40)</f>
        <v>0.65</v>
      </c>
      <c r="BA11" s="156">
        <f>_xlfn.XLOOKUP(MONTH(BA$6),Assumptions!$F$38:$Q$38,Assumptions!$F$40:$Q$40)</f>
        <v>0.3</v>
      </c>
      <c r="BB11" s="156">
        <f>_xlfn.XLOOKUP(MONTH(BB$6),Assumptions!$F$38:$Q$38,Assumptions!$F$40:$Q$40)</f>
        <v>0.3</v>
      </c>
      <c r="BC11" s="156">
        <f>_xlfn.XLOOKUP(MONTH(BC$6),Assumptions!$F$38:$Q$38,Assumptions!$F$40:$Q$40)</f>
        <v>0.55000000000000004</v>
      </c>
      <c r="BD11" s="156">
        <f>_xlfn.XLOOKUP(MONTH(BD$6),Assumptions!$F$38:$Q$38,Assumptions!$F$40:$Q$40)</f>
        <v>0.65</v>
      </c>
      <c r="BE11" s="156">
        <f>_xlfn.XLOOKUP(MONTH(BE$6),Assumptions!$F$38:$Q$38,Assumptions!$F$40:$Q$40)</f>
        <v>0.55000000000000004</v>
      </c>
      <c r="BF11" s="156">
        <f>_xlfn.XLOOKUP(MONTH(BF$6),Assumptions!$F$38:$Q$38,Assumptions!$F$40:$Q$40)</f>
        <v>0.5</v>
      </c>
      <c r="BG11" s="156">
        <f>_xlfn.XLOOKUP(MONTH(BG$6),Assumptions!$F$38:$Q$38,Assumptions!$F$40:$Q$40)</f>
        <v>0.3</v>
      </c>
      <c r="BH11" s="156">
        <f>_xlfn.XLOOKUP(MONTH(BH$6),Assumptions!$F$38:$Q$38,Assumptions!$F$40:$Q$40)</f>
        <v>0.2</v>
      </c>
      <c r="BI11" s="156">
        <f>_xlfn.XLOOKUP(MONTH(BI$6),Assumptions!$F$38:$Q$38,Assumptions!$F$40:$Q$40)</f>
        <v>0.55000000000000004</v>
      </c>
      <c r="BJ11" s="156">
        <f>_xlfn.XLOOKUP(MONTH(BJ$6),Assumptions!$F$38:$Q$38,Assumptions!$F$40:$Q$40)</f>
        <v>0.75</v>
      </c>
      <c r="BK11" s="156">
        <f>_xlfn.XLOOKUP(MONTH(BK$6),Assumptions!$F$38:$Q$38,Assumptions!$F$40:$Q$40)</f>
        <v>0.75</v>
      </c>
      <c r="BL11" s="156">
        <f>_xlfn.XLOOKUP(MONTH(BL$6),Assumptions!$F$38:$Q$38,Assumptions!$F$40:$Q$40)</f>
        <v>0.65</v>
      </c>
      <c r="BM11" s="156">
        <f>_xlfn.XLOOKUP(MONTH(BM$6),Assumptions!$F$38:$Q$38,Assumptions!$F$40:$Q$40)</f>
        <v>0.3</v>
      </c>
      <c r="BN11" s="156">
        <f>_xlfn.XLOOKUP(MONTH(BN$6),Assumptions!$F$38:$Q$38,Assumptions!$F$40:$Q$40)</f>
        <v>0.3</v>
      </c>
      <c r="BO11" s="156">
        <f>_xlfn.XLOOKUP(MONTH(BO$6),Assumptions!$F$38:$Q$38,Assumptions!$F$40:$Q$40)</f>
        <v>0.55000000000000004</v>
      </c>
      <c r="BP11" s="156">
        <f>_xlfn.XLOOKUP(MONTH(BP$6),Assumptions!$F$38:$Q$38,Assumptions!$F$40:$Q$40)</f>
        <v>0.65</v>
      </c>
      <c r="BQ11" s="156">
        <f>_xlfn.XLOOKUP(MONTH(BQ$6),Assumptions!$F$38:$Q$38,Assumptions!$F$40:$Q$40)</f>
        <v>0.55000000000000004</v>
      </c>
      <c r="BR11" s="156">
        <f>_xlfn.XLOOKUP(MONTH(BR$6),Assumptions!$F$38:$Q$38,Assumptions!$F$40:$Q$40)</f>
        <v>0.5</v>
      </c>
      <c r="BS11" s="156">
        <f>_xlfn.XLOOKUP(MONTH(BS$6),Assumptions!$F$38:$Q$38,Assumptions!$F$40:$Q$40)</f>
        <v>0.3</v>
      </c>
      <c r="BT11" s="156">
        <f>_xlfn.XLOOKUP(MONTH(BT$6),Assumptions!$F$38:$Q$38,Assumptions!$F$40:$Q$40)</f>
        <v>0.2</v>
      </c>
      <c r="BU11" s="156">
        <f>_xlfn.XLOOKUP(MONTH(BU$6),Assumptions!$F$38:$Q$38,Assumptions!$F$40:$Q$40)</f>
        <v>0.55000000000000004</v>
      </c>
      <c r="BV11" s="156">
        <f>_xlfn.XLOOKUP(MONTH(BV$6),Assumptions!$F$38:$Q$38,Assumptions!$F$40:$Q$40)</f>
        <v>0.75</v>
      </c>
      <c r="BW11" s="156">
        <f>_xlfn.XLOOKUP(MONTH(BW$6),Assumptions!$F$38:$Q$38,Assumptions!$F$40:$Q$40)</f>
        <v>0.75</v>
      </c>
      <c r="BX11" s="156">
        <f>_xlfn.XLOOKUP(MONTH(BX$6),Assumptions!$F$38:$Q$38,Assumptions!$F$40:$Q$40)</f>
        <v>0.65</v>
      </c>
      <c r="BY11" s="156">
        <f>_xlfn.XLOOKUP(MONTH(BY$6),Assumptions!$F$38:$Q$38,Assumptions!$F$40:$Q$40)</f>
        <v>0.3</v>
      </c>
      <c r="BZ11" s="156">
        <f>_xlfn.XLOOKUP(MONTH(BZ$6),Assumptions!$F$38:$Q$38,Assumptions!$F$40:$Q$40)</f>
        <v>0.3</v>
      </c>
      <c r="CA11" s="156">
        <f>_xlfn.XLOOKUP(MONTH(CA$6),Assumptions!$F$38:$Q$38,Assumptions!$F$40:$Q$40)</f>
        <v>0.55000000000000004</v>
      </c>
      <c r="CB11" s="156">
        <f>_xlfn.XLOOKUP(MONTH(CB$6),Assumptions!$F$38:$Q$38,Assumptions!$F$40:$Q$40)</f>
        <v>0.65</v>
      </c>
      <c r="CC11" s="156">
        <f>_xlfn.XLOOKUP(MONTH(CC$6),Assumptions!$F$38:$Q$38,Assumptions!$F$40:$Q$40)</f>
        <v>0.55000000000000004</v>
      </c>
      <c r="CD11" s="156">
        <f>_xlfn.XLOOKUP(MONTH(CD$6),Assumptions!$F$38:$Q$38,Assumptions!$F$40:$Q$40)</f>
        <v>0.5</v>
      </c>
      <c r="CE11" s="156">
        <f>_xlfn.XLOOKUP(MONTH(CE$6),Assumptions!$F$38:$Q$38,Assumptions!$F$40:$Q$40)</f>
        <v>0.3</v>
      </c>
      <c r="CF11" s="156">
        <f>_xlfn.XLOOKUP(MONTH(CF$6),Assumptions!$F$38:$Q$38,Assumptions!$F$40:$Q$40)</f>
        <v>0.2</v>
      </c>
      <c r="CG11" s="156">
        <f>_xlfn.XLOOKUP(MONTH(CG$6),Assumptions!$F$38:$Q$38,Assumptions!$F$40:$Q$40)</f>
        <v>0.55000000000000004</v>
      </c>
      <c r="CH11" s="156">
        <f>_xlfn.XLOOKUP(MONTH(CH$6),Assumptions!$F$38:$Q$38,Assumptions!$F$40:$Q$40)</f>
        <v>0.75</v>
      </c>
      <c r="CI11" s="156">
        <f>_xlfn.XLOOKUP(MONTH(CI$6),Assumptions!$F$38:$Q$38,Assumptions!$F$40:$Q$40)</f>
        <v>0.75</v>
      </c>
      <c r="CJ11" s="156">
        <f>_xlfn.XLOOKUP(MONTH(CJ$6),Assumptions!$F$38:$Q$38,Assumptions!$F$40:$Q$40)</f>
        <v>0.65</v>
      </c>
      <c r="CK11" s="156">
        <f>_xlfn.XLOOKUP(MONTH(CK$6),Assumptions!$F$38:$Q$38,Assumptions!$F$40:$Q$40)</f>
        <v>0.3</v>
      </c>
      <c r="CL11" s="156">
        <f>_xlfn.XLOOKUP(MONTH(CL$6),Assumptions!$F$38:$Q$38,Assumptions!$F$40:$Q$40)</f>
        <v>0.3</v>
      </c>
      <c r="CM11" s="156">
        <f>_xlfn.XLOOKUP(MONTH(CM$6),Assumptions!$F$38:$Q$38,Assumptions!$F$40:$Q$40)</f>
        <v>0.55000000000000004</v>
      </c>
      <c r="CN11" s="156">
        <f>_xlfn.XLOOKUP(MONTH(CN$6),Assumptions!$F$38:$Q$38,Assumptions!$F$40:$Q$40)</f>
        <v>0.65</v>
      </c>
      <c r="CO11" s="156">
        <f>_xlfn.XLOOKUP(MONTH(CO$6),Assumptions!$F$38:$Q$38,Assumptions!$F$40:$Q$40)</f>
        <v>0.55000000000000004</v>
      </c>
      <c r="CP11" s="156">
        <f>_xlfn.XLOOKUP(MONTH(CP$6),Assumptions!$F$38:$Q$38,Assumptions!$F$40:$Q$40)</f>
        <v>0.5</v>
      </c>
      <c r="CQ11" s="156">
        <f>_xlfn.XLOOKUP(MONTH(CQ$6),Assumptions!$F$38:$Q$38,Assumptions!$F$40:$Q$40)</f>
        <v>0.3</v>
      </c>
      <c r="CR11" s="156">
        <f>_xlfn.XLOOKUP(MONTH(CR$6),Assumptions!$F$38:$Q$38,Assumptions!$F$40:$Q$40)</f>
        <v>0.2</v>
      </c>
      <c r="CS11" s="156">
        <f>_xlfn.XLOOKUP(MONTH(CS$6),Assumptions!$F$38:$Q$38,Assumptions!$F$40:$Q$40)</f>
        <v>0.55000000000000004</v>
      </c>
      <c r="CT11" s="156">
        <f>_xlfn.XLOOKUP(MONTH(CT$6),Assumptions!$F$38:$Q$38,Assumptions!$F$40:$Q$40)</f>
        <v>0.75</v>
      </c>
      <c r="CU11" s="156">
        <f>_xlfn.XLOOKUP(MONTH(CU$6),Assumptions!$F$38:$Q$38,Assumptions!$F$40:$Q$40)</f>
        <v>0.75</v>
      </c>
      <c r="CV11" s="156">
        <f>_xlfn.XLOOKUP(MONTH(CV$6),Assumptions!$F$38:$Q$38,Assumptions!$F$40:$Q$40)</f>
        <v>0.65</v>
      </c>
      <c r="CW11" s="156">
        <f>_xlfn.XLOOKUP(MONTH(CW$6),Assumptions!$F$38:$Q$38,Assumptions!$F$40:$Q$40)</f>
        <v>0.3</v>
      </c>
      <c r="CX11" s="156">
        <f>_xlfn.XLOOKUP(MONTH(CX$6),Assumptions!$F$38:$Q$38,Assumptions!$F$40:$Q$40)</f>
        <v>0.3</v>
      </c>
      <c r="CY11" s="156">
        <f>_xlfn.XLOOKUP(MONTH(CY$6),Assumptions!$F$38:$Q$38,Assumptions!$F$40:$Q$40)</f>
        <v>0.55000000000000004</v>
      </c>
      <c r="CZ11" s="156">
        <f>_xlfn.XLOOKUP(MONTH(CZ$6),Assumptions!$F$38:$Q$38,Assumptions!$F$40:$Q$40)</f>
        <v>0.65</v>
      </c>
      <c r="DA11" s="156">
        <f>_xlfn.XLOOKUP(MONTH(DA$6),Assumptions!$F$38:$Q$38,Assumptions!$F$40:$Q$40)</f>
        <v>0.55000000000000004</v>
      </c>
      <c r="DB11" s="156">
        <f>_xlfn.XLOOKUP(MONTH(DB$6),Assumptions!$F$38:$Q$38,Assumptions!$F$40:$Q$40)</f>
        <v>0.5</v>
      </c>
      <c r="DC11" s="156">
        <f>_xlfn.XLOOKUP(MONTH(DC$6),Assumptions!$F$38:$Q$38,Assumptions!$F$40:$Q$40)</f>
        <v>0.3</v>
      </c>
      <c r="DD11" s="156">
        <f>_xlfn.XLOOKUP(MONTH(DD$6),Assumptions!$F$38:$Q$38,Assumptions!$F$40:$Q$40)</f>
        <v>0.2</v>
      </c>
      <c r="DE11" s="156">
        <f>_xlfn.XLOOKUP(MONTH(DE$6),Assumptions!$F$38:$Q$38,Assumptions!$F$40:$Q$40)</f>
        <v>0.55000000000000004</v>
      </c>
      <c r="DF11" s="156">
        <f>_xlfn.XLOOKUP(MONTH(DF$6),Assumptions!$F$38:$Q$38,Assumptions!$F$40:$Q$40)</f>
        <v>0.75</v>
      </c>
      <c r="DG11" s="156">
        <f>_xlfn.XLOOKUP(MONTH(DG$6),Assumptions!$F$38:$Q$38,Assumptions!$F$40:$Q$40)</f>
        <v>0.75</v>
      </c>
      <c r="DH11" s="156">
        <f>_xlfn.XLOOKUP(MONTH(DH$6),Assumptions!$F$38:$Q$38,Assumptions!$F$40:$Q$40)</f>
        <v>0.65</v>
      </c>
      <c r="DI11" s="156">
        <f>_xlfn.XLOOKUP(MONTH(DI$6),Assumptions!$F$38:$Q$38,Assumptions!$F$40:$Q$40)</f>
        <v>0.3</v>
      </c>
      <c r="DJ11" s="156">
        <f>_xlfn.XLOOKUP(MONTH(DJ$6),Assumptions!$F$38:$Q$38,Assumptions!$F$40:$Q$40)</f>
        <v>0.3</v>
      </c>
      <c r="DK11" s="156">
        <f>_xlfn.XLOOKUP(MONTH(DK$6),Assumptions!$F$38:$Q$38,Assumptions!$F$40:$Q$40)</f>
        <v>0.55000000000000004</v>
      </c>
      <c r="DL11" s="156">
        <f>_xlfn.XLOOKUP(MONTH(DL$6),Assumptions!$F$38:$Q$38,Assumptions!$F$40:$Q$40)</f>
        <v>0.65</v>
      </c>
      <c r="DM11" s="156">
        <f>_xlfn.XLOOKUP(MONTH(DM$6),Assumptions!$F$38:$Q$38,Assumptions!$F$40:$Q$40)</f>
        <v>0.55000000000000004</v>
      </c>
      <c r="DN11" s="156">
        <f>_xlfn.XLOOKUP(MONTH(DN$6),Assumptions!$F$38:$Q$38,Assumptions!$F$40:$Q$40)</f>
        <v>0.5</v>
      </c>
      <c r="DO11" s="156">
        <f>_xlfn.XLOOKUP(MONTH(DO$6),Assumptions!$F$38:$Q$38,Assumptions!$F$40:$Q$40)</f>
        <v>0.3</v>
      </c>
      <c r="DP11" s="156">
        <f>_xlfn.XLOOKUP(MONTH(DP$6),Assumptions!$F$38:$Q$38,Assumptions!$F$40:$Q$40)</f>
        <v>0.2</v>
      </c>
      <c r="DQ11" s="156">
        <f>_xlfn.XLOOKUP(MONTH(DQ$6),Assumptions!$F$38:$Q$38,Assumptions!$F$40:$Q$40)</f>
        <v>0.55000000000000004</v>
      </c>
      <c r="DR11" s="156">
        <f>_xlfn.XLOOKUP(MONTH(DR$6),Assumptions!$F$38:$Q$38,Assumptions!$F$40:$Q$40)</f>
        <v>0.75</v>
      </c>
      <c r="DS11" s="156"/>
      <c r="DT11" s="156"/>
      <c r="DU11" s="156"/>
      <c r="DV11" s="156"/>
      <c r="DW11" s="156"/>
      <c r="DX11" s="156"/>
      <c r="DY11" s="156"/>
      <c r="DZ11" s="156"/>
      <c r="EA11" s="156"/>
      <c r="EB11" s="156"/>
      <c r="EC11" s="156"/>
      <c r="ED11" s="156"/>
    </row>
    <row r="12" spans="1:134" s="404" customFormat="1" ht="16" x14ac:dyDescent="0.2">
      <c r="A12" s="402"/>
      <c r="B12" s="408" t="s">
        <v>738</v>
      </c>
      <c r="C12" s="405">
        <f>SUM(C8:C10)*C11</f>
        <v>0</v>
      </c>
      <c r="D12" s="405">
        <f t="shared" ref="D12:BO12" si="11">SUM(D8:D10)*D11</f>
        <v>0</v>
      </c>
      <c r="E12" s="405">
        <f t="shared" si="11"/>
        <v>0</v>
      </c>
      <c r="F12" s="405">
        <f t="shared" si="11"/>
        <v>0</v>
      </c>
      <c r="G12" s="405">
        <f t="shared" si="11"/>
        <v>0</v>
      </c>
      <c r="H12" s="405">
        <f t="shared" si="11"/>
        <v>494091</v>
      </c>
      <c r="I12" s="405">
        <f t="shared" si="11"/>
        <v>432012.9</v>
      </c>
      <c r="J12" s="405">
        <f t="shared" si="11"/>
        <v>392739</v>
      </c>
      <c r="K12" s="405">
        <f t="shared" si="11"/>
        <v>228042</v>
      </c>
      <c r="L12" s="405">
        <f t="shared" si="11"/>
        <v>157095.6</v>
      </c>
      <c r="M12" s="405">
        <f t="shared" si="11"/>
        <v>418077.00000000006</v>
      </c>
      <c r="N12" s="405">
        <f t="shared" si="11"/>
        <v>589108.5</v>
      </c>
      <c r="O12" s="405">
        <f t="shared" si="11"/>
        <v>589108.5</v>
      </c>
      <c r="P12" s="405">
        <f t="shared" si="11"/>
        <v>461151.60000000003</v>
      </c>
      <c r="Q12" s="405">
        <f t="shared" si="11"/>
        <v>235643.4</v>
      </c>
      <c r="R12" s="405">
        <f t="shared" si="11"/>
        <v>228042</v>
      </c>
      <c r="S12" s="405">
        <f t="shared" si="11"/>
        <v>432012.9</v>
      </c>
      <c r="T12" s="405">
        <f t="shared" si="11"/>
        <v>508913.73</v>
      </c>
      <c r="U12" s="405">
        <f t="shared" si="11"/>
        <v>444973.28700000001</v>
      </c>
      <c r="V12" s="405">
        <f t="shared" si="11"/>
        <v>404521.17</v>
      </c>
      <c r="W12" s="405">
        <f t="shared" si="11"/>
        <v>234883.25999999998</v>
      </c>
      <c r="X12" s="405">
        <f t="shared" si="11"/>
        <v>161808.46799999999</v>
      </c>
      <c r="Y12" s="405">
        <f t="shared" si="11"/>
        <v>430619.31</v>
      </c>
      <c r="Z12" s="405">
        <f t="shared" si="11"/>
        <v>606781.755</v>
      </c>
      <c r="AA12" s="405">
        <f t="shared" si="11"/>
        <v>606781.755</v>
      </c>
      <c r="AB12" s="405">
        <f t="shared" si="11"/>
        <v>491949.93899999995</v>
      </c>
      <c r="AC12" s="405">
        <f t="shared" si="11"/>
        <v>242712.70199999999</v>
      </c>
      <c r="AD12" s="405">
        <f t="shared" si="11"/>
        <v>234883.25999999998</v>
      </c>
      <c r="AE12" s="405">
        <f t="shared" si="11"/>
        <v>444973.28700000001</v>
      </c>
      <c r="AF12" s="405">
        <f t="shared" si="11"/>
        <v>2130817.6500000004</v>
      </c>
      <c r="AG12" s="405">
        <f t="shared" si="11"/>
        <v>1863099.5350000001</v>
      </c>
      <c r="AH12" s="405">
        <f t="shared" si="11"/>
        <v>1693726.85</v>
      </c>
      <c r="AI12" s="405">
        <f t="shared" si="11"/>
        <v>983454.3</v>
      </c>
      <c r="AJ12" s="405">
        <f t="shared" si="11"/>
        <v>677490.74000000011</v>
      </c>
      <c r="AK12" s="405">
        <f t="shared" si="11"/>
        <v>1802999.5500000005</v>
      </c>
      <c r="AL12" s="405">
        <f t="shared" si="11"/>
        <v>2540590.2750000004</v>
      </c>
      <c r="AM12" s="405">
        <f t="shared" si="11"/>
        <v>2540590.2750000004</v>
      </c>
      <c r="AN12" s="405">
        <f t="shared" si="11"/>
        <v>1988763.1400000004</v>
      </c>
      <c r="AO12" s="405">
        <f t="shared" si="11"/>
        <v>1016236.11</v>
      </c>
      <c r="AP12" s="405">
        <f t="shared" si="11"/>
        <v>983454.3</v>
      </c>
      <c r="AQ12" s="405">
        <f t="shared" si="11"/>
        <v>1863099.5350000001</v>
      </c>
      <c r="AR12" s="405">
        <f t="shared" si="11"/>
        <v>3333813.3706605006</v>
      </c>
      <c r="AS12" s="405">
        <f t="shared" si="11"/>
        <v>2914949.6394749503</v>
      </c>
      <c r="AT12" s="405">
        <f t="shared" si="11"/>
        <v>2649954.2177045001</v>
      </c>
      <c r="AU12" s="405">
        <f t="shared" si="11"/>
        <v>1538683.0941510003</v>
      </c>
      <c r="AV12" s="405">
        <f t="shared" si="11"/>
        <v>1059981.6870818001</v>
      </c>
      <c r="AW12" s="405">
        <f t="shared" si="11"/>
        <v>2820919.0059435004</v>
      </c>
      <c r="AX12" s="405">
        <f t="shared" si="11"/>
        <v>3974931.3265567501</v>
      </c>
      <c r="AY12" s="405">
        <f t="shared" si="11"/>
        <v>3974931.3265567501</v>
      </c>
      <c r="AZ12" s="405">
        <f t="shared" si="11"/>
        <v>3111559.1459498005</v>
      </c>
      <c r="BA12" s="405">
        <f t="shared" si="11"/>
        <v>1589972.5306227</v>
      </c>
      <c r="BB12" s="405">
        <f t="shared" si="11"/>
        <v>1538683.0941510003</v>
      </c>
      <c r="BC12" s="405">
        <f t="shared" si="11"/>
        <v>2914949.6394749503</v>
      </c>
      <c r="BD12" s="405">
        <f t="shared" si="11"/>
        <v>3433827.7717803158</v>
      </c>
      <c r="BE12" s="405">
        <f t="shared" si="11"/>
        <v>3002398.128659199</v>
      </c>
      <c r="BF12" s="405">
        <f t="shared" si="11"/>
        <v>2729452.8442356354</v>
      </c>
      <c r="BG12" s="405">
        <f t="shared" si="11"/>
        <v>1584843.5869755303</v>
      </c>
      <c r="BH12" s="405">
        <f t="shared" si="11"/>
        <v>1091781.1376942543</v>
      </c>
      <c r="BI12" s="405">
        <f t="shared" si="11"/>
        <v>2905546.5761218057</v>
      </c>
      <c r="BJ12" s="405">
        <f t="shared" si="11"/>
        <v>4094179.266353453</v>
      </c>
      <c r="BK12" s="405">
        <f t="shared" si="11"/>
        <v>4094179.266353453</v>
      </c>
      <c r="BL12" s="405">
        <f t="shared" si="11"/>
        <v>3204905.9203282944</v>
      </c>
      <c r="BM12" s="405">
        <f t="shared" si="11"/>
        <v>1637671.7065413811</v>
      </c>
      <c r="BN12" s="405">
        <f t="shared" si="11"/>
        <v>1584843.5869755303</v>
      </c>
      <c r="BO12" s="405">
        <f t="shared" si="11"/>
        <v>3002398.128659199</v>
      </c>
      <c r="BP12" s="405">
        <f t="shared" ref="BP12:DR12" si="12">SUM(BP8:BP10)*BP11</f>
        <v>3536842.6049337247</v>
      </c>
      <c r="BQ12" s="405">
        <f t="shared" si="12"/>
        <v>3092470.072518975</v>
      </c>
      <c r="BR12" s="405">
        <f t="shared" si="12"/>
        <v>2811336.4295627042</v>
      </c>
      <c r="BS12" s="405">
        <f t="shared" si="12"/>
        <v>1632388.8945847959</v>
      </c>
      <c r="BT12" s="405">
        <f t="shared" si="12"/>
        <v>1124534.5718250817</v>
      </c>
      <c r="BU12" s="405">
        <f t="shared" si="12"/>
        <v>2992712.9734054594</v>
      </c>
      <c r="BV12" s="405">
        <f t="shared" si="12"/>
        <v>4217004.644344056</v>
      </c>
      <c r="BW12" s="405">
        <f t="shared" si="12"/>
        <v>4217004.644344056</v>
      </c>
      <c r="BX12" s="405">
        <f t="shared" si="12"/>
        <v>3418947.8514359337</v>
      </c>
      <c r="BY12" s="405">
        <f t="shared" si="12"/>
        <v>1686801.8577376225</v>
      </c>
      <c r="BZ12" s="405">
        <f t="shared" si="12"/>
        <v>1632388.8945847959</v>
      </c>
      <c r="CA12" s="405">
        <f t="shared" si="12"/>
        <v>3092470.072518975</v>
      </c>
      <c r="CB12" s="405">
        <f t="shared" si="12"/>
        <v>3642947.883081737</v>
      </c>
      <c r="CC12" s="405">
        <f t="shared" si="12"/>
        <v>3185244.1746945446</v>
      </c>
      <c r="CD12" s="405">
        <f t="shared" si="12"/>
        <v>2895676.5224495856</v>
      </c>
      <c r="CE12" s="405">
        <f t="shared" si="12"/>
        <v>1681360.5614223399</v>
      </c>
      <c r="CF12" s="405">
        <f t="shared" si="12"/>
        <v>1158270.6089798342</v>
      </c>
      <c r="CG12" s="405">
        <f t="shared" si="12"/>
        <v>3082494.3626076235</v>
      </c>
      <c r="CH12" s="405">
        <f t="shared" si="12"/>
        <v>4343514.7836743779</v>
      </c>
      <c r="CI12" s="405">
        <f t="shared" si="12"/>
        <v>4343514.7836743779</v>
      </c>
      <c r="CJ12" s="405">
        <f t="shared" si="12"/>
        <v>3400084.6908762874</v>
      </c>
      <c r="CK12" s="405">
        <f t="shared" si="12"/>
        <v>1737405.9134697514</v>
      </c>
      <c r="CL12" s="405">
        <f t="shared" si="12"/>
        <v>1681360.5614223399</v>
      </c>
      <c r="CM12" s="405">
        <f t="shared" si="12"/>
        <v>3185244.1746945446</v>
      </c>
      <c r="CN12" s="405">
        <f t="shared" si="12"/>
        <v>3752236.3195741889</v>
      </c>
      <c r="CO12" s="405">
        <f t="shared" si="12"/>
        <v>3280801.4999353811</v>
      </c>
      <c r="CP12" s="405">
        <f t="shared" si="12"/>
        <v>2982546.8181230733</v>
      </c>
      <c r="CQ12" s="405">
        <f t="shared" si="12"/>
        <v>1731801.3782650102</v>
      </c>
      <c r="CR12" s="405">
        <f t="shared" si="12"/>
        <v>1193018.7272492293</v>
      </c>
      <c r="CS12" s="405">
        <f t="shared" si="12"/>
        <v>3174969.1934858523</v>
      </c>
      <c r="CT12" s="405">
        <f t="shared" si="12"/>
        <v>4473820.2271846104</v>
      </c>
      <c r="CU12" s="405" t="e">
        <f t="shared" si="12"/>
        <v>#N/A</v>
      </c>
      <c r="CV12" s="405" t="e">
        <f t="shared" si="12"/>
        <v>#N/A</v>
      </c>
      <c r="CW12" s="405" t="e">
        <f t="shared" si="12"/>
        <v>#N/A</v>
      </c>
      <c r="CX12" s="405" t="e">
        <f t="shared" si="12"/>
        <v>#N/A</v>
      </c>
      <c r="CY12" s="405" t="e">
        <f t="shared" si="12"/>
        <v>#N/A</v>
      </c>
      <c r="CZ12" s="405" t="e">
        <f t="shared" si="12"/>
        <v>#N/A</v>
      </c>
      <c r="DA12" s="405" t="e">
        <f t="shared" si="12"/>
        <v>#N/A</v>
      </c>
      <c r="DB12" s="405" t="e">
        <f t="shared" si="12"/>
        <v>#N/A</v>
      </c>
      <c r="DC12" s="405" t="e">
        <f t="shared" si="12"/>
        <v>#N/A</v>
      </c>
      <c r="DD12" s="405" t="e">
        <f t="shared" si="12"/>
        <v>#N/A</v>
      </c>
      <c r="DE12" s="405" t="e">
        <f t="shared" si="12"/>
        <v>#N/A</v>
      </c>
      <c r="DF12" s="405" t="e">
        <f t="shared" si="12"/>
        <v>#N/A</v>
      </c>
      <c r="DG12" s="405" t="e">
        <f t="shared" si="12"/>
        <v>#N/A</v>
      </c>
      <c r="DH12" s="405" t="e">
        <f t="shared" si="12"/>
        <v>#N/A</v>
      </c>
      <c r="DI12" s="405" t="e">
        <f t="shared" si="12"/>
        <v>#N/A</v>
      </c>
      <c r="DJ12" s="405" t="e">
        <f t="shared" si="12"/>
        <v>#N/A</v>
      </c>
      <c r="DK12" s="405" t="e">
        <f t="shared" si="12"/>
        <v>#N/A</v>
      </c>
      <c r="DL12" s="405" t="e">
        <f t="shared" si="12"/>
        <v>#N/A</v>
      </c>
      <c r="DM12" s="405" t="e">
        <f t="shared" si="12"/>
        <v>#N/A</v>
      </c>
      <c r="DN12" s="405" t="e">
        <f t="shared" si="12"/>
        <v>#N/A</v>
      </c>
      <c r="DO12" s="405" t="e">
        <f t="shared" si="12"/>
        <v>#N/A</v>
      </c>
      <c r="DP12" s="405" t="e">
        <f t="shared" si="12"/>
        <v>#N/A</v>
      </c>
      <c r="DQ12" s="405" t="e">
        <f t="shared" si="12"/>
        <v>#N/A</v>
      </c>
      <c r="DR12" s="405" t="e">
        <f t="shared" si="12"/>
        <v>#N/A</v>
      </c>
      <c r="DS12" s="405"/>
      <c r="DT12" s="405"/>
      <c r="DU12" s="405"/>
      <c r="DV12" s="405"/>
      <c r="DW12" s="405"/>
      <c r="DX12" s="405"/>
      <c r="DY12" s="405"/>
      <c r="DZ12" s="405"/>
      <c r="EA12" s="405"/>
      <c r="EB12" s="405"/>
      <c r="EC12" s="405"/>
      <c r="ED12" s="405"/>
    </row>
    <row r="13" spans="1:134" s="404" customFormat="1" ht="16" x14ac:dyDescent="0.2">
      <c r="A13" s="402"/>
      <c r="B13" s="409" t="s">
        <v>739</v>
      </c>
      <c r="C13" s="406">
        <f>C12*-Assumptions!$C$36</f>
        <v>0</v>
      </c>
      <c r="D13" s="406">
        <f>D12*-Assumptions!$C$36</f>
        <v>0</v>
      </c>
      <c r="E13" s="406">
        <f>E12*-Assumptions!$C$36</f>
        <v>0</v>
      </c>
      <c r="F13" s="406">
        <f>F12*-Assumptions!$C$36</f>
        <v>0</v>
      </c>
      <c r="G13" s="406">
        <f>G12*-Assumptions!$C$36</f>
        <v>0</v>
      </c>
      <c r="H13" s="406">
        <f>H12*-Assumptions!$C$36</f>
        <v>-172931.84999999998</v>
      </c>
      <c r="I13" s="406">
        <f>I12*-Assumptions!$C$36</f>
        <v>-151204.51499999998</v>
      </c>
      <c r="J13" s="406">
        <f>J12*-Assumptions!$C$36</f>
        <v>-137458.65</v>
      </c>
      <c r="K13" s="406">
        <f>K12*-Assumptions!$C$36</f>
        <v>-79814.7</v>
      </c>
      <c r="L13" s="406">
        <f>L12*-Assumptions!$C$36</f>
        <v>-54983.46</v>
      </c>
      <c r="M13" s="406">
        <f>M12*-Assumptions!$C$36</f>
        <v>-146326.95000000001</v>
      </c>
      <c r="N13" s="406">
        <f>N12*-Assumptions!$C$36</f>
        <v>-206187.97499999998</v>
      </c>
      <c r="O13" s="406">
        <f>O12*-Assumptions!$C$36</f>
        <v>-206187.97499999998</v>
      </c>
      <c r="P13" s="406">
        <f>P12*-Assumptions!$C$36</f>
        <v>-161403.06</v>
      </c>
      <c r="Q13" s="406">
        <f>Q12*-Assumptions!$C$36</f>
        <v>-82475.189999999988</v>
      </c>
      <c r="R13" s="406">
        <f>R12*-Assumptions!$C$36</f>
        <v>-79814.7</v>
      </c>
      <c r="S13" s="406">
        <f>S12*-Assumptions!$C$36</f>
        <v>-151204.51499999998</v>
      </c>
      <c r="T13" s="406">
        <f>T12*-Assumptions!$C$36</f>
        <v>-178119.80549999999</v>
      </c>
      <c r="U13" s="406">
        <f>U12*-Assumptions!$C$36</f>
        <v>-155740.65044999999</v>
      </c>
      <c r="V13" s="406">
        <f>V12*-Assumptions!$C$36</f>
        <v>-141582.40949999998</v>
      </c>
      <c r="W13" s="406">
        <f>W12*-Assumptions!$C$36</f>
        <v>-82209.140999999989</v>
      </c>
      <c r="X13" s="406">
        <f>X12*-Assumptions!$C$36</f>
        <v>-56632.963799999998</v>
      </c>
      <c r="Y13" s="406">
        <f>Y12*-Assumptions!$C$36</f>
        <v>-150716.7585</v>
      </c>
      <c r="Z13" s="406">
        <f>Z12*-Assumptions!$C$36</f>
        <v>-212373.61424999998</v>
      </c>
      <c r="AA13" s="406">
        <f>AA12*-Assumptions!$C$36</f>
        <v>-212373.61424999998</v>
      </c>
      <c r="AB13" s="406">
        <f>AB12*-Assumptions!$C$36</f>
        <v>-172182.47864999998</v>
      </c>
      <c r="AC13" s="406">
        <f>AC12*-Assumptions!$C$36</f>
        <v>-84949.445699999997</v>
      </c>
      <c r="AD13" s="406">
        <f>AD12*-Assumptions!$C$36</f>
        <v>-82209.140999999989</v>
      </c>
      <c r="AE13" s="406">
        <f>AE12*-Assumptions!$C$36</f>
        <v>-155740.65044999999</v>
      </c>
      <c r="AF13" s="406">
        <f>AF12*-Assumptions!$C$36</f>
        <v>-745786.17750000011</v>
      </c>
      <c r="AG13" s="406">
        <f>AG12*-Assumptions!$C$36</f>
        <v>-652084.83724999998</v>
      </c>
      <c r="AH13" s="406">
        <f>AH12*-Assumptions!$C$36</f>
        <v>-592804.39749999996</v>
      </c>
      <c r="AI13" s="406">
        <f>AI12*-Assumptions!$C$36</f>
        <v>-344209.005</v>
      </c>
      <c r="AJ13" s="406">
        <f>AJ12*-Assumptions!$C$36</f>
        <v>-237121.75900000002</v>
      </c>
      <c r="AK13" s="406">
        <f>AK12*-Assumptions!$C$36</f>
        <v>-631049.84250000014</v>
      </c>
      <c r="AL13" s="406">
        <f>AL12*-Assumptions!$C$36</f>
        <v>-889206.59625000006</v>
      </c>
      <c r="AM13" s="406">
        <f>AM12*-Assumptions!$C$36</f>
        <v>-889206.59625000006</v>
      </c>
      <c r="AN13" s="406">
        <f>AN12*-Assumptions!$C$36</f>
        <v>-696067.09900000005</v>
      </c>
      <c r="AO13" s="406">
        <f>AO12*-Assumptions!$C$36</f>
        <v>-355682.6385</v>
      </c>
      <c r="AP13" s="406">
        <f>AP12*-Assumptions!$C$36</f>
        <v>-344209.005</v>
      </c>
      <c r="AQ13" s="406">
        <f>AQ12*-Assumptions!$C$36</f>
        <v>-652084.83724999998</v>
      </c>
      <c r="AR13" s="406">
        <f>AR12*-Assumptions!$C$36</f>
        <v>-1166834.6797311751</v>
      </c>
      <c r="AS13" s="406">
        <f>AS12*-Assumptions!$C$36</f>
        <v>-1020232.3738162325</v>
      </c>
      <c r="AT13" s="406">
        <f>AT12*-Assumptions!$C$36</f>
        <v>-927483.97619657498</v>
      </c>
      <c r="AU13" s="406">
        <f>AU12*-Assumptions!$C$36</f>
        <v>-538539.08295285003</v>
      </c>
      <c r="AV13" s="406">
        <f>AV12*-Assumptions!$C$36</f>
        <v>-370993.59047862998</v>
      </c>
      <c r="AW13" s="406">
        <f>AW12*-Assumptions!$C$36</f>
        <v>-987321.65208022506</v>
      </c>
      <c r="AX13" s="406">
        <f>AX12*-Assumptions!$C$36</f>
        <v>-1391225.9642948625</v>
      </c>
      <c r="AY13" s="406">
        <f>AY12*-Assumptions!$C$36</f>
        <v>-1391225.9642948625</v>
      </c>
      <c r="AZ13" s="406">
        <f>AZ12*-Assumptions!$C$36</f>
        <v>-1089045.7010824301</v>
      </c>
      <c r="BA13" s="406">
        <f>BA12*-Assumptions!$C$36</f>
        <v>-556490.38571794494</v>
      </c>
      <c r="BB13" s="406">
        <f>BB12*-Assumptions!$C$36</f>
        <v>-538539.08295285003</v>
      </c>
      <c r="BC13" s="406">
        <f>BC12*-Assumptions!$C$36</f>
        <v>-1020232.3738162325</v>
      </c>
      <c r="BD13" s="406">
        <f>BD12*-Assumptions!$C$36</f>
        <v>-1201839.7201231103</v>
      </c>
      <c r="BE13" s="406">
        <f>BE12*-Assumptions!$C$36</f>
        <v>-1050839.3450307196</v>
      </c>
      <c r="BF13" s="406">
        <f>BF12*-Assumptions!$C$36</f>
        <v>-955308.49548247235</v>
      </c>
      <c r="BG13" s="406">
        <f>BG12*-Assumptions!$C$36</f>
        <v>-554695.2554414355</v>
      </c>
      <c r="BH13" s="406">
        <f>BH12*-Assumptions!$C$36</f>
        <v>-382123.398192989</v>
      </c>
      <c r="BI13" s="406">
        <f>BI12*-Assumptions!$C$36</f>
        <v>-1016941.3016426319</v>
      </c>
      <c r="BJ13" s="406">
        <f>BJ12*-Assumptions!$C$36</f>
        <v>-1432962.7432237086</v>
      </c>
      <c r="BK13" s="406">
        <f>BK12*-Assumptions!$C$36</f>
        <v>-1432962.7432237086</v>
      </c>
      <c r="BL13" s="406">
        <f>BL12*-Assumptions!$C$36</f>
        <v>-1121717.072114903</v>
      </c>
      <c r="BM13" s="406">
        <f>BM12*-Assumptions!$C$36</f>
        <v>-573185.0972894833</v>
      </c>
      <c r="BN13" s="406">
        <f>BN12*-Assumptions!$C$36</f>
        <v>-554695.2554414355</v>
      </c>
      <c r="BO13" s="406">
        <f>BO12*-Assumptions!$C$36</f>
        <v>-1050839.3450307196</v>
      </c>
      <c r="BP13" s="406">
        <f>BP12*-Assumptions!$C$36</f>
        <v>-1237894.9117268035</v>
      </c>
      <c r="BQ13" s="406">
        <f>BQ12*-Assumptions!$C$36</f>
        <v>-1082364.5253816412</v>
      </c>
      <c r="BR13" s="406">
        <f>BR12*-Assumptions!$C$36</f>
        <v>-983967.75034694641</v>
      </c>
      <c r="BS13" s="406">
        <f>BS12*-Assumptions!$C$36</f>
        <v>-571336.11310467857</v>
      </c>
      <c r="BT13" s="406">
        <f>BT12*-Assumptions!$C$36</f>
        <v>-393587.10013877857</v>
      </c>
      <c r="BU13" s="406">
        <f>BU12*-Assumptions!$C$36</f>
        <v>-1047449.5406919108</v>
      </c>
      <c r="BV13" s="406">
        <f>BV12*-Assumptions!$C$36</f>
        <v>-1475951.6255204196</v>
      </c>
      <c r="BW13" s="406">
        <f>BW12*-Assumptions!$C$36</f>
        <v>-1475951.6255204196</v>
      </c>
      <c r="BX13" s="406">
        <f>BX12*-Assumptions!$C$36</f>
        <v>-1196631.7480025766</v>
      </c>
      <c r="BY13" s="406">
        <f>BY12*-Assumptions!$C$36</f>
        <v>-590380.65020816785</v>
      </c>
      <c r="BZ13" s="406">
        <f>BZ12*-Assumptions!$C$36</f>
        <v>-571336.11310467857</v>
      </c>
      <c r="CA13" s="406">
        <f>CA12*-Assumptions!$C$36</f>
        <v>-1082364.5253816412</v>
      </c>
      <c r="CB13" s="406">
        <f>CB12*-Assumptions!$C$36</f>
        <v>-1275031.7590786079</v>
      </c>
      <c r="CC13" s="406">
        <f>CC12*-Assumptions!$C$36</f>
        <v>-1114835.4611430906</v>
      </c>
      <c r="CD13" s="406">
        <f>CD12*-Assumptions!$C$36</f>
        <v>-1013486.7828573548</v>
      </c>
      <c r="CE13" s="406">
        <f>CE12*-Assumptions!$C$36</f>
        <v>-588476.19649781892</v>
      </c>
      <c r="CF13" s="406">
        <f>CF12*-Assumptions!$C$36</f>
        <v>-405394.71314294194</v>
      </c>
      <c r="CG13" s="406">
        <f>CG12*-Assumptions!$C$36</f>
        <v>-1078873.0269126683</v>
      </c>
      <c r="CH13" s="406">
        <f>CH12*-Assumptions!$C$36</f>
        <v>-1520230.1742860321</v>
      </c>
      <c r="CI13" s="406">
        <f>CI12*-Assumptions!$C$36</f>
        <v>-1520230.1742860321</v>
      </c>
      <c r="CJ13" s="406">
        <f>CJ12*-Assumptions!$C$36</f>
        <v>-1190029.6418067005</v>
      </c>
      <c r="CK13" s="406">
        <f>CK12*-Assumptions!$C$36</f>
        <v>-608092.06971441291</v>
      </c>
      <c r="CL13" s="406">
        <f>CL12*-Assumptions!$C$36</f>
        <v>-588476.19649781892</v>
      </c>
      <c r="CM13" s="406">
        <f>CM12*-Assumptions!$C$36</f>
        <v>-1114835.4611430906</v>
      </c>
      <c r="CN13" s="406">
        <f>CN12*-Assumptions!$C$36</f>
        <v>-1313282.7118509661</v>
      </c>
      <c r="CO13" s="406">
        <f>CO12*-Assumptions!$C$36</f>
        <v>-1148280.5249773832</v>
      </c>
      <c r="CP13" s="406">
        <f>CP12*-Assumptions!$C$36</f>
        <v>-1043891.3863430755</v>
      </c>
      <c r="CQ13" s="406">
        <f>CQ12*-Assumptions!$C$36</f>
        <v>-606130.48239275347</v>
      </c>
      <c r="CR13" s="406">
        <f>CR12*-Assumptions!$C$36</f>
        <v>-417556.55453723023</v>
      </c>
      <c r="CS13" s="406">
        <f>CS12*-Assumptions!$C$36</f>
        <v>-1111239.2177200483</v>
      </c>
      <c r="CT13" s="406">
        <f>CT12*-Assumptions!$C$36</f>
        <v>-1565837.0795146136</v>
      </c>
      <c r="CU13" s="406" t="e">
        <f>CU12*-Assumptions!$C$36</f>
        <v>#N/A</v>
      </c>
      <c r="CV13" s="406" t="e">
        <f>CV12*-Assumptions!$C$36</f>
        <v>#N/A</v>
      </c>
      <c r="CW13" s="406" t="e">
        <f>CW12*-Assumptions!$C$36</f>
        <v>#N/A</v>
      </c>
      <c r="CX13" s="406" t="e">
        <f>CX12*-Assumptions!$C$36</f>
        <v>#N/A</v>
      </c>
      <c r="CY13" s="406" t="e">
        <f>CY12*-Assumptions!$C$36</f>
        <v>#N/A</v>
      </c>
      <c r="CZ13" s="406" t="e">
        <f>CZ12*-Assumptions!$C$36</f>
        <v>#N/A</v>
      </c>
      <c r="DA13" s="406" t="e">
        <f>DA12*-Assumptions!$C$36</f>
        <v>#N/A</v>
      </c>
      <c r="DB13" s="406" t="e">
        <f>DB12*-Assumptions!$C$36</f>
        <v>#N/A</v>
      </c>
      <c r="DC13" s="406" t="e">
        <f>DC12*-Assumptions!$C$36</f>
        <v>#N/A</v>
      </c>
      <c r="DD13" s="406" t="e">
        <f>DD12*-Assumptions!$C$36</f>
        <v>#N/A</v>
      </c>
      <c r="DE13" s="406" t="e">
        <f>DE12*-Assumptions!$C$36</f>
        <v>#N/A</v>
      </c>
      <c r="DF13" s="406" t="e">
        <f>DF12*-Assumptions!$C$36</f>
        <v>#N/A</v>
      </c>
      <c r="DG13" s="406" t="e">
        <f>DG12*-Assumptions!$C$36</f>
        <v>#N/A</v>
      </c>
      <c r="DH13" s="406" t="e">
        <f>DH12*-Assumptions!$C$36</f>
        <v>#N/A</v>
      </c>
      <c r="DI13" s="406" t="e">
        <f>DI12*-Assumptions!$C$36</f>
        <v>#N/A</v>
      </c>
      <c r="DJ13" s="406" t="e">
        <f>DJ12*-Assumptions!$C$36</f>
        <v>#N/A</v>
      </c>
      <c r="DK13" s="406" t="e">
        <f>DK12*-Assumptions!$C$36</f>
        <v>#N/A</v>
      </c>
      <c r="DL13" s="406" t="e">
        <f>DL12*-Assumptions!$C$36</f>
        <v>#N/A</v>
      </c>
      <c r="DM13" s="406" t="e">
        <f>DM12*-Assumptions!$C$36</f>
        <v>#N/A</v>
      </c>
      <c r="DN13" s="406" t="e">
        <f>DN12*-Assumptions!$C$36</f>
        <v>#N/A</v>
      </c>
      <c r="DO13" s="406" t="e">
        <f>DO12*-Assumptions!$C$36</f>
        <v>#N/A</v>
      </c>
      <c r="DP13" s="406" t="e">
        <f>DP12*-Assumptions!$C$36</f>
        <v>#N/A</v>
      </c>
      <c r="DQ13" s="406" t="e">
        <f>DQ12*-Assumptions!$C$36</f>
        <v>#N/A</v>
      </c>
      <c r="DR13" s="406" t="e">
        <f>DR12*-Assumptions!$C$36</f>
        <v>#N/A</v>
      </c>
      <c r="DS13" s="403"/>
      <c r="DT13" s="403"/>
      <c r="DU13" s="403"/>
      <c r="DV13" s="403"/>
      <c r="DW13" s="403"/>
      <c r="DX13" s="403"/>
      <c r="DY13" s="403"/>
      <c r="DZ13" s="403"/>
      <c r="EA13" s="403"/>
      <c r="EB13" s="403"/>
      <c r="EC13" s="403"/>
      <c r="ED13" s="403"/>
    </row>
    <row r="14" spans="1:134" s="404" customFormat="1" ht="16" x14ac:dyDescent="0.2">
      <c r="A14" s="402"/>
      <c r="B14" s="408" t="s">
        <v>740</v>
      </c>
      <c r="C14" s="405">
        <f t="shared" ref="C14:AH14" si="13">C12+C13</f>
        <v>0</v>
      </c>
      <c r="D14" s="405">
        <f t="shared" si="13"/>
        <v>0</v>
      </c>
      <c r="E14" s="405">
        <f t="shared" si="13"/>
        <v>0</v>
      </c>
      <c r="F14" s="405">
        <f t="shared" si="13"/>
        <v>0</v>
      </c>
      <c r="G14" s="405">
        <f t="shared" si="13"/>
        <v>0</v>
      </c>
      <c r="H14" s="405">
        <f t="shared" si="13"/>
        <v>321159.15000000002</v>
      </c>
      <c r="I14" s="405">
        <f t="shared" si="13"/>
        <v>280808.38500000001</v>
      </c>
      <c r="J14" s="405">
        <f t="shared" si="13"/>
        <v>255280.35</v>
      </c>
      <c r="K14" s="405">
        <f t="shared" si="13"/>
        <v>148227.29999999999</v>
      </c>
      <c r="L14" s="405">
        <f t="shared" si="13"/>
        <v>102112.14000000001</v>
      </c>
      <c r="M14" s="405">
        <f t="shared" si="13"/>
        <v>271750.05000000005</v>
      </c>
      <c r="N14" s="405">
        <f t="shared" si="13"/>
        <v>382920.52500000002</v>
      </c>
      <c r="O14" s="405">
        <f t="shared" si="13"/>
        <v>382920.52500000002</v>
      </c>
      <c r="P14" s="405">
        <f t="shared" si="13"/>
        <v>299748.54000000004</v>
      </c>
      <c r="Q14" s="405">
        <f t="shared" si="13"/>
        <v>153168.21000000002</v>
      </c>
      <c r="R14" s="405">
        <f t="shared" si="13"/>
        <v>148227.29999999999</v>
      </c>
      <c r="S14" s="405">
        <f t="shared" si="13"/>
        <v>280808.38500000001</v>
      </c>
      <c r="T14" s="405">
        <f t="shared" si="13"/>
        <v>330793.92449999996</v>
      </c>
      <c r="U14" s="405">
        <f t="shared" si="13"/>
        <v>289232.63655000005</v>
      </c>
      <c r="V14" s="405">
        <f t="shared" si="13"/>
        <v>262938.76049999997</v>
      </c>
      <c r="W14" s="405">
        <f t="shared" si="13"/>
        <v>152674.11900000001</v>
      </c>
      <c r="X14" s="405">
        <f t="shared" si="13"/>
        <v>105175.5042</v>
      </c>
      <c r="Y14" s="405">
        <f t="shared" si="13"/>
        <v>279902.5515</v>
      </c>
      <c r="Z14" s="405">
        <f t="shared" si="13"/>
        <v>394408.14075000002</v>
      </c>
      <c r="AA14" s="405">
        <f t="shared" si="13"/>
        <v>394408.14075000002</v>
      </c>
      <c r="AB14" s="405">
        <f t="shared" si="13"/>
        <v>319767.46034999995</v>
      </c>
      <c r="AC14" s="405">
        <f t="shared" si="13"/>
        <v>157763.25630000001</v>
      </c>
      <c r="AD14" s="405">
        <f t="shared" si="13"/>
        <v>152674.11900000001</v>
      </c>
      <c r="AE14" s="405">
        <f t="shared" si="13"/>
        <v>289232.63655000005</v>
      </c>
      <c r="AF14" s="405">
        <f t="shared" si="13"/>
        <v>1385031.4725000001</v>
      </c>
      <c r="AG14" s="405">
        <f t="shared" si="13"/>
        <v>1211014.6977500003</v>
      </c>
      <c r="AH14" s="405">
        <f t="shared" si="13"/>
        <v>1100922.4525000001</v>
      </c>
      <c r="AI14" s="405">
        <f t="shared" ref="AI14:BN14" si="14">AI12+AI13</f>
        <v>639245.29500000004</v>
      </c>
      <c r="AJ14" s="405">
        <f t="shared" si="14"/>
        <v>440368.98100000009</v>
      </c>
      <c r="AK14" s="405">
        <f t="shared" si="14"/>
        <v>1171949.7075000005</v>
      </c>
      <c r="AL14" s="405">
        <f t="shared" si="14"/>
        <v>1651383.6787500004</v>
      </c>
      <c r="AM14" s="405">
        <f t="shared" si="14"/>
        <v>1651383.6787500004</v>
      </c>
      <c r="AN14" s="405">
        <f t="shared" si="14"/>
        <v>1292696.0410000002</v>
      </c>
      <c r="AO14" s="405">
        <f t="shared" si="14"/>
        <v>660553.47149999999</v>
      </c>
      <c r="AP14" s="405">
        <f t="shared" si="14"/>
        <v>639245.29500000004</v>
      </c>
      <c r="AQ14" s="405">
        <f t="shared" si="14"/>
        <v>1211014.6977500003</v>
      </c>
      <c r="AR14" s="405">
        <f t="shared" si="14"/>
        <v>2166978.6909293253</v>
      </c>
      <c r="AS14" s="405">
        <f t="shared" si="14"/>
        <v>1894717.2656587176</v>
      </c>
      <c r="AT14" s="405">
        <f t="shared" si="14"/>
        <v>1722470.2415079251</v>
      </c>
      <c r="AU14" s="405">
        <f t="shared" si="14"/>
        <v>1000144.0111981502</v>
      </c>
      <c r="AV14" s="405">
        <f t="shared" si="14"/>
        <v>688988.09660317004</v>
      </c>
      <c r="AW14" s="405">
        <f t="shared" si="14"/>
        <v>1833597.3538632754</v>
      </c>
      <c r="AX14" s="405">
        <f t="shared" si="14"/>
        <v>2583705.3622618876</v>
      </c>
      <c r="AY14" s="405">
        <f t="shared" si="14"/>
        <v>2583705.3622618876</v>
      </c>
      <c r="AZ14" s="405">
        <f t="shared" si="14"/>
        <v>2022513.4448673704</v>
      </c>
      <c r="BA14" s="405">
        <f t="shared" si="14"/>
        <v>1033482.1449047551</v>
      </c>
      <c r="BB14" s="405">
        <f t="shared" si="14"/>
        <v>1000144.0111981502</v>
      </c>
      <c r="BC14" s="405">
        <f t="shared" si="14"/>
        <v>1894717.2656587176</v>
      </c>
      <c r="BD14" s="405">
        <f t="shared" si="14"/>
        <v>2231988.0516572054</v>
      </c>
      <c r="BE14" s="405">
        <f t="shared" si="14"/>
        <v>1951558.7836284793</v>
      </c>
      <c r="BF14" s="405">
        <f t="shared" si="14"/>
        <v>1774144.3487531631</v>
      </c>
      <c r="BG14" s="405">
        <f t="shared" si="14"/>
        <v>1030148.3315340948</v>
      </c>
      <c r="BH14" s="405">
        <f t="shared" si="14"/>
        <v>709657.73950126534</v>
      </c>
      <c r="BI14" s="405">
        <f t="shared" si="14"/>
        <v>1888605.2744791738</v>
      </c>
      <c r="BJ14" s="405">
        <f t="shared" si="14"/>
        <v>2661216.5231297445</v>
      </c>
      <c r="BK14" s="405">
        <f t="shared" si="14"/>
        <v>2661216.5231297445</v>
      </c>
      <c r="BL14" s="405">
        <f t="shared" si="14"/>
        <v>2083188.8482133914</v>
      </c>
      <c r="BM14" s="405">
        <f t="shared" si="14"/>
        <v>1064486.6092518978</v>
      </c>
      <c r="BN14" s="405">
        <f t="shared" si="14"/>
        <v>1030148.3315340948</v>
      </c>
      <c r="BO14" s="405">
        <f t="shared" ref="BO14:CT14" si="15">BO12+BO13</f>
        <v>1951558.7836284793</v>
      </c>
      <c r="BP14" s="405">
        <f t="shared" si="15"/>
        <v>2298947.6932069212</v>
      </c>
      <c r="BQ14" s="405">
        <f t="shared" si="15"/>
        <v>2010105.5471373338</v>
      </c>
      <c r="BR14" s="405">
        <f t="shared" si="15"/>
        <v>1827368.6792157576</v>
      </c>
      <c r="BS14" s="405">
        <f t="shared" si="15"/>
        <v>1061052.7814801172</v>
      </c>
      <c r="BT14" s="405">
        <f t="shared" si="15"/>
        <v>730947.47168630315</v>
      </c>
      <c r="BU14" s="405">
        <f t="shared" si="15"/>
        <v>1945263.4327135487</v>
      </c>
      <c r="BV14" s="405">
        <f t="shared" si="15"/>
        <v>2741053.0188236367</v>
      </c>
      <c r="BW14" s="405">
        <f t="shared" si="15"/>
        <v>2741053.0188236367</v>
      </c>
      <c r="BX14" s="405">
        <f t="shared" si="15"/>
        <v>2222316.1034333571</v>
      </c>
      <c r="BY14" s="405">
        <f t="shared" si="15"/>
        <v>1096421.2075294545</v>
      </c>
      <c r="BZ14" s="405">
        <f t="shared" si="15"/>
        <v>1061052.7814801172</v>
      </c>
      <c r="CA14" s="405">
        <f t="shared" si="15"/>
        <v>2010105.5471373338</v>
      </c>
      <c r="CB14" s="405">
        <f t="shared" si="15"/>
        <v>2367916.1240031291</v>
      </c>
      <c r="CC14" s="405">
        <f t="shared" si="15"/>
        <v>2070408.713551454</v>
      </c>
      <c r="CD14" s="405">
        <f t="shared" si="15"/>
        <v>1882189.7395922309</v>
      </c>
      <c r="CE14" s="405">
        <f t="shared" si="15"/>
        <v>1092884.364924521</v>
      </c>
      <c r="CF14" s="405">
        <f t="shared" si="15"/>
        <v>752875.8958368923</v>
      </c>
      <c r="CG14" s="405">
        <f t="shared" si="15"/>
        <v>2003621.3356949552</v>
      </c>
      <c r="CH14" s="405">
        <f t="shared" si="15"/>
        <v>2823284.6093883459</v>
      </c>
      <c r="CI14" s="405">
        <f t="shared" si="15"/>
        <v>2823284.6093883459</v>
      </c>
      <c r="CJ14" s="405">
        <f t="shared" si="15"/>
        <v>2210055.0490695871</v>
      </c>
      <c r="CK14" s="405">
        <f t="shared" si="15"/>
        <v>1129313.8437553383</v>
      </c>
      <c r="CL14" s="405">
        <f t="shared" si="15"/>
        <v>1092884.364924521</v>
      </c>
      <c r="CM14" s="405">
        <f t="shared" si="15"/>
        <v>2070408.713551454</v>
      </c>
      <c r="CN14" s="405">
        <f t="shared" si="15"/>
        <v>2438953.607723223</v>
      </c>
      <c r="CO14" s="405">
        <f t="shared" si="15"/>
        <v>2132520.9749579979</v>
      </c>
      <c r="CP14" s="405">
        <f t="shared" si="15"/>
        <v>1938655.4317799979</v>
      </c>
      <c r="CQ14" s="405">
        <f t="shared" si="15"/>
        <v>1125670.8958722567</v>
      </c>
      <c r="CR14" s="405">
        <f t="shared" si="15"/>
        <v>775462.17271199916</v>
      </c>
      <c r="CS14" s="405">
        <f t="shared" si="15"/>
        <v>2063729.9757658041</v>
      </c>
      <c r="CT14" s="405">
        <f t="shared" si="15"/>
        <v>2907983.1476699971</v>
      </c>
      <c r="CU14" s="405" t="e">
        <f t="shared" ref="CU14:DR14" si="16">CU12+CU13</f>
        <v>#N/A</v>
      </c>
      <c r="CV14" s="405" t="e">
        <f t="shared" si="16"/>
        <v>#N/A</v>
      </c>
      <c r="CW14" s="405" t="e">
        <f t="shared" si="16"/>
        <v>#N/A</v>
      </c>
      <c r="CX14" s="405" t="e">
        <f t="shared" si="16"/>
        <v>#N/A</v>
      </c>
      <c r="CY14" s="405" t="e">
        <f t="shared" si="16"/>
        <v>#N/A</v>
      </c>
      <c r="CZ14" s="405" t="e">
        <f t="shared" si="16"/>
        <v>#N/A</v>
      </c>
      <c r="DA14" s="405" t="e">
        <f t="shared" si="16"/>
        <v>#N/A</v>
      </c>
      <c r="DB14" s="405" t="e">
        <f t="shared" si="16"/>
        <v>#N/A</v>
      </c>
      <c r="DC14" s="405" t="e">
        <f t="shared" si="16"/>
        <v>#N/A</v>
      </c>
      <c r="DD14" s="405" t="e">
        <f t="shared" si="16"/>
        <v>#N/A</v>
      </c>
      <c r="DE14" s="405" t="e">
        <f t="shared" si="16"/>
        <v>#N/A</v>
      </c>
      <c r="DF14" s="405" t="e">
        <f t="shared" si="16"/>
        <v>#N/A</v>
      </c>
      <c r="DG14" s="405" t="e">
        <f t="shared" si="16"/>
        <v>#N/A</v>
      </c>
      <c r="DH14" s="405" t="e">
        <f t="shared" si="16"/>
        <v>#N/A</v>
      </c>
      <c r="DI14" s="405" t="e">
        <f t="shared" si="16"/>
        <v>#N/A</v>
      </c>
      <c r="DJ14" s="405" t="e">
        <f t="shared" si="16"/>
        <v>#N/A</v>
      </c>
      <c r="DK14" s="405" t="e">
        <f t="shared" si="16"/>
        <v>#N/A</v>
      </c>
      <c r="DL14" s="405" t="e">
        <f t="shared" si="16"/>
        <v>#N/A</v>
      </c>
      <c r="DM14" s="405" t="e">
        <f t="shared" si="16"/>
        <v>#N/A</v>
      </c>
      <c r="DN14" s="405" t="e">
        <f t="shared" si="16"/>
        <v>#N/A</v>
      </c>
      <c r="DO14" s="405" t="e">
        <f t="shared" si="16"/>
        <v>#N/A</v>
      </c>
      <c r="DP14" s="405" t="e">
        <f t="shared" si="16"/>
        <v>#N/A</v>
      </c>
      <c r="DQ14" s="405" t="e">
        <f t="shared" si="16"/>
        <v>#N/A</v>
      </c>
      <c r="DR14" s="405" t="e">
        <f t="shared" si="16"/>
        <v>#N/A</v>
      </c>
      <c r="DS14" s="405"/>
      <c r="DT14" s="405"/>
      <c r="DU14" s="405"/>
      <c r="DV14" s="405"/>
      <c r="DW14" s="405"/>
      <c r="DX14" s="405"/>
      <c r="DY14" s="405"/>
      <c r="DZ14" s="405"/>
      <c r="EA14" s="405"/>
      <c r="EB14" s="405"/>
      <c r="EC14" s="405"/>
      <c r="ED14" s="405"/>
    </row>
    <row r="15" spans="1:134" s="404" customFormat="1" ht="16" x14ac:dyDescent="0.2">
      <c r="A15" s="402"/>
      <c r="B15" s="294" t="s">
        <v>741</v>
      </c>
      <c r="C15" s="403">
        <f>-(C6-B6)*HLOOKUP(C$5,Assumptions!$F$44:$O$54,9,0)*MAX(C11-(1-Assumptions!$G$33),0)*Assumptions!$C$37</f>
        <v>0</v>
      </c>
      <c r="D15" s="403">
        <f>-(D6-C6)*HLOOKUP(D$5,Assumptions!$F$44:$O$54,9,0)*MAX(D11-(1-Assumptions!$G$33),0)*Assumptions!$C$37</f>
        <v>0</v>
      </c>
      <c r="E15" s="403">
        <f>-(E6-D6)*HLOOKUP(E$5,Assumptions!$F$44:$O$54,9,0)*MAX(E11-(1-Assumptions!$G$33),0)*Assumptions!$C$37</f>
        <v>0</v>
      </c>
      <c r="F15" s="403">
        <f>-(F6-E6)*HLOOKUP(F$5,Assumptions!$F$44:$O$54,9,0)*MAX(F11-(1-Assumptions!$G$33),0)*Assumptions!$C$37</f>
        <v>0</v>
      </c>
      <c r="G15" s="403">
        <f>-(G6-F6)*HLOOKUP(G$5,Assumptions!$F$44:$O$54,9,0)*MAX(G11-(1-Assumptions!$G$33),0)*Assumptions!$C$37</f>
        <v>0</v>
      </c>
      <c r="H15" s="403">
        <f>-(H6-G6)*HLOOKUP(H$5,Assumptions!$F$44:$O$54,9,0)*MAX(H11-(1-Assumptions!$G$33),0)*Assumptions!$C$37</f>
        <v>-107532.00000000001</v>
      </c>
      <c r="I15" s="403">
        <f>-(I6-H6)*HLOOKUP(I$5,Assumptions!$F$44:$O$54,9,0)*MAX(I11-(1-Assumptions!$G$33),0)*Assumptions!$C$37</f>
        <v>-88126.800000000017</v>
      </c>
      <c r="J15" s="403">
        <f>-(J6-I6)*HLOOKUP(J$5,Assumptions!$F$44:$O$54,9,0)*MAX(J11-(1-Assumptions!$G$33),0)*Assumptions!$C$37</f>
        <v>-76632.000000000015</v>
      </c>
      <c r="K15" s="403">
        <f>-(K6-J6)*HLOOKUP(K$5,Assumptions!$F$44:$O$54,9,0)*MAX(K11-(1-Assumptions!$G$33),0)*Assumptions!$C$37</f>
        <v>-29664.000000000007</v>
      </c>
      <c r="L15" s="403">
        <f>-(L6-K6)*HLOOKUP(L$5,Assumptions!$F$44:$O$54,9,0)*MAX(L11-(1-Assumptions!$G$33),0)*Assumptions!$C$37</f>
        <v>-7663.2000000000107</v>
      </c>
      <c r="M15" s="403">
        <f>-(M6-L6)*HLOOKUP(M$5,Assumptions!$F$44:$O$54,9,0)*MAX(M11-(1-Assumptions!$G$33),0)*Assumptions!$C$37</f>
        <v>-85284.000000000015</v>
      </c>
      <c r="N15" s="403">
        <f>-(N6-M6)*HLOOKUP(N$5,Assumptions!$F$44:$O$54,9,0)*MAX(N11-(1-Assumptions!$G$33),0)*Assumptions!$C$37</f>
        <v>-134106</v>
      </c>
      <c r="O15" s="403">
        <f>-(O6-N6)*HLOOKUP(O$5,Assumptions!$F$44:$O$54,9,0)*MAX(O11-(1-Assumptions!$G$33),0)*Assumptions!$C$37</f>
        <v>-134106</v>
      </c>
      <c r="P15" s="403">
        <f>-(P6-O6)*HLOOKUP(P$5,Assumptions!$F$44:$O$54,9,0)*MAX(P11-(1-Assumptions!$G$33),0)*Assumptions!$C$37</f>
        <v>-100363.20000000001</v>
      </c>
      <c r="Q15" s="403">
        <f>-(Q6-P6)*HLOOKUP(Q$5,Assumptions!$F$44:$O$54,9,0)*MAX(Q11-(1-Assumptions!$G$33),0)*Assumptions!$C$37</f>
        <v>-30652.800000000007</v>
      </c>
      <c r="R15" s="403">
        <f>-(R6-Q6)*HLOOKUP(R$5,Assumptions!$F$44:$O$54,9,0)*MAX(R11-(1-Assumptions!$G$33),0)*Assumptions!$C$37</f>
        <v>-29664.000000000007</v>
      </c>
      <c r="S15" s="403">
        <f>-(S6-R6)*HLOOKUP(S$5,Assumptions!$F$44:$O$54,9,0)*MAX(S11-(1-Assumptions!$G$33),0)*Assumptions!$C$37</f>
        <v>-88126.800000000017</v>
      </c>
      <c r="T15" s="403">
        <f>-(T6-S6)*HLOOKUP(T$5,Assumptions!$F$44:$O$54,9,0)*MAX(T11-(1-Assumptions!$G$33),0)*Assumptions!$C$37</f>
        <v>-110757.96000000002</v>
      </c>
      <c r="U15" s="403">
        <f>-(U6-T6)*HLOOKUP(U$5,Assumptions!$F$44:$O$54,9,0)*MAX(U11-(1-Assumptions!$G$33),0)*Assumptions!$C$37</f>
        <v>-90770.604000000021</v>
      </c>
      <c r="V15" s="403">
        <f>-(V6-U6)*HLOOKUP(V$5,Assumptions!$F$44:$O$54,9,0)*MAX(V11-(1-Assumptions!$G$33),0)*Assumptions!$C$37</f>
        <v>-78930.960000000006</v>
      </c>
      <c r="W15" s="403">
        <f>-(W6-V6)*HLOOKUP(W$5,Assumptions!$F$44:$O$54,9,0)*MAX(W11-(1-Assumptions!$G$33),0)*Assumptions!$C$37</f>
        <v>-30553.920000000009</v>
      </c>
      <c r="X15" s="403">
        <f>-(X6-W6)*HLOOKUP(X$5,Assumptions!$F$44:$O$54,9,0)*MAX(X11-(1-Assumptions!$G$33),0)*Assumptions!$C$37</f>
        <v>-7893.0960000000114</v>
      </c>
      <c r="Y15" s="403">
        <f>-(Y6-X6)*HLOOKUP(Y$5,Assumptions!$F$44:$O$54,9,0)*MAX(Y11-(1-Assumptions!$G$33),0)*Assumptions!$C$37</f>
        <v>-87842.520000000033</v>
      </c>
      <c r="Z15" s="403">
        <f>-(Z6-Y6)*HLOOKUP(Z$5,Assumptions!$F$44:$O$54,9,0)*MAX(Z11-(1-Assumptions!$G$33),0)*Assumptions!$C$37</f>
        <v>-138129.18000000002</v>
      </c>
      <c r="AA15" s="403">
        <f>-(AA6-Z6)*HLOOKUP(AA$5,Assumptions!$F$44:$O$54,9,0)*MAX(AA11-(1-Assumptions!$G$33),0)*Assumptions!$C$37</f>
        <v>-138129.18000000002</v>
      </c>
      <c r="AB15" s="403">
        <f>-(AB6-AA6)*HLOOKUP(AB$5,Assumptions!$F$44:$O$54,9,0)*MAX(AB11-(1-Assumptions!$G$33),0)*Assumptions!$C$37</f>
        <v>-107066.02800000002</v>
      </c>
      <c r="AC15" s="403">
        <f>-(AC6-AB6)*HLOOKUP(AC$5,Assumptions!$F$44:$O$54,9,0)*MAX(AC11-(1-Assumptions!$G$33),0)*Assumptions!$C$37</f>
        <v>-31572.384000000005</v>
      </c>
      <c r="AD15" s="403">
        <f>-(AD6-AC6)*HLOOKUP(AD$5,Assumptions!$F$44:$O$54,9,0)*MAX(AD11-(1-Assumptions!$G$33),0)*Assumptions!$C$37</f>
        <v>-30553.920000000009</v>
      </c>
      <c r="AE15" s="403">
        <f>-(AE6-AD6)*HLOOKUP(AE$5,Assumptions!$F$44:$O$54,9,0)*MAX(AE11-(1-Assumptions!$G$33),0)*Assumptions!$C$37</f>
        <v>-90770.604000000021</v>
      </c>
      <c r="AF15" s="403">
        <f>-(AF6-AE6)*HLOOKUP(AF$5,Assumptions!$F$44:$O$54,9,0)*MAX(AF11-(1-Assumptions!$G$33),0)*Assumptions!$C$37</f>
        <v>-228161.39760000003</v>
      </c>
      <c r="AG15" s="403">
        <f>-(AG6-AF6)*HLOOKUP(AG$5,Assumptions!$F$44:$O$54,9,0)*MAX(AG11-(1-Assumptions!$G$33),0)*Assumptions!$C$37</f>
        <v>-186987.44424000004</v>
      </c>
      <c r="AH15" s="403">
        <f>-(AH6-AG6)*HLOOKUP(AH$5,Assumptions!$F$44:$O$54,9,0)*MAX(AH11-(1-Assumptions!$G$33),0)*Assumptions!$C$37</f>
        <v>-162597.7776</v>
      </c>
      <c r="AI15" s="403">
        <f>-(AI6-AH6)*HLOOKUP(AI$5,Assumptions!$F$44:$O$54,9,0)*MAX(AI11-(1-Assumptions!$G$33),0)*Assumptions!$C$37</f>
        <v>-62941.075200000014</v>
      </c>
      <c r="AJ15" s="403">
        <f>-(AJ6-AI6)*HLOOKUP(AJ$5,Assumptions!$F$44:$O$54,9,0)*MAX(AJ11-(1-Assumptions!$G$33),0)*Assumptions!$C$37</f>
        <v>-16259.777760000023</v>
      </c>
      <c r="AK15" s="403">
        <f>-(AK6-AJ6)*HLOOKUP(AK$5,Assumptions!$F$44:$O$54,9,0)*MAX(AK11-(1-Assumptions!$G$33),0)*Assumptions!$C$37</f>
        <v>-180955.59120000005</v>
      </c>
      <c r="AL15" s="403">
        <f>-(AL6-AK6)*HLOOKUP(AL$5,Assumptions!$F$44:$O$54,9,0)*MAX(AL11-(1-Assumptions!$G$33),0)*Assumptions!$C$37</f>
        <v>-284546.11080000002</v>
      </c>
      <c r="AM15" s="403">
        <f>-(AM6-AL6)*HLOOKUP(AM$5,Assumptions!$F$44:$O$54,9,0)*MAX(AM11-(1-Assumptions!$G$33),0)*Assumptions!$C$37</f>
        <v>-284546.11080000002</v>
      </c>
      <c r="AN15" s="403">
        <f>-(AN6-AM6)*HLOOKUP(AN$5,Assumptions!$F$44:$O$54,9,0)*MAX(AN11-(1-Assumptions!$G$33),0)*Assumptions!$C$37</f>
        <v>-212950.63776000001</v>
      </c>
      <c r="AO15" s="403">
        <f>-(AO6-AN6)*HLOOKUP(AO$5,Assumptions!$F$44:$O$54,9,0)*MAX(AO11-(1-Assumptions!$G$33),0)*Assumptions!$C$37</f>
        <v>-65039.111040000011</v>
      </c>
      <c r="AP15" s="403">
        <f>-(AP6-AO6)*HLOOKUP(AP$5,Assumptions!$F$44:$O$54,9,0)*MAX(AP11-(1-Assumptions!$G$33),0)*Assumptions!$C$37</f>
        <v>-62941.075200000014</v>
      </c>
      <c r="AQ15" s="403">
        <f>-(AQ6-AP6)*HLOOKUP(AQ$5,Assumptions!$F$44:$O$54,9,0)*MAX(AQ11-(1-Assumptions!$G$33),0)*Assumptions!$C$37</f>
        <v>-186987.44424000004</v>
      </c>
      <c r="AR15" s="403">
        <f>-(AR6-AQ6)*HLOOKUP(AR$5,Assumptions!$F$44:$O$54,9,0)*MAX(AR11-(1-Assumptions!$G$33),0)*Assumptions!$C$37</f>
        <v>-352509.35929200007</v>
      </c>
      <c r="AS15" s="403">
        <f>-(AS6-AR6)*HLOOKUP(AS$5,Assumptions!$F$44:$O$54,9,0)*MAX(AS11-(1-Assumptions!$G$33),0)*Assumptions!$C$37</f>
        <v>-288895.60135080008</v>
      </c>
      <c r="AT15" s="403">
        <f>-(AT6-AS6)*HLOOKUP(AT$5,Assumptions!$F$44:$O$54,9,0)*MAX(AT11-(1-Assumptions!$G$33),0)*Assumptions!$C$37</f>
        <v>-251213.56639200007</v>
      </c>
      <c r="AU15" s="403">
        <f>-(AU6-AT6)*HLOOKUP(AU$5,Assumptions!$F$44:$O$54,9,0)*MAX(AU11-(1-Assumptions!$G$33),0)*Assumptions!$C$37</f>
        <v>-97243.961184000029</v>
      </c>
      <c r="AV15" s="403">
        <f>-(AV6-AU6)*HLOOKUP(AV$5,Assumptions!$F$44:$O$54,9,0)*MAX(AV11-(1-Assumptions!$G$33),0)*Assumptions!$C$37</f>
        <v>-25121.356639200039</v>
      </c>
      <c r="AW15" s="403">
        <f>-(AW6-AV6)*HLOOKUP(AW$5,Assumptions!$F$44:$O$54,9,0)*MAX(AW11-(1-Assumptions!$G$33),0)*Assumptions!$C$37</f>
        <v>-279576.38840400008</v>
      </c>
      <c r="AX15" s="403">
        <f>-(AX6-AW6)*HLOOKUP(AX$5,Assumptions!$F$44:$O$54,9,0)*MAX(AX11-(1-Assumptions!$G$33),0)*Assumptions!$C$37</f>
        <v>-439623.74118600006</v>
      </c>
      <c r="AY15" s="403">
        <f>-(AY6-AX6)*HLOOKUP(AY$5,Assumptions!$F$44:$O$54,9,0)*MAX(AY11-(1-Assumptions!$G$33),0)*Assumptions!$C$37</f>
        <v>-439623.74118600006</v>
      </c>
      <c r="AZ15" s="403">
        <f>-(AZ6-AY6)*HLOOKUP(AZ$5,Assumptions!$F$44:$O$54,9,0)*MAX(AZ11-(1-Assumptions!$G$33),0)*Assumptions!$C$37</f>
        <v>-329008.73533920007</v>
      </c>
      <c r="BA15" s="403">
        <f>-(BA6-AZ6)*HLOOKUP(BA$5,Assumptions!$F$44:$O$54,9,0)*MAX(BA11-(1-Assumptions!$G$33),0)*Assumptions!$C$37</f>
        <v>-100485.42655680003</v>
      </c>
      <c r="BB15" s="403">
        <f>-(BB6-BA6)*HLOOKUP(BB$5,Assumptions!$F$44:$O$54,9,0)*MAX(BB11-(1-Assumptions!$G$33),0)*Assumptions!$C$37</f>
        <v>-97243.961184000029</v>
      </c>
      <c r="BC15" s="403">
        <f>-(BC6-BB6)*HLOOKUP(BC$5,Assumptions!$F$44:$O$54,9,0)*MAX(BC11-(1-Assumptions!$G$33),0)*Assumptions!$C$37</f>
        <v>-288895.60135080008</v>
      </c>
      <c r="BD15" s="403">
        <f>-(BD6-BC6)*HLOOKUP(BD$5,Assumptions!$F$44:$O$54,9,0)*MAX(BD11-(1-Assumptions!$G$33),0)*Assumptions!$C$37</f>
        <v>-363084.6400707601</v>
      </c>
      <c r="BE15" s="403">
        <f>-(BE6-BD6)*HLOOKUP(BE$5,Assumptions!$F$44:$O$54,9,0)*MAX(BE11-(1-Assumptions!$G$33),0)*Assumptions!$C$37</f>
        <v>-297562.46939132415</v>
      </c>
      <c r="BF15" s="403">
        <f>-(BF6-BE6)*HLOOKUP(BF$5,Assumptions!$F$44:$O$54,9,0)*MAX(BF11-(1-Assumptions!$G$33),0)*Assumptions!$C$37</f>
        <v>-258749.97338376011</v>
      </c>
      <c r="BG15" s="403">
        <f>-(BG6-BF6)*HLOOKUP(BG$5,Assumptions!$F$44:$O$54,9,0)*MAX(BG11-(1-Assumptions!$G$33),0)*Assumptions!$C$37</f>
        <v>-100161.28001952004</v>
      </c>
      <c r="BH15" s="403">
        <f>-(BH6-BG6)*HLOOKUP(BH$5,Assumptions!$F$44:$O$54,9,0)*MAX(BH11-(1-Assumptions!$G$33),0)*Assumptions!$C$37</f>
        <v>-25874.997338376044</v>
      </c>
      <c r="BI15" s="403">
        <f>-(BI6-BH6)*HLOOKUP(BI$5,Assumptions!$F$44:$O$54,9,0)*MAX(BI11-(1-Assumptions!$G$33),0)*Assumptions!$C$37</f>
        <v>-287963.68005612009</v>
      </c>
      <c r="BJ15" s="403">
        <f>-(BJ6-BI6)*HLOOKUP(BJ$5,Assumptions!$F$44:$O$54,9,0)*MAX(BJ11-(1-Assumptions!$G$33),0)*Assumptions!$C$37</f>
        <v>-452812.45342158014</v>
      </c>
      <c r="BK15" s="403">
        <f>-(BK6-BJ6)*HLOOKUP(BK$5,Assumptions!$F$44:$O$54,9,0)*MAX(BK11-(1-Assumptions!$G$33),0)*Assumptions!$C$37</f>
        <v>-452812.45342158014</v>
      </c>
      <c r="BL15" s="403">
        <f>-(BL6-BK6)*HLOOKUP(BL$5,Assumptions!$F$44:$O$54,9,0)*MAX(BL11-(1-Assumptions!$G$33),0)*Assumptions!$C$37</f>
        <v>-338878.99739937612</v>
      </c>
      <c r="BM15" s="403">
        <f>-(BM6-BL6)*HLOOKUP(BM$5,Assumptions!$F$44:$O$54,9,0)*MAX(BM11-(1-Assumptions!$G$33),0)*Assumptions!$C$37</f>
        <v>-103499.98935350405</v>
      </c>
      <c r="BN15" s="403">
        <f>-(BN6-BM6)*HLOOKUP(BN$5,Assumptions!$F$44:$O$54,9,0)*MAX(BN11-(1-Assumptions!$G$33),0)*Assumptions!$C$37</f>
        <v>-100161.28001952004</v>
      </c>
      <c r="BO15" s="403">
        <f>-(BO6-BN6)*HLOOKUP(BO$5,Assumptions!$F$44:$O$54,9,0)*MAX(BO11-(1-Assumptions!$G$33),0)*Assumptions!$C$37</f>
        <v>-297562.46939132415</v>
      </c>
      <c r="BP15" s="403">
        <f>-(BP6-BO6)*HLOOKUP(BP$5,Assumptions!$F$44:$O$54,9,0)*MAX(BP11-(1-Assumptions!$G$33),0)*Assumptions!$C$37</f>
        <v>-373977.17927288293</v>
      </c>
      <c r="BQ15" s="403">
        <f>-(BQ6-BP6)*HLOOKUP(BQ$5,Assumptions!$F$44:$O$54,9,0)*MAX(BQ11-(1-Assumptions!$G$33),0)*Assumptions!$C$37</f>
        <v>-306489.3434730639</v>
      </c>
      <c r="BR15" s="403">
        <f>-(BR6-BQ6)*HLOOKUP(BR$5,Assumptions!$F$44:$O$54,9,0)*MAX(BR11-(1-Assumptions!$G$33),0)*Assumptions!$C$37</f>
        <v>-266512.47258527292</v>
      </c>
      <c r="BS15" s="403">
        <f>-(BS6-BR6)*HLOOKUP(BS$5,Assumptions!$F$44:$O$54,9,0)*MAX(BS11-(1-Assumptions!$G$33),0)*Assumptions!$C$37</f>
        <v>-103166.11842010565</v>
      </c>
      <c r="BT15" s="403">
        <f>-(BT6-BS6)*HLOOKUP(BT$5,Assumptions!$F$44:$O$54,9,0)*MAX(BT11-(1-Assumptions!$G$33),0)*Assumptions!$C$37</f>
        <v>-26651.247258527328</v>
      </c>
      <c r="BU15" s="403">
        <f>-(BU6-BT6)*HLOOKUP(BU$5,Assumptions!$F$44:$O$54,9,0)*MAX(BU11-(1-Assumptions!$G$33),0)*Assumptions!$C$37</f>
        <v>-296602.59045780374</v>
      </c>
      <c r="BV15" s="403">
        <f>-(BV6-BU6)*HLOOKUP(BV$5,Assumptions!$F$44:$O$54,9,0)*MAX(BV11-(1-Assumptions!$G$33),0)*Assumptions!$C$37</f>
        <v>-466396.82702422759</v>
      </c>
      <c r="BW15" s="403">
        <f>-(BW6-BV6)*HLOOKUP(BW$5,Assumptions!$F$44:$O$54,9,0)*MAX(BW11-(1-Assumptions!$G$33),0)*Assumptions!$C$37</f>
        <v>-466396.82702422759</v>
      </c>
      <c r="BX15" s="403">
        <f>-(BX6-BW6)*HLOOKUP(BX$5,Assumptions!$F$44:$O$54,9,0)*MAX(BX11-(1-Assumptions!$G$33),0)*Assumptions!$C$37</f>
        <v>-361511.27329712023</v>
      </c>
      <c r="BY15" s="403">
        <f>-(BY6-BX6)*HLOOKUP(BY$5,Assumptions!$F$44:$O$54,9,0)*MAX(BY11-(1-Assumptions!$G$33),0)*Assumptions!$C$37</f>
        <v>-106604.98903410918</v>
      </c>
      <c r="BZ15" s="403">
        <f>-(BZ6-BY6)*HLOOKUP(BZ$5,Assumptions!$F$44:$O$54,9,0)*MAX(BZ11-(1-Assumptions!$G$33),0)*Assumptions!$C$37</f>
        <v>-103166.11842010565</v>
      </c>
      <c r="CA15" s="403">
        <f>-(CA6-BZ6)*HLOOKUP(CA$5,Assumptions!$F$44:$O$54,9,0)*MAX(CA11-(1-Assumptions!$G$33),0)*Assumptions!$C$37</f>
        <v>-306489.3434730639</v>
      </c>
      <c r="CB15" s="403">
        <f>-(CB6-CA6)*HLOOKUP(CB$5,Assumptions!$F$44:$O$54,9,0)*MAX(CB11-(1-Assumptions!$G$33),0)*Assumptions!$C$37</f>
        <v>-385196.49465106952</v>
      </c>
      <c r="CC15" s="403">
        <f>-(CC6-CB6)*HLOOKUP(CC$5,Assumptions!$F$44:$O$54,9,0)*MAX(CC11-(1-Assumptions!$G$33),0)*Assumptions!$C$37</f>
        <v>-315684.02377725585</v>
      </c>
      <c r="CD15" s="403">
        <f>-(CD6-CC6)*HLOOKUP(CD$5,Assumptions!$F$44:$O$54,9,0)*MAX(CD11-(1-Assumptions!$G$33),0)*Assumptions!$C$37</f>
        <v>-274507.84676283115</v>
      </c>
      <c r="CE15" s="403">
        <f>-(CE6-CD6)*HLOOKUP(CE$5,Assumptions!$F$44:$O$54,9,0)*MAX(CE11-(1-Assumptions!$G$33),0)*Assumptions!$C$37</f>
        <v>-106261.10197270884</v>
      </c>
      <c r="CF15" s="403">
        <f>-(CF6-CE6)*HLOOKUP(CF$5,Assumptions!$F$44:$O$54,9,0)*MAX(CF11-(1-Assumptions!$G$33),0)*Assumptions!$C$37</f>
        <v>-27450.784676283147</v>
      </c>
      <c r="CG15" s="403">
        <f>-(CG6-CF6)*HLOOKUP(CG$5,Assumptions!$F$44:$O$54,9,0)*MAX(CG11-(1-Assumptions!$G$33),0)*Assumptions!$C$37</f>
        <v>-305500.66817153792</v>
      </c>
      <c r="CH15" s="403">
        <f>-(CH6-CG6)*HLOOKUP(CH$5,Assumptions!$F$44:$O$54,9,0)*MAX(CH11-(1-Assumptions!$G$33),0)*Assumptions!$C$37</f>
        <v>-480388.73183495447</v>
      </c>
      <c r="CI15" s="403">
        <f>-(CI6-CH6)*HLOOKUP(CI$5,Assumptions!$F$44:$O$54,9,0)*MAX(CI11-(1-Assumptions!$G$33),0)*Assumptions!$C$37</f>
        <v>-480388.73183495447</v>
      </c>
      <c r="CJ15" s="403">
        <f>-(CJ6-CI6)*HLOOKUP(CJ$5,Assumptions!$F$44:$O$54,9,0)*MAX(CJ11-(1-Assumptions!$G$33),0)*Assumptions!$C$37</f>
        <v>-359516.72834099818</v>
      </c>
      <c r="CK15" s="403">
        <f>-(CK6-CJ6)*HLOOKUP(CK$5,Assumptions!$F$44:$O$54,9,0)*MAX(CK11-(1-Assumptions!$G$33),0)*Assumptions!$C$37</f>
        <v>-109803.13870513246</v>
      </c>
      <c r="CL15" s="403">
        <f>-(CL6-CK6)*HLOOKUP(CL$5,Assumptions!$F$44:$O$54,9,0)*MAX(CL11-(1-Assumptions!$G$33),0)*Assumptions!$C$37</f>
        <v>-106261.10197270884</v>
      </c>
      <c r="CM15" s="403">
        <f>-(CM6-CL6)*HLOOKUP(CM$5,Assumptions!$F$44:$O$54,9,0)*MAX(CM11-(1-Assumptions!$G$33),0)*Assumptions!$C$37</f>
        <v>-315684.02377725585</v>
      </c>
      <c r="CN15" s="403">
        <f>-(CN6-CM6)*HLOOKUP(CN$5,Assumptions!$F$44:$O$54,9,0)*MAX(CN11-(1-Assumptions!$G$33),0)*Assumptions!$C$37</f>
        <v>-396752.38949060161</v>
      </c>
      <c r="CO15" s="403">
        <f>-(CO6-CN6)*HLOOKUP(CO$5,Assumptions!$F$44:$O$54,9,0)*MAX(CO11-(1-Assumptions!$G$33),0)*Assumptions!$C$37</f>
        <v>-325154.54449057352</v>
      </c>
      <c r="CP15" s="403">
        <f>-(CP6-CO6)*HLOOKUP(CP$5,Assumptions!$F$44:$O$54,9,0)*MAX(CP11-(1-Assumptions!$G$33),0)*Assumptions!$C$37</f>
        <v>-282743.0821657161</v>
      </c>
      <c r="CQ15" s="403">
        <f>-(CQ6-CP6)*HLOOKUP(CQ$5,Assumptions!$F$44:$O$54,9,0)*MAX(CQ11-(1-Assumptions!$G$33),0)*Assumptions!$C$37</f>
        <v>-109448.9350318901</v>
      </c>
      <c r="CR15" s="403">
        <f>-(CR6-CQ6)*HLOOKUP(CR$5,Assumptions!$F$44:$O$54,9,0)*MAX(CR11-(1-Assumptions!$G$33),0)*Assumptions!$C$37</f>
        <v>-28274.308216571648</v>
      </c>
      <c r="CS15" s="403">
        <f>-(CS6-CR6)*HLOOKUP(CS$5,Assumptions!$F$44:$O$54,9,0)*MAX(CS11-(1-Assumptions!$G$33),0)*Assumptions!$C$37</f>
        <v>-314665.68821668404</v>
      </c>
      <c r="CT15" s="403">
        <f>-(CT6-CS6)*HLOOKUP(CT$5,Assumptions!$F$44:$O$54,9,0)*MAX(CT11-(1-Assumptions!$G$33),0)*Assumptions!$C$37</f>
        <v>-494800.39379000315</v>
      </c>
      <c r="CU15" s="403" t="e">
        <f>-(CU6-CT6)*HLOOKUP(CU$5,Assumptions!$F$44:$O$54,8,0)*MAX(CU11-(1-Assumptions!$G$33),0)*Assumptions!$C$37</f>
        <v>#N/A</v>
      </c>
      <c r="CV15" s="403" t="e">
        <f>-(CV6-CU6)*HLOOKUP(CV$5,Assumptions!$F$44:$O$54,8,0)*MAX(CV11-(1-Assumptions!$G$33),0)*Assumptions!$C$37</f>
        <v>#N/A</v>
      </c>
      <c r="CW15" s="403" t="e">
        <f>-(CW6-CV6)*HLOOKUP(CW$5,Assumptions!$F$44:$O$54,8,0)*MAX(CW11-(1-Assumptions!$G$33),0)*Assumptions!$C$37</f>
        <v>#N/A</v>
      </c>
      <c r="CX15" s="403" t="e">
        <f>-(CX6-CW6)*HLOOKUP(CX$5,Assumptions!$F$44:$O$54,8,0)*MAX(CX11-(1-Assumptions!$G$33),0)*Assumptions!$C$37</f>
        <v>#N/A</v>
      </c>
      <c r="CY15" s="403" t="e">
        <f>-(CY6-CX6)*HLOOKUP(CY$5,Assumptions!$F$44:$O$54,8,0)*MAX(CY11-(1-Assumptions!$G$33),0)*Assumptions!$C$37</f>
        <v>#N/A</v>
      </c>
      <c r="CZ15" s="403" t="e">
        <f>-(CZ6-CY6)*HLOOKUP(CZ$5,Assumptions!$F$44:$O$54,8,0)*MAX(CZ11-(1-Assumptions!$G$33),0)*Assumptions!$C$37</f>
        <v>#N/A</v>
      </c>
      <c r="DA15" s="403" t="e">
        <f>-(DA6-CZ6)*HLOOKUP(DA$5,Assumptions!$F$44:$O$54,8,0)*MAX(DA11-(1-Assumptions!$G$33),0)*Assumptions!$C$37</f>
        <v>#N/A</v>
      </c>
      <c r="DB15" s="403" t="e">
        <f>-(DB6-DA6)*HLOOKUP(DB$5,Assumptions!$F$44:$O$54,8,0)*MAX(DB11-(1-Assumptions!$G$33),0)*Assumptions!$C$37</f>
        <v>#N/A</v>
      </c>
      <c r="DC15" s="403" t="e">
        <f>-(DC6-DB6)*HLOOKUP(DC$5,Assumptions!$F$44:$O$54,8,0)*MAX(DC11-(1-Assumptions!$G$33),0)*Assumptions!$C$37</f>
        <v>#N/A</v>
      </c>
      <c r="DD15" s="403" t="e">
        <f>-(DD6-DC6)*HLOOKUP(DD$5,Assumptions!$F$44:$O$54,8,0)*MAX(DD11-(1-Assumptions!$G$33),0)*Assumptions!$C$37</f>
        <v>#N/A</v>
      </c>
      <c r="DE15" s="403" t="e">
        <f>-(DE6-DD6)*HLOOKUP(DE$5,Assumptions!$F$44:$O$54,8,0)*MAX(DE11-(1-Assumptions!$G$33),0)*Assumptions!$C$37</f>
        <v>#N/A</v>
      </c>
      <c r="DF15" s="403" t="e">
        <f>-(DF6-DE6)*HLOOKUP(DF$5,Assumptions!$F$44:$O$54,8,0)*MAX(DF11-(1-Assumptions!$G$33),0)*Assumptions!$C$37</f>
        <v>#N/A</v>
      </c>
      <c r="DG15" s="403" t="e">
        <f>-(DG6-DF6)*HLOOKUP(DG$5,Assumptions!$F$44:$O$54,8,0)*MAX(DG11-(1-Assumptions!$G$33),0)*Assumptions!$C$37</f>
        <v>#N/A</v>
      </c>
      <c r="DH15" s="403" t="e">
        <f>-(DH6-DG6)*HLOOKUP(DH$5,Assumptions!$F$44:$O$54,8,0)*MAX(DH11-(1-Assumptions!$G$33),0)*Assumptions!$C$37</f>
        <v>#N/A</v>
      </c>
      <c r="DI15" s="403" t="e">
        <f>-(DI6-DH6)*HLOOKUP(DI$5,Assumptions!$F$44:$O$54,8,0)*MAX(DI11-(1-Assumptions!$G$33),0)*Assumptions!$C$37</f>
        <v>#N/A</v>
      </c>
      <c r="DJ15" s="403" t="e">
        <f>-(DJ6-DI6)*HLOOKUP(DJ$5,Assumptions!$F$44:$O$54,8,0)*MAX(DJ11-(1-Assumptions!$G$33),0)*Assumptions!$C$37</f>
        <v>#N/A</v>
      </c>
      <c r="DK15" s="403" t="e">
        <f>-(DK6-DJ6)*HLOOKUP(DK$5,Assumptions!$F$44:$O$54,8,0)*MAX(DK11-(1-Assumptions!$G$33),0)*Assumptions!$C$37</f>
        <v>#N/A</v>
      </c>
      <c r="DL15" s="403" t="e">
        <f>-(DL6-DK6)*HLOOKUP(DL$5,Assumptions!$F$44:$O$54,8,0)*MAX(DL11-(1-Assumptions!$G$33),0)*Assumptions!$C$37</f>
        <v>#N/A</v>
      </c>
      <c r="DM15" s="403" t="e">
        <f>-(DM6-DL6)*HLOOKUP(DM$5,Assumptions!$F$44:$O$54,8,0)*MAX(DM11-(1-Assumptions!$G$33),0)*Assumptions!$C$37</f>
        <v>#N/A</v>
      </c>
      <c r="DN15" s="403" t="e">
        <f>-(DN6-DM6)*HLOOKUP(DN$5,Assumptions!$F$44:$O$54,8,0)*MAX(DN11-(1-Assumptions!$G$33),0)*Assumptions!$C$37</f>
        <v>#N/A</v>
      </c>
      <c r="DO15" s="403" t="e">
        <f>-(DO6-DN6)*HLOOKUP(DO$5,Assumptions!$F$44:$O$54,8,0)*MAX(DO11-(1-Assumptions!$G$33),0)*Assumptions!$C$37</f>
        <v>#N/A</v>
      </c>
      <c r="DP15" s="403" t="e">
        <f>-(DP6-DO6)*HLOOKUP(DP$5,Assumptions!$F$44:$O$54,8,0)*MAX(DP11-(1-Assumptions!$G$33),0)*Assumptions!$C$37</f>
        <v>#N/A</v>
      </c>
      <c r="DQ15" s="403" t="e">
        <f>-(DQ6-DP6)*HLOOKUP(DQ$5,Assumptions!$F$44:$O$54,8,0)*MAX(DQ11-(1-Assumptions!$G$33),0)*Assumptions!$C$37</f>
        <v>#N/A</v>
      </c>
      <c r="DR15" s="403" t="e">
        <f>-(DR6-DQ6)*HLOOKUP(DR$5,Assumptions!$F$44:$O$54,8,0)*MAX(DR11-(1-Assumptions!$G$33),0)*Assumptions!$C$37</f>
        <v>#N/A</v>
      </c>
      <c r="DS15" s="403"/>
      <c r="DT15" s="403"/>
      <c r="DU15" s="403"/>
      <c r="DV15" s="403"/>
      <c r="DW15" s="403"/>
      <c r="DX15" s="403"/>
      <c r="DY15" s="403"/>
      <c r="DZ15" s="403"/>
      <c r="EA15" s="403"/>
      <c r="EB15" s="403"/>
      <c r="EC15" s="403"/>
      <c r="ED15" s="403"/>
    </row>
    <row r="16" spans="1:134" s="404" customFormat="1" ht="16" x14ac:dyDescent="0.2">
      <c r="A16" s="402"/>
      <c r="B16" s="409" t="s">
        <v>742</v>
      </c>
      <c r="C16" s="406">
        <f>-(C6-B6)*HLOOKUP(C$5,Assumptions!$F$44:$O$54,10,0)*MAX(C11-(1-Assumptions!$H$33),0)*Assumptions!$C$37</f>
        <v>0</v>
      </c>
      <c r="D16" s="406">
        <f>-(D6-C6)*HLOOKUP(D$5,Assumptions!$F$44:$O$54,10,0)*MAX(D11-(1-Assumptions!$H$33),0)*Assumptions!$C$37</f>
        <v>0</v>
      </c>
      <c r="E16" s="406">
        <f>-(E6-D6)*HLOOKUP(E$5,Assumptions!$F$44:$O$54,10,0)*MAX(E11-(1-Assumptions!$H$33),0)*Assumptions!$C$37</f>
        <v>0</v>
      </c>
      <c r="F16" s="406">
        <f>-(F6-E6)*HLOOKUP(F$5,Assumptions!$F$44:$O$54,10,0)*MAX(F11-(1-Assumptions!$H$33),0)*Assumptions!$C$37</f>
        <v>0</v>
      </c>
      <c r="G16" s="406">
        <f>-(G6-F6)*HLOOKUP(G$5,Assumptions!$F$44:$O$54,10,0)*MAX(G11-(1-Assumptions!$H$33),0)*Assumptions!$C$37</f>
        <v>0</v>
      </c>
      <c r="H16" s="406">
        <f>-(H6-G6)*HLOOKUP(H$5,Assumptions!$F$44:$O$54,10,0)*MAX(H11-(1-Assumptions!$H$33),0)*Assumptions!$C$37</f>
        <v>0</v>
      </c>
      <c r="I16" s="406">
        <f>-(I6-H6)*HLOOKUP(I$5,Assumptions!$F$44:$O$54,10,0)*MAX(I11-(1-Assumptions!$H$33),0)*Assumptions!$C$37</f>
        <v>0</v>
      </c>
      <c r="J16" s="406">
        <f>-(J6-I6)*HLOOKUP(J$5,Assumptions!$F$44:$O$54,10,0)*MAX(J11-(1-Assumptions!$H$33),0)*Assumptions!$C$37</f>
        <v>0</v>
      </c>
      <c r="K16" s="406">
        <f>-(K6-J6)*HLOOKUP(K$5,Assumptions!$F$44:$O$54,10,0)*MAX(K11-(1-Assumptions!$H$33),0)*Assumptions!$C$37</f>
        <v>0</v>
      </c>
      <c r="L16" s="406">
        <f>-(L6-K6)*HLOOKUP(L$5,Assumptions!$F$44:$O$54,10,0)*MAX(L11-(1-Assumptions!$H$33),0)*Assumptions!$C$37</f>
        <v>0</v>
      </c>
      <c r="M16" s="406">
        <f>-(M6-L6)*HLOOKUP(M$5,Assumptions!$F$44:$O$54,10,0)*MAX(M11-(1-Assumptions!$H$33),0)*Assumptions!$C$37</f>
        <v>0</v>
      </c>
      <c r="N16" s="406">
        <f>-(N6-M6)*HLOOKUP(N$5,Assumptions!$F$44:$O$54,10,0)*MAX(N11-(1-Assumptions!$H$33),0)*Assumptions!$C$37</f>
        <v>0</v>
      </c>
      <c r="O16" s="406">
        <f>-(O6-N6)*HLOOKUP(O$5,Assumptions!$F$44:$O$54,10,0)*MAX(O11-(1-Assumptions!$H$33),0)*Assumptions!$C$37</f>
        <v>0</v>
      </c>
      <c r="P16" s="406">
        <f>-(P6-O6)*HLOOKUP(P$5,Assumptions!$F$44:$O$54,10,0)*MAX(P11-(1-Assumptions!$H$33),0)*Assumptions!$C$37</f>
        <v>0</v>
      </c>
      <c r="Q16" s="406">
        <f>-(Q6-P6)*HLOOKUP(Q$5,Assumptions!$F$44:$O$54,10,0)*MAX(Q11-(1-Assumptions!$H$33),0)*Assumptions!$C$37</f>
        <v>0</v>
      </c>
      <c r="R16" s="406">
        <f>-(R6-Q6)*HLOOKUP(R$5,Assumptions!$F$44:$O$54,10,0)*MAX(R11-(1-Assumptions!$H$33),0)*Assumptions!$C$37</f>
        <v>0</v>
      </c>
      <c r="S16" s="406">
        <f>-(S6-R6)*HLOOKUP(S$5,Assumptions!$F$44:$O$54,10,0)*MAX(S11-(1-Assumptions!$H$33),0)*Assumptions!$C$37</f>
        <v>0</v>
      </c>
      <c r="T16" s="406">
        <f>-(T6-S6)*HLOOKUP(T$5,Assumptions!$F$44:$O$54,10,0)*MAX(T11-(1-Assumptions!$H$33),0)*Assumptions!$C$37</f>
        <v>0</v>
      </c>
      <c r="U16" s="406">
        <f>-(U6-T6)*HLOOKUP(U$5,Assumptions!$F$44:$O$54,10,0)*MAX(U11-(1-Assumptions!$H$33),0)*Assumptions!$C$37</f>
        <v>0</v>
      </c>
      <c r="V16" s="406">
        <f>-(V6-U6)*HLOOKUP(V$5,Assumptions!$F$44:$O$54,10,0)*MAX(V11-(1-Assumptions!$H$33),0)*Assumptions!$C$37</f>
        <v>0</v>
      </c>
      <c r="W16" s="406">
        <f>-(W6-V6)*HLOOKUP(W$5,Assumptions!$F$44:$O$54,10,0)*MAX(W11-(1-Assumptions!$H$33),0)*Assumptions!$C$37</f>
        <v>0</v>
      </c>
      <c r="X16" s="406">
        <f>-(X6-W6)*HLOOKUP(X$5,Assumptions!$F$44:$O$54,10,0)*MAX(X11-(1-Assumptions!$H$33),0)*Assumptions!$C$37</f>
        <v>0</v>
      </c>
      <c r="Y16" s="406">
        <f>-(Y6-X6)*HLOOKUP(Y$5,Assumptions!$F$44:$O$54,10,0)*MAX(Y11-(1-Assumptions!$H$33),0)*Assumptions!$C$37</f>
        <v>0</v>
      </c>
      <c r="Z16" s="406">
        <f>-(Z6-Y6)*HLOOKUP(Z$5,Assumptions!$F$44:$O$54,10,0)*MAX(Z11-(1-Assumptions!$H$33),0)*Assumptions!$C$37</f>
        <v>0</v>
      </c>
      <c r="AA16" s="406">
        <f>-(AA6-Z6)*HLOOKUP(AA$5,Assumptions!$F$44:$O$54,10,0)*MAX(AA11-(1-Assumptions!$H$33),0)*Assumptions!$C$37</f>
        <v>0</v>
      </c>
      <c r="AB16" s="406">
        <f>-(AB6-AA6)*HLOOKUP(AB$5,Assumptions!$F$44:$O$54,10,0)*MAX(AB11-(1-Assumptions!$H$33),0)*Assumptions!$C$37</f>
        <v>0</v>
      </c>
      <c r="AC16" s="406">
        <f>-(AC6-AB6)*HLOOKUP(AC$5,Assumptions!$F$44:$O$54,10,0)*MAX(AC11-(1-Assumptions!$H$33),0)*Assumptions!$C$37</f>
        <v>0</v>
      </c>
      <c r="AD16" s="406">
        <f>-(AD6-AC6)*HLOOKUP(AD$5,Assumptions!$F$44:$O$54,10,0)*MAX(AD11-(1-Assumptions!$H$33),0)*Assumptions!$C$37</f>
        <v>0</v>
      </c>
      <c r="AE16" s="406">
        <f>-(AE6-AD6)*HLOOKUP(AE$5,Assumptions!$F$44:$O$54,10,0)*MAX(AE11-(1-Assumptions!$H$33),0)*Assumptions!$C$37</f>
        <v>0</v>
      </c>
      <c r="AF16" s="406">
        <f>-(AF6-AE6)*HLOOKUP(AF$5,Assumptions!$F$44:$O$54,10,0)*MAX(AF11-(1-Assumptions!$H$33),0)*Assumptions!$C$37</f>
        <v>-399528.30937500001</v>
      </c>
      <c r="AG16" s="406">
        <f>-(AG6-AF6)*HLOOKUP(AG$5,Assumptions!$F$44:$O$54,10,0)*MAX(AG11-(1-Assumptions!$H$33),0)*Assumptions!$C$37</f>
        <v>-349331.16281250003</v>
      </c>
      <c r="AH16" s="406">
        <f>-(AH6-AG6)*HLOOKUP(AH$5,Assumptions!$F$44:$O$54,10,0)*MAX(AH11-(1-Assumptions!$H$33),0)*Assumptions!$C$37</f>
        <v>-317573.78437499999</v>
      </c>
      <c r="AI16" s="406">
        <f>-(AI6-AH6)*HLOOKUP(AI$5,Assumptions!$F$44:$O$54,10,0)*MAX(AI11-(1-Assumptions!$H$33),0)*Assumptions!$C$37</f>
        <v>-184397.68124999999</v>
      </c>
      <c r="AJ16" s="406">
        <f>-(AJ6-AI6)*HLOOKUP(AJ$5,Assumptions!$F$44:$O$54,10,0)*MAX(AJ11-(1-Assumptions!$H$33),0)*Assumptions!$C$37</f>
        <v>-127029.51375</v>
      </c>
      <c r="AK16" s="406">
        <f>-(AK6-AJ6)*HLOOKUP(AK$5,Assumptions!$F$44:$O$54,10,0)*MAX(AK11-(1-Assumptions!$H$33),0)*Assumptions!$C$37</f>
        <v>-338062.41562500002</v>
      </c>
      <c r="AL16" s="406">
        <f>-(AL6-AK6)*HLOOKUP(AL$5,Assumptions!$F$44:$O$54,10,0)*MAX(AL11-(1-Assumptions!$H$33),0)*Assumptions!$C$37</f>
        <v>-476360.67656249995</v>
      </c>
      <c r="AM16" s="406">
        <f>-(AM6-AL6)*HLOOKUP(AM$5,Assumptions!$F$44:$O$54,10,0)*MAX(AM11-(1-Assumptions!$H$33),0)*Assumptions!$C$37</f>
        <v>-476360.67656249995</v>
      </c>
      <c r="AN16" s="406">
        <f>-(AN6-AM6)*HLOOKUP(AN$5,Assumptions!$F$44:$O$54,10,0)*MAX(AN11-(1-Assumptions!$H$33),0)*Assumptions!$C$37</f>
        <v>-372893.08875</v>
      </c>
      <c r="AO16" s="406">
        <f>-(AO6-AN6)*HLOOKUP(AO$5,Assumptions!$F$44:$O$54,10,0)*MAX(AO11-(1-Assumptions!$H$33),0)*Assumptions!$C$37</f>
        <v>-190544.27062499998</v>
      </c>
      <c r="AP16" s="406">
        <f>-(AP6-AO6)*HLOOKUP(AP$5,Assumptions!$F$44:$O$54,10,0)*MAX(AP11-(1-Assumptions!$H$33),0)*Assumptions!$C$37</f>
        <v>-184397.68124999999</v>
      </c>
      <c r="AQ16" s="406">
        <f>-(AQ6-AP6)*HLOOKUP(AQ$5,Assumptions!$F$44:$O$54,10,0)*MAX(AQ11-(1-Assumptions!$H$33),0)*Assumptions!$C$37</f>
        <v>-349331.16281250003</v>
      </c>
      <c r="AR16" s="406">
        <f>-(AR6-AQ6)*HLOOKUP(AR$5,Assumptions!$F$44:$O$54,10,0)*MAX(AR11-(1-Assumptions!$H$33),0)*Assumptions!$C$37</f>
        <v>-823028.31731249997</v>
      </c>
      <c r="AS16" s="406">
        <f>-(AS6-AR6)*HLOOKUP(AS$5,Assumptions!$F$44:$O$54,10,0)*MAX(AS11-(1-Assumptions!$H$33),0)*Assumptions!$C$37</f>
        <v>-719622.19539375009</v>
      </c>
      <c r="AT16" s="406">
        <f>-(AT6-AS6)*HLOOKUP(AT$5,Assumptions!$F$44:$O$54,10,0)*MAX(AT11-(1-Assumptions!$H$33),0)*Assumptions!$C$37</f>
        <v>-654201.99581250001</v>
      </c>
      <c r="AU16" s="406">
        <f>-(AU6-AT6)*HLOOKUP(AU$5,Assumptions!$F$44:$O$54,10,0)*MAX(AU11-(1-Assumptions!$H$33),0)*Assumptions!$C$37</f>
        <v>-379859.22337499994</v>
      </c>
      <c r="AV16" s="406">
        <f>-(AV6-AU6)*HLOOKUP(AV$5,Assumptions!$F$44:$O$54,10,0)*MAX(AV11-(1-Assumptions!$H$33),0)*Assumptions!$C$37</f>
        <v>-261680.79832500001</v>
      </c>
      <c r="AW16" s="406">
        <f>-(AW6-AV6)*HLOOKUP(AW$5,Assumptions!$F$44:$O$54,10,0)*MAX(AW11-(1-Assumptions!$H$33),0)*Assumptions!$C$37</f>
        <v>-696408.57618750003</v>
      </c>
      <c r="AX16" s="406">
        <f>-(AX6-AW6)*HLOOKUP(AX$5,Assumptions!$F$44:$O$54,10,0)*MAX(AX11-(1-Assumptions!$H$33),0)*Assumptions!$C$37</f>
        <v>-981302.99371875008</v>
      </c>
      <c r="AY16" s="406">
        <f>-(AY6-AX6)*HLOOKUP(AY$5,Assumptions!$F$44:$O$54,10,0)*MAX(AY11-(1-Assumptions!$H$33),0)*Assumptions!$C$37</f>
        <v>-981302.99371875008</v>
      </c>
      <c r="AZ16" s="406">
        <f>-(AZ6-AY6)*HLOOKUP(AZ$5,Assumptions!$F$44:$O$54,10,0)*MAX(AZ11-(1-Assumptions!$H$33),0)*Assumptions!$C$37</f>
        <v>-768159.76282499998</v>
      </c>
      <c r="BA16" s="406">
        <f>-(BA6-AZ6)*HLOOKUP(BA$5,Assumptions!$F$44:$O$54,10,0)*MAX(BA11-(1-Assumptions!$H$33),0)*Assumptions!$C$37</f>
        <v>-392521.19748749997</v>
      </c>
      <c r="BB16" s="406">
        <f>-(BB6-BA6)*HLOOKUP(BB$5,Assumptions!$F$44:$O$54,10,0)*MAX(BB11-(1-Assumptions!$H$33),0)*Assumptions!$C$37</f>
        <v>-379859.22337499994</v>
      </c>
      <c r="BC16" s="406">
        <f>-(BC6-BB6)*HLOOKUP(BC$5,Assumptions!$F$44:$O$54,10,0)*MAX(BC11-(1-Assumptions!$H$33),0)*Assumptions!$C$37</f>
        <v>-719622.19539375009</v>
      </c>
      <c r="BD16" s="406">
        <f>-(BD6-BC6)*HLOOKUP(BD$5,Assumptions!$F$44:$O$54,10,0)*MAX(BD11-(1-Assumptions!$H$33),0)*Assumptions!$C$37</f>
        <v>-847719.16683187487</v>
      </c>
      <c r="BE16" s="406">
        <f>-(BE6-BD6)*HLOOKUP(BE$5,Assumptions!$F$44:$O$54,10,0)*MAX(BE11-(1-Assumptions!$H$33),0)*Assumptions!$C$37</f>
        <v>-741210.8612555624</v>
      </c>
      <c r="BF16" s="406">
        <f>-(BF6-BE6)*HLOOKUP(BF$5,Assumptions!$F$44:$O$54,10,0)*MAX(BF11-(1-Assumptions!$H$33),0)*Assumptions!$C$37</f>
        <v>-673828.0556868749</v>
      </c>
      <c r="BG16" s="406">
        <f>-(BG6-BF6)*HLOOKUP(BG$5,Assumptions!$F$44:$O$54,10,0)*MAX(BG11-(1-Assumptions!$H$33),0)*Assumptions!$C$37</f>
        <v>-391255.00007624994</v>
      </c>
      <c r="BH16" s="406">
        <f>-(BH6-BG6)*HLOOKUP(BH$5,Assumptions!$F$44:$O$54,10,0)*MAX(BH11-(1-Assumptions!$H$33),0)*Assumptions!$C$37</f>
        <v>-269531.22227474995</v>
      </c>
      <c r="BI16" s="406">
        <f>-(BI6-BH6)*HLOOKUP(BI$5,Assumptions!$F$44:$O$54,10,0)*MAX(BI11-(1-Assumptions!$H$33),0)*Assumptions!$C$37</f>
        <v>-717300.83347312489</v>
      </c>
      <c r="BJ16" s="406">
        <f>-(BJ6-BI6)*HLOOKUP(BJ$5,Assumptions!$F$44:$O$54,10,0)*MAX(BJ11-(1-Assumptions!$H$33),0)*Assumptions!$C$37</f>
        <v>-1010742.0835303124</v>
      </c>
      <c r="BK16" s="406">
        <f>-(BK6-BJ6)*HLOOKUP(BK$5,Assumptions!$F$44:$O$54,10,0)*MAX(BK11-(1-Assumptions!$H$33),0)*Assumptions!$C$37</f>
        <v>-1010742.0835303124</v>
      </c>
      <c r="BL16" s="406">
        <f>-(BL6-BK6)*HLOOKUP(BL$5,Assumptions!$F$44:$O$54,10,0)*MAX(BL11-(1-Assumptions!$H$33),0)*Assumptions!$C$37</f>
        <v>-791204.55570974993</v>
      </c>
      <c r="BM16" s="406">
        <f>-(BM6-BL6)*HLOOKUP(BM$5,Assumptions!$F$44:$O$54,10,0)*MAX(BM11-(1-Assumptions!$H$33),0)*Assumptions!$C$37</f>
        <v>-404296.83341212495</v>
      </c>
      <c r="BN16" s="406">
        <f>-(BN6-BM6)*HLOOKUP(BN$5,Assumptions!$F$44:$O$54,10,0)*MAX(BN11-(1-Assumptions!$H$33),0)*Assumptions!$C$37</f>
        <v>-391255.00007624994</v>
      </c>
      <c r="BO16" s="406">
        <f>-(BO6-BN6)*HLOOKUP(BO$5,Assumptions!$F$44:$O$54,10,0)*MAX(BO11-(1-Assumptions!$H$33),0)*Assumptions!$C$37</f>
        <v>-741210.8612555624</v>
      </c>
      <c r="BP16" s="406">
        <f>-(BP6-BO6)*HLOOKUP(BP$5,Assumptions!$F$44:$O$54,10,0)*MAX(BP11-(1-Assumptions!$H$33),0)*Assumptions!$C$37</f>
        <v>-873150.74183683132</v>
      </c>
      <c r="BQ16" s="406">
        <f>-(BQ6-BP6)*HLOOKUP(BQ$5,Assumptions!$F$44:$O$54,10,0)*MAX(BQ11-(1-Assumptions!$H$33),0)*Assumptions!$C$37</f>
        <v>-763447.18709322938</v>
      </c>
      <c r="BR16" s="406">
        <f>-(BR6-BQ6)*HLOOKUP(BR$5,Assumptions!$F$44:$O$54,10,0)*MAX(BR11-(1-Assumptions!$H$33),0)*Assumptions!$C$37</f>
        <v>-694042.89735748118</v>
      </c>
      <c r="BS16" s="406">
        <f>-(BS6-BR6)*HLOOKUP(BS$5,Assumptions!$F$44:$O$54,10,0)*MAX(BS11-(1-Assumptions!$H$33),0)*Assumptions!$C$37</f>
        <v>-402992.65007853747</v>
      </c>
      <c r="BT16" s="406">
        <f>-(BT6-BS6)*HLOOKUP(BT$5,Assumptions!$F$44:$O$54,10,0)*MAX(BT11-(1-Assumptions!$H$33),0)*Assumptions!$C$37</f>
        <v>-277617.15894299251</v>
      </c>
      <c r="BU16" s="406">
        <f>-(BU6-BT6)*HLOOKUP(BU$5,Assumptions!$F$44:$O$54,10,0)*MAX(BU11-(1-Assumptions!$H$33),0)*Assumptions!$C$37</f>
        <v>-738819.85847731878</v>
      </c>
      <c r="BV16" s="406">
        <f>-(BV6-BU6)*HLOOKUP(BV$5,Assumptions!$F$44:$O$54,10,0)*MAX(BV11-(1-Assumptions!$H$33),0)*Assumptions!$C$37</f>
        <v>-1041064.3460362218</v>
      </c>
      <c r="BW16" s="406">
        <f>-(BW6-BV6)*HLOOKUP(BW$5,Assumptions!$F$44:$O$54,10,0)*MAX(BW11-(1-Assumptions!$H$33),0)*Assumptions!$C$37</f>
        <v>-1041064.3460362218</v>
      </c>
      <c r="BX16" s="406">
        <f>-(BX6-BW6)*HLOOKUP(BX$5,Assumptions!$F$44:$O$54,10,0)*MAX(BX11-(1-Assumptions!$H$33),0)*Assumptions!$C$37</f>
        <v>-844045.71710893686</v>
      </c>
      <c r="BY16" s="406">
        <f>-(BY6-BX6)*HLOOKUP(BY$5,Assumptions!$F$44:$O$54,10,0)*MAX(BY11-(1-Assumptions!$H$33),0)*Assumptions!$C$37</f>
        <v>-416425.73841448867</v>
      </c>
      <c r="BZ16" s="406">
        <f>-(BZ6-BY6)*HLOOKUP(BZ$5,Assumptions!$F$44:$O$54,10,0)*MAX(BZ11-(1-Assumptions!$H$33),0)*Assumptions!$C$37</f>
        <v>-402992.65007853747</v>
      </c>
      <c r="CA16" s="406">
        <f>-(CA6-BZ6)*HLOOKUP(CA$5,Assumptions!$F$44:$O$54,10,0)*MAX(CA11-(1-Assumptions!$H$33),0)*Assumptions!$C$37</f>
        <v>-763447.18709322938</v>
      </c>
      <c r="CB16" s="406">
        <f>-(CB6-CA6)*HLOOKUP(CB$5,Assumptions!$F$44:$O$54,10,0)*MAX(CB11-(1-Assumptions!$H$33),0)*Assumptions!$C$37</f>
        <v>-899345.26409193617</v>
      </c>
      <c r="CC16" s="406">
        <f>-(CC6-CB6)*HLOOKUP(CC$5,Assumptions!$F$44:$O$54,10,0)*MAX(CC11-(1-Assumptions!$H$33),0)*Assumptions!$C$37</f>
        <v>-786350.60270602629</v>
      </c>
      <c r="CD16" s="406">
        <f>-(CD6-CC6)*HLOOKUP(CD$5,Assumptions!$F$44:$O$54,10,0)*MAX(CD11-(1-Assumptions!$H$33),0)*Assumptions!$C$37</f>
        <v>-714864.18427820562</v>
      </c>
      <c r="CE16" s="406">
        <f>-(CE6-CD6)*HLOOKUP(CE$5,Assumptions!$F$44:$O$54,10,0)*MAX(CE11-(1-Assumptions!$H$33),0)*Assumptions!$C$37</f>
        <v>-415082.4295808936</v>
      </c>
      <c r="CF16" s="406">
        <f>-(CF6-CE6)*HLOOKUP(CF$5,Assumptions!$F$44:$O$54,10,0)*MAX(CF11-(1-Assumptions!$H$33),0)*Assumptions!$C$37</f>
        <v>-285945.67371128226</v>
      </c>
      <c r="CG16" s="406">
        <f>-(CG6-CF6)*HLOOKUP(CG$5,Assumptions!$F$44:$O$54,10,0)*MAX(CG11-(1-Assumptions!$H$33),0)*Assumptions!$C$37</f>
        <v>-760984.45423163834</v>
      </c>
      <c r="CH16" s="406">
        <f>-(CH6-CG6)*HLOOKUP(CH$5,Assumptions!$F$44:$O$54,10,0)*MAX(CH11-(1-Assumptions!$H$33),0)*Assumptions!$C$37</f>
        <v>-1072296.2764173085</v>
      </c>
      <c r="CI16" s="406">
        <f>-(CI6-CH6)*HLOOKUP(CI$5,Assumptions!$F$44:$O$54,10,0)*MAX(CI11-(1-Assumptions!$H$33),0)*Assumptions!$C$37</f>
        <v>-1072296.2764173085</v>
      </c>
      <c r="CJ16" s="406">
        <f>-(CJ6-CI6)*HLOOKUP(CJ$5,Assumptions!$F$44:$O$54,10,0)*MAX(CJ11-(1-Assumptions!$H$33),0)*Assumptions!$C$37</f>
        <v>-839388.91315247386</v>
      </c>
      <c r="CK16" s="406">
        <f>-(CK6-CJ6)*HLOOKUP(CK$5,Assumptions!$F$44:$O$54,10,0)*MAX(CK11-(1-Assumptions!$H$33),0)*Assumptions!$C$37</f>
        <v>-428918.51056692336</v>
      </c>
      <c r="CL16" s="406">
        <f>-(CL6-CK6)*HLOOKUP(CL$5,Assumptions!$F$44:$O$54,10,0)*MAX(CL11-(1-Assumptions!$H$33),0)*Assumptions!$C$37</f>
        <v>-415082.4295808936</v>
      </c>
      <c r="CM16" s="406">
        <f>-(CM6-CL6)*HLOOKUP(CM$5,Assumptions!$F$44:$O$54,10,0)*MAX(CM11-(1-Assumptions!$H$33),0)*Assumptions!$C$37</f>
        <v>-786350.60270602629</v>
      </c>
      <c r="CN16" s="406">
        <f>-(CN6-CM6)*HLOOKUP(CN$5,Assumptions!$F$44:$O$54,10,0)*MAX(CN11-(1-Assumptions!$H$33),0)*Assumptions!$C$37</f>
        <v>-926325.62201469427</v>
      </c>
      <c r="CO16" s="406">
        <f>-(CO6-CN6)*HLOOKUP(CO$5,Assumptions!$F$44:$O$54,10,0)*MAX(CO11-(1-Assumptions!$H$33),0)*Assumptions!$C$37</f>
        <v>-809941.12078720704</v>
      </c>
      <c r="CP16" s="406">
        <f>-(CP6-CO6)*HLOOKUP(CP$5,Assumptions!$F$44:$O$54,10,0)*MAX(CP11-(1-Assumptions!$H$33),0)*Assumptions!$C$37</f>
        <v>-736310.10980655183</v>
      </c>
      <c r="CQ16" s="406">
        <f>-(CQ6-CP6)*HLOOKUP(CQ$5,Assumptions!$F$44:$O$54,10,0)*MAX(CQ11-(1-Assumptions!$H$33),0)*Assumptions!$C$37</f>
        <v>-427534.90246832039</v>
      </c>
      <c r="CR16" s="406">
        <f>-(CR6-CQ6)*HLOOKUP(CR$5,Assumptions!$F$44:$O$54,10,0)*MAX(CR11-(1-Assumptions!$H$33),0)*Assumptions!$C$37</f>
        <v>-294524.04392262077</v>
      </c>
      <c r="CS16" s="406">
        <f>-(CS6-CR6)*HLOOKUP(CS$5,Assumptions!$F$44:$O$54,10,0)*MAX(CS11-(1-Assumptions!$H$33),0)*Assumptions!$C$37</f>
        <v>-783813.98785858753</v>
      </c>
      <c r="CT16" s="406">
        <f>-(CT6-CS6)*HLOOKUP(CT$5,Assumptions!$F$44:$O$54,10,0)*MAX(CT11-(1-Assumptions!$H$33),0)*Assumptions!$C$37</f>
        <v>-1104465.1647098279</v>
      </c>
      <c r="CU16" s="406" t="e">
        <f>-(CU6-CT6)*HLOOKUP(CU$5,Assumptions!$F$44:$O$54,9,0)*MAX(CU11-(1-Assumptions!$H$33),0)*Assumptions!$C$37</f>
        <v>#N/A</v>
      </c>
      <c r="CV16" s="406" t="e">
        <f>-(CV6-CU6)*HLOOKUP(CV$5,Assumptions!$F$44:$O$54,9,0)*MAX(CV11-(1-Assumptions!$H$33),0)*Assumptions!$C$37</f>
        <v>#N/A</v>
      </c>
      <c r="CW16" s="406" t="e">
        <f>-(CW6-CV6)*HLOOKUP(CW$5,Assumptions!$F$44:$O$54,9,0)*MAX(CW11-(1-Assumptions!$H$33),0)*Assumptions!$C$37</f>
        <v>#N/A</v>
      </c>
      <c r="CX16" s="406" t="e">
        <f>-(CX6-CW6)*HLOOKUP(CX$5,Assumptions!$F$44:$O$54,9,0)*MAX(CX11-(1-Assumptions!$H$33),0)*Assumptions!$C$37</f>
        <v>#N/A</v>
      </c>
      <c r="CY16" s="406" t="e">
        <f>-(CY6-CX6)*HLOOKUP(CY$5,Assumptions!$F$44:$O$54,9,0)*MAX(CY11-(1-Assumptions!$H$33),0)*Assumptions!$C$37</f>
        <v>#N/A</v>
      </c>
      <c r="CZ16" s="406" t="e">
        <f>-(CZ6-CY6)*HLOOKUP(CZ$5,Assumptions!$F$44:$O$54,9,0)*MAX(CZ11-(1-Assumptions!$H$33),0)*Assumptions!$C$37</f>
        <v>#N/A</v>
      </c>
      <c r="DA16" s="406" t="e">
        <f>-(DA6-CZ6)*HLOOKUP(DA$5,Assumptions!$F$44:$O$54,9,0)*MAX(DA11-(1-Assumptions!$H$33),0)*Assumptions!$C$37</f>
        <v>#N/A</v>
      </c>
      <c r="DB16" s="406" t="e">
        <f>-(DB6-DA6)*HLOOKUP(DB$5,Assumptions!$F$44:$O$54,9,0)*MAX(DB11-(1-Assumptions!$H$33),0)*Assumptions!$C$37</f>
        <v>#N/A</v>
      </c>
      <c r="DC16" s="406" t="e">
        <f>-(DC6-DB6)*HLOOKUP(DC$5,Assumptions!$F$44:$O$54,9,0)*MAX(DC11-(1-Assumptions!$H$33),0)*Assumptions!$C$37</f>
        <v>#N/A</v>
      </c>
      <c r="DD16" s="406" t="e">
        <f>-(DD6-DC6)*HLOOKUP(DD$5,Assumptions!$F$44:$O$54,9,0)*MAX(DD11-(1-Assumptions!$H$33),0)*Assumptions!$C$37</f>
        <v>#N/A</v>
      </c>
      <c r="DE16" s="406" t="e">
        <f>-(DE6-DD6)*HLOOKUP(DE$5,Assumptions!$F$44:$O$54,9,0)*MAX(DE11-(1-Assumptions!$H$33),0)*Assumptions!$C$37</f>
        <v>#N/A</v>
      </c>
      <c r="DF16" s="406" t="e">
        <f>-(DF6-DE6)*HLOOKUP(DF$5,Assumptions!$F$44:$O$54,9,0)*MAX(DF11-(1-Assumptions!$H$33),0)*Assumptions!$C$37</f>
        <v>#N/A</v>
      </c>
      <c r="DG16" s="406" t="e">
        <f>-(DG6-DF6)*HLOOKUP(DG$5,Assumptions!$F$44:$O$54,9,0)*MAX(DG11-(1-Assumptions!$H$33),0)*Assumptions!$C$37</f>
        <v>#N/A</v>
      </c>
      <c r="DH16" s="406" t="e">
        <f>-(DH6-DG6)*HLOOKUP(DH$5,Assumptions!$F$44:$O$54,9,0)*MAX(DH11-(1-Assumptions!$H$33),0)*Assumptions!$C$37</f>
        <v>#N/A</v>
      </c>
      <c r="DI16" s="406" t="e">
        <f>-(DI6-DH6)*HLOOKUP(DI$5,Assumptions!$F$44:$O$54,9,0)*MAX(DI11-(1-Assumptions!$H$33),0)*Assumptions!$C$37</f>
        <v>#N/A</v>
      </c>
      <c r="DJ16" s="406" t="e">
        <f>-(DJ6-DI6)*HLOOKUP(DJ$5,Assumptions!$F$44:$O$54,9,0)*MAX(DJ11-(1-Assumptions!$H$33),0)*Assumptions!$C$37</f>
        <v>#N/A</v>
      </c>
      <c r="DK16" s="406" t="e">
        <f>-(DK6-DJ6)*HLOOKUP(DK$5,Assumptions!$F$44:$O$54,9,0)*MAX(DK11-(1-Assumptions!$H$33),0)*Assumptions!$C$37</f>
        <v>#N/A</v>
      </c>
      <c r="DL16" s="406" t="e">
        <f>-(DL6-DK6)*HLOOKUP(DL$5,Assumptions!$F$44:$O$54,9,0)*MAX(DL11-(1-Assumptions!$H$33),0)*Assumptions!$C$37</f>
        <v>#N/A</v>
      </c>
      <c r="DM16" s="406" t="e">
        <f>-(DM6-DL6)*HLOOKUP(DM$5,Assumptions!$F$44:$O$54,9,0)*MAX(DM11-(1-Assumptions!$H$33),0)*Assumptions!$C$37</f>
        <v>#N/A</v>
      </c>
      <c r="DN16" s="406" t="e">
        <f>-(DN6-DM6)*HLOOKUP(DN$5,Assumptions!$F$44:$O$54,9,0)*MAX(DN11-(1-Assumptions!$H$33),0)*Assumptions!$C$37</f>
        <v>#N/A</v>
      </c>
      <c r="DO16" s="406" t="e">
        <f>-(DO6-DN6)*HLOOKUP(DO$5,Assumptions!$F$44:$O$54,9,0)*MAX(DO11-(1-Assumptions!$H$33),0)*Assumptions!$C$37</f>
        <v>#N/A</v>
      </c>
      <c r="DP16" s="406" t="e">
        <f>-(DP6-DO6)*HLOOKUP(DP$5,Assumptions!$F$44:$O$54,9,0)*MAX(DP11-(1-Assumptions!$H$33),0)*Assumptions!$C$37</f>
        <v>#N/A</v>
      </c>
      <c r="DQ16" s="406" t="e">
        <f>-(DQ6-DP6)*HLOOKUP(DQ$5,Assumptions!$F$44:$O$54,9,0)*MAX(DQ11-(1-Assumptions!$H$33),0)*Assumptions!$C$37</f>
        <v>#N/A</v>
      </c>
      <c r="DR16" s="406" t="e">
        <f>-(DR6-DQ6)*HLOOKUP(DR$5,Assumptions!$F$44:$O$54,9,0)*MAX(DR11-(1-Assumptions!$H$33),0)*Assumptions!$C$37</f>
        <v>#N/A</v>
      </c>
      <c r="DS16" s="403"/>
      <c r="DT16" s="403"/>
      <c r="DU16" s="403"/>
      <c r="DV16" s="403"/>
      <c r="DW16" s="403"/>
      <c r="DX16" s="403"/>
      <c r="DY16" s="403"/>
      <c r="DZ16" s="403"/>
      <c r="EA16" s="403"/>
      <c r="EB16" s="403"/>
      <c r="EC16" s="403"/>
      <c r="ED16" s="403"/>
    </row>
    <row r="17" spans="1:134" s="404" customFormat="1" ht="16" x14ac:dyDescent="0.2">
      <c r="A17" s="402"/>
      <c r="B17" s="408" t="s">
        <v>743</v>
      </c>
      <c r="C17" s="405">
        <f t="shared" ref="C17:AH17" si="17">C14+SUM(C15:C16)</f>
        <v>0</v>
      </c>
      <c r="D17" s="405">
        <f t="shared" si="17"/>
        <v>0</v>
      </c>
      <c r="E17" s="405">
        <f t="shared" si="17"/>
        <v>0</v>
      </c>
      <c r="F17" s="405">
        <f t="shared" si="17"/>
        <v>0</v>
      </c>
      <c r="G17" s="405">
        <f t="shared" si="17"/>
        <v>0</v>
      </c>
      <c r="H17" s="405">
        <f t="shared" si="17"/>
        <v>213627.15000000002</v>
      </c>
      <c r="I17" s="405">
        <f t="shared" si="17"/>
        <v>192681.58499999999</v>
      </c>
      <c r="J17" s="405">
        <f t="shared" si="17"/>
        <v>178648.34999999998</v>
      </c>
      <c r="K17" s="405">
        <f t="shared" si="17"/>
        <v>118563.29999999999</v>
      </c>
      <c r="L17" s="405">
        <f t="shared" si="17"/>
        <v>94448.94</v>
      </c>
      <c r="M17" s="405">
        <f t="shared" si="17"/>
        <v>186466.05000000005</v>
      </c>
      <c r="N17" s="405">
        <f t="shared" si="17"/>
        <v>248814.52500000002</v>
      </c>
      <c r="O17" s="405">
        <f t="shared" si="17"/>
        <v>248814.52500000002</v>
      </c>
      <c r="P17" s="405">
        <f t="shared" si="17"/>
        <v>199385.34000000003</v>
      </c>
      <c r="Q17" s="405">
        <f t="shared" si="17"/>
        <v>122515.41000000002</v>
      </c>
      <c r="R17" s="405">
        <f t="shared" si="17"/>
        <v>118563.29999999999</v>
      </c>
      <c r="S17" s="405">
        <f t="shared" si="17"/>
        <v>192681.58499999999</v>
      </c>
      <c r="T17" s="405">
        <f t="shared" si="17"/>
        <v>220035.96449999994</v>
      </c>
      <c r="U17" s="405">
        <f t="shared" si="17"/>
        <v>198462.03255000003</v>
      </c>
      <c r="V17" s="405">
        <f t="shared" si="17"/>
        <v>184007.80049999995</v>
      </c>
      <c r="W17" s="405">
        <f t="shared" si="17"/>
        <v>122120.19899999999</v>
      </c>
      <c r="X17" s="405">
        <f t="shared" si="17"/>
        <v>97282.408199999991</v>
      </c>
      <c r="Y17" s="405">
        <f t="shared" si="17"/>
        <v>192060.03149999998</v>
      </c>
      <c r="Z17" s="405">
        <f t="shared" si="17"/>
        <v>256278.96075</v>
      </c>
      <c r="AA17" s="405">
        <f t="shared" si="17"/>
        <v>256278.96075</v>
      </c>
      <c r="AB17" s="405">
        <f t="shared" si="17"/>
        <v>212701.43234999993</v>
      </c>
      <c r="AC17" s="405">
        <f t="shared" si="17"/>
        <v>126190.8723</v>
      </c>
      <c r="AD17" s="405">
        <f t="shared" si="17"/>
        <v>122120.19899999999</v>
      </c>
      <c r="AE17" s="405">
        <f t="shared" si="17"/>
        <v>198462.03255000003</v>
      </c>
      <c r="AF17" s="405">
        <f t="shared" si="17"/>
        <v>757341.76552500017</v>
      </c>
      <c r="AG17" s="405">
        <f t="shared" si="17"/>
        <v>674696.09069750016</v>
      </c>
      <c r="AH17" s="405">
        <f t="shared" si="17"/>
        <v>620750.89052500017</v>
      </c>
      <c r="AI17" s="405">
        <f t="shared" ref="AI17:BN17" si="18">AI14+SUM(AI15:AI16)</f>
        <v>391906.53855000006</v>
      </c>
      <c r="AJ17" s="405">
        <f t="shared" si="18"/>
        <v>297079.68949000008</v>
      </c>
      <c r="AK17" s="405">
        <f t="shared" si="18"/>
        <v>652931.70067500044</v>
      </c>
      <c r="AL17" s="405">
        <f t="shared" si="18"/>
        <v>890476.89138750045</v>
      </c>
      <c r="AM17" s="405">
        <f t="shared" si="18"/>
        <v>890476.89138750045</v>
      </c>
      <c r="AN17" s="405">
        <f t="shared" si="18"/>
        <v>706852.31449000025</v>
      </c>
      <c r="AO17" s="405">
        <f t="shared" si="18"/>
        <v>404970.08983499999</v>
      </c>
      <c r="AP17" s="405">
        <f t="shared" si="18"/>
        <v>391906.53855000006</v>
      </c>
      <c r="AQ17" s="405">
        <f t="shared" si="18"/>
        <v>674696.09069750016</v>
      </c>
      <c r="AR17" s="405">
        <f t="shared" si="18"/>
        <v>991441.01432482526</v>
      </c>
      <c r="AS17" s="405">
        <f t="shared" si="18"/>
        <v>886199.46891416749</v>
      </c>
      <c r="AT17" s="405">
        <f t="shared" si="18"/>
        <v>817054.67930342501</v>
      </c>
      <c r="AU17" s="405">
        <f t="shared" si="18"/>
        <v>523040.82663915027</v>
      </c>
      <c r="AV17" s="405">
        <f t="shared" si="18"/>
        <v>402185.94163896999</v>
      </c>
      <c r="AW17" s="405">
        <f t="shared" si="18"/>
        <v>857612.38927177526</v>
      </c>
      <c r="AX17" s="405">
        <f t="shared" si="18"/>
        <v>1162778.6273571374</v>
      </c>
      <c r="AY17" s="405">
        <f t="shared" si="18"/>
        <v>1162778.6273571374</v>
      </c>
      <c r="AZ17" s="405">
        <f t="shared" si="18"/>
        <v>925344.94670317043</v>
      </c>
      <c r="BA17" s="405">
        <f t="shared" si="18"/>
        <v>540475.520860455</v>
      </c>
      <c r="BB17" s="405">
        <f t="shared" si="18"/>
        <v>523040.82663915027</v>
      </c>
      <c r="BC17" s="405">
        <f t="shared" si="18"/>
        <v>886199.46891416749</v>
      </c>
      <c r="BD17" s="405">
        <f t="shared" si="18"/>
        <v>1021184.2447545705</v>
      </c>
      <c r="BE17" s="405">
        <f t="shared" si="18"/>
        <v>912785.45298159285</v>
      </c>
      <c r="BF17" s="405">
        <f t="shared" si="18"/>
        <v>841566.31968252815</v>
      </c>
      <c r="BG17" s="405">
        <f t="shared" si="18"/>
        <v>538732.05143832485</v>
      </c>
      <c r="BH17" s="405">
        <f t="shared" si="18"/>
        <v>414251.51988813933</v>
      </c>
      <c r="BI17" s="405">
        <f t="shared" si="18"/>
        <v>883340.76094992878</v>
      </c>
      <c r="BJ17" s="405">
        <f t="shared" si="18"/>
        <v>1197661.9861778519</v>
      </c>
      <c r="BK17" s="405">
        <f t="shared" si="18"/>
        <v>1197661.9861778519</v>
      </c>
      <c r="BL17" s="405">
        <f t="shared" si="18"/>
        <v>953105.29510426521</v>
      </c>
      <c r="BM17" s="405">
        <f t="shared" si="18"/>
        <v>556689.78648626874</v>
      </c>
      <c r="BN17" s="405">
        <f t="shared" si="18"/>
        <v>538732.05143832485</v>
      </c>
      <c r="BO17" s="405">
        <f t="shared" ref="BO17:CT17" si="19">BO14+SUM(BO15:BO16)</f>
        <v>912785.45298159285</v>
      </c>
      <c r="BP17" s="405">
        <f t="shared" si="19"/>
        <v>1051819.7720972069</v>
      </c>
      <c r="BQ17" s="405">
        <f t="shared" si="19"/>
        <v>940169.0165710405</v>
      </c>
      <c r="BR17" s="405">
        <f t="shared" si="19"/>
        <v>866813.3092730036</v>
      </c>
      <c r="BS17" s="405">
        <f t="shared" si="19"/>
        <v>554894.01298147417</v>
      </c>
      <c r="BT17" s="405">
        <f t="shared" si="19"/>
        <v>426679.06548478332</v>
      </c>
      <c r="BU17" s="405">
        <f t="shared" si="19"/>
        <v>909840.98377842619</v>
      </c>
      <c r="BV17" s="405">
        <f t="shared" si="19"/>
        <v>1233591.8457631874</v>
      </c>
      <c r="BW17" s="405">
        <f t="shared" si="19"/>
        <v>1233591.8457631874</v>
      </c>
      <c r="BX17" s="405">
        <f t="shared" si="19"/>
        <v>1016759.1130273</v>
      </c>
      <c r="BY17" s="405">
        <f t="shared" si="19"/>
        <v>573390.48008085671</v>
      </c>
      <c r="BZ17" s="405">
        <f t="shared" si="19"/>
        <v>554894.01298147417</v>
      </c>
      <c r="CA17" s="405">
        <f t="shared" si="19"/>
        <v>940169.0165710405</v>
      </c>
      <c r="CB17" s="405">
        <f t="shared" si="19"/>
        <v>1083374.3652601233</v>
      </c>
      <c r="CC17" s="405">
        <f t="shared" si="19"/>
        <v>968374.08706817194</v>
      </c>
      <c r="CD17" s="405">
        <f t="shared" si="19"/>
        <v>892817.70855119405</v>
      </c>
      <c r="CE17" s="405">
        <f t="shared" si="19"/>
        <v>571540.83337091852</v>
      </c>
      <c r="CF17" s="405">
        <f t="shared" si="19"/>
        <v>439479.43744932691</v>
      </c>
      <c r="CG17" s="405">
        <f t="shared" si="19"/>
        <v>937136.21329177893</v>
      </c>
      <c r="CH17" s="405">
        <f t="shared" si="19"/>
        <v>1270599.6011360828</v>
      </c>
      <c r="CI17" s="405">
        <f t="shared" si="19"/>
        <v>1270599.6011360828</v>
      </c>
      <c r="CJ17" s="405">
        <f t="shared" si="19"/>
        <v>1011149.4075761151</v>
      </c>
      <c r="CK17" s="405">
        <f t="shared" si="19"/>
        <v>590592.19448328251</v>
      </c>
      <c r="CL17" s="405">
        <f t="shared" si="19"/>
        <v>571540.83337091852</v>
      </c>
      <c r="CM17" s="405">
        <f t="shared" si="19"/>
        <v>968374.08706817194</v>
      </c>
      <c r="CN17" s="405">
        <f t="shared" si="19"/>
        <v>1115875.5962179271</v>
      </c>
      <c r="CO17" s="405">
        <f t="shared" si="19"/>
        <v>997425.30968021741</v>
      </c>
      <c r="CP17" s="405">
        <f t="shared" si="19"/>
        <v>919602.23980772996</v>
      </c>
      <c r="CQ17" s="405">
        <f t="shared" si="19"/>
        <v>588687.05837204622</v>
      </c>
      <c r="CR17" s="405">
        <f t="shared" si="19"/>
        <v>452663.82057280676</v>
      </c>
      <c r="CS17" s="405">
        <f t="shared" si="19"/>
        <v>965250.2996905325</v>
      </c>
      <c r="CT17" s="405">
        <f t="shared" si="19"/>
        <v>1308717.5891701661</v>
      </c>
      <c r="CU17" s="405" t="e">
        <f t="shared" ref="CU17:DR17" si="20">CU14+SUM(CU15:CU16)</f>
        <v>#N/A</v>
      </c>
      <c r="CV17" s="405" t="e">
        <f t="shared" si="20"/>
        <v>#N/A</v>
      </c>
      <c r="CW17" s="405" t="e">
        <f t="shared" si="20"/>
        <v>#N/A</v>
      </c>
      <c r="CX17" s="405" t="e">
        <f t="shared" si="20"/>
        <v>#N/A</v>
      </c>
      <c r="CY17" s="405" t="e">
        <f t="shared" si="20"/>
        <v>#N/A</v>
      </c>
      <c r="CZ17" s="405" t="e">
        <f t="shared" si="20"/>
        <v>#N/A</v>
      </c>
      <c r="DA17" s="405" t="e">
        <f t="shared" si="20"/>
        <v>#N/A</v>
      </c>
      <c r="DB17" s="405" t="e">
        <f t="shared" si="20"/>
        <v>#N/A</v>
      </c>
      <c r="DC17" s="405" t="e">
        <f t="shared" si="20"/>
        <v>#N/A</v>
      </c>
      <c r="DD17" s="405" t="e">
        <f t="shared" si="20"/>
        <v>#N/A</v>
      </c>
      <c r="DE17" s="405" t="e">
        <f t="shared" si="20"/>
        <v>#N/A</v>
      </c>
      <c r="DF17" s="405" t="e">
        <f t="shared" si="20"/>
        <v>#N/A</v>
      </c>
      <c r="DG17" s="405" t="e">
        <f t="shared" si="20"/>
        <v>#N/A</v>
      </c>
      <c r="DH17" s="405" t="e">
        <f t="shared" si="20"/>
        <v>#N/A</v>
      </c>
      <c r="DI17" s="405" t="e">
        <f t="shared" si="20"/>
        <v>#N/A</v>
      </c>
      <c r="DJ17" s="405" t="e">
        <f t="shared" si="20"/>
        <v>#N/A</v>
      </c>
      <c r="DK17" s="405" t="e">
        <f t="shared" si="20"/>
        <v>#N/A</v>
      </c>
      <c r="DL17" s="405" t="e">
        <f t="shared" si="20"/>
        <v>#N/A</v>
      </c>
      <c r="DM17" s="405" t="e">
        <f t="shared" si="20"/>
        <v>#N/A</v>
      </c>
      <c r="DN17" s="405" t="e">
        <f t="shared" si="20"/>
        <v>#N/A</v>
      </c>
      <c r="DO17" s="405" t="e">
        <f t="shared" si="20"/>
        <v>#N/A</v>
      </c>
      <c r="DP17" s="405" t="e">
        <f t="shared" si="20"/>
        <v>#N/A</v>
      </c>
      <c r="DQ17" s="405" t="e">
        <f t="shared" si="20"/>
        <v>#N/A</v>
      </c>
      <c r="DR17" s="405" t="e">
        <f t="shared" si="20"/>
        <v>#N/A</v>
      </c>
      <c r="DS17" s="405"/>
      <c r="DT17" s="405"/>
      <c r="DU17" s="405"/>
      <c r="DV17" s="405"/>
      <c r="DW17" s="405"/>
      <c r="DX17" s="405"/>
      <c r="DY17" s="405"/>
      <c r="DZ17" s="405"/>
      <c r="EA17" s="405"/>
      <c r="EB17" s="405"/>
      <c r="EC17" s="405"/>
      <c r="ED17" s="405"/>
    </row>
    <row r="18" spans="1:134" s="153" customFormat="1" ht="16" x14ac:dyDescent="0.2">
      <c r="A18" s="316"/>
      <c r="B18" s="294"/>
    </row>
    <row r="19" spans="1:134" s="404" customFormat="1" ht="16" x14ac:dyDescent="0.2">
      <c r="A19" s="402"/>
      <c r="B19" s="294" t="s">
        <v>744</v>
      </c>
      <c r="C19" s="403">
        <f>IF(C6&gt;=Assumptions!$C$40,C12*Assumptions!$C$43,0)</f>
        <v>0</v>
      </c>
      <c r="D19" s="403">
        <f>IF(D6&gt;=Assumptions!$C$40,D12*Assumptions!$C$43,0)</f>
        <v>0</v>
      </c>
      <c r="E19" s="403">
        <f>IF(E6&gt;=Assumptions!$C$40,E12*Assumptions!$C$43,0)</f>
        <v>0</v>
      </c>
      <c r="F19" s="403">
        <f>IF(F6&gt;=Assumptions!$C$40,F12*Assumptions!$C$43,0)</f>
        <v>0</v>
      </c>
      <c r="G19" s="403">
        <f>IF(G6&gt;=Assumptions!$C$40,G12*Assumptions!$C$43,0)</f>
        <v>0</v>
      </c>
      <c r="H19" s="403">
        <f>IF(H6&gt;=Assumptions!$C$40,H12*Assumptions!$C$43,0)</f>
        <v>0</v>
      </c>
      <c r="I19" s="403">
        <f>IF(I6&gt;=Assumptions!$C$40,I12*Assumptions!$C$43,0)</f>
        <v>0</v>
      </c>
      <c r="J19" s="403">
        <f>IF(J6&gt;=Assumptions!$C$40,J12*Assumptions!$C$43,0)</f>
        <v>0</v>
      </c>
      <c r="K19" s="403">
        <f>IF(K6&gt;=Assumptions!$C$40,K12*Assumptions!$C$43,0)</f>
        <v>0</v>
      </c>
      <c r="L19" s="403">
        <f>IF(L6&gt;=Assumptions!$C$40,L12*Assumptions!$C$43,0)</f>
        <v>0</v>
      </c>
      <c r="M19" s="403">
        <f>IF(M6&gt;=Assumptions!$C$40,M12*Assumptions!$C$43,0)</f>
        <v>0</v>
      </c>
      <c r="N19" s="403">
        <f>IF(N6&gt;=Assumptions!$C$40,N12*Assumptions!$C$43,0)</f>
        <v>0</v>
      </c>
      <c r="O19" s="403">
        <f>IF(O6&gt;=Assumptions!$C$40,O12*Assumptions!$C$43,0)</f>
        <v>0</v>
      </c>
      <c r="P19" s="403">
        <f>IF(P6&gt;=Assumptions!$C$40,P12*Assumptions!$C$43,0)</f>
        <v>0</v>
      </c>
      <c r="Q19" s="403">
        <f>IF(Q6&gt;=Assumptions!$C$40,Q12*Assumptions!$C$43,0)</f>
        <v>0</v>
      </c>
      <c r="R19" s="403">
        <f>IF(R6&gt;=Assumptions!$C$40,R12*Assumptions!$C$43,0)</f>
        <v>0</v>
      </c>
      <c r="S19" s="403">
        <f>IF(S6&gt;=Assumptions!$C$40,S12*Assumptions!$C$43,0)</f>
        <v>0</v>
      </c>
      <c r="T19" s="403">
        <f>IF(T6&gt;=Assumptions!$C$40,T12*Assumptions!$C$43,0)</f>
        <v>0</v>
      </c>
      <c r="U19" s="403">
        <f>IF(U6&gt;=Assumptions!$C$40,U12*Assumptions!$C$43,0)</f>
        <v>0</v>
      </c>
      <c r="V19" s="403">
        <f>IF(V6&gt;=Assumptions!$C$40,V12*Assumptions!$C$43,0)</f>
        <v>0</v>
      </c>
      <c r="W19" s="403">
        <f>IF(W6&gt;=Assumptions!$C$40,W12*Assumptions!$C$43,0)</f>
        <v>0</v>
      </c>
      <c r="X19" s="403">
        <f>IF(X6&gt;=Assumptions!$C$40,X12*Assumptions!$C$43,0)</f>
        <v>0</v>
      </c>
      <c r="Y19" s="403">
        <f>IF(Y6&gt;=Assumptions!$C$40,Y12*Assumptions!$C$43,0)</f>
        <v>0</v>
      </c>
      <c r="Z19" s="403">
        <f>IF(Z6&gt;=Assumptions!$C$40,Z12*Assumptions!$C$43,0)</f>
        <v>121356.35100000001</v>
      </c>
      <c r="AA19" s="403">
        <f>IF(AA6&gt;=Assumptions!$C$40,AA12*Assumptions!$C$43,0)</f>
        <v>121356.35100000001</v>
      </c>
      <c r="AB19" s="403">
        <f>IF(AB6&gt;=Assumptions!$C$40,AB12*Assumptions!$C$43,0)</f>
        <v>98389.987800000003</v>
      </c>
      <c r="AC19" s="403">
        <f>IF(AC6&gt;=Assumptions!$C$40,AC12*Assumptions!$C$43,0)</f>
        <v>48542.540399999998</v>
      </c>
      <c r="AD19" s="403">
        <f>IF(AD6&gt;=Assumptions!$C$40,AD12*Assumptions!$C$43,0)</f>
        <v>46976.652000000002</v>
      </c>
      <c r="AE19" s="403">
        <f>IF(AE6&gt;=Assumptions!$C$40,AE12*Assumptions!$C$43,0)</f>
        <v>88994.657400000011</v>
      </c>
      <c r="AF19" s="403">
        <f>IF(AF6&gt;=Assumptions!$C$40,AF12*Assumptions!$C$43,0)</f>
        <v>426163.53000000009</v>
      </c>
      <c r="AG19" s="403">
        <f>IF(AG6&gt;=Assumptions!$C$40,AG12*Assumptions!$C$43,0)</f>
        <v>372619.90700000006</v>
      </c>
      <c r="AH19" s="403">
        <f>IF(AH6&gt;=Assumptions!$C$40,AH12*Assumptions!$C$43,0)</f>
        <v>338745.37000000005</v>
      </c>
      <c r="AI19" s="403">
        <f>IF(AI6&gt;=Assumptions!$C$40,AI12*Assumptions!$C$43,0)</f>
        <v>196690.86000000002</v>
      </c>
      <c r="AJ19" s="403">
        <f>IF(AJ6&gt;=Assumptions!$C$40,AJ12*Assumptions!$C$43,0)</f>
        <v>135498.14800000002</v>
      </c>
      <c r="AK19" s="403">
        <f>IF(AK6&gt;=Assumptions!$C$40,AK12*Assumptions!$C$43,0)</f>
        <v>360599.91000000015</v>
      </c>
      <c r="AL19" s="403">
        <f>IF(AL6&gt;=Assumptions!$C$40,AL12*Assumptions!$C$43,0)</f>
        <v>508118.05500000011</v>
      </c>
      <c r="AM19" s="403">
        <f>IF(AM6&gt;=Assumptions!$C$40,AM12*Assumptions!$C$43,0)</f>
        <v>508118.05500000011</v>
      </c>
      <c r="AN19" s="403">
        <f>IF(AN6&gt;=Assumptions!$C$40,AN12*Assumptions!$C$43,0)</f>
        <v>397752.62800000008</v>
      </c>
      <c r="AO19" s="403">
        <f>IF(AO6&gt;=Assumptions!$C$40,AO12*Assumptions!$C$43,0)</f>
        <v>203247.22200000001</v>
      </c>
      <c r="AP19" s="403">
        <f>IF(AP6&gt;=Assumptions!$C$40,AP12*Assumptions!$C$43,0)</f>
        <v>196690.86000000002</v>
      </c>
      <c r="AQ19" s="403">
        <f>IF(AQ6&gt;=Assumptions!$C$40,AQ12*Assumptions!$C$43,0)</f>
        <v>372619.90700000006</v>
      </c>
      <c r="AR19" s="403">
        <f>IF(AR6&gt;=Assumptions!$C$40,AR12*Assumptions!$C$43,0)</f>
        <v>666762.67413210019</v>
      </c>
      <c r="AS19" s="403">
        <f>IF(AS6&gt;=Assumptions!$C$40,AS12*Assumptions!$C$43,0)</f>
        <v>582989.92789499008</v>
      </c>
      <c r="AT19" s="403">
        <f>IF(AT6&gt;=Assumptions!$C$40,AT12*Assumptions!$C$43,0)</f>
        <v>529990.84354090004</v>
      </c>
      <c r="AU19" s="403">
        <f>IF(AU6&gt;=Assumptions!$C$40,AU12*Assumptions!$C$43,0)</f>
        <v>307736.61883020005</v>
      </c>
      <c r="AV19" s="403">
        <f>IF(AV6&gt;=Assumptions!$C$40,AV12*Assumptions!$C$43,0)</f>
        <v>211996.33741636004</v>
      </c>
      <c r="AW19" s="403">
        <f>IF(AW6&gt;=Assumptions!$C$40,AW12*Assumptions!$C$43,0)</f>
        <v>564183.80118870013</v>
      </c>
      <c r="AX19" s="403">
        <f>IF(AX6&gt;=Assumptions!$C$40,AX12*Assumptions!$C$43,0)</f>
        <v>794986.26531135011</v>
      </c>
      <c r="AY19" s="403">
        <f>IF(AY6&gt;=Assumptions!$C$40,AY12*Assumptions!$C$43,0)</f>
        <v>794986.26531135011</v>
      </c>
      <c r="AZ19" s="403">
        <f>IF(AZ6&gt;=Assumptions!$C$40,AZ12*Assumptions!$C$43,0)</f>
        <v>622311.82918996015</v>
      </c>
      <c r="BA19" s="403">
        <f>IF(BA6&gt;=Assumptions!$C$40,BA12*Assumptions!$C$43,0)</f>
        <v>317994.50612454</v>
      </c>
      <c r="BB19" s="403">
        <f>IF(BB6&gt;=Assumptions!$C$40,BB12*Assumptions!$C$43,0)</f>
        <v>307736.61883020005</v>
      </c>
      <c r="BC19" s="403">
        <f>IF(BC6&gt;=Assumptions!$C$40,BC12*Assumptions!$C$43,0)</f>
        <v>582989.92789499008</v>
      </c>
      <c r="BD19" s="403">
        <f>IF(BD6&gt;=Assumptions!$C$40,BD12*Assumptions!$C$43,0)</f>
        <v>686765.55435606325</v>
      </c>
      <c r="BE19" s="403">
        <f>IF(BE6&gt;=Assumptions!$C$40,BE12*Assumptions!$C$43,0)</f>
        <v>600479.6257318398</v>
      </c>
      <c r="BF19" s="403">
        <f>IF(BF6&gt;=Assumptions!$C$40,BF12*Assumptions!$C$43,0)</f>
        <v>545890.56884712714</v>
      </c>
      <c r="BG19" s="403">
        <f>IF(BG6&gt;=Assumptions!$C$40,BG12*Assumptions!$C$43,0)</f>
        <v>316968.7173951061</v>
      </c>
      <c r="BH19" s="403">
        <f>IF(BH6&gt;=Assumptions!$C$40,BH12*Assumptions!$C$43,0)</f>
        <v>218356.22753885086</v>
      </c>
      <c r="BI19" s="403">
        <f>IF(BI6&gt;=Assumptions!$C$40,BI12*Assumptions!$C$43,0)</f>
        <v>581109.31522436114</v>
      </c>
      <c r="BJ19" s="403">
        <f>IF(BJ6&gt;=Assumptions!$C$40,BJ12*Assumptions!$C$43,0)</f>
        <v>818835.85327069066</v>
      </c>
      <c r="BK19" s="403">
        <f>IF(BK6&gt;=Assumptions!$C$40,BK12*Assumptions!$C$43,0)</f>
        <v>818835.85327069066</v>
      </c>
      <c r="BL19" s="403">
        <f>IF(BL6&gt;=Assumptions!$C$40,BL12*Assumptions!$C$43,0)</f>
        <v>640981.18406565895</v>
      </c>
      <c r="BM19" s="403">
        <f>IF(BM6&gt;=Assumptions!$C$40,BM12*Assumptions!$C$43,0)</f>
        <v>327534.34130827623</v>
      </c>
      <c r="BN19" s="403">
        <f>IF(BN6&gt;=Assumptions!$C$40,BN12*Assumptions!$C$43,0)</f>
        <v>316968.7173951061</v>
      </c>
      <c r="BO19" s="403">
        <f>IF(BO6&gt;=Assumptions!$C$40,BO12*Assumptions!$C$43,0)</f>
        <v>600479.6257318398</v>
      </c>
      <c r="BP19" s="403">
        <f>IF(BP6&gt;=Assumptions!$C$40,BP12*Assumptions!$C$43,0)</f>
        <v>707368.52098674502</v>
      </c>
      <c r="BQ19" s="403">
        <f>IF(BQ6&gt;=Assumptions!$C$40,BQ12*Assumptions!$C$43,0)</f>
        <v>618494.01450379507</v>
      </c>
      <c r="BR19" s="403">
        <f>IF(BR6&gt;=Assumptions!$C$40,BR12*Assumptions!$C$43,0)</f>
        <v>562267.28591254086</v>
      </c>
      <c r="BS19" s="403">
        <f>IF(BS6&gt;=Assumptions!$C$40,BS12*Assumptions!$C$43,0)</f>
        <v>326477.77891695919</v>
      </c>
      <c r="BT19" s="403">
        <f>IF(BT6&gt;=Assumptions!$C$40,BT12*Assumptions!$C$43,0)</f>
        <v>224906.91436501636</v>
      </c>
      <c r="BU19" s="403">
        <f>IF(BU6&gt;=Assumptions!$C$40,BU12*Assumptions!$C$43,0)</f>
        <v>598542.59468109196</v>
      </c>
      <c r="BV19" s="403">
        <f>IF(BV6&gt;=Assumptions!$C$40,BV12*Assumptions!$C$43,0)</f>
        <v>843400.92886881123</v>
      </c>
      <c r="BW19" s="403">
        <f>IF(BW6&gt;=Assumptions!$C$40,BW12*Assumptions!$C$43,0)</f>
        <v>843400.92886881123</v>
      </c>
      <c r="BX19" s="403">
        <f>IF(BX6&gt;=Assumptions!$C$40,BX12*Assumptions!$C$43,0)</f>
        <v>683789.57028718677</v>
      </c>
      <c r="BY19" s="403">
        <f>IF(BY6&gt;=Assumptions!$C$40,BY12*Assumptions!$C$43,0)</f>
        <v>337360.37154752453</v>
      </c>
      <c r="BZ19" s="403">
        <f>IF(BZ6&gt;=Assumptions!$C$40,BZ12*Assumptions!$C$43,0)</f>
        <v>326477.77891695919</v>
      </c>
      <c r="CA19" s="403">
        <f>IF(CA6&gt;=Assumptions!$C$40,CA12*Assumptions!$C$43,0)</f>
        <v>618494.01450379507</v>
      </c>
      <c r="CB19" s="403">
        <f>IF(CB6&gt;=Assumptions!$C$40,CB12*Assumptions!$C$43,0)</f>
        <v>728589.57661634742</v>
      </c>
      <c r="CC19" s="403">
        <f>IF(CC6&gt;=Assumptions!$C$40,CC12*Assumptions!$C$43,0)</f>
        <v>637048.83493890893</v>
      </c>
      <c r="CD19" s="403">
        <f>IF(CD6&gt;=Assumptions!$C$40,CD12*Assumptions!$C$43,0)</f>
        <v>579135.30448991712</v>
      </c>
      <c r="CE19" s="403">
        <f>IF(CE6&gt;=Assumptions!$C$40,CE12*Assumptions!$C$43,0)</f>
        <v>336272.11228446802</v>
      </c>
      <c r="CF19" s="403">
        <f>IF(CF6&gt;=Assumptions!$C$40,CF12*Assumptions!$C$43,0)</f>
        <v>231654.12179596687</v>
      </c>
      <c r="CG19" s="403">
        <f>IF(CG6&gt;=Assumptions!$C$40,CG12*Assumptions!$C$43,0)</f>
        <v>616498.87252152467</v>
      </c>
      <c r="CH19" s="403">
        <f>IF(CH6&gt;=Assumptions!$C$40,CH12*Assumptions!$C$43,0)</f>
        <v>868702.95673487568</v>
      </c>
      <c r="CI19" s="403">
        <f>IF(CI6&gt;=Assumptions!$C$40,CI12*Assumptions!$C$43,0)</f>
        <v>868702.95673487568</v>
      </c>
      <c r="CJ19" s="403">
        <f>IF(CJ6&gt;=Assumptions!$C$40,CJ12*Assumptions!$C$43,0)</f>
        <v>680016.93817525753</v>
      </c>
      <c r="CK19" s="403">
        <f>IF(CK6&gt;=Assumptions!$C$40,CK12*Assumptions!$C$43,0)</f>
        <v>347481.18269395031</v>
      </c>
      <c r="CL19" s="403">
        <f>IF(CL6&gt;=Assumptions!$C$40,CL12*Assumptions!$C$43,0)</f>
        <v>336272.11228446802</v>
      </c>
      <c r="CM19" s="403">
        <f>IF(CM6&gt;=Assumptions!$C$40,CM12*Assumptions!$C$43,0)</f>
        <v>637048.83493890893</v>
      </c>
      <c r="CN19" s="403">
        <f>IF(CN6&gt;=Assumptions!$C$40,CN12*Assumptions!$C$43,0)</f>
        <v>750447.26391483785</v>
      </c>
      <c r="CO19" s="403">
        <f>IF(CO6&gt;=Assumptions!$C$40,CO12*Assumptions!$C$43,0)</f>
        <v>656160.29998707632</v>
      </c>
      <c r="CP19" s="403">
        <f>IF(CP6&gt;=Assumptions!$C$40,CP12*Assumptions!$C$43,0)</f>
        <v>596509.36362461466</v>
      </c>
      <c r="CQ19" s="403">
        <f>IF(CQ6&gt;=Assumptions!$C$40,CQ12*Assumptions!$C$43,0)</f>
        <v>346360.27565300209</v>
      </c>
      <c r="CR19" s="403">
        <f>IF(CR6&gt;=Assumptions!$C$40,CR12*Assumptions!$C$43,0)</f>
        <v>238603.74544984588</v>
      </c>
      <c r="CS19" s="403">
        <f>IF(CS6&gt;=Assumptions!$C$40,CS12*Assumptions!$C$43,0)</f>
        <v>634993.83869717049</v>
      </c>
      <c r="CT19" s="403">
        <f>IF(CT6&gt;=Assumptions!$C$40,CT12*Assumptions!$C$43,0)</f>
        <v>894764.04543692211</v>
      </c>
      <c r="CU19" s="403" t="e">
        <f>CU12*Assumptions!$C$43</f>
        <v>#N/A</v>
      </c>
      <c r="CV19" s="403" t="e">
        <f>CV12*Assumptions!$C$43</f>
        <v>#N/A</v>
      </c>
      <c r="CW19" s="403" t="e">
        <f>CW12*Assumptions!$C$43</f>
        <v>#N/A</v>
      </c>
      <c r="CX19" s="403" t="e">
        <f>CX12*Assumptions!$C$43</f>
        <v>#N/A</v>
      </c>
      <c r="CY19" s="403" t="e">
        <f>CY12*Assumptions!$C$43</f>
        <v>#N/A</v>
      </c>
      <c r="CZ19" s="403" t="e">
        <f>CZ12*Assumptions!$C$43</f>
        <v>#N/A</v>
      </c>
      <c r="DA19" s="403" t="e">
        <f>DA12*Assumptions!$C$43</f>
        <v>#N/A</v>
      </c>
      <c r="DB19" s="403" t="e">
        <f>DB12*Assumptions!$C$43</f>
        <v>#N/A</v>
      </c>
      <c r="DC19" s="403" t="e">
        <f>DC12*Assumptions!$C$43</f>
        <v>#N/A</v>
      </c>
      <c r="DD19" s="403" t="e">
        <f>DD12*Assumptions!$C$43</f>
        <v>#N/A</v>
      </c>
      <c r="DE19" s="403" t="e">
        <f>DE12*Assumptions!$C$43</f>
        <v>#N/A</v>
      </c>
      <c r="DF19" s="403" t="e">
        <f>DF12*Assumptions!$C$43</f>
        <v>#N/A</v>
      </c>
      <c r="DG19" s="403" t="e">
        <f>DG12*Assumptions!$C$43</f>
        <v>#N/A</v>
      </c>
      <c r="DH19" s="403" t="e">
        <f>DH12*Assumptions!$C$43</f>
        <v>#N/A</v>
      </c>
      <c r="DI19" s="403" t="e">
        <f>DI12*Assumptions!$C$43</f>
        <v>#N/A</v>
      </c>
      <c r="DJ19" s="403" t="e">
        <f>DJ12*Assumptions!$C$43</f>
        <v>#N/A</v>
      </c>
      <c r="DK19" s="403" t="e">
        <f>DK12*Assumptions!$C$43</f>
        <v>#N/A</v>
      </c>
      <c r="DL19" s="403" t="e">
        <f>DL12*Assumptions!$C$43</f>
        <v>#N/A</v>
      </c>
      <c r="DM19" s="403" t="e">
        <f>DM12*Assumptions!$C$43</f>
        <v>#N/A</v>
      </c>
      <c r="DN19" s="403" t="e">
        <f>DN12*Assumptions!$C$43</f>
        <v>#N/A</v>
      </c>
      <c r="DO19" s="403" t="e">
        <f>DO12*Assumptions!$C$43</f>
        <v>#N/A</v>
      </c>
      <c r="DP19" s="403" t="e">
        <f>DP12*Assumptions!$C$43</f>
        <v>#N/A</v>
      </c>
      <c r="DQ19" s="403" t="e">
        <f>DQ12*Assumptions!$C$43</f>
        <v>#N/A</v>
      </c>
      <c r="DR19" s="403" t="e">
        <f>DR12*Assumptions!$C$43</f>
        <v>#N/A</v>
      </c>
      <c r="DS19" s="403"/>
      <c r="DT19" s="403"/>
      <c r="DU19" s="403"/>
      <c r="DV19" s="403"/>
      <c r="DW19" s="403"/>
      <c r="DX19" s="403"/>
      <c r="DY19" s="403"/>
      <c r="DZ19" s="403"/>
      <c r="EA19" s="403"/>
      <c r="EB19" s="403"/>
      <c r="EC19" s="403"/>
      <c r="ED19" s="403"/>
    </row>
    <row r="20" spans="1:134" s="404" customFormat="1" ht="16" x14ac:dyDescent="0.2">
      <c r="A20" s="402"/>
      <c r="B20" s="409" t="s">
        <v>745</v>
      </c>
      <c r="C20" s="406">
        <f>C19*-Assumptions!$C$44</f>
        <v>0</v>
      </c>
      <c r="D20" s="406">
        <f>D19*-Assumptions!$C$44</f>
        <v>0</v>
      </c>
      <c r="E20" s="406">
        <f>E19*-Assumptions!$C$44</f>
        <v>0</v>
      </c>
      <c r="F20" s="406">
        <f>F19*-Assumptions!$C$44</f>
        <v>0</v>
      </c>
      <c r="G20" s="406">
        <f>G19*-Assumptions!$C$44</f>
        <v>0</v>
      </c>
      <c r="H20" s="406">
        <f>H19*-Assumptions!$C$44</f>
        <v>0</v>
      </c>
      <c r="I20" s="406">
        <f>I19*-Assumptions!$C$44</f>
        <v>0</v>
      </c>
      <c r="J20" s="406">
        <f>J19*-Assumptions!$C$44</f>
        <v>0</v>
      </c>
      <c r="K20" s="406">
        <f>K19*-Assumptions!$C$44</f>
        <v>0</v>
      </c>
      <c r="L20" s="406">
        <f>L19*-Assumptions!$C$44</f>
        <v>0</v>
      </c>
      <c r="M20" s="406">
        <f>M19*-Assumptions!$C$44</f>
        <v>0</v>
      </c>
      <c r="N20" s="406">
        <f>N19*-Assumptions!$C$44</f>
        <v>0</v>
      </c>
      <c r="O20" s="406">
        <f>O19*-Assumptions!$C$44</f>
        <v>0</v>
      </c>
      <c r="P20" s="406">
        <f>P19*-Assumptions!$C$44</f>
        <v>0</v>
      </c>
      <c r="Q20" s="406">
        <f>Q19*-Assumptions!$C$44</f>
        <v>0</v>
      </c>
      <c r="R20" s="406">
        <f>R19*-Assumptions!$C$44</f>
        <v>0</v>
      </c>
      <c r="S20" s="406">
        <f>S19*-Assumptions!$C$44</f>
        <v>0</v>
      </c>
      <c r="T20" s="406">
        <f>T19*-Assumptions!$C$44</f>
        <v>0</v>
      </c>
      <c r="U20" s="406">
        <f>U19*-Assumptions!$C$44</f>
        <v>0</v>
      </c>
      <c r="V20" s="406">
        <f>V19*-Assumptions!$C$44</f>
        <v>0</v>
      </c>
      <c r="W20" s="406">
        <f>W19*-Assumptions!$C$44</f>
        <v>0</v>
      </c>
      <c r="X20" s="406">
        <f>X19*-Assumptions!$C$44</f>
        <v>0</v>
      </c>
      <c r="Y20" s="406">
        <f>Y19*-Assumptions!$C$44</f>
        <v>0</v>
      </c>
      <c r="Z20" s="406">
        <f>Z19*-Assumptions!$C$44</f>
        <v>-91017.263250000004</v>
      </c>
      <c r="AA20" s="406">
        <f>AA19*-Assumptions!$C$44</f>
        <v>-91017.263250000004</v>
      </c>
      <c r="AB20" s="406">
        <f>AB19*-Assumptions!$C$44</f>
        <v>-73792.490850000002</v>
      </c>
      <c r="AC20" s="406">
        <f>AC19*-Assumptions!$C$44</f>
        <v>-36406.905299999999</v>
      </c>
      <c r="AD20" s="406">
        <f>AD19*-Assumptions!$C$44</f>
        <v>-35232.489000000001</v>
      </c>
      <c r="AE20" s="406">
        <f>AE19*-Assumptions!$C$44</f>
        <v>-66745.993050000005</v>
      </c>
      <c r="AF20" s="406">
        <f>AF19*-Assumptions!$C$44</f>
        <v>-319622.64750000008</v>
      </c>
      <c r="AG20" s="406">
        <f>AG19*-Assumptions!$C$44</f>
        <v>-279464.93025000003</v>
      </c>
      <c r="AH20" s="406">
        <f>AH19*-Assumptions!$C$44</f>
        <v>-254059.02750000003</v>
      </c>
      <c r="AI20" s="406">
        <f>AI19*-Assumptions!$C$44</f>
        <v>-147518.14500000002</v>
      </c>
      <c r="AJ20" s="406">
        <f>AJ19*-Assumptions!$C$44</f>
        <v>-101623.611</v>
      </c>
      <c r="AK20" s="406">
        <f>AK19*-Assumptions!$C$44</f>
        <v>-270449.93250000011</v>
      </c>
      <c r="AL20" s="406">
        <f>AL19*-Assumptions!$C$44</f>
        <v>-381088.54125000007</v>
      </c>
      <c r="AM20" s="406">
        <f>AM19*-Assumptions!$C$44</f>
        <v>-381088.54125000007</v>
      </c>
      <c r="AN20" s="406">
        <f>AN19*-Assumptions!$C$44</f>
        <v>-298314.47100000008</v>
      </c>
      <c r="AO20" s="406">
        <f>AO19*-Assumptions!$C$44</f>
        <v>-152435.41649999999</v>
      </c>
      <c r="AP20" s="406">
        <f>AP19*-Assumptions!$C$44</f>
        <v>-147518.14500000002</v>
      </c>
      <c r="AQ20" s="406">
        <f>AQ19*-Assumptions!$C$44</f>
        <v>-279464.93025000003</v>
      </c>
      <c r="AR20" s="406">
        <f>AR19*-Assumptions!$C$44</f>
        <v>-500072.00559907511</v>
      </c>
      <c r="AS20" s="406">
        <f>AS19*-Assumptions!$C$44</f>
        <v>-437242.44592124259</v>
      </c>
      <c r="AT20" s="406">
        <f>AT19*-Assumptions!$C$44</f>
        <v>-397493.13265567506</v>
      </c>
      <c r="AU20" s="406">
        <f>AU19*-Assumptions!$C$44</f>
        <v>-230802.46412265004</v>
      </c>
      <c r="AV20" s="406">
        <f>AV19*-Assumptions!$C$44</f>
        <v>-158997.25306227003</v>
      </c>
      <c r="AW20" s="406">
        <f>AW19*-Assumptions!$C$44</f>
        <v>-423137.8508915251</v>
      </c>
      <c r="AX20" s="406">
        <f>AX19*-Assumptions!$C$44</f>
        <v>-596239.69898351259</v>
      </c>
      <c r="AY20" s="406">
        <f>AY19*-Assumptions!$C$44</f>
        <v>-596239.69898351259</v>
      </c>
      <c r="AZ20" s="406">
        <f>AZ19*-Assumptions!$C$44</f>
        <v>-466733.87189247011</v>
      </c>
      <c r="BA20" s="406">
        <f>BA19*-Assumptions!$C$44</f>
        <v>-238495.879593405</v>
      </c>
      <c r="BB20" s="406">
        <f>BB19*-Assumptions!$C$44</f>
        <v>-230802.46412265004</v>
      </c>
      <c r="BC20" s="406">
        <f>BC19*-Assumptions!$C$44</f>
        <v>-437242.44592124259</v>
      </c>
      <c r="BD20" s="406">
        <f>BD19*-Assumptions!$C$44</f>
        <v>-515074.16576704744</v>
      </c>
      <c r="BE20" s="406">
        <f>BE19*-Assumptions!$C$44</f>
        <v>-450359.71929887985</v>
      </c>
      <c r="BF20" s="406">
        <f>BF19*-Assumptions!$C$44</f>
        <v>-409417.92663534533</v>
      </c>
      <c r="BG20" s="406">
        <f>BG19*-Assumptions!$C$44</f>
        <v>-237726.53804632957</v>
      </c>
      <c r="BH20" s="406">
        <f>BH19*-Assumptions!$C$44</f>
        <v>-163767.17065413814</v>
      </c>
      <c r="BI20" s="406">
        <f>BI19*-Assumptions!$C$44</f>
        <v>-435831.98641827086</v>
      </c>
      <c r="BJ20" s="406">
        <f>BJ19*-Assumptions!$C$44</f>
        <v>-614126.88995301793</v>
      </c>
      <c r="BK20" s="406">
        <f>BK19*-Assumptions!$C$44</f>
        <v>-614126.88995301793</v>
      </c>
      <c r="BL20" s="406">
        <f>BL19*-Assumptions!$C$44</f>
        <v>-480735.88804924418</v>
      </c>
      <c r="BM20" s="406">
        <f>BM19*-Assumptions!$C$44</f>
        <v>-245650.75598120718</v>
      </c>
      <c r="BN20" s="406">
        <f>BN19*-Assumptions!$C$44</f>
        <v>-237726.53804632957</v>
      </c>
      <c r="BO20" s="406">
        <f>BO19*-Assumptions!$C$44</f>
        <v>-450359.71929887985</v>
      </c>
      <c r="BP20" s="406">
        <f>BP19*-Assumptions!$C$44</f>
        <v>-530526.39074005873</v>
      </c>
      <c r="BQ20" s="406">
        <f>BQ19*-Assumptions!$C$44</f>
        <v>-463870.51087784627</v>
      </c>
      <c r="BR20" s="406">
        <f>BR19*-Assumptions!$C$44</f>
        <v>-421700.46443440567</v>
      </c>
      <c r="BS20" s="406">
        <f>BS19*-Assumptions!$C$44</f>
        <v>-244858.33418771939</v>
      </c>
      <c r="BT20" s="406">
        <f>BT19*-Assumptions!$C$44</f>
        <v>-168680.18577376226</v>
      </c>
      <c r="BU20" s="406">
        <f>BU19*-Assumptions!$C$44</f>
        <v>-448906.94601081894</v>
      </c>
      <c r="BV20" s="406">
        <f>BV19*-Assumptions!$C$44</f>
        <v>-632550.69665160845</v>
      </c>
      <c r="BW20" s="406">
        <f>BW19*-Assumptions!$C$44</f>
        <v>-632550.69665160845</v>
      </c>
      <c r="BX20" s="406">
        <f>BX19*-Assumptions!$C$44</f>
        <v>-512842.17771539011</v>
      </c>
      <c r="BY20" s="406">
        <f>BY19*-Assumptions!$C$44</f>
        <v>-253020.27866064338</v>
      </c>
      <c r="BZ20" s="406">
        <f>BZ19*-Assumptions!$C$44</f>
        <v>-244858.33418771939</v>
      </c>
      <c r="CA20" s="406">
        <f>CA19*-Assumptions!$C$44</f>
        <v>-463870.51087784627</v>
      </c>
      <c r="CB20" s="406">
        <f>CB19*-Assumptions!$C$44</f>
        <v>-546442.18246226059</v>
      </c>
      <c r="CC20" s="406">
        <f>CC19*-Assumptions!$C$44</f>
        <v>-477786.6262041817</v>
      </c>
      <c r="CD20" s="406">
        <f>CD19*-Assumptions!$C$44</f>
        <v>-434351.47836743784</v>
      </c>
      <c r="CE20" s="406">
        <f>CE19*-Assumptions!$C$44</f>
        <v>-252204.08421335102</v>
      </c>
      <c r="CF20" s="406">
        <f>CF19*-Assumptions!$C$44</f>
        <v>-173740.59134697515</v>
      </c>
      <c r="CG20" s="406">
        <f>CG19*-Assumptions!$C$44</f>
        <v>-462374.15439114347</v>
      </c>
      <c r="CH20" s="406">
        <f>CH19*-Assumptions!$C$44</f>
        <v>-651527.21755115676</v>
      </c>
      <c r="CI20" s="406">
        <f>CI19*-Assumptions!$C$44</f>
        <v>-651527.21755115676</v>
      </c>
      <c r="CJ20" s="406">
        <f>CJ19*-Assumptions!$C$44</f>
        <v>-510012.70363144315</v>
      </c>
      <c r="CK20" s="406">
        <f>CK19*-Assumptions!$C$44</f>
        <v>-260610.88702046272</v>
      </c>
      <c r="CL20" s="406">
        <f>CL19*-Assumptions!$C$44</f>
        <v>-252204.08421335102</v>
      </c>
      <c r="CM20" s="406">
        <f>CM19*-Assumptions!$C$44</f>
        <v>-477786.6262041817</v>
      </c>
      <c r="CN20" s="406">
        <f>CN19*-Assumptions!$C$44</f>
        <v>-562835.44793612836</v>
      </c>
      <c r="CO20" s="406">
        <f>CO19*-Assumptions!$C$44</f>
        <v>-492120.22499030724</v>
      </c>
      <c r="CP20" s="406">
        <f>CP19*-Assumptions!$C$44</f>
        <v>-447382.022718461</v>
      </c>
      <c r="CQ20" s="406">
        <f>CQ19*-Assumptions!$C$44</f>
        <v>-259770.20673975156</v>
      </c>
      <c r="CR20" s="406">
        <f>CR19*-Assumptions!$C$44</f>
        <v>-178952.8090873844</v>
      </c>
      <c r="CS20" s="406">
        <f>CS19*-Assumptions!$C$44</f>
        <v>-476245.3790228779</v>
      </c>
      <c r="CT20" s="406">
        <f>CT19*-Assumptions!$C$44</f>
        <v>-671073.03407769161</v>
      </c>
      <c r="CU20" s="406" t="e">
        <f>CU19*-Assumptions!$C$44</f>
        <v>#N/A</v>
      </c>
      <c r="CV20" s="406" t="e">
        <f>CV19*-Assumptions!$C$44</f>
        <v>#N/A</v>
      </c>
      <c r="CW20" s="406" t="e">
        <f>CW19*-Assumptions!$C$44</f>
        <v>#N/A</v>
      </c>
      <c r="CX20" s="406" t="e">
        <f>CX19*-Assumptions!$C$44</f>
        <v>#N/A</v>
      </c>
      <c r="CY20" s="406" t="e">
        <f>CY19*-Assumptions!$C$44</f>
        <v>#N/A</v>
      </c>
      <c r="CZ20" s="406" t="e">
        <f>CZ19*-Assumptions!$C$44</f>
        <v>#N/A</v>
      </c>
      <c r="DA20" s="406" t="e">
        <f>DA19*-Assumptions!$C$44</f>
        <v>#N/A</v>
      </c>
      <c r="DB20" s="406" t="e">
        <f>DB19*-Assumptions!$C$44</f>
        <v>#N/A</v>
      </c>
      <c r="DC20" s="406" t="e">
        <f>DC19*-Assumptions!$C$44</f>
        <v>#N/A</v>
      </c>
      <c r="DD20" s="406" t="e">
        <f>DD19*-Assumptions!$C$44</f>
        <v>#N/A</v>
      </c>
      <c r="DE20" s="406" t="e">
        <f>DE19*-Assumptions!$C$44</f>
        <v>#N/A</v>
      </c>
      <c r="DF20" s="406" t="e">
        <f>DF19*-Assumptions!$C$44</f>
        <v>#N/A</v>
      </c>
      <c r="DG20" s="406" t="e">
        <f>DG19*-Assumptions!$C$44</f>
        <v>#N/A</v>
      </c>
      <c r="DH20" s="406" t="e">
        <f>DH19*-Assumptions!$C$44</f>
        <v>#N/A</v>
      </c>
      <c r="DI20" s="406" t="e">
        <f>DI19*-Assumptions!$C$44</f>
        <v>#N/A</v>
      </c>
      <c r="DJ20" s="406" t="e">
        <f>DJ19*-Assumptions!$C$44</f>
        <v>#N/A</v>
      </c>
      <c r="DK20" s="406" t="e">
        <f>DK19*-Assumptions!$C$44</f>
        <v>#N/A</v>
      </c>
      <c r="DL20" s="406" t="e">
        <f>DL19*-Assumptions!$C$44</f>
        <v>#N/A</v>
      </c>
      <c r="DM20" s="406" t="e">
        <f>DM19*-Assumptions!$C$44</f>
        <v>#N/A</v>
      </c>
      <c r="DN20" s="406" t="e">
        <f>DN19*-Assumptions!$C$44</f>
        <v>#N/A</v>
      </c>
      <c r="DO20" s="406" t="e">
        <f>DO19*-Assumptions!$C$44</f>
        <v>#N/A</v>
      </c>
      <c r="DP20" s="406" t="e">
        <f>DP19*-Assumptions!$C$44</f>
        <v>#N/A</v>
      </c>
      <c r="DQ20" s="406" t="e">
        <f>DQ19*-Assumptions!$C$44</f>
        <v>#N/A</v>
      </c>
      <c r="DR20" s="406" t="e">
        <f>DR19*-Assumptions!$C$44</f>
        <v>#N/A</v>
      </c>
      <c r="DS20" s="403"/>
      <c r="DT20" s="403"/>
      <c r="DU20" s="403"/>
      <c r="DV20" s="403"/>
      <c r="DW20" s="403"/>
      <c r="DX20" s="403"/>
      <c r="DY20" s="403"/>
      <c r="DZ20" s="403"/>
      <c r="EA20" s="403"/>
      <c r="EB20" s="403"/>
      <c r="EC20" s="403"/>
      <c r="ED20" s="403"/>
    </row>
    <row r="21" spans="1:134" s="404" customFormat="1" ht="16" x14ac:dyDescent="0.2">
      <c r="A21" s="402"/>
      <c r="B21" s="408" t="s">
        <v>746</v>
      </c>
      <c r="C21" s="405">
        <f t="shared" ref="C21:AH21" si="21">C20+C19</f>
        <v>0</v>
      </c>
      <c r="D21" s="405">
        <f t="shared" si="21"/>
        <v>0</v>
      </c>
      <c r="E21" s="405">
        <f t="shared" si="21"/>
        <v>0</v>
      </c>
      <c r="F21" s="405">
        <f t="shared" si="21"/>
        <v>0</v>
      </c>
      <c r="G21" s="405">
        <f t="shared" si="21"/>
        <v>0</v>
      </c>
      <c r="H21" s="405">
        <f t="shared" si="21"/>
        <v>0</v>
      </c>
      <c r="I21" s="405">
        <f t="shared" si="21"/>
        <v>0</v>
      </c>
      <c r="J21" s="405">
        <f t="shared" si="21"/>
        <v>0</v>
      </c>
      <c r="K21" s="405">
        <f t="shared" si="21"/>
        <v>0</v>
      </c>
      <c r="L21" s="405">
        <f t="shared" si="21"/>
        <v>0</v>
      </c>
      <c r="M21" s="405">
        <f t="shared" si="21"/>
        <v>0</v>
      </c>
      <c r="N21" s="405">
        <f t="shared" si="21"/>
        <v>0</v>
      </c>
      <c r="O21" s="405">
        <f t="shared" si="21"/>
        <v>0</v>
      </c>
      <c r="P21" s="405">
        <f t="shared" si="21"/>
        <v>0</v>
      </c>
      <c r="Q21" s="405">
        <f t="shared" si="21"/>
        <v>0</v>
      </c>
      <c r="R21" s="405">
        <f t="shared" si="21"/>
        <v>0</v>
      </c>
      <c r="S21" s="405">
        <f t="shared" si="21"/>
        <v>0</v>
      </c>
      <c r="T21" s="405">
        <f t="shared" si="21"/>
        <v>0</v>
      </c>
      <c r="U21" s="405">
        <f t="shared" si="21"/>
        <v>0</v>
      </c>
      <c r="V21" s="405">
        <f t="shared" si="21"/>
        <v>0</v>
      </c>
      <c r="W21" s="405">
        <f t="shared" si="21"/>
        <v>0</v>
      </c>
      <c r="X21" s="405">
        <f t="shared" si="21"/>
        <v>0</v>
      </c>
      <c r="Y21" s="405">
        <f t="shared" si="21"/>
        <v>0</v>
      </c>
      <c r="Z21" s="405">
        <f t="shared" si="21"/>
        <v>30339.087750000006</v>
      </c>
      <c r="AA21" s="405">
        <f t="shared" si="21"/>
        <v>30339.087750000006</v>
      </c>
      <c r="AB21" s="405">
        <f t="shared" si="21"/>
        <v>24597.496950000001</v>
      </c>
      <c r="AC21" s="405">
        <f t="shared" si="21"/>
        <v>12135.6351</v>
      </c>
      <c r="AD21" s="405">
        <f t="shared" si="21"/>
        <v>11744.163</v>
      </c>
      <c r="AE21" s="405">
        <f t="shared" si="21"/>
        <v>22248.664350000006</v>
      </c>
      <c r="AF21" s="405">
        <f t="shared" si="21"/>
        <v>106540.88250000001</v>
      </c>
      <c r="AG21" s="405">
        <f t="shared" si="21"/>
        <v>93154.976750000031</v>
      </c>
      <c r="AH21" s="405">
        <f t="shared" si="21"/>
        <v>84686.342500000028</v>
      </c>
      <c r="AI21" s="405">
        <f t="shared" ref="AI21:BN21" si="22">AI20+AI19</f>
        <v>49172.714999999997</v>
      </c>
      <c r="AJ21" s="405">
        <f t="shared" si="22"/>
        <v>33874.537000000011</v>
      </c>
      <c r="AK21" s="405">
        <f t="shared" si="22"/>
        <v>90149.977500000037</v>
      </c>
      <c r="AL21" s="405">
        <f t="shared" si="22"/>
        <v>127029.51375000004</v>
      </c>
      <c r="AM21" s="405">
        <f t="shared" si="22"/>
        <v>127029.51375000004</v>
      </c>
      <c r="AN21" s="405">
        <f t="shared" si="22"/>
        <v>99438.157000000007</v>
      </c>
      <c r="AO21" s="405">
        <f t="shared" si="22"/>
        <v>50811.805500000017</v>
      </c>
      <c r="AP21" s="405">
        <f t="shared" si="22"/>
        <v>49172.714999999997</v>
      </c>
      <c r="AQ21" s="405">
        <f t="shared" si="22"/>
        <v>93154.976750000031</v>
      </c>
      <c r="AR21" s="405">
        <f t="shared" si="22"/>
        <v>166690.66853302508</v>
      </c>
      <c r="AS21" s="405">
        <f t="shared" si="22"/>
        <v>145747.48197374749</v>
      </c>
      <c r="AT21" s="405">
        <f t="shared" si="22"/>
        <v>132497.71088522498</v>
      </c>
      <c r="AU21" s="405">
        <f t="shared" si="22"/>
        <v>76934.154707550013</v>
      </c>
      <c r="AV21" s="405">
        <f t="shared" si="22"/>
        <v>52999.08435409001</v>
      </c>
      <c r="AW21" s="405">
        <f t="shared" si="22"/>
        <v>141045.95029717503</v>
      </c>
      <c r="AX21" s="405">
        <f t="shared" si="22"/>
        <v>198746.56632783753</v>
      </c>
      <c r="AY21" s="405">
        <f t="shared" si="22"/>
        <v>198746.56632783753</v>
      </c>
      <c r="AZ21" s="405">
        <f t="shared" si="22"/>
        <v>155577.95729749004</v>
      </c>
      <c r="BA21" s="405">
        <f t="shared" si="22"/>
        <v>79498.626531135</v>
      </c>
      <c r="BB21" s="405">
        <f t="shared" si="22"/>
        <v>76934.154707550013</v>
      </c>
      <c r="BC21" s="405">
        <f t="shared" si="22"/>
        <v>145747.48197374749</v>
      </c>
      <c r="BD21" s="405">
        <f t="shared" si="22"/>
        <v>171691.38858901581</v>
      </c>
      <c r="BE21" s="405">
        <f t="shared" si="22"/>
        <v>150119.90643295995</v>
      </c>
      <c r="BF21" s="405">
        <f t="shared" si="22"/>
        <v>136472.64221178181</v>
      </c>
      <c r="BG21" s="405">
        <f t="shared" si="22"/>
        <v>79242.179348776524</v>
      </c>
      <c r="BH21" s="405">
        <f t="shared" si="22"/>
        <v>54589.056884712714</v>
      </c>
      <c r="BI21" s="405">
        <f t="shared" si="22"/>
        <v>145277.32880609029</v>
      </c>
      <c r="BJ21" s="405">
        <f t="shared" si="22"/>
        <v>204708.96331767272</v>
      </c>
      <c r="BK21" s="405">
        <f t="shared" si="22"/>
        <v>204708.96331767272</v>
      </c>
      <c r="BL21" s="405">
        <f t="shared" si="22"/>
        <v>160245.29601641477</v>
      </c>
      <c r="BM21" s="405">
        <f t="shared" si="22"/>
        <v>81883.585327069042</v>
      </c>
      <c r="BN21" s="405">
        <f t="shared" si="22"/>
        <v>79242.179348776524</v>
      </c>
      <c r="BO21" s="405">
        <f t="shared" ref="BO21:CT21" si="23">BO20+BO19</f>
        <v>150119.90643295995</v>
      </c>
      <c r="BP21" s="405">
        <f t="shared" si="23"/>
        <v>176842.13024668628</v>
      </c>
      <c r="BQ21" s="405">
        <f t="shared" si="23"/>
        <v>154623.5036259488</v>
      </c>
      <c r="BR21" s="405">
        <f t="shared" si="23"/>
        <v>140566.82147813519</v>
      </c>
      <c r="BS21" s="405">
        <f t="shared" si="23"/>
        <v>81619.444729239796</v>
      </c>
      <c r="BT21" s="405">
        <f t="shared" si="23"/>
        <v>56226.728591254097</v>
      </c>
      <c r="BU21" s="405">
        <f t="shared" si="23"/>
        <v>149635.64867027302</v>
      </c>
      <c r="BV21" s="405">
        <f t="shared" si="23"/>
        <v>210850.23221720278</v>
      </c>
      <c r="BW21" s="405">
        <f t="shared" si="23"/>
        <v>210850.23221720278</v>
      </c>
      <c r="BX21" s="405">
        <f t="shared" si="23"/>
        <v>170947.39257179666</v>
      </c>
      <c r="BY21" s="405">
        <f t="shared" si="23"/>
        <v>84340.092886881146</v>
      </c>
      <c r="BZ21" s="405">
        <f t="shared" si="23"/>
        <v>81619.444729239796</v>
      </c>
      <c r="CA21" s="405">
        <f t="shared" si="23"/>
        <v>154623.5036259488</v>
      </c>
      <c r="CB21" s="405">
        <f t="shared" si="23"/>
        <v>182147.39415408683</v>
      </c>
      <c r="CC21" s="405">
        <f t="shared" si="23"/>
        <v>159262.20873472723</v>
      </c>
      <c r="CD21" s="405">
        <f t="shared" si="23"/>
        <v>144783.82612247928</v>
      </c>
      <c r="CE21" s="405">
        <f t="shared" si="23"/>
        <v>84068.028071117005</v>
      </c>
      <c r="CF21" s="405">
        <f t="shared" si="23"/>
        <v>57913.530448991718</v>
      </c>
      <c r="CG21" s="405">
        <f t="shared" si="23"/>
        <v>154124.7181303812</v>
      </c>
      <c r="CH21" s="405">
        <f t="shared" si="23"/>
        <v>217175.73918371892</v>
      </c>
      <c r="CI21" s="405">
        <f t="shared" si="23"/>
        <v>217175.73918371892</v>
      </c>
      <c r="CJ21" s="405">
        <f t="shared" si="23"/>
        <v>170004.23454381438</v>
      </c>
      <c r="CK21" s="405">
        <f t="shared" si="23"/>
        <v>86870.295673487592</v>
      </c>
      <c r="CL21" s="405">
        <f t="shared" si="23"/>
        <v>84068.028071117005</v>
      </c>
      <c r="CM21" s="405">
        <f t="shared" si="23"/>
        <v>159262.20873472723</v>
      </c>
      <c r="CN21" s="405">
        <f t="shared" si="23"/>
        <v>187611.81597870949</v>
      </c>
      <c r="CO21" s="405">
        <f t="shared" si="23"/>
        <v>164040.07499676908</v>
      </c>
      <c r="CP21" s="405">
        <f t="shared" si="23"/>
        <v>149127.34090615367</v>
      </c>
      <c r="CQ21" s="405">
        <f t="shared" si="23"/>
        <v>86590.068913250521</v>
      </c>
      <c r="CR21" s="405">
        <f t="shared" si="23"/>
        <v>59650.936362461478</v>
      </c>
      <c r="CS21" s="405">
        <f t="shared" si="23"/>
        <v>158748.45967429259</v>
      </c>
      <c r="CT21" s="405">
        <f t="shared" si="23"/>
        <v>223691.0113592305</v>
      </c>
      <c r="CU21" s="405" t="e">
        <f t="shared" ref="CU21:DR21" si="24">CU20+CU19</f>
        <v>#N/A</v>
      </c>
      <c r="CV21" s="405" t="e">
        <f t="shared" si="24"/>
        <v>#N/A</v>
      </c>
      <c r="CW21" s="405" t="e">
        <f t="shared" si="24"/>
        <v>#N/A</v>
      </c>
      <c r="CX21" s="405" t="e">
        <f t="shared" si="24"/>
        <v>#N/A</v>
      </c>
      <c r="CY21" s="405" t="e">
        <f t="shared" si="24"/>
        <v>#N/A</v>
      </c>
      <c r="CZ21" s="405" t="e">
        <f t="shared" si="24"/>
        <v>#N/A</v>
      </c>
      <c r="DA21" s="405" t="e">
        <f t="shared" si="24"/>
        <v>#N/A</v>
      </c>
      <c r="DB21" s="405" t="e">
        <f t="shared" si="24"/>
        <v>#N/A</v>
      </c>
      <c r="DC21" s="405" t="e">
        <f t="shared" si="24"/>
        <v>#N/A</v>
      </c>
      <c r="DD21" s="405" t="e">
        <f t="shared" si="24"/>
        <v>#N/A</v>
      </c>
      <c r="DE21" s="405" t="e">
        <f t="shared" si="24"/>
        <v>#N/A</v>
      </c>
      <c r="DF21" s="405" t="e">
        <f t="shared" si="24"/>
        <v>#N/A</v>
      </c>
      <c r="DG21" s="405" t="e">
        <f t="shared" si="24"/>
        <v>#N/A</v>
      </c>
      <c r="DH21" s="405" t="e">
        <f t="shared" si="24"/>
        <v>#N/A</v>
      </c>
      <c r="DI21" s="405" t="e">
        <f t="shared" si="24"/>
        <v>#N/A</v>
      </c>
      <c r="DJ21" s="405" t="e">
        <f t="shared" si="24"/>
        <v>#N/A</v>
      </c>
      <c r="DK21" s="405" t="e">
        <f t="shared" si="24"/>
        <v>#N/A</v>
      </c>
      <c r="DL21" s="405" t="e">
        <f t="shared" si="24"/>
        <v>#N/A</v>
      </c>
      <c r="DM21" s="405" t="e">
        <f t="shared" si="24"/>
        <v>#N/A</v>
      </c>
      <c r="DN21" s="405" t="e">
        <f t="shared" si="24"/>
        <v>#N/A</v>
      </c>
      <c r="DO21" s="405" t="e">
        <f t="shared" si="24"/>
        <v>#N/A</v>
      </c>
      <c r="DP21" s="405" t="e">
        <f t="shared" si="24"/>
        <v>#N/A</v>
      </c>
      <c r="DQ21" s="405" t="e">
        <f t="shared" si="24"/>
        <v>#N/A</v>
      </c>
      <c r="DR21" s="405" t="e">
        <f t="shared" si="24"/>
        <v>#N/A</v>
      </c>
      <c r="DS21" s="405"/>
      <c r="DT21" s="405"/>
      <c r="DU21" s="405"/>
      <c r="DV21" s="405"/>
      <c r="DW21" s="405"/>
      <c r="DX21" s="405"/>
      <c r="DY21" s="405"/>
      <c r="DZ21" s="405"/>
      <c r="EA21" s="405"/>
      <c r="EB21" s="405"/>
      <c r="EC21" s="405"/>
      <c r="ED21" s="405"/>
    </row>
    <row r="22" spans="1:134" s="153" customFormat="1" ht="16" x14ac:dyDescent="0.2">
      <c r="A22" s="316"/>
      <c r="B22" s="294"/>
    </row>
    <row r="23" spans="1:134" s="404" customFormat="1" ht="16" x14ac:dyDescent="0.2">
      <c r="A23" s="402"/>
      <c r="B23" s="294" t="s">
        <v>747</v>
      </c>
      <c r="C23" s="403">
        <f>IF(C6&gt;=Assumptions!$C$47,C12*Assumptions!$C$50,0)</f>
        <v>0</v>
      </c>
      <c r="D23" s="403">
        <f>IF(D6&gt;=Assumptions!$C$47,D12*Assumptions!$C$50,0)</f>
        <v>0</v>
      </c>
      <c r="E23" s="403">
        <f>IF(E6&gt;=Assumptions!$C$47,E12*Assumptions!$C$50,0)</f>
        <v>0</v>
      </c>
      <c r="F23" s="403">
        <f>IF(F6&gt;=Assumptions!$C$47,F12*Assumptions!$C$50,0)</f>
        <v>0</v>
      </c>
      <c r="G23" s="403">
        <f>IF(G6&gt;=Assumptions!$C$47,G12*Assumptions!$C$50,0)</f>
        <v>0</v>
      </c>
      <c r="H23" s="403">
        <f>IF(H6&gt;=Assumptions!$C$47,H12*Assumptions!$C$50,0)</f>
        <v>0</v>
      </c>
      <c r="I23" s="403">
        <f>IF(I6&gt;=Assumptions!$C$47,I12*Assumptions!$C$50,0)</f>
        <v>0</v>
      </c>
      <c r="J23" s="403">
        <f>IF(J6&gt;=Assumptions!$C$47,J12*Assumptions!$C$50,0)</f>
        <v>0</v>
      </c>
      <c r="K23" s="403">
        <f>IF(K6&gt;=Assumptions!$C$47,K12*Assumptions!$C$50,0)</f>
        <v>0</v>
      </c>
      <c r="L23" s="403">
        <f>IF(L6&gt;=Assumptions!$C$47,L12*Assumptions!$C$50,0)</f>
        <v>0</v>
      </c>
      <c r="M23" s="403">
        <f>IF(M6&gt;=Assumptions!$C$47,M12*Assumptions!$C$50,0)</f>
        <v>0</v>
      </c>
      <c r="N23" s="403">
        <f>IF(N6&gt;=Assumptions!$C$47,N12*Assumptions!$C$50,0)</f>
        <v>0</v>
      </c>
      <c r="O23" s="403">
        <f>IF(O6&gt;=Assumptions!$C$47,O12*Assumptions!$C$50,0)</f>
        <v>0</v>
      </c>
      <c r="P23" s="403">
        <f>IF(P6&gt;=Assumptions!$C$47,P12*Assumptions!$C$50,0)</f>
        <v>0</v>
      </c>
      <c r="Q23" s="403">
        <f>IF(Q6&gt;=Assumptions!$C$47,Q12*Assumptions!$C$50,0)</f>
        <v>0</v>
      </c>
      <c r="R23" s="403">
        <f>IF(R6&gt;=Assumptions!$C$47,R12*Assumptions!$C$50,0)</f>
        <v>0</v>
      </c>
      <c r="S23" s="403">
        <f>IF(S6&gt;=Assumptions!$C$47,S12*Assumptions!$C$50,0)</f>
        <v>0</v>
      </c>
      <c r="T23" s="403">
        <f>IF(T6&gt;=Assumptions!$C$47,T12*Assumptions!$C$50,0)</f>
        <v>0</v>
      </c>
      <c r="U23" s="403">
        <f>IF(U6&gt;=Assumptions!$C$47,U12*Assumptions!$C$50,0)</f>
        <v>0</v>
      </c>
      <c r="V23" s="403">
        <f>IF(V6&gt;=Assumptions!$C$47,V12*Assumptions!$C$50,0)</f>
        <v>0</v>
      </c>
      <c r="W23" s="403">
        <f>IF(W6&gt;=Assumptions!$C$47,W12*Assumptions!$C$50,0)</f>
        <v>0</v>
      </c>
      <c r="X23" s="403">
        <f>IF(X6&gt;=Assumptions!$C$47,X12*Assumptions!$C$50,0)</f>
        <v>0</v>
      </c>
      <c r="Y23" s="403">
        <f>IF(Y6&gt;=Assumptions!$C$47,Y12*Assumptions!$C$50,0)</f>
        <v>0</v>
      </c>
      <c r="Z23" s="403">
        <f>IF(Z6&gt;=Assumptions!$C$47,Z12*Assumptions!$C$50,0)</f>
        <v>30339.087750000002</v>
      </c>
      <c r="AA23" s="403">
        <f>IF(AA6&gt;=Assumptions!$C$47,AA12*Assumptions!$C$50,0)</f>
        <v>30339.087750000002</v>
      </c>
      <c r="AB23" s="403">
        <f>IF(AB6&gt;=Assumptions!$C$47,AB12*Assumptions!$C$50,0)</f>
        <v>24597.496950000001</v>
      </c>
      <c r="AC23" s="403">
        <f>IF(AC6&gt;=Assumptions!$C$47,AC12*Assumptions!$C$50,0)</f>
        <v>12135.6351</v>
      </c>
      <c r="AD23" s="403">
        <f>IF(AD6&gt;=Assumptions!$C$47,AD12*Assumptions!$C$50,0)</f>
        <v>11744.163</v>
      </c>
      <c r="AE23" s="403">
        <f>IF(AE6&gt;=Assumptions!$C$47,AE12*Assumptions!$C$50,0)</f>
        <v>22248.664350000003</v>
      </c>
      <c r="AF23" s="403">
        <f>IF(AF6&gt;=Assumptions!$C$47,AF12*Assumptions!$C$50,0)</f>
        <v>106540.88250000002</v>
      </c>
      <c r="AG23" s="403">
        <f>IF(AG6&gt;=Assumptions!$C$47,AG12*Assumptions!$C$50,0)</f>
        <v>93154.976750000016</v>
      </c>
      <c r="AH23" s="403">
        <f>IF(AH6&gt;=Assumptions!$C$47,AH12*Assumptions!$C$50,0)</f>
        <v>84686.342500000013</v>
      </c>
      <c r="AI23" s="403">
        <f>IF(AI6&gt;=Assumptions!$C$47,AI12*Assumptions!$C$50,0)</f>
        <v>49172.715000000004</v>
      </c>
      <c r="AJ23" s="403">
        <f>IF(AJ6&gt;=Assumptions!$C$47,AJ12*Assumptions!$C$50,0)</f>
        <v>33874.537000000004</v>
      </c>
      <c r="AK23" s="403">
        <f>IF(AK6&gt;=Assumptions!$C$47,AK12*Assumptions!$C$50,0)</f>
        <v>90149.977500000037</v>
      </c>
      <c r="AL23" s="403">
        <f>IF(AL6&gt;=Assumptions!$C$47,AL12*Assumptions!$C$50,0)</f>
        <v>127029.51375000003</v>
      </c>
      <c r="AM23" s="403">
        <f>IF(AM6&gt;=Assumptions!$C$47,AM12*Assumptions!$C$50,0)</f>
        <v>127029.51375000003</v>
      </c>
      <c r="AN23" s="403">
        <f>IF(AN6&gt;=Assumptions!$C$47,AN12*Assumptions!$C$50,0)</f>
        <v>99438.157000000021</v>
      </c>
      <c r="AO23" s="403">
        <f>IF(AO6&gt;=Assumptions!$C$47,AO12*Assumptions!$C$50,0)</f>
        <v>50811.805500000002</v>
      </c>
      <c r="AP23" s="403">
        <f>IF(AP6&gt;=Assumptions!$C$47,AP12*Assumptions!$C$50,0)</f>
        <v>49172.715000000004</v>
      </c>
      <c r="AQ23" s="403">
        <f>IF(AQ6&gt;=Assumptions!$C$47,AQ12*Assumptions!$C$50,0)</f>
        <v>93154.976750000016</v>
      </c>
      <c r="AR23" s="403">
        <f>IF(AR6&gt;=Assumptions!$C$47,AR12*Assumptions!$C$50,0)</f>
        <v>166690.66853302505</v>
      </c>
      <c r="AS23" s="403">
        <f>IF(AS6&gt;=Assumptions!$C$47,AS12*Assumptions!$C$50,0)</f>
        <v>145747.48197374752</v>
      </c>
      <c r="AT23" s="403">
        <f>IF(AT6&gt;=Assumptions!$C$47,AT12*Assumptions!$C$50,0)</f>
        <v>132497.71088522501</v>
      </c>
      <c r="AU23" s="403">
        <f>IF(AU6&gt;=Assumptions!$C$47,AU12*Assumptions!$C$50,0)</f>
        <v>76934.154707550013</v>
      </c>
      <c r="AV23" s="403">
        <f>IF(AV6&gt;=Assumptions!$C$47,AV12*Assumptions!$C$50,0)</f>
        <v>52999.08435409001</v>
      </c>
      <c r="AW23" s="403">
        <f>IF(AW6&gt;=Assumptions!$C$47,AW12*Assumptions!$C$50,0)</f>
        <v>141045.95029717503</v>
      </c>
      <c r="AX23" s="403">
        <f>IF(AX6&gt;=Assumptions!$C$47,AX12*Assumptions!$C$50,0)</f>
        <v>198746.56632783753</v>
      </c>
      <c r="AY23" s="403">
        <f>IF(AY6&gt;=Assumptions!$C$47,AY12*Assumptions!$C$50,0)</f>
        <v>198746.56632783753</v>
      </c>
      <c r="AZ23" s="403">
        <f>IF(AZ6&gt;=Assumptions!$C$47,AZ12*Assumptions!$C$50,0)</f>
        <v>155577.95729749004</v>
      </c>
      <c r="BA23" s="403">
        <f>IF(BA6&gt;=Assumptions!$C$47,BA12*Assumptions!$C$50,0)</f>
        <v>79498.626531135</v>
      </c>
      <c r="BB23" s="403">
        <f>IF(BB6&gt;=Assumptions!$C$47,BB12*Assumptions!$C$50,0)</f>
        <v>76934.154707550013</v>
      </c>
      <c r="BC23" s="403">
        <f>IF(BC6&gt;=Assumptions!$C$47,BC12*Assumptions!$C$50,0)</f>
        <v>145747.48197374752</v>
      </c>
      <c r="BD23" s="403">
        <f>IF(BD6&gt;=Assumptions!$C$47,BD12*Assumptions!$C$50,0)</f>
        <v>171691.38858901581</v>
      </c>
      <c r="BE23" s="403">
        <f>IF(BE6&gt;=Assumptions!$C$47,BE12*Assumptions!$C$50,0)</f>
        <v>150119.90643295995</v>
      </c>
      <c r="BF23" s="403">
        <f>IF(BF6&gt;=Assumptions!$C$47,BF12*Assumptions!$C$50,0)</f>
        <v>136472.64221178179</v>
      </c>
      <c r="BG23" s="403">
        <f>IF(BG6&gt;=Assumptions!$C$47,BG12*Assumptions!$C$50,0)</f>
        <v>79242.179348776524</v>
      </c>
      <c r="BH23" s="403">
        <f>IF(BH6&gt;=Assumptions!$C$47,BH12*Assumptions!$C$50,0)</f>
        <v>54589.056884712714</v>
      </c>
      <c r="BI23" s="403">
        <f>IF(BI6&gt;=Assumptions!$C$47,BI12*Assumptions!$C$50,0)</f>
        <v>145277.32880609029</v>
      </c>
      <c r="BJ23" s="403">
        <f>IF(BJ6&gt;=Assumptions!$C$47,BJ12*Assumptions!$C$50,0)</f>
        <v>204708.96331767266</v>
      </c>
      <c r="BK23" s="403">
        <f>IF(BK6&gt;=Assumptions!$C$47,BK12*Assumptions!$C$50,0)</f>
        <v>204708.96331767266</v>
      </c>
      <c r="BL23" s="403">
        <f>IF(BL6&gt;=Assumptions!$C$47,BL12*Assumptions!$C$50,0)</f>
        <v>160245.29601641474</v>
      </c>
      <c r="BM23" s="403">
        <f>IF(BM6&gt;=Assumptions!$C$47,BM12*Assumptions!$C$50,0)</f>
        <v>81883.585327069057</v>
      </c>
      <c r="BN23" s="403">
        <f>IF(BN6&gt;=Assumptions!$C$47,BN12*Assumptions!$C$50,0)</f>
        <v>79242.179348776524</v>
      </c>
      <c r="BO23" s="403">
        <f>IF(BO6&gt;=Assumptions!$C$47,BO12*Assumptions!$C$50,0)</f>
        <v>150119.90643295995</v>
      </c>
      <c r="BP23" s="403">
        <f>IF(BP6&gt;=Assumptions!$C$47,BP12*Assumptions!$C$50,0)</f>
        <v>176842.13024668625</v>
      </c>
      <c r="BQ23" s="403">
        <f>IF(BQ6&gt;=Assumptions!$C$47,BQ12*Assumptions!$C$50,0)</f>
        <v>154623.50362594877</v>
      </c>
      <c r="BR23" s="403">
        <f>IF(BR6&gt;=Assumptions!$C$47,BR12*Assumptions!$C$50,0)</f>
        <v>140566.82147813521</v>
      </c>
      <c r="BS23" s="403">
        <f>IF(BS6&gt;=Assumptions!$C$47,BS12*Assumptions!$C$50,0)</f>
        <v>81619.444729239796</v>
      </c>
      <c r="BT23" s="403">
        <f>IF(BT6&gt;=Assumptions!$C$47,BT12*Assumptions!$C$50,0)</f>
        <v>56226.72859125409</v>
      </c>
      <c r="BU23" s="403">
        <f>IF(BU6&gt;=Assumptions!$C$47,BU12*Assumptions!$C$50,0)</f>
        <v>149635.64867027299</v>
      </c>
      <c r="BV23" s="403">
        <f>IF(BV6&gt;=Assumptions!$C$47,BV12*Assumptions!$C$50,0)</f>
        <v>210850.23221720281</v>
      </c>
      <c r="BW23" s="403">
        <f>IF(BW6&gt;=Assumptions!$C$47,BW12*Assumptions!$C$50,0)</f>
        <v>210850.23221720281</v>
      </c>
      <c r="BX23" s="403">
        <f>IF(BX6&gt;=Assumptions!$C$47,BX12*Assumptions!$C$50,0)</f>
        <v>170947.39257179669</v>
      </c>
      <c r="BY23" s="403">
        <f>IF(BY6&gt;=Assumptions!$C$47,BY12*Assumptions!$C$50,0)</f>
        <v>84340.092886881132</v>
      </c>
      <c r="BZ23" s="403">
        <f>IF(BZ6&gt;=Assumptions!$C$47,BZ12*Assumptions!$C$50,0)</f>
        <v>81619.444729239796</v>
      </c>
      <c r="CA23" s="403">
        <f>IF(CA6&gt;=Assumptions!$C$47,CA12*Assumptions!$C$50,0)</f>
        <v>154623.50362594877</v>
      </c>
      <c r="CB23" s="403">
        <f>IF(CB6&gt;=Assumptions!$C$47,CB12*Assumptions!$C$50,0)</f>
        <v>182147.39415408685</v>
      </c>
      <c r="CC23" s="403">
        <f>IF(CC6&gt;=Assumptions!$C$47,CC12*Assumptions!$C$50,0)</f>
        <v>159262.20873472723</v>
      </c>
      <c r="CD23" s="403">
        <f>IF(CD6&gt;=Assumptions!$C$47,CD12*Assumptions!$C$50,0)</f>
        <v>144783.82612247928</v>
      </c>
      <c r="CE23" s="403">
        <f>IF(CE6&gt;=Assumptions!$C$47,CE12*Assumptions!$C$50,0)</f>
        <v>84068.028071117005</v>
      </c>
      <c r="CF23" s="403">
        <f>IF(CF6&gt;=Assumptions!$C$47,CF12*Assumptions!$C$50,0)</f>
        <v>57913.530448991718</v>
      </c>
      <c r="CG23" s="403">
        <f>IF(CG6&gt;=Assumptions!$C$47,CG12*Assumptions!$C$50,0)</f>
        <v>154124.71813038117</v>
      </c>
      <c r="CH23" s="403">
        <f>IF(CH6&gt;=Assumptions!$C$47,CH12*Assumptions!$C$50,0)</f>
        <v>217175.73918371892</v>
      </c>
      <c r="CI23" s="403">
        <f>IF(CI6&gt;=Assumptions!$C$47,CI12*Assumptions!$C$50,0)</f>
        <v>217175.73918371892</v>
      </c>
      <c r="CJ23" s="403">
        <f>IF(CJ6&gt;=Assumptions!$C$47,CJ12*Assumptions!$C$50,0)</f>
        <v>170004.23454381438</v>
      </c>
      <c r="CK23" s="403">
        <f>IF(CK6&gt;=Assumptions!$C$47,CK12*Assumptions!$C$50,0)</f>
        <v>86870.295673487577</v>
      </c>
      <c r="CL23" s="403">
        <f>IF(CL6&gt;=Assumptions!$C$47,CL12*Assumptions!$C$50,0)</f>
        <v>84068.028071117005</v>
      </c>
      <c r="CM23" s="403">
        <f>IF(CM6&gt;=Assumptions!$C$47,CM12*Assumptions!$C$50,0)</f>
        <v>159262.20873472723</v>
      </c>
      <c r="CN23" s="403">
        <f>IF(CN6&gt;=Assumptions!$C$47,CN12*Assumptions!$C$50,0)</f>
        <v>187611.81597870946</v>
      </c>
      <c r="CO23" s="403">
        <f>IF(CO6&gt;=Assumptions!$C$47,CO12*Assumptions!$C$50,0)</f>
        <v>164040.07499676908</v>
      </c>
      <c r="CP23" s="403">
        <f>IF(CP6&gt;=Assumptions!$C$47,CP12*Assumptions!$C$50,0)</f>
        <v>149127.34090615367</v>
      </c>
      <c r="CQ23" s="403">
        <f>IF(CQ6&gt;=Assumptions!$C$47,CQ12*Assumptions!$C$50,0)</f>
        <v>86590.068913250521</v>
      </c>
      <c r="CR23" s="403">
        <f>IF(CR6&gt;=Assumptions!$C$47,CR12*Assumptions!$C$50,0)</f>
        <v>59650.936362461471</v>
      </c>
      <c r="CS23" s="403">
        <f>IF(CS6&gt;=Assumptions!$C$47,CS12*Assumptions!$C$50,0)</f>
        <v>158748.45967429262</v>
      </c>
      <c r="CT23" s="403">
        <f>IF(CT6&gt;=Assumptions!$C$47,CT12*Assumptions!$C$50,0)</f>
        <v>223691.01135923053</v>
      </c>
      <c r="CU23" s="403" t="e">
        <f>IF(CU6&gt;=Assumptions!$C$47,CU12*Assumptions!$C$50,0)</f>
        <v>#N/A</v>
      </c>
      <c r="CV23" s="403" t="e">
        <f>IF(CV6&gt;=Assumptions!$C$47,CV12*Assumptions!$C$50,0)</f>
        <v>#N/A</v>
      </c>
      <c r="CW23" s="403" t="e">
        <f>IF(CW6&gt;=Assumptions!$C$47,CW12*Assumptions!$C$50,0)</f>
        <v>#N/A</v>
      </c>
      <c r="CX23" s="403" t="e">
        <f>IF(CX6&gt;=Assumptions!$C$47,CX12*Assumptions!$C$50,0)</f>
        <v>#N/A</v>
      </c>
      <c r="CY23" s="403" t="e">
        <f>IF(CY6&gt;=Assumptions!$C$47,CY12*Assumptions!$C$50,0)</f>
        <v>#N/A</v>
      </c>
      <c r="CZ23" s="403" t="e">
        <f>IF(CZ6&gt;=Assumptions!$C$47,CZ12*Assumptions!$C$50,0)</f>
        <v>#N/A</v>
      </c>
      <c r="DA23" s="403" t="e">
        <f>IF(DA6&gt;=Assumptions!$C$47,DA12*Assumptions!$C$50,0)</f>
        <v>#N/A</v>
      </c>
      <c r="DB23" s="403" t="e">
        <f>IF(DB6&gt;=Assumptions!$C$47,DB12*Assumptions!$C$50,0)</f>
        <v>#N/A</v>
      </c>
      <c r="DC23" s="403" t="e">
        <f>IF(DC6&gt;=Assumptions!$C$47,DC12*Assumptions!$C$50,0)</f>
        <v>#N/A</v>
      </c>
      <c r="DD23" s="403" t="e">
        <f>IF(DD6&gt;=Assumptions!$C$47,DD12*Assumptions!$C$50,0)</f>
        <v>#N/A</v>
      </c>
      <c r="DE23" s="403" t="e">
        <f>IF(DE6&gt;=Assumptions!$C$47,DE12*Assumptions!$C$50,0)</f>
        <v>#N/A</v>
      </c>
      <c r="DF23" s="403" t="e">
        <f>IF(DF6&gt;=Assumptions!$C$47,DF12*Assumptions!$C$50,0)</f>
        <v>#N/A</v>
      </c>
      <c r="DG23" s="403" t="e">
        <f>IF(DG6&gt;=Assumptions!$C$47,DG12*Assumptions!$C$50,0)</f>
        <v>#N/A</v>
      </c>
      <c r="DH23" s="403" t="e">
        <f>IF(DH6&gt;=Assumptions!$C$47,DH12*Assumptions!$C$50,0)</f>
        <v>#N/A</v>
      </c>
      <c r="DI23" s="403" t="e">
        <f>IF(DI6&gt;=Assumptions!$C$47,DI12*Assumptions!$C$50,0)</f>
        <v>#N/A</v>
      </c>
      <c r="DJ23" s="403" t="e">
        <f>IF(DJ6&gt;=Assumptions!$C$47,DJ12*Assumptions!$C$50,0)</f>
        <v>#N/A</v>
      </c>
      <c r="DK23" s="403" t="e">
        <f>IF(DK6&gt;=Assumptions!$C$47,DK12*Assumptions!$C$50,0)</f>
        <v>#N/A</v>
      </c>
      <c r="DL23" s="403" t="e">
        <f>IF(DL6&gt;=Assumptions!$C$47,DL12*Assumptions!$C$50,0)</f>
        <v>#N/A</v>
      </c>
      <c r="DM23" s="403" t="e">
        <f>IF(DM6&gt;=Assumptions!$C$47,DM12*Assumptions!$C$50,0)</f>
        <v>#N/A</v>
      </c>
      <c r="DN23" s="403" t="e">
        <f>IF(DN6&gt;=Assumptions!$C$47,DN12*Assumptions!$C$50,0)</f>
        <v>#N/A</v>
      </c>
      <c r="DO23" s="403" t="e">
        <f>IF(DO6&gt;=Assumptions!$C$47,DO12*Assumptions!$C$50,0)</f>
        <v>#N/A</v>
      </c>
      <c r="DP23" s="403" t="e">
        <f>IF(DP6&gt;=Assumptions!$C$47,DP12*Assumptions!$C$50,0)</f>
        <v>#N/A</v>
      </c>
      <c r="DQ23" s="403" t="e">
        <f>IF(DQ6&gt;=Assumptions!$C$47,DQ12*Assumptions!$C$50,0)</f>
        <v>#N/A</v>
      </c>
      <c r="DR23" s="403" t="e">
        <f>IF(DR6&gt;=Assumptions!$C$47,DR12*Assumptions!$C$50,0)</f>
        <v>#N/A</v>
      </c>
      <c r="DS23" s="403"/>
      <c r="DT23" s="403"/>
      <c r="DU23" s="403"/>
      <c r="DV23" s="403"/>
      <c r="DW23" s="403"/>
      <c r="DX23" s="403"/>
      <c r="DY23" s="403"/>
      <c r="DZ23" s="403"/>
      <c r="EA23" s="403"/>
      <c r="EB23" s="403"/>
      <c r="EC23" s="403"/>
      <c r="ED23" s="403"/>
    </row>
    <row r="24" spans="1:134" s="404" customFormat="1" ht="16" x14ac:dyDescent="0.2">
      <c r="A24" s="402"/>
      <c r="B24" s="409" t="s">
        <v>748</v>
      </c>
      <c r="C24" s="406">
        <f>-C23*Assumptions!$C$52</f>
        <v>0</v>
      </c>
      <c r="D24" s="406">
        <f>-D23*Assumptions!$C$52</f>
        <v>0</v>
      </c>
      <c r="E24" s="406">
        <f>-E23*Assumptions!$C$52</f>
        <v>0</v>
      </c>
      <c r="F24" s="406">
        <f>-F23*Assumptions!$C$52</f>
        <v>0</v>
      </c>
      <c r="G24" s="406">
        <f>-G23*Assumptions!$C$52</f>
        <v>0</v>
      </c>
      <c r="H24" s="406">
        <f>-H23*Assumptions!$C$52</f>
        <v>0</v>
      </c>
      <c r="I24" s="406">
        <f>-I23*Assumptions!$C$52</f>
        <v>0</v>
      </c>
      <c r="J24" s="406">
        <f>-J23*Assumptions!$C$52</f>
        <v>0</v>
      </c>
      <c r="K24" s="406">
        <f>-K23*Assumptions!$C$52</f>
        <v>0</v>
      </c>
      <c r="L24" s="406">
        <f>-L23*Assumptions!$C$52</f>
        <v>0</v>
      </c>
      <c r="M24" s="406">
        <f>-M23*Assumptions!$C$52</f>
        <v>0</v>
      </c>
      <c r="N24" s="406">
        <f>-N23*Assumptions!$C$52</f>
        <v>0</v>
      </c>
      <c r="O24" s="406">
        <f>-O23*Assumptions!$C$52</f>
        <v>0</v>
      </c>
      <c r="P24" s="406">
        <f>-P23*Assumptions!$C$52</f>
        <v>0</v>
      </c>
      <c r="Q24" s="406">
        <f>-Q23*Assumptions!$C$52</f>
        <v>0</v>
      </c>
      <c r="R24" s="406">
        <f>-R23*Assumptions!$C$52</f>
        <v>0</v>
      </c>
      <c r="S24" s="406">
        <f>-S23*Assumptions!$C$52</f>
        <v>0</v>
      </c>
      <c r="T24" s="406">
        <f>-T23*Assumptions!$C$52</f>
        <v>0</v>
      </c>
      <c r="U24" s="406">
        <f>-U23*Assumptions!$C$52</f>
        <v>0</v>
      </c>
      <c r="V24" s="406">
        <f>-V23*Assumptions!$C$52</f>
        <v>0</v>
      </c>
      <c r="W24" s="406">
        <f>-W23*Assumptions!$C$52</f>
        <v>0</v>
      </c>
      <c r="X24" s="406">
        <f>-X23*Assumptions!$C$52</f>
        <v>0</v>
      </c>
      <c r="Y24" s="406">
        <f>-Y23*Assumptions!$C$52</f>
        <v>0</v>
      </c>
      <c r="Z24" s="406">
        <f>-Z23*Assumptions!$C$52</f>
        <v>-7584.7719375000006</v>
      </c>
      <c r="AA24" s="406">
        <f>-AA23*Assumptions!$C$52</f>
        <v>-7584.7719375000006</v>
      </c>
      <c r="AB24" s="406">
        <f>-AB23*Assumptions!$C$52</f>
        <v>-6149.3742375000002</v>
      </c>
      <c r="AC24" s="406">
        <f>-AC23*Assumptions!$C$52</f>
        <v>-3033.9087749999999</v>
      </c>
      <c r="AD24" s="406">
        <f>-AD23*Assumptions!$C$52</f>
        <v>-2936.0407500000001</v>
      </c>
      <c r="AE24" s="406">
        <f>-AE23*Assumptions!$C$52</f>
        <v>-5562.1660875000007</v>
      </c>
      <c r="AF24" s="406">
        <f>-AF23*Assumptions!$C$52</f>
        <v>-26635.220625000005</v>
      </c>
      <c r="AG24" s="406">
        <f>-AG23*Assumptions!$C$52</f>
        <v>-23288.744187500004</v>
      </c>
      <c r="AH24" s="406">
        <f>-AH23*Assumptions!$C$52</f>
        <v>-21171.585625000003</v>
      </c>
      <c r="AI24" s="406">
        <f>-AI23*Assumptions!$C$52</f>
        <v>-12293.178750000001</v>
      </c>
      <c r="AJ24" s="406">
        <f>-AJ23*Assumptions!$C$52</f>
        <v>-8468.634250000001</v>
      </c>
      <c r="AK24" s="406">
        <f>-AK23*Assumptions!$C$52</f>
        <v>-22537.494375000009</v>
      </c>
      <c r="AL24" s="406">
        <f>-AL23*Assumptions!$C$52</f>
        <v>-31757.378437500007</v>
      </c>
      <c r="AM24" s="406">
        <f>-AM23*Assumptions!$C$52</f>
        <v>-31757.378437500007</v>
      </c>
      <c r="AN24" s="406">
        <f>-AN23*Assumptions!$C$52</f>
        <v>-24859.539250000005</v>
      </c>
      <c r="AO24" s="406">
        <f>-AO23*Assumptions!$C$52</f>
        <v>-12702.951375000001</v>
      </c>
      <c r="AP24" s="406">
        <f>-AP23*Assumptions!$C$52</f>
        <v>-12293.178750000001</v>
      </c>
      <c r="AQ24" s="406">
        <f>-AQ23*Assumptions!$C$52</f>
        <v>-23288.744187500004</v>
      </c>
      <c r="AR24" s="406">
        <f>-AR23*Assumptions!$C$52</f>
        <v>-41672.667133256262</v>
      </c>
      <c r="AS24" s="406">
        <f>-AS23*Assumptions!$C$52</f>
        <v>-36436.87049343688</v>
      </c>
      <c r="AT24" s="406">
        <f>-AT23*Assumptions!$C$52</f>
        <v>-33124.427721306252</v>
      </c>
      <c r="AU24" s="406">
        <f>-AU23*Assumptions!$C$52</f>
        <v>-19233.538676887503</v>
      </c>
      <c r="AV24" s="406">
        <f>-AV23*Assumptions!$C$52</f>
        <v>-13249.771088522502</v>
      </c>
      <c r="AW24" s="406">
        <f>-AW23*Assumptions!$C$52</f>
        <v>-35261.487574293758</v>
      </c>
      <c r="AX24" s="406">
        <f>-AX23*Assumptions!$C$52</f>
        <v>-49686.641581959382</v>
      </c>
      <c r="AY24" s="406">
        <f>-AY23*Assumptions!$C$52</f>
        <v>-49686.641581959382</v>
      </c>
      <c r="AZ24" s="406">
        <f>-AZ23*Assumptions!$C$52</f>
        <v>-38894.489324372509</v>
      </c>
      <c r="BA24" s="406">
        <f>-BA23*Assumptions!$C$52</f>
        <v>-19874.65663278375</v>
      </c>
      <c r="BB24" s="406">
        <f>-BB23*Assumptions!$C$52</f>
        <v>-19233.538676887503</v>
      </c>
      <c r="BC24" s="406">
        <f>-BC23*Assumptions!$C$52</f>
        <v>-36436.87049343688</v>
      </c>
      <c r="BD24" s="406">
        <f>-BD23*Assumptions!$C$52</f>
        <v>-42922.847147253953</v>
      </c>
      <c r="BE24" s="406">
        <f>-BE23*Assumptions!$C$52</f>
        <v>-37529.976608239987</v>
      </c>
      <c r="BF24" s="406">
        <f>-BF23*Assumptions!$C$52</f>
        <v>-34118.160552945446</v>
      </c>
      <c r="BG24" s="406">
        <f>-BG23*Assumptions!$C$52</f>
        <v>-19810.544837194131</v>
      </c>
      <c r="BH24" s="406">
        <f>-BH23*Assumptions!$C$52</f>
        <v>-13647.264221178179</v>
      </c>
      <c r="BI24" s="406">
        <f>-BI23*Assumptions!$C$52</f>
        <v>-36319.332201522571</v>
      </c>
      <c r="BJ24" s="406">
        <f>-BJ23*Assumptions!$C$52</f>
        <v>-51177.240829418166</v>
      </c>
      <c r="BK24" s="406">
        <f>-BK23*Assumptions!$C$52</f>
        <v>-51177.240829418166</v>
      </c>
      <c r="BL24" s="406">
        <f>-BL23*Assumptions!$C$52</f>
        <v>-40061.324004103684</v>
      </c>
      <c r="BM24" s="406">
        <f>-BM23*Assumptions!$C$52</f>
        <v>-20470.896331767264</v>
      </c>
      <c r="BN24" s="406">
        <f>-BN23*Assumptions!$C$52</f>
        <v>-19810.544837194131</v>
      </c>
      <c r="BO24" s="406">
        <f>-BO23*Assumptions!$C$52</f>
        <v>-37529.976608239987</v>
      </c>
      <c r="BP24" s="406">
        <f>-BP23*Assumptions!$C$52</f>
        <v>-44210.532561671564</v>
      </c>
      <c r="BQ24" s="406">
        <f>-BQ23*Assumptions!$C$52</f>
        <v>-38655.875906487192</v>
      </c>
      <c r="BR24" s="406">
        <f>-BR23*Assumptions!$C$52</f>
        <v>-35141.705369533804</v>
      </c>
      <c r="BS24" s="406">
        <f>-BS23*Assumptions!$C$52</f>
        <v>-20404.861182309949</v>
      </c>
      <c r="BT24" s="406">
        <f>-BT23*Assumptions!$C$52</f>
        <v>-14056.682147813523</v>
      </c>
      <c r="BU24" s="406">
        <f>-BU23*Assumptions!$C$52</f>
        <v>-37408.912167568247</v>
      </c>
      <c r="BV24" s="406">
        <f>-BV23*Assumptions!$C$52</f>
        <v>-52712.558054300702</v>
      </c>
      <c r="BW24" s="406">
        <f>-BW23*Assumptions!$C$52</f>
        <v>-52712.558054300702</v>
      </c>
      <c r="BX24" s="406">
        <f>-BX23*Assumptions!$C$52</f>
        <v>-42736.848142949173</v>
      </c>
      <c r="BY24" s="406">
        <f>-BY23*Assumptions!$C$52</f>
        <v>-21085.023221720283</v>
      </c>
      <c r="BZ24" s="406">
        <f>-BZ23*Assumptions!$C$52</f>
        <v>-20404.861182309949</v>
      </c>
      <c r="CA24" s="406">
        <f>-CA23*Assumptions!$C$52</f>
        <v>-38655.875906487192</v>
      </c>
      <c r="CB24" s="406">
        <f>-CB23*Assumptions!$C$52</f>
        <v>-45536.848538521714</v>
      </c>
      <c r="CC24" s="406">
        <f>-CC23*Assumptions!$C$52</f>
        <v>-39815.552183681808</v>
      </c>
      <c r="CD24" s="406">
        <f>-CD23*Assumptions!$C$52</f>
        <v>-36195.95653061982</v>
      </c>
      <c r="CE24" s="406">
        <f>-CE23*Assumptions!$C$52</f>
        <v>-21017.007017779251</v>
      </c>
      <c r="CF24" s="406">
        <f>-CF23*Assumptions!$C$52</f>
        <v>-14478.38261224793</v>
      </c>
      <c r="CG24" s="406">
        <f>-CG23*Assumptions!$C$52</f>
        <v>-38531.179532595292</v>
      </c>
      <c r="CH24" s="406">
        <f>-CH23*Assumptions!$C$52</f>
        <v>-54293.93479592973</v>
      </c>
      <c r="CI24" s="406">
        <f>-CI23*Assumptions!$C$52</f>
        <v>-54293.93479592973</v>
      </c>
      <c r="CJ24" s="406">
        <f>-CJ23*Assumptions!$C$52</f>
        <v>-42501.058635953596</v>
      </c>
      <c r="CK24" s="406">
        <f>-CK23*Assumptions!$C$52</f>
        <v>-21717.573918371894</v>
      </c>
      <c r="CL24" s="406">
        <f>-CL23*Assumptions!$C$52</f>
        <v>-21017.007017779251</v>
      </c>
      <c r="CM24" s="406">
        <f>-CM23*Assumptions!$C$52</f>
        <v>-39815.552183681808</v>
      </c>
      <c r="CN24" s="406">
        <f>-CN23*Assumptions!$C$52</f>
        <v>-46902.953994677366</v>
      </c>
      <c r="CO24" s="406">
        <f>-CO23*Assumptions!$C$52</f>
        <v>-41010.01874919227</v>
      </c>
      <c r="CP24" s="406">
        <f>-CP23*Assumptions!$C$52</f>
        <v>-37281.835226538416</v>
      </c>
      <c r="CQ24" s="406">
        <f>-CQ23*Assumptions!$C$52</f>
        <v>-21647.51722831263</v>
      </c>
      <c r="CR24" s="406">
        <f>-CR23*Assumptions!$C$52</f>
        <v>-14912.734090615368</v>
      </c>
      <c r="CS24" s="406">
        <f>-CS23*Assumptions!$C$52</f>
        <v>-39687.114918573156</v>
      </c>
      <c r="CT24" s="406">
        <f>-CT23*Assumptions!$C$52</f>
        <v>-55922.752839807632</v>
      </c>
      <c r="CU24" s="406" t="e">
        <f>-CU23*Assumptions!$C$52</f>
        <v>#N/A</v>
      </c>
      <c r="CV24" s="406" t="e">
        <f>-CV23*Assumptions!$C$52</f>
        <v>#N/A</v>
      </c>
      <c r="CW24" s="406" t="e">
        <f>-CW23*Assumptions!$C$52</f>
        <v>#N/A</v>
      </c>
      <c r="CX24" s="406" t="e">
        <f>-CX23*Assumptions!$C$52</f>
        <v>#N/A</v>
      </c>
      <c r="CY24" s="406" t="e">
        <f>-CY23*Assumptions!$C$52</f>
        <v>#N/A</v>
      </c>
      <c r="CZ24" s="406" t="e">
        <f>-CZ23*Assumptions!$C$52</f>
        <v>#N/A</v>
      </c>
      <c r="DA24" s="406" t="e">
        <f>-DA23*Assumptions!$C$52</f>
        <v>#N/A</v>
      </c>
      <c r="DB24" s="406" t="e">
        <f>-DB23*Assumptions!$C$52</f>
        <v>#N/A</v>
      </c>
      <c r="DC24" s="406" t="e">
        <f>-DC23*Assumptions!$C$52</f>
        <v>#N/A</v>
      </c>
      <c r="DD24" s="406" t="e">
        <f>-DD23*Assumptions!$C$52</f>
        <v>#N/A</v>
      </c>
      <c r="DE24" s="406" t="e">
        <f>-DE23*Assumptions!$C$52</f>
        <v>#N/A</v>
      </c>
      <c r="DF24" s="406" t="e">
        <f>-DF23*Assumptions!$C$52</f>
        <v>#N/A</v>
      </c>
      <c r="DG24" s="406" t="e">
        <f>-DG23*Assumptions!$C$52</f>
        <v>#N/A</v>
      </c>
      <c r="DH24" s="406" t="e">
        <f>-DH23*Assumptions!$C$52</f>
        <v>#N/A</v>
      </c>
      <c r="DI24" s="406" t="e">
        <f>-DI23*Assumptions!$C$52</f>
        <v>#N/A</v>
      </c>
      <c r="DJ24" s="406" t="e">
        <f>-DJ23*Assumptions!$C$52</f>
        <v>#N/A</v>
      </c>
      <c r="DK24" s="406" t="e">
        <f>-DK23*Assumptions!$C$52</f>
        <v>#N/A</v>
      </c>
      <c r="DL24" s="406" t="e">
        <f>-DL23*Assumptions!$C$52</f>
        <v>#N/A</v>
      </c>
      <c r="DM24" s="406" t="e">
        <f>-DM23*Assumptions!$C$52</f>
        <v>#N/A</v>
      </c>
      <c r="DN24" s="406" t="e">
        <f>-DN23*Assumptions!$C$52</f>
        <v>#N/A</v>
      </c>
      <c r="DO24" s="406" t="e">
        <f>-DO23*Assumptions!$C$52</f>
        <v>#N/A</v>
      </c>
      <c r="DP24" s="406" t="e">
        <f>-DP23*Assumptions!$C$52</f>
        <v>#N/A</v>
      </c>
      <c r="DQ24" s="406" t="e">
        <f>-DQ23*Assumptions!$C$52</f>
        <v>#N/A</v>
      </c>
      <c r="DR24" s="406" t="e">
        <f>-DR23*Assumptions!$C$52</f>
        <v>#N/A</v>
      </c>
      <c r="DS24" s="403"/>
      <c r="DT24" s="403"/>
      <c r="DU24" s="403"/>
      <c r="DV24" s="403"/>
      <c r="DW24" s="403"/>
      <c r="DX24" s="403"/>
      <c r="DY24" s="403"/>
      <c r="DZ24" s="403"/>
      <c r="EA24" s="403"/>
      <c r="EB24" s="403"/>
      <c r="EC24" s="403"/>
      <c r="ED24" s="403"/>
    </row>
    <row r="25" spans="1:134" s="404" customFormat="1" ht="16" x14ac:dyDescent="0.2">
      <c r="A25" s="402"/>
      <c r="B25" s="408" t="s">
        <v>749</v>
      </c>
      <c r="C25" s="405">
        <f t="shared" ref="C25:AH25" si="25">C23+C24</f>
        <v>0</v>
      </c>
      <c r="D25" s="405">
        <f t="shared" si="25"/>
        <v>0</v>
      </c>
      <c r="E25" s="405">
        <f t="shared" si="25"/>
        <v>0</v>
      </c>
      <c r="F25" s="405">
        <f t="shared" si="25"/>
        <v>0</v>
      </c>
      <c r="G25" s="405">
        <f t="shared" si="25"/>
        <v>0</v>
      </c>
      <c r="H25" s="405">
        <f t="shared" si="25"/>
        <v>0</v>
      </c>
      <c r="I25" s="405">
        <f t="shared" si="25"/>
        <v>0</v>
      </c>
      <c r="J25" s="405">
        <f t="shared" si="25"/>
        <v>0</v>
      </c>
      <c r="K25" s="405">
        <f t="shared" si="25"/>
        <v>0</v>
      </c>
      <c r="L25" s="405">
        <f t="shared" si="25"/>
        <v>0</v>
      </c>
      <c r="M25" s="405">
        <f t="shared" si="25"/>
        <v>0</v>
      </c>
      <c r="N25" s="405">
        <f t="shared" si="25"/>
        <v>0</v>
      </c>
      <c r="O25" s="405">
        <f t="shared" si="25"/>
        <v>0</v>
      </c>
      <c r="P25" s="405">
        <f t="shared" si="25"/>
        <v>0</v>
      </c>
      <c r="Q25" s="405">
        <f t="shared" si="25"/>
        <v>0</v>
      </c>
      <c r="R25" s="405">
        <f t="shared" si="25"/>
        <v>0</v>
      </c>
      <c r="S25" s="405">
        <f t="shared" si="25"/>
        <v>0</v>
      </c>
      <c r="T25" s="405">
        <f t="shared" si="25"/>
        <v>0</v>
      </c>
      <c r="U25" s="405">
        <f t="shared" si="25"/>
        <v>0</v>
      </c>
      <c r="V25" s="405">
        <f t="shared" si="25"/>
        <v>0</v>
      </c>
      <c r="W25" s="405">
        <f t="shared" si="25"/>
        <v>0</v>
      </c>
      <c r="X25" s="405">
        <f t="shared" si="25"/>
        <v>0</v>
      </c>
      <c r="Y25" s="405">
        <f t="shared" si="25"/>
        <v>0</v>
      </c>
      <c r="Z25" s="405">
        <f t="shared" si="25"/>
        <v>22754.315812500001</v>
      </c>
      <c r="AA25" s="405">
        <f t="shared" si="25"/>
        <v>22754.315812500001</v>
      </c>
      <c r="AB25" s="405">
        <f t="shared" si="25"/>
        <v>18448.1227125</v>
      </c>
      <c r="AC25" s="405">
        <f t="shared" si="25"/>
        <v>9101.7263249999996</v>
      </c>
      <c r="AD25" s="405">
        <f t="shared" si="25"/>
        <v>8808.1222500000003</v>
      </c>
      <c r="AE25" s="405">
        <f t="shared" si="25"/>
        <v>16686.498262500001</v>
      </c>
      <c r="AF25" s="405">
        <f t="shared" si="25"/>
        <v>79905.66187500002</v>
      </c>
      <c r="AG25" s="405">
        <f t="shared" si="25"/>
        <v>69866.232562500008</v>
      </c>
      <c r="AH25" s="405">
        <f t="shared" si="25"/>
        <v>63514.756875000006</v>
      </c>
      <c r="AI25" s="405">
        <f t="shared" ref="AI25:BN25" si="26">AI23+AI24</f>
        <v>36879.536250000005</v>
      </c>
      <c r="AJ25" s="405">
        <f t="shared" si="26"/>
        <v>25405.902750000001</v>
      </c>
      <c r="AK25" s="405">
        <f t="shared" si="26"/>
        <v>67612.483125000028</v>
      </c>
      <c r="AL25" s="405">
        <f t="shared" si="26"/>
        <v>95272.135312500017</v>
      </c>
      <c r="AM25" s="405">
        <f t="shared" si="26"/>
        <v>95272.135312500017</v>
      </c>
      <c r="AN25" s="405">
        <f t="shared" si="26"/>
        <v>74578.617750000019</v>
      </c>
      <c r="AO25" s="405">
        <f t="shared" si="26"/>
        <v>38108.854124999998</v>
      </c>
      <c r="AP25" s="405">
        <f t="shared" si="26"/>
        <v>36879.536250000005</v>
      </c>
      <c r="AQ25" s="405">
        <f t="shared" si="26"/>
        <v>69866.232562500008</v>
      </c>
      <c r="AR25" s="405">
        <f t="shared" si="26"/>
        <v>125018.00139976878</v>
      </c>
      <c r="AS25" s="405">
        <f t="shared" si="26"/>
        <v>109310.61148031065</v>
      </c>
      <c r="AT25" s="405">
        <f t="shared" si="26"/>
        <v>99373.283163918764</v>
      </c>
      <c r="AU25" s="405">
        <f t="shared" si="26"/>
        <v>57700.61603066251</v>
      </c>
      <c r="AV25" s="405">
        <f t="shared" si="26"/>
        <v>39749.313265567507</v>
      </c>
      <c r="AW25" s="405">
        <f t="shared" si="26"/>
        <v>105784.46272288128</v>
      </c>
      <c r="AX25" s="405">
        <f t="shared" si="26"/>
        <v>149059.92474587815</v>
      </c>
      <c r="AY25" s="405">
        <f t="shared" si="26"/>
        <v>149059.92474587815</v>
      </c>
      <c r="AZ25" s="405">
        <f t="shared" si="26"/>
        <v>116683.46797311753</v>
      </c>
      <c r="BA25" s="405">
        <f t="shared" si="26"/>
        <v>59623.96989835125</v>
      </c>
      <c r="BB25" s="405">
        <f t="shared" si="26"/>
        <v>57700.61603066251</v>
      </c>
      <c r="BC25" s="405">
        <f t="shared" si="26"/>
        <v>109310.61148031065</v>
      </c>
      <c r="BD25" s="405">
        <f t="shared" si="26"/>
        <v>128768.54144176186</v>
      </c>
      <c r="BE25" s="405">
        <f t="shared" si="26"/>
        <v>112589.92982471996</v>
      </c>
      <c r="BF25" s="405">
        <f t="shared" si="26"/>
        <v>102354.48165883633</v>
      </c>
      <c r="BG25" s="405">
        <f t="shared" si="26"/>
        <v>59431.634511582393</v>
      </c>
      <c r="BH25" s="405">
        <f t="shared" si="26"/>
        <v>40941.792663534536</v>
      </c>
      <c r="BI25" s="405">
        <f t="shared" si="26"/>
        <v>108957.99660456771</v>
      </c>
      <c r="BJ25" s="405">
        <f t="shared" si="26"/>
        <v>153531.72248825448</v>
      </c>
      <c r="BK25" s="405">
        <f t="shared" si="26"/>
        <v>153531.72248825448</v>
      </c>
      <c r="BL25" s="405">
        <f t="shared" si="26"/>
        <v>120183.97201231105</v>
      </c>
      <c r="BM25" s="405">
        <f t="shared" si="26"/>
        <v>61412.688995301796</v>
      </c>
      <c r="BN25" s="405">
        <f t="shared" si="26"/>
        <v>59431.634511582393</v>
      </c>
      <c r="BO25" s="405">
        <f t="shared" ref="BO25:CT25" si="27">BO23+BO24</f>
        <v>112589.92982471996</v>
      </c>
      <c r="BP25" s="405">
        <f t="shared" si="27"/>
        <v>132631.59768501468</v>
      </c>
      <c r="BQ25" s="405">
        <f t="shared" si="27"/>
        <v>115967.62771946157</v>
      </c>
      <c r="BR25" s="405">
        <f t="shared" si="27"/>
        <v>105425.11610860142</v>
      </c>
      <c r="BS25" s="405">
        <f t="shared" si="27"/>
        <v>61214.583546929847</v>
      </c>
      <c r="BT25" s="405">
        <f t="shared" si="27"/>
        <v>42170.046443440566</v>
      </c>
      <c r="BU25" s="405">
        <f t="shared" si="27"/>
        <v>112226.73650270473</v>
      </c>
      <c r="BV25" s="405">
        <f t="shared" si="27"/>
        <v>158137.67416290211</v>
      </c>
      <c r="BW25" s="405">
        <f t="shared" si="27"/>
        <v>158137.67416290211</v>
      </c>
      <c r="BX25" s="405">
        <f t="shared" si="27"/>
        <v>128210.54442884753</v>
      </c>
      <c r="BY25" s="405">
        <f t="shared" si="27"/>
        <v>63255.069665160845</v>
      </c>
      <c r="BZ25" s="405">
        <f t="shared" si="27"/>
        <v>61214.583546929847</v>
      </c>
      <c r="CA25" s="405">
        <f t="shared" si="27"/>
        <v>115967.62771946157</v>
      </c>
      <c r="CB25" s="405">
        <f t="shared" si="27"/>
        <v>136610.54561556515</v>
      </c>
      <c r="CC25" s="405">
        <f t="shared" si="27"/>
        <v>119446.65655104542</v>
      </c>
      <c r="CD25" s="405">
        <f t="shared" si="27"/>
        <v>108587.86959185946</v>
      </c>
      <c r="CE25" s="405">
        <f t="shared" si="27"/>
        <v>63051.021053337754</v>
      </c>
      <c r="CF25" s="405">
        <f t="shared" si="27"/>
        <v>43435.147836743789</v>
      </c>
      <c r="CG25" s="405">
        <f t="shared" si="27"/>
        <v>115593.53859778587</v>
      </c>
      <c r="CH25" s="405">
        <f t="shared" si="27"/>
        <v>162881.80438778919</v>
      </c>
      <c r="CI25" s="405">
        <f t="shared" si="27"/>
        <v>162881.80438778919</v>
      </c>
      <c r="CJ25" s="405">
        <f t="shared" si="27"/>
        <v>127503.17590786079</v>
      </c>
      <c r="CK25" s="405">
        <f t="shared" si="27"/>
        <v>65152.721755115679</v>
      </c>
      <c r="CL25" s="405">
        <f t="shared" si="27"/>
        <v>63051.021053337754</v>
      </c>
      <c r="CM25" s="405">
        <f t="shared" si="27"/>
        <v>119446.65655104542</v>
      </c>
      <c r="CN25" s="405">
        <f t="shared" si="27"/>
        <v>140708.86198403209</v>
      </c>
      <c r="CO25" s="405">
        <f t="shared" si="27"/>
        <v>123030.05624757681</v>
      </c>
      <c r="CP25" s="405">
        <f t="shared" si="27"/>
        <v>111845.50567961525</v>
      </c>
      <c r="CQ25" s="405">
        <f t="shared" si="27"/>
        <v>64942.551684937891</v>
      </c>
      <c r="CR25" s="405">
        <f t="shared" si="27"/>
        <v>44738.202271846101</v>
      </c>
      <c r="CS25" s="405">
        <f t="shared" si="27"/>
        <v>119061.34475571947</v>
      </c>
      <c r="CT25" s="405">
        <f t="shared" si="27"/>
        <v>167768.2585194229</v>
      </c>
      <c r="CU25" s="405" t="e">
        <f t="shared" ref="CU25:DR25" si="28">CU23+CU24</f>
        <v>#N/A</v>
      </c>
      <c r="CV25" s="405" t="e">
        <f t="shared" si="28"/>
        <v>#N/A</v>
      </c>
      <c r="CW25" s="405" t="e">
        <f t="shared" si="28"/>
        <v>#N/A</v>
      </c>
      <c r="CX25" s="405" t="e">
        <f t="shared" si="28"/>
        <v>#N/A</v>
      </c>
      <c r="CY25" s="405" t="e">
        <f t="shared" si="28"/>
        <v>#N/A</v>
      </c>
      <c r="CZ25" s="405" t="e">
        <f t="shared" si="28"/>
        <v>#N/A</v>
      </c>
      <c r="DA25" s="405" t="e">
        <f t="shared" si="28"/>
        <v>#N/A</v>
      </c>
      <c r="DB25" s="405" t="e">
        <f t="shared" si="28"/>
        <v>#N/A</v>
      </c>
      <c r="DC25" s="405" t="e">
        <f t="shared" si="28"/>
        <v>#N/A</v>
      </c>
      <c r="DD25" s="405" t="e">
        <f t="shared" si="28"/>
        <v>#N/A</v>
      </c>
      <c r="DE25" s="405" t="e">
        <f t="shared" si="28"/>
        <v>#N/A</v>
      </c>
      <c r="DF25" s="405" t="e">
        <f t="shared" si="28"/>
        <v>#N/A</v>
      </c>
      <c r="DG25" s="405" t="e">
        <f t="shared" si="28"/>
        <v>#N/A</v>
      </c>
      <c r="DH25" s="405" t="e">
        <f t="shared" si="28"/>
        <v>#N/A</v>
      </c>
      <c r="DI25" s="405" t="e">
        <f t="shared" si="28"/>
        <v>#N/A</v>
      </c>
      <c r="DJ25" s="405" t="e">
        <f t="shared" si="28"/>
        <v>#N/A</v>
      </c>
      <c r="DK25" s="405" t="e">
        <f t="shared" si="28"/>
        <v>#N/A</v>
      </c>
      <c r="DL25" s="405" t="e">
        <f t="shared" si="28"/>
        <v>#N/A</v>
      </c>
      <c r="DM25" s="405" t="e">
        <f t="shared" si="28"/>
        <v>#N/A</v>
      </c>
      <c r="DN25" s="405" t="e">
        <f t="shared" si="28"/>
        <v>#N/A</v>
      </c>
      <c r="DO25" s="405" t="e">
        <f t="shared" si="28"/>
        <v>#N/A</v>
      </c>
      <c r="DP25" s="405" t="e">
        <f t="shared" si="28"/>
        <v>#N/A</v>
      </c>
      <c r="DQ25" s="405" t="e">
        <f t="shared" si="28"/>
        <v>#N/A</v>
      </c>
      <c r="DR25" s="405" t="e">
        <f t="shared" si="28"/>
        <v>#N/A</v>
      </c>
      <c r="DS25" s="405"/>
      <c r="DT25" s="405"/>
      <c r="DU25" s="405"/>
      <c r="DV25" s="405"/>
      <c r="DW25" s="405"/>
      <c r="DX25" s="405"/>
      <c r="DY25" s="405"/>
      <c r="DZ25" s="405"/>
      <c r="EA25" s="405"/>
      <c r="EB25" s="405"/>
      <c r="EC25" s="405"/>
      <c r="ED25" s="405"/>
    </row>
    <row r="26" spans="1:134" s="153" customFormat="1" ht="16" x14ac:dyDescent="0.2">
      <c r="A26" s="316"/>
      <c r="B26" s="294"/>
    </row>
    <row r="27" spans="1:134" s="404" customFormat="1" ht="16" x14ac:dyDescent="0.2">
      <c r="A27" s="402"/>
      <c r="B27" s="294" t="s">
        <v>750</v>
      </c>
      <c r="C27" s="403">
        <f>IF(C6&gt;=Assumptions!$C$55,Assumptions!$C$65/Assumptions!$C$66*(_xlfn.XLOOKUP(C$5,Assumptions!$E$44:$O$44,Assumptions!$E$46:$O$46)),0)</f>
        <v>0</v>
      </c>
      <c r="D27" s="403">
        <f>IF(D6&gt;=Assumptions!$C$55,Assumptions!$C$65/Assumptions!$C$66*(_xlfn.XLOOKUP(D$5,Assumptions!$E$44:$O$44,Assumptions!$E$46:$O$46)),0)</f>
        <v>0</v>
      </c>
      <c r="E27" s="403">
        <f>IF(E6&gt;=Assumptions!$C$55,Assumptions!$C$65/Assumptions!$C$66*(_xlfn.XLOOKUP(E$5,Assumptions!$E$44:$O$44,Assumptions!$E$46:$O$46)),0)</f>
        <v>0</v>
      </c>
      <c r="F27" s="403">
        <f>IF(F6&gt;=Assumptions!$C$55,Assumptions!$C$65/Assumptions!$C$66*(_xlfn.XLOOKUP(F$5,Assumptions!$E$44:$O$44,Assumptions!$E$46:$O$46)),0)</f>
        <v>0</v>
      </c>
      <c r="G27" s="403">
        <f>IF(G6&gt;=Assumptions!$C$55,Assumptions!$C$65/Assumptions!$C$66*(_xlfn.XLOOKUP(G$5,Assumptions!$E$44:$O$44,Assumptions!$E$46:$O$46)),0)</f>
        <v>0</v>
      </c>
      <c r="H27" s="403">
        <f>IF(H6&gt;=Assumptions!$C$55,Assumptions!$C$65/Assumptions!$C$66*(_xlfn.XLOOKUP(H$5,Assumptions!$E$44:$O$44,Assumptions!$E$46:$O$46)),0)</f>
        <v>0</v>
      </c>
      <c r="I27" s="403">
        <f>IF(I6&gt;=Assumptions!$C$55,Assumptions!$C$65/Assumptions!$C$66*(_xlfn.XLOOKUP(I$5,Assumptions!$E$44:$O$44,Assumptions!$E$46:$O$46)),0)</f>
        <v>0</v>
      </c>
      <c r="J27" s="403">
        <f>IF(J6&gt;=Assumptions!$C$55,Assumptions!$C$65/Assumptions!$C$66*(_xlfn.XLOOKUP(J$5,Assumptions!$E$44:$O$44,Assumptions!$E$46:$O$46)),0)</f>
        <v>0</v>
      </c>
      <c r="K27" s="403">
        <f>IF(K6&gt;=Assumptions!$C$55,Assumptions!$C$65/Assumptions!$C$66*(_xlfn.XLOOKUP(K$5,Assumptions!$E$44:$O$44,Assumptions!$E$46:$O$46)),0)</f>
        <v>0</v>
      </c>
      <c r="L27" s="403">
        <f>IF(L6&gt;=Assumptions!$C$55,Assumptions!$C$65/Assumptions!$C$66*(_xlfn.XLOOKUP(L$5,Assumptions!$E$44:$O$44,Assumptions!$E$46:$O$46)),0)</f>
        <v>0</v>
      </c>
      <c r="M27" s="403">
        <f>IF(M6&gt;=Assumptions!$C$55,Assumptions!$C$65/Assumptions!$C$66*(_xlfn.XLOOKUP(M$5,Assumptions!$E$44:$O$44,Assumptions!$E$46:$O$46)),0)</f>
        <v>0</v>
      </c>
      <c r="N27" s="403">
        <f>IF(N6&gt;=Assumptions!$C$55,Assumptions!$C$65/Assumptions!$C$66*(_xlfn.XLOOKUP(N$5,Assumptions!$E$44:$O$44,Assumptions!$E$46:$O$46)),0)</f>
        <v>0</v>
      </c>
      <c r="O27" s="403">
        <f>IF(O6&gt;=Assumptions!$C$55,Assumptions!$C$65/Assumptions!$C$66*(_xlfn.XLOOKUP(O$5,Assumptions!$E$44:$O$44,Assumptions!$E$46:$O$46)),0)</f>
        <v>0</v>
      </c>
      <c r="P27" s="403">
        <f>IF(P6&gt;=Assumptions!$C$55,Assumptions!$C$65/Assumptions!$C$66*(_xlfn.XLOOKUP(P$5,Assumptions!$E$44:$O$44,Assumptions!$E$46:$O$46)),0)</f>
        <v>0</v>
      </c>
      <c r="Q27" s="403">
        <f>IF(Q6&gt;=Assumptions!$C$55,Assumptions!$C$65/Assumptions!$C$66*(_xlfn.XLOOKUP(Q$5,Assumptions!$E$44:$O$44,Assumptions!$E$46:$O$46)),0)</f>
        <v>0</v>
      </c>
      <c r="R27" s="403">
        <f>IF(R6&gt;=Assumptions!$C$55,Assumptions!$C$65/Assumptions!$C$66*(_xlfn.XLOOKUP(R$5,Assumptions!$E$44:$O$44,Assumptions!$E$46:$O$46)),0)</f>
        <v>0</v>
      </c>
      <c r="S27" s="403">
        <f>IF(S6&gt;=Assumptions!$C$55,Assumptions!$C$65/Assumptions!$C$66*(_xlfn.XLOOKUP(S$5,Assumptions!$E$44:$O$44,Assumptions!$E$46:$O$46)),0)</f>
        <v>0</v>
      </c>
      <c r="T27" s="403">
        <f>IF(T6&gt;=Assumptions!$C$55,Assumptions!$C$65/Assumptions!$C$66*(_xlfn.XLOOKUP(T$5,Assumptions!$E$44:$O$44,Assumptions!$E$46:$O$46)),0)</f>
        <v>0</v>
      </c>
      <c r="U27" s="403">
        <f>IF(U6&gt;=Assumptions!$C$55,Assumptions!$C$65/Assumptions!$C$66*(_xlfn.XLOOKUP(U$5,Assumptions!$E$44:$O$44,Assumptions!$E$46:$O$46)),0)</f>
        <v>0</v>
      </c>
      <c r="V27" s="403">
        <f>IF(V6&gt;=Assumptions!$C$55,Assumptions!$C$65/Assumptions!$C$66*(_xlfn.XLOOKUP(V$5,Assumptions!$E$44:$O$44,Assumptions!$E$46:$O$46)),0)</f>
        <v>0</v>
      </c>
      <c r="W27" s="403">
        <f>IF(W6&gt;=Assumptions!$C$55,Assumptions!$C$65/Assumptions!$C$66*(_xlfn.XLOOKUP(W$5,Assumptions!$E$44:$O$44,Assumptions!$E$46:$O$46)),0)</f>
        <v>0</v>
      </c>
      <c r="X27" s="403">
        <f>IF(X6&gt;=Assumptions!$C$55,Assumptions!$C$65/Assumptions!$C$66*(_xlfn.XLOOKUP(X$5,Assumptions!$E$44:$O$44,Assumptions!$E$46:$O$46)),0)</f>
        <v>0</v>
      </c>
      <c r="Y27" s="403">
        <f>IF(Y6&gt;=Assumptions!$C$55,Assumptions!$C$65/Assumptions!$C$66*(_xlfn.XLOOKUP(Y$5,Assumptions!$E$44:$O$44,Assumptions!$E$46:$O$46)),0)</f>
        <v>0</v>
      </c>
      <c r="Z27" s="403">
        <f ca="1">IF(Z6&gt;=Assumptions!$C$55,Assumptions!$C$65/Assumptions!$C$66*(_xlfn.XLOOKUP(Z$5,Assumptions!$E$44:$O$44,Assumptions!$E$46:$O$46)),0)</f>
        <v>459723.33333333331</v>
      </c>
      <c r="AA27" s="403">
        <f ca="1">IF(AA6&gt;=Assumptions!$C$55,Assumptions!$C$65/Assumptions!$C$66*(_xlfn.XLOOKUP(AA$5,Assumptions!$E$44:$O$44,Assumptions!$E$46:$O$46)),0)</f>
        <v>459723.33333333331</v>
      </c>
      <c r="AB27" s="403">
        <f ca="1">IF(AB6&gt;=Assumptions!$C$55,Assumptions!$C$65/Assumptions!$C$66*(_xlfn.XLOOKUP(AB$5,Assumptions!$E$44:$O$44,Assumptions!$E$46:$O$46)),0)</f>
        <v>459723.33333333331</v>
      </c>
      <c r="AC27" s="403">
        <f ca="1">IF(AC6&gt;=Assumptions!$C$55,Assumptions!$C$65/Assumptions!$C$66*(_xlfn.XLOOKUP(AC$5,Assumptions!$E$44:$O$44,Assumptions!$E$46:$O$46)),0)</f>
        <v>459723.33333333331</v>
      </c>
      <c r="AD27" s="403">
        <f ca="1">IF(AD6&gt;=Assumptions!$C$55,Assumptions!$C$65/Assumptions!$C$66*(_xlfn.XLOOKUP(AD$5,Assumptions!$E$44:$O$44,Assumptions!$E$46:$O$46)),0)</f>
        <v>459723.33333333331</v>
      </c>
      <c r="AE27" s="403">
        <f ca="1">IF(AE6&gt;=Assumptions!$C$55,Assumptions!$C$65/Assumptions!$C$66*(_xlfn.XLOOKUP(AE$5,Assumptions!$E$44:$O$44,Assumptions!$E$46:$O$46)),0)</f>
        <v>459723.33333333331</v>
      </c>
      <c r="AF27" s="403">
        <f ca="1">IF(AF6&gt;=Assumptions!$C$55,Assumptions!$C$65/Assumptions!$C$66*(_xlfn.XLOOKUP(AF$5,Assumptions!$E$44:$O$44,Assumptions!$E$46:$O$46)),0)</f>
        <v>473515.03333333327</v>
      </c>
      <c r="AG27" s="403">
        <f ca="1">IF(AG6&gt;=Assumptions!$C$55,Assumptions!$C$65/Assumptions!$C$66*(_xlfn.XLOOKUP(AG$5,Assumptions!$E$44:$O$44,Assumptions!$E$46:$O$46)),0)</f>
        <v>473515.03333333327</v>
      </c>
      <c r="AH27" s="403">
        <f ca="1">IF(AH6&gt;=Assumptions!$C$55,Assumptions!$C$65/Assumptions!$C$66*(_xlfn.XLOOKUP(AH$5,Assumptions!$E$44:$O$44,Assumptions!$E$46:$O$46)),0)</f>
        <v>473515.03333333327</v>
      </c>
      <c r="AI27" s="403">
        <f ca="1">IF(AI6&gt;=Assumptions!$C$55,Assumptions!$C$65/Assumptions!$C$66*(_xlfn.XLOOKUP(AI$5,Assumptions!$E$44:$O$44,Assumptions!$E$46:$O$46)),0)</f>
        <v>473515.03333333327</v>
      </c>
      <c r="AJ27" s="403">
        <f ca="1">IF(AJ6&gt;=Assumptions!$C$55,Assumptions!$C$65/Assumptions!$C$66*(_xlfn.XLOOKUP(AJ$5,Assumptions!$E$44:$O$44,Assumptions!$E$46:$O$46)),0)</f>
        <v>473515.03333333327</v>
      </c>
      <c r="AK27" s="403">
        <f ca="1">IF(AK6&gt;=Assumptions!$C$55,Assumptions!$C$65/Assumptions!$C$66*(_xlfn.XLOOKUP(AK$5,Assumptions!$E$44:$O$44,Assumptions!$E$46:$O$46)),0)</f>
        <v>473515.03333333327</v>
      </c>
      <c r="AL27" s="403">
        <f ca="1">IF(AL6&gt;=Assumptions!$C$55,Assumptions!$C$65/Assumptions!$C$66*(_xlfn.XLOOKUP(AL$5,Assumptions!$E$44:$O$44,Assumptions!$E$46:$O$46)),0)</f>
        <v>473515.03333333327</v>
      </c>
      <c r="AM27" s="403">
        <f ca="1">IF(AM6&gt;=Assumptions!$C$55,Assumptions!$C$65/Assumptions!$C$66*(_xlfn.XLOOKUP(AM$5,Assumptions!$E$44:$O$44,Assumptions!$E$46:$O$46)),0)</f>
        <v>473515.03333333327</v>
      </c>
      <c r="AN27" s="403">
        <f ca="1">IF(AN6&gt;=Assumptions!$C$55,Assumptions!$C$65/Assumptions!$C$66*(_xlfn.XLOOKUP(AN$5,Assumptions!$E$44:$O$44,Assumptions!$E$46:$O$46)),0)</f>
        <v>473515.03333333327</v>
      </c>
      <c r="AO27" s="403">
        <f ca="1">IF(AO6&gt;=Assumptions!$C$55,Assumptions!$C$65/Assumptions!$C$66*(_xlfn.XLOOKUP(AO$5,Assumptions!$E$44:$O$44,Assumptions!$E$46:$O$46)),0)</f>
        <v>473515.03333333327</v>
      </c>
      <c r="AP27" s="403">
        <f ca="1">IF(AP6&gt;=Assumptions!$C$55,Assumptions!$C$65/Assumptions!$C$66*(_xlfn.XLOOKUP(AP$5,Assumptions!$E$44:$O$44,Assumptions!$E$46:$O$46)),0)</f>
        <v>473515.03333333327</v>
      </c>
      <c r="AQ27" s="403">
        <f ca="1">IF(AQ6&gt;=Assumptions!$C$55,Assumptions!$C$65/Assumptions!$C$66*(_xlfn.XLOOKUP(AQ$5,Assumptions!$E$44:$O$44,Assumptions!$E$46:$O$46)),0)</f>
        <v>473515.03333333327</v>
      </c>
      <c r="AR27" s="403">
        <f ca="1">IF(AR6&gt;=Assumptions!$C$55,Assumptions!$C$65/Assumptions!$C$66*(_xlfn.XLOOKUP(AR$5,Assumptions!$E$44:$O$44,Assumptions!$E$46:$O$46)),0)</f>
        <v>487720.48433333327</v>
      </c>
      <c r="AS27" s="403">
        <f ca="1">IF(AS6&gt;=Assumptions!$C$55,Assumptions!$C$65/Assumptions!$C$66*(_xlfn.XLOOKUP(AS$5,Assumptions!$E$44:$O$44,Assumptions!$E$46:$O$46)),0)</f>
        <v>487720.48433333327</v>
      </c>
      <c r="AT27" s="403">
        <f ca="1">IF(AT6&gt;=Assumptions!$C$55,Assumptions!$C$65/Assumptions!$C$66*(_xlfn.XLOOKUP(AT$5,Assumptions!$E$44:$O$44,Assumptions!$E$46:$O$46)),0)</f>
        <v>487720.48433333327</v>
      </c>
      <c r="AU27" s="403">
        <f ca="1">IF(AU6&gt;=Assumptions!$C$55,Assumptions!$C$65/Assumptions!$C$66*(_xlfn.XLOOKUP(AU$5,Assumptions!$E$44:$O$44,Assumptions!$E$46:$O$46)),0)</f>
        <v>487720.48433333327</v>
      </c>
      <c r="AV27" s="403">
        <f ca="1">IF(AV6&gt;=Assumptions!$C$55,Assumptions!$C$65/Assumptions!$C$66*(_xlfn.XLOOKUP(AV$5,Assumptions!$E$44:$O$44,Assumptions!$E$46:$O$46)),0)</f>
        <v>487720.48433333327</v>
      </c>
      <c r="AW27" s="403">
        <f ca="1">IF(AW6&gt;=Assumptions!$C$55,Assumptions!$C$65/Assumptions!$C$66*(_xlfn.XLOOKUP(AW$5,Assumptions!$E$44:$O$44,Assumptions!$E$46:$O$46)),0)</f>
        <v>487720.48433333327</v>
      </c>
      <c r="AX27" s="403">
        <f ca="1">IF(AX6&gt;=Assumptions!$C$55,Assumptions!$C$65/Assumptions!$C$66*(_xlfn.XLOOKUP(AX$5,Assumptions!$E$44:$O$44,Assumptions!$E$46:$O$46)),0)</f>
        <v>487720.48433333327</v>
      </c>
      <c r="AY27" s="403">
        <f ca="1">IF(AY6&gt;=Assumptions!$C$55,Assumptions!$C$65/Assumptions!$C$66*(_xlfn.XLOOKUP(AY$5,Assumptions!$E$44:$O$44,Assumptions!$E$46:$O$46)),0)</f>
        <v>487720.48433333327</v>
      </c>
      <c r="AZ27" s="403">
        <f ca="1">IF(AZ6&gt;=Assumptions!$C$55,Assumptions!$C$65/Assumptions!$C$66*(_xlfn.XLOOKUP(AZ$5,Assumptions!$E$44:$O$44,Assumptions!$E$46:$O$46)),0)</f>
        <v>487720.48433333327</v>
      </c>
      <c r="BA27" s="403">
        <f ca="1">IF(BA6&gt;=Assumptions!$C$55,Assumptions!$C$65/Assumptions!$C$66*(_xlfn.XLOOKUP(BA$5,Assumptions!$E$44:$O$44,Assumptions!$E$46:$O$46)),0)</f>
        <v>487720.48433333327</v>
      </c>
      <c r="BB27" s="403">
        <f ca="1">IF(BB6&gt;=Assumptions!$C$55,Assumptions!$C$65/Assumptions!$C$66*(_xlfn.XLOOKUP(BB$5,Assumptions!$E$44:$O$44,Assumptions!$E$46:$O$46)),0)</f>
        <v>487720.48433333327</v>
      </c>
      <c r="BC27" s="403">
        <f ca="1">IF(BC6&gt;=Assumptions!$C$55,Assumptions!$C$65/Assumptions!$C$66*(_xlfn.XLOOKUP(BC$5,Assumptions!$E$44:$O$44,Assumptions!$E$46:$O$46)),0)</f>
        <v>487720.48433333327</v>
      </c>
      <c r="BD27" s="403">
        <f ca="1">IF(BD6&gt;=Assumptions!$C$55,Assumptions!$C$65/Assumptions!$C$66*(_xlfn.XLOOKUP(BD$5,Assumptions!$E$44:$O$44,Assumptions!$E$46:$O$46)),0)</f>
        <v>502352.09886333329</v>
      </c>
      <c r="BE27" s="403">
        <f ca="1">IF(BE6&gt;=Assumptions!$C$55,Assumptions!$C$65/Assumptions!$C$66*(_xlfn.XLOOKUP(BE$5,Assumptions!$E$44:$O$44,Assumptions!$E$46:$O$46)),0)</f>
        <v>502352.09886333329</v>
      </c>
      <c r="BF27" s="403">
        <f ca="1">IF(BF6&gt;=Assumptions!$C$55,Assumptions!$C$65/Assumptions!$C$66*(_xlfn.XLOOKUP(BF$5,Assumptions!$E$44:$O$44,Assumptions!$E$46:$O$46)),0)</f>
        <v>502352.09886333329</v>
      </c>
      <c r="BG27" s="403">
        <f ca="1">IF(BG6&gt;=Assumptions!$C$55,Assumptions!$C$65/Assumptions!$C$66*(_xlfn.XLOOKUP(BG$5,Assumptions!$E$44:$O$44,Assumptions!$E$46:$O$46)),0)</f>
        <v>502352.09886333329</v>
      </c>
      <c r="BH27" s="403">
        <f ca="1">IF(BH6&gt;=Assumptions!$C$55,Assumptions!$C$65/Assumptions!$C$66*(_xlfn.XLOOKUP(BH$5,Assumptions!$E$44:$O$44,Assumptions!$E$46:$O$46)),0)</f>
        <v>502352.09886333329</v>
      </c>
      <c r="BI27" s="403">
        <f ca="1">IF(BI6&gt;=Assumptions!$C$55,Assumptions!$C$65/Assumptions!$C$66*(_xlfn.XLOOKUP(BI$5,Assumptions!$E$44:$O$44,Assumptions!$E$46:$O$46)),0)</f>
        <v>502352.09886333329</v>
      </c>
      <c r="BJ27" s="403">
        <f ca="1">IF(BJ6&gt;=Assumptions!$C$55,Assumptions!$C$65/Assumptions!$C$66*(_xlfn.XLOOKUP(BJ$5,Assumptions!$E$44:$O$44,Assumptions!$E$46:$O$46)),0)</f>
        <v>502352.09886333329</v>
      </c>
      <c r="BK27" s="403">
        <f ca="1">IF(BK6&gt;=Assumptions!$C$55,Assumptions!$C$65/Assumptions!$C$66*(_xlfn.XLOOKUP(BK$5,Assumptions!$E$44:$O$44,Assumptions!$E$46:$O$46)),0)</f>
        <v>502352.09886333329</v>
      </c>
      <c r="BL27" s="403">
        <f ca="1">IF(BL6&gt;=Assumptions!$C$55,Assumptions!$C$65/Assumptions!$C$66*(_xlfn.XLOOKUP(BL$5,Assumptions!$E$44:$O$44,Assumptions!$E$46:$O$46)),0)</f>
        <v>502352.09886333329</v>
      </c>
      <c r="BM27" s="403">
        <f ca="1">IF(BM6&gt;=Assumptions!$C$55,Assumptions!$C$65/Assumptions!$C$66*(_xlfn.XLOOKUP(BM$5,Assumptions!$E$44:$O$44,Assumptions!$E$46:$O$46)),0)</f>
        <v>502352.09886333329</v>
      </c>
      <c r="BN27" s="403">
        <f ca="1">IF(BN6&gt;=Assumptions!$C$55,Assumptions!$C$65/Assumptions!$C$66*(_xlfn.XLOOKUP(BN$5,Assumptions!$E$44:$O$44,Assumptions!$E$46:$O$46)),0)</f>
        <v>502352.09886333329</v>
      </c>
      <c r="BO27" s="403">
        <f ca="1">IF(BO6&gt;=Assumptions!$C$55,Assumptions!$C$65/Assumptions!$C$66*(_xlfn.XLOOKUP(BO$5,Assumptions!$E$44:$O$44,Assumptions!$E$46:$O$46)),0)</f>
        <v>502352.09886333329</v>
      </c>
      <c r="BP27" s="403">
        <f ca="1">IF(BP6&gt;=Assumptions!$C$55,Assumptions!$C$65/Assumptions!$C$66*(_xlfn.XLOOKUP(BP$5,Assumptions!$E$44:$O$44,Assumptions!$E$46:$O$46)),0)</f>
        <v>517422.66182923329</v>
      </c>
      <c r="BQ27" s="403">
        <f ca="1">IF(BQ6&gt;=Assumptions!$C$55,Assumptions!$C$65/Assumptions!$C$66*(_xlfn.XLOOKUP(BQ$5,Assumptions!$E$44:$O$44,Assumptions!$E$46:$O$46)),0)</f>
        <v>517422.66182923329</v>
      </c>
      <c r="BR27" s="403">
        <f ca="1">IF(BR6&gt;=Assumptions!$C$55,Assumptions!$C$65/Assumptions!$C$66*(_xlfn.XLOOKUP(BR$5,Assumptions!$E$44:$O$44,Assumptions!$E$46:$O$46)),0)</f>
        <v>517422.66182923329</v>
      </c>
      <c r="BS27" s="403">
        <f ca="1">IF(BS6&gt;=Assumptions!$C$55,Assumptions!$C$65/Assumptions!$C$66*(_xlfn.XLOOKUP(BS$5,Assumptions!$E$44:$O$44,Assumptions!$E$46:$O$46)),0)</f>
        <v>517422.66182923329</v>
      </c>
      <c r="BT27" s="403">
        <f ca="1">IF(BT6&gt;=Assumptions!$C$55,Assumptions!$C$65/Assumptions!$C$66*(_xlfn.XLOOKUP(BT$5,Assumptions!$E$44:$O$44,Assumptions!$E$46:$O$46)),0)</f>
        <v>517422.66182923329</v>
      </c>
      <c r="BU27" s="403">
        <f ca="1">IF(BU6&gt;=Assumptions!$C$55,Assumptions!$C$65/Assumptions!$C$66*(_xlfn.XLOOKUP(BU$5,Assumptions!$E$44:$O$44,Assumptions!$E$46:$O$46)),0)</f>
        <v>517422.66182923329</v>
      </c>
      <c r="BV27" s="403">
        <f ca="1">IF(BV6&gt;=Assumptions!$C$55,Assumptions!$C$65/Assumptions!$C$66*(_xlfn.XLOOKUP(BV$5,Assumptions!$E$44:$O$44,Assumptions!$E$46:$O$46)),0)</f>
        <v>517422.66182923329</v>
      </c>
      <c r="BW27" s="403">
        <f ca="1">IF(BW6&gt;=Assumptions!$C$55,Assumptions!$C$65/Assumptions!$C$66*(_xlfn.XLOOKUP(BW$5,Assumptions!$E$44:$O$44,Assumptions!$E$46:$O$46)),0)</f>
        <v>517422.66182923329</v>
      </c>
      <c r="BX27" s="403">
        <f ca="1">IF(BX6&gt;=Assumptions!$C$55,Assumptions!$C$65/Assumptions!$C$66*(_xlfn.XLOOKUP(BX$5,Assumptions!$E$44:$O$44,Assumptions!$E$46:$O$46)),0)</f>
        <v>517422.66182923329</v>
      </c>
      <c r="BY27" s="403">
        <f ca="1">IF(BY6&gt;=Assumptions!$C$55,Assumptions!$C$65/Assumptions!$C$66*(_xlfn.XLOOKUP(BY$5,Assumptions!$E$44:$O$44,Assumptions!$E$46:$O$46)),0)</f>
        <v>517422.66182923329</v>
      </c>
      <c r="BZ27" s="403">
        <f ca="1">IF(BZ6&gt;=Assumptions!$C$55,Assumptions!$C$65/Assumptions!$C$66*(_xlfn.XLOOKUP(BZ$5,Assumptions!$E$44:$O$44,Assumptions!$E$46:$O$46)),0)</f>
        <v>517422.66182923329</v>
      </c>
      <c r="CA27" s="403">
        <f ca="1">IF(CA6&gt;=Assumptions!$C$55,Assumptions!$C$65/Assumptions!$C$66*(_xlfn.XLOOKUP(CA$5,Assumptions!$E$44:$O$44,Assumptions!$E$46:$O$46)),0)</f>
        <v>517422.66182923329</v>
      </c>
      <c r="CB27" s="403">
        <f ca="1">IF(CB6&gt;=Assumptions!$C$55,Assumptions!$C$65/Assumptions!$C$66*(_xlfn.XLOOKUP(CB$5,Assumptions!$E$44:$O$44,Assumptions!$E$46:$O$46)),0)</f>
        <v>532945.34168411035</v>
      </c>
      <c r="CC27" s="403">
        <f ca="1">IF(CC6&gt;=Assumptions!$C$55,Assumptions!$C$65/Assumptions!$C$66*(_xlfn.XLOOKUP(CC$5,Assumptions!$E$44:$O$44,Assumptions!$E$46:$O$46)),0)</f>
        <v>532945.34168411035</v>
      </c>
      <c r="CD27" s="403">
        <f ca="1">IF(CD6&gt;=Assumptions!$C$55,Assumptions!$C$65/Assumptions!$C$66*(_xlfn.XLOOKUP(CD$5,Assumptions!$E$44:$O$44,Assumptions!$E$46:$O$46)),0)</f>
        <v>532945.34168411035</v>
      </c>
      <c r="CE27" s="403">
        <f ca="1">IF(CE6&gt;=Assumptions!$C$55,Assumptions!$C$65/Assumptions!$C$66*(_xlfn.XLOOKUP(CE$5,Assumptions!$E$44:$O$44,Assumptions!$E$46:$O$46)),0)</f>
        <v>532945.34168411035</v>
      </c>
      <c r="CF27" s="403">
        <f ca="1">IF(CF6&gt;=Assumptions!$C$55,Assumptions!$C$65/Assumptions!$C$66*(_xlfn.XLOOKUP(CF$5,Assumptions!$E$44:$O$44,Assumptions!$E$46:$O$46)),0)</f>
        <v>532945.34168411035</v>
      </c>
      <c r="CG27" s="403">
        <f ca="1">IF(CG6&gt;=Assumptions!$C$55,Assumptions!$C$65/Assumptions!$C$66*(_xlfn.XLOOKUP(CG$5,Assumptions!$E$44:$O$44,Assumptions!$E$46:$O$46)),0)</f>
        <v>532945.34168411035</v>
      </c>
      <c r="CH27" s="403">
        <f ca="1">IF(CH6&gt;=Assumptions!$C$55,Assumptions!$C$65/Assumptions!$C$66*(_xlfn.XLOOKUP(CH$5,Assumptions!$E$44:$O$44,Assumptions!$E$46:$O$46)),0)</f>
        <v>532945.34168411035</v>
      </c>
      <c r="CI27" s="403">
        <f ca="1">IF(CI6&gt;=Assumptions!$C$55,Assumptions!$C$65/Assumptions!$C$66*(_xlfn.XLOOKUP(CI$5,Assumptions!$E$44:$O$44,Assumptions!$E$46:$O$46)),0)</f>
        <v>532945.34168411035</v>
      </c>
      <c r="CJ27" s="403">
        <f ca="1">IF(CJ6&gt;=Assumptions!$C$55,Assumptions!$C$65/Assumptions!$C$66*(_xlfn.XLOOKUP(CJ$5,Assumptions!$E$44:$O$44,Assumptions!$E$46:$O$46)),0)</f>
        <v>532945.34168411035</v>
      </c>
      <c r="CK27" s="403">
        <f ca="1">IF(CK6&gt;=Assumptions!$C$55,Assumptions!$C$65/Assumptions!$C$66*(_xlfn.XLOOKUP(CK$5,Assumptions!$E$44:$O$44,Assumptions!$E$46:$O$46)),0)</f>
        <v>532945.34168411035</v>
      </c>
      <c r="CL27" s="403">
        <f ca="1">IF(CL6&gt;=Assumptions!$C$55,Assumptions!$C$65/Assumptions!$C$66*(_xlfn.XLOOKUP(CL$5,Assumptions!$E$44:$O$44,Assumptions!$E$46:$O$46)),0)</f>
        <v>532945.34168411035</v>
      </c>
      <c r="CM27" s="403">
        <f ca="1">IF(CM6&gt;=Assumptions!$C$55,Assumptions!$C$65/Assumptions!$C$66*(_xlfn.XLOOKUP(CM$5,Assumptions!$E$44:$O$44,Assumptions!$E$46:$O$46)),0)</f>
        <v>532945.34168411035</v>
      </c>
      <c r="CN27" s="403">
        <f ca="1">IF(CN6&gt;=Assumptions!$C$55,Assumptions!$C$65/Assumptions!$C$66*(_xlfn.XLOOKUP(CN$5,Assumptions!$E$44:$O$44,Assumptions!$E$46:$O$46)),0)</f>
        <v>548933.70193463354</v>
      </c>
      <c r="CO27" s="403">
        <f ca="1">IF(CO6&gt;=Assumptions!$C$55,Assumptions!$C$65/Assumptions!$C$66*(_xlfn.XLOOKUP(CO$5,Assumptions!$E$44:$O$44,Assumptions!$E$46:$O$46)),0)</f>
        <v>548933.70193463354</v>
      </c>
      <c r="CP27" s="403">
        <f ca="1">IF(CP6&gt;=Assumptions!$C$55,Assumptions!$C$65/Assumptions!$C$66*(_xlfn.XLOOKUP(CP$5,Assumptions!$E$44:$O$44,Assumptions!$E$46:$O$46)),0)</f>
        <v>548933.70193463354</v>
      </c>
      <c r="CQ27" s="403">
        <f ca="1">IF(CQ6&gt;=Assumptions!$C$55,Assumptions!$C$65/Assumptions!$C$66*(_xlfn.XLOOKUP(CQ$5,Assumptions!$E$44:$O$44,Assumptions!$E$46:$O$46)),0)</f>
        <v>548933.70193463354</v>
      </c>
      <c r="CR27" s="403">
        <f ca="1">IF(CR6&gt;=Assumptions!$C$55,Assumptions!$C$65/Assumptions!$C$66*(_xlfn.XLOOKUP(CR$5,Assumptions!$E$44:$O$44,Assumptions!$E$46:$O$46)),0)</f>
        <v>548933.70193463354</v>
      </c>
      <c r="CS27" s="403">
        <f ca="1">IF(CS6&gt;=Assumptions!$C$55,Assumptions!$C$65/Assumptions!$C$66*(_xlfn.XLOOKUP(CS$5,Assumptions!$E$44:$O$44,Assumptions!$E$46:$O$46)),0)</f>
        <v>548933.70193463354</v>
      </c>
      <c r="CT27" s="403">
        <f ca="1">IF(CT6&gt;=Assumptions!$C$55,Assumptions!$C$65/Assumptions!$C$66*(_xlfn.XLOOKUP(CT$5,Assumptions!$E$44:$O$44,Assumptions!$E$46:$O$46)),0)</f>
        <v>548933.70193463354</v>
      </c>
      <c r="CU27" s="403" t="e">
        <f ca="1">IF(CU6&gt;=Assumptions!$C$55,Assumptions!$C$65/Assumptions!$C$66*(_xlfn.XLOOKUP(CU$5,Assumptions!$E$44:$O$44,Assumptions!$E$46:$O$46)),0)</f>
        <v>#N/A</v>
      </c>
      <c r="CV27" s="403" t="e">
        <f ca="1">IF(CV6&gt;=Assumptions!$C$55,Assumptions!$C$65/Assumptions!$C$66*(_xlfn.XLOOKUP(CV$5,Assumptions!$E$44:$O$44,Assumptions!$E$46:$O$46)),0)</f>
        <v>#N/A</v>
      </c>
      <c r="CW27" s="403" t="e">
        <f ca="1">IF(CW6&gt;=Assumptions!$C$55,Assumptions!$C$65/Assumptions!$C$66*(_xlfn.XLOOKUP(CW$5,Assumptions!$E$44:$O$44,Assumptions!$E$46:$O$46)),0)</f>
        <v>#N/A</v>
      </c>
      <c r="CX27" s="403" t="e">
        <f ca="1">IF(CX6&gt;=Assumptions!$C$55,Assumptions!$C$65/Assumptions!$C$66*(_xlfn.XLOOKUP(CX$5,Assumptions!$E$44:$O$44,Assumptions!$E$46:$O$46)),0)</f>
        <v>#N/A</v>
      </c>
      <c r="CY27" s="403" t="e">
        <f ca="1">IF(CY6&gt;=Assumptions!$C$55,Assumptions!$C$65/Assumptions!$C$66*(_xlfn.XLOOKUP(CY$5,Assumptions!$E$44:$O$44,Assumptions!$E$46:$O$46)),0)</f>
        <v>#N/A</v>
      </c>
      <c r="CZ27" s="403" t="e">
        <f ca="1">IF(CZ6&gt;=Assumptions!$C$55,Assumptions!$C$65/Assumptions!$C$66*(_xlfn.XLOOKUP(CZ$5,Assumptions!$E$44:$O$44,Assumptions!$E$46:$O$46)),0)</f>
        <v>#N/A</v>
      </c>
      <c r="DA27" s="403" t="e">
        <f ca="1">IF(DA6&gt;=Assumptions!$C$55,Assumptions!$C$65/Assumptions!$C$66*(_xlfn.XLOOKUP(DA$5,Assumptions!$E$44:$O$44,Assumptions!$E$46:$O$46)),0)</f>
        <v>#N/A</v>
      </c>
      <c r="DB27" s="403" t="e">
        <f ca="1">IF(DB6&gt;=Assumptions!$C$55,Assumptions!$C$65/Assumptions!$C$66*(_xlfn.XLOOKUP(DB$5,Assumptions!$E$44:$O$44,Assumptions!$E$46:$O$46)),0)</f>
        <v>#N/A</v>
      </c>
      <c r="DC27" s="403" t="e">
        <f ca="1">IF(DC6&gt;=Assumptions!$C$55,Assumptions!$C$65/Assumptions!$C$66*(_xlfn.XLOOKUP(DC$5,Assumptions!$E$44:$O$44,Assumptions!$E$46:$O$46)),0)</f>
        <v>#N/A</v>
      </c>
      <c r="DD27" s="403" t="e">
        <f ca="1">IF(DD6&gt;=Assumptions!$C$55,Assumptions!$C$65/Assumptions!$C$66*(_xlfn.XLOOKUP(DD$5,Assumptions!$E$44:$O$44,Assumptions!$E$46:$O$46)),0)</f>
        <v>#N/A</v>
      </c>
      <c r="DE27" s="403" t="e">
        <f ca="1">IF(DE6&gt;=Assumptions!$C$55,Assumptions!$C$65/Assumptions!$C$66*(_xlfn.XLOOKUP(DE$5,Assumptions!$E$44:$O$44,Assumptions!$E$46:$O$46)),0)</f>
        <v>#N/A</v>
      </c>
      <c r="DF27" s="403" t="e">
        <f ca="1">IF(DF6&gt;=Assumptions!$C$55,Assumptions!$C$65/Assumptions!$C$66*(_xlfn.XLOOKUP(DF$5,Assumptions!$E$44:$O$44,Assumptions!$E$46:$O$46)),0)</f>
        <v>#N/A</v>
      </c>
      <c r="DG27" s="403" t="e">
        <f ca="1">IF(DG6&gt;=Assumptions!$C$55,Assumptions!$C$65/Assumptions!$C$66*(_xlfn.XLOOKUP(DG$5,Assumptions!$E$44:$O$44,Assumptions!$E$46:$O$46)),0)</f>
        <v>#N/A</v>
      </c>
      <c r="DH27" s="403" t="e">
        <f ca="1">IF(DH6&gt;=Assumptions!$C$55,Assumptions!$C$65/Assumptions!$C$66*(_xlfn.XLOOKUP(DH$5,Assumptions!$E$44:$O$44,Assumptions!$E$46:$O$46)),0)</f>
        <v>#N/A</v>
      </c>
      <c r="DI27" s="403" t="e">
        <f ca="1">IF(DI6&gt;=Assumptions!$C$55,Assumptions!$C$65/Assumptions!$C$66*(_xlfn.XLOOKUP(DI$5,Assumptions!$E$44:$O$44,Assumptions!$E$46:$O$46)),0)</f>
        <v>#N/A</v>
      </c>
      <c r="DJ27" s="403" t="e">
        <f ca="1">IF(DJ6&gt;=Assumptions!$C$55,Assumptions!$C$65/Assumptions!$C$66*(_xlfn.XLOOKUP(DJ$5,Assumptions!$E$44:$O$44,Assumptions!$E$46:$O$46)),0)</f>
        <v>#N/A</v>
      </c>
      <c r="DK27" s="403" t="e">
        <f ca="1">IF(DK6&gt;=Assumptions!$C$55,Assumptions!$C$65/Assumptions!$C$66*(_xlfn.XLOOKUP(DK$5,Assumptions!$E$44:$O$44,Assumptions!$E$46:$O$46)),0)</f>
        <v>#N/A</v>
      </c>
      <c r="DL27" s="403" t="e">
        <f ca="1">IF(DL6&gt;=Assumptions!$C$55,Assumptions!$C$65/Assumptions!$C$66*(_xlfn.XLOOKUP(DL$5,Assumptions!$E$44:$O$44,Assumptions!$E$46:$O$46)),0)</f>
        <v>#N/A</v>
      </c>
      <c r="DM27" s="403" t="e">
        <f ca="1">IF(DM6&gt;=Assumptions!$C$55,Assumptions!$C$65/Assumptions!$C$66*(_xlfn.XLOOKUP(DM$5,Assumptions!$E$44:$O$44,Assumptions!$E$46:$O$46)),0)</f>
        <v>#N/A</v>
      </c>
      <c r="DN27" s="403" t="e">
        <f ca="1">IF(DN6&gt;=Assumptions!$C$55,Assumptions!$C$65/Assumptions!$C$66*(_xlfn.XLOOKUP(DN$5,Assumptions!$E$44:$O$44,Assumptions!$E$46:$O$46)),0)</f>
        <v>#N/A</v>
      </c>
      <c r="DO27" s="403" t="e">
        <f ca="1">IF(DO6&gt;=Assumptions!$C$55,Assumptions!$C$65/Assumptions!$C$66*(_xlfn.XLOOKUP(DO$5,Assumptions!$E$44:$O$44,Assumptions!$E$46:$O$46)),0)</f>
        <v>#N/A</v>
      </c>
      <c r="DP27" s="403" t="e">
        <f ca="1">IF(DP6&gt;=Assumptions!$C$55,Assumptions!$C$65/Assumptions!$C$66*(_xlfn.XLOOKUP(DP$5,Assumptions!$E$44:$O$44,Assumptions!$E$46:$O$46)),0)</f>
        <v>#N/A</v>
      </c>
      <c r="DQ27" s="403" t="e">
        <f ca="1">IF(DQ6&gt;=Assumptions!$C$55,Assumptions!$C$65/Assumptions!$C$66*(_xlfn.XLOOKUP(DQ$5,Assumptions!$E$44:$O$44,Assumptions!$E$46:$O$46)),0)</f>
        <v>#N/A</v>
      </c>
      <c r="DR27" s="403" t="e">
        <f ca="1">IF(DR6&gt;=Assumptions!$C$55,Assumptions!$C$65/Assumptions!$C$66*(_xlfn.XLOOKUP(DR$5,Assumptions!$E$44:$O$44,Assumptions!$E$46:$O$46)),0)</f>
        <v>#N/A</v>
      </c>
      <c r="DS27" s="403"/>
      <c r="DT27" s="403"/>
      <c r="DU27" s="403"/>
      <c r="DV27" s="403"/>
      <c r="DW27" s="403"/>
      <c r="DX27" s="403"/>
      <c r="DY27" s="403"/>
      <c r="DZ27" s="403"/>
      <c r="EA27" s="403"/>
      <c r="EB27" s="403"/>
      <c r="EC27" s="403"/>
      <c r="ED27" s="403"/>
    </row>
    <row r="28" spans="1:134" s="153" customFormat="1" ht="16" x14ac:dyDescent="0.2">
      <c r="A28" s="316"/>
      <c r="B28" s="294" t="s">
        <v>737</v>
      </c>
      <c r="C28" s="401">
        <f>_xlfn.XLOOKUP(MONTH(C$6),Assumptions!$F$38:$Q$38,Assumptions!$F$42:$Q$42)</f>
        <v>0.25</v>
      </c>
      <c r="D28" s="401">
        <f>_xlfn.XLOOKUP(MONTH(D$6),Assumptions!$F$38:$Q$38,Assumptions!$F$42:$Q$42)</f>
        <v>0.25</v>
      </c>
      <c r="E28" s="401">
        <f>_xlfn.XLOOKUP(MONTH(E$6),Assumptions!$F$38:$Q$38,Assumptions!$F$42:$Q$42)</f>
        <v>0.5</v>
      </c>
      <c r="F28" s="401">
        <f>_xlfn.XLOOKUP(MONTH(F$6),Assumptions!$F$38:$Q$38,Assumptions!$F$42:$Q$42)</f>
        <v>0.75</v>
      </c>
      <c r="G28" s="401">
        <f>_xlfn.XLOOKUP(MONTH(G$6),Assumptions!$F$38:$Q$38,Assumptions!$F$42:$Q$42)</f>
        <v>1</v>
      </c>
      <c r="H28" s="401">
        <f>_xlfn.XLOOKUP(MONTH(H$6),Assumptions!$F$38:$Q$38,Assumptions!$F$42:$Q$42)</f>
        <v>1</v>
      </c>
      <c r="I28" s="401">
        <f>_xlfn.XLOOKUP(MONTH(I$6),Assumptions!$F$38:$Q$38,Assumptions!$F$42:$Q$42)</f>
        <v>1</v>
      </c>
      <c r="J28" s="401">
        <f>_xlfn.XLOOKUP(MONTH(J$6),Assumptions!$F$38:$Q$38,Assumptions!$F$42:$Q$42)</f>
        <v>0.75</v>
      </c>
      <c r="K28" s="401">
        <f>_xlfn.XLOOKUP(MONTH(K$6),Assumptions!$F$38:$Q$38,Assumptions!$F$42:$Q$42)</f>
        <v>0.5</v>
      </c>
      <c r="L28" s="401">
        <f>_xlfn.XLOOKUP(MONTH(L$6),Assumptions!$F$38:$Q$38,Assumptions!$F$42:$Q$42)</f>
        <v>0.25</v>
      </c>
      <c r="M28" s="401">
        <f>_xlfn.XLOOKUP(MONTH(M$6),Assumptions!$F$38:$Q$38,Assumptions!$F$42:$Q$42)</f>
        <v>0.25</v>
      </c>
      <c r="N28" s="401">
        <f>_xlfn.XLOOKUP(MONTH(N$6),Assumptions!$F$38:$Q$38,Assumptions!$F$42:$Q$42)</f>
        <v>0.25</v>
      </c>
      <c r="O28" s="401">
        <f>_xlfn.XLOOKUP(MONTH(O$6),Assumptions!$F$38:$Q$38,Assumptions!$F$42:$Q$42)</f>
        <v>0.25</v>
      </c>
      <c r="P28" s="401">
        <f>_xlfn.XLOOKUP(MONTH(P$6),Assumptions!$F$38:$Q$38,Assumptions!$F$42:$Q$42)</f>
        <v>0.25</v>
      </c>
      <c r="Q28" s="401">
        <f>_xlfn.XLOOKUP(MONTH(Q$6),Assumptions!$F$38:$Q$38,Assumptions!$F$42:$Q$42)</f>
        <v>0.5</v>
      </c>
      <c r="R28" s="401">
        <f>_xlfn.XLOOKUP(MONTH(R$6),Assumptions!$F$38:$Q$38,Assumptions!$F$42:$Q$42)</f>
        <v>0.75</v>
      </c>
      <c r="S28" s="401">
        <f>_xlfn.XLOOKUP(MONTH(S$6),Assumptions!$F$38:$Q$38,Assumptions!$F$42:$Q$42)</f>
        <v>1</v>
      </c>
      <c r="T28" s="401">
        <f>_xlfn.XLOOKUP(MONTH(T$6),Assumptions!$F$38:$Q$38,Assumptions!$F$42:$Q$42)</f>
        <v>1</v>
      </c>
      <c r="U28" s="401">
        <f>_xlfn.XLOOKUP(MONTH(U$6),Assumptions!$F$38:$Q$38,Assumptions!$F$42:$Q$42)</f>
        <v>1</v>
      </c>
      <c r="V28" s="401">
        <f>_xlfn.XLOOKUP(MONTH(V$6),Assumptions!$F$38:$Q$38,Assumptions!$F$42:$Q$42)</f>
        <v>0.75</v>
      </c>
      <c r="W28" s="401">
        <f>_xlfn.XLOOKUP(MONTH(W$6),Assumptions!$F$38:$Q$38,Assumptions!$F$42:$Q$42)</f>
        <v>0.5</v>
      </c>
      <c r="X28" s="401">
        <f>_xlfn.XLOOKUP(MONTH(X$6),Assumptions!$F$38:$Q$38,Assumptions!$F$42:$Q$42)</f>
        <v>0.25</v>
      </c>
      <c r="Y28" s="401">
        <f>_xlfn.XLOOKUP(MONTH(Y$6),Assumptions!$F$38:$Q$38,Assumptions!$F$42:$Q$42)</f>
        <v>0.25</v>
      </c>
      <c r="Z28" s="401">
        <f>_xlfn.XLOOKUP(MONTH(Z$6),Assumptions!$F$38:$Q$38,Assumptions!$F$42:$Q$42)</f>
        <v>0.25</v>
      </c>
      <c r="AA28" s="401">
        <f>_xlfn.XLOOKUP(MONTH(AA$6),Assumptions!$F$38:$Q$38,Assumptions!$F$42:$Q$42)</f>
        <v>0.25</v>
      </c>
      <c r="AB28" s="401">
        <f>_xlfn.XLOOKUP(MONTH(AB$6),Assumptions!$F$38:$Q$38,Assumptions!$F$42:$Q$42)</f>
        <v>0.25</v>
      </c>
      <c r="AC28" s="401">
        <f>_xlfn.XLOOKUP(MONTH(AC$6),Assumptions!$F$38:$Q$38,Assumptions!$F$42:$Q$42)</f>
        <v>0.5</v>
      </c>
      <c r="AD28" s="401">
        <f>_xlfn.XLOOKUP(MONTH(AD$6),Assumptions!$F$38:$Q$38,Assumptions!$F$42:$Q$42)</f>
        <v>0.75</v>
      </c>
      <c r="AE28" s="401">
        <f>_xlfn.XLOOKUP(MONTH(AE$6),Assumptions!$F$38:$Q$38,Assumptions!$F$42:$Q$42)</f>
        <v>1</v>
      </c>
      <c r="AF28" s="401">
        <f>_xlfn.XLOOKUP(MONTH(AF$6),Assumptions!$F$38:$Q$38,Assumptions!$F$42:$Q$42)</f>
        <v>1</v>
      </c>
      <c r="AG28" s="401">
        <f>_xlfn.XLOOKUP(MONTH(AG$6),Assumptions!$F$38:$Q$38,Assumptions!$F$42:$Q$42)</f>
        <v>1</v>
      </c>
      <c r="AH28" s="401">
        <f>_xlfn.XLOOKUP(MONTH(AH$6),Assumptions!$F$38:$Q$38,Assumptions!$F$42:$Q$42)</f>
        <v>0.75</v>
      </c>
      <c r="AI28" s="401">
        <f>_xlfn.XLOOKUP(MONTH(AI$6),Assumptions!$F$38:$Q$38,Assumptions!$F$42:$Q$42)</f>
        <v>0.5</v>
      </c>
      <c r="AJ28" s="401">
        <f>_xlfn.XLOOKUP(MONTH(AJ$6),Assumptions!$F$38:$Q$38,Assumptions!$F$42:$Q$42)</f>
        <v>0.25</v>
      </c>
      <c r="AK28" s="401">
        <f>_xlfn.XLOOKUP(MONTH(AK$6),Assumptions!$F$38:$Q$38,Assumptions!$F$42:$Q$42)</f>
        <v>0.25</v>
      </c>
      <c r="AL28" s="401">
        <f>_xlfn.XLOOKUP(MONTH(AL$6),Assumptions!$F$38:$Q$38,Assumptions!$F$42:$Q$42)</f>
        <v>0.25</v>
      </c>
      <c r="AM28" s="401">
        <f>_xlfn.XLOOKUP(MONTH(AM$6),Assumptions!$F$38:$Q$38,Assumptions!$F$42:$Q$42)</f>
        <v>0.25</v>
      </c>
      <c r="AN28" s="401">
        <f>_xlfn.XLOOKUP(MONTH(AN$6),Assumptions!$F$38:$Q$38,Assumptions!$F$42:$Q$42)</f>
        <v>0.25</v>
      </c>
      <c r="AO28" s="401">
        <f>_xlfn.XLOOKUP(MONTH(AO$6),Assumptions!$F$38:$Q$38,Assumptions!$F$42:$Q$42)</f>
        <v>0.5</v>
      </c>
      <c r="AP28" s="401">
        <f>_xlfn.XLOOKUP(MONTH(AP$6),Assumptions!$F$38:$Q$38,Assumptions!$F$42:$Q$42)</f>
        <v>0.75</v>
      </c>
      <c r="AQ28" s="401">
        <f>_xlfn.XLOOKUP(MONTH(AQ$6),Assumptions!$F$38:$Q$38,Assumptions!$F$42:$Q$42)</f>
        <v>1</v>
      </c>
      <c r="AR28" s="401">
        <f>_xlfn.XLOOKUP(MONTH(AR$6),Assumptions!$F$38:$Q$38,Assumptions!$F$42:$Q$42)</f>
        <v>1</v>
      </c>
      <c r="AS28" s="401">
        <f>_xlfn.XLOOKUP(MONTH(AS$6),Assumptions!$F$38:$Q$38,Assumptions!$F$42:$Q$42)</f>
        <v>1</v>
      </c>
      <c r="AT28" s="401">
        <f>_xlfn.XLOOKUP(MONTH(AT$6),Assumptions!$F$38:$Q$38,Assumptions!$F$42:$Q$42)</f>
        <v>0.75</v>
      </c>
      <c r="AU28" s="401">
        <f>_xlfn.XLOOKUP(MONTH(AU$6),Assumptions!$F$38:$Q$38,Assumptions!$F$42:$Q$42)</f>
        <v>0.5</v>
      </c>
      <c r="AV28" s="401">
        <f>_xlfn.XLOOKUP(MONTH(AV$6),Assumptions!$F$38:$Q$38,Assumptions!$F$42:$Q$42)</f>
        <v>0.25</v>
      </c>
      <c r="AW28" s="401">
        <f>_xlfn.XLOOKUP(MONTH(AW$6),Assumptions!$F$38:$Q$38,Assumptions!$F$42:$Q$42)</f>
        <v>0.25</v>
      </c>
      <c r="AX28" s="401">
        <f>_xlfn.XLOOKUP(MONTH(AX$6),Assumptions!$F$38:$Q$38,Assumptions!$F$42:$Q$42)</f>
        <v>0.25</v>
      </c>
      <c r="AY28" s="401">
        <f>_xlfn.XLOOKUP(MONTH(AY$6),Assumptions!$F$38:$Q$38,Assumptions!$F$42:$Q$42)</f>
        <v>0.25</v>
      </c>
      <c r="AZ28" s="401">
        <f>_xlfn.XLOOKUP(MONTH(AZ$6),Assumptions!$F$38:$Q$38,Assumptions!$F$42:$Q$42)</f>
        <v>0.25</v>
      </c>
      <c r="BA28" s="401">
        <f>_xlfn.XLOOKUP(MONTH(BA$6),Assumptions!$F$38:$Q$38,Assumptions!$F$42:$Q$42)</f>
        <v>0.5</v>
      </c>
      <c r="BB28" s="401">
        <f>_xlfn.XLOOKUP(MONTH(BB$6),Assumptions!$F$38:$Q$38,Assumptions!$F$42:$Q$42)</f>
        <v>0.75</v>
      </c>
      <c r="BC28" s="401">
        <f>_xlfn.XLOOKUP(MONTH(BC$6),Assumptions!$F$38:$Q$38,Assumptions!$F$42:$Q$42)</f>
        <v>1</v>
      </c>
      <c r="BD28" s="401">
        <f>_xlfn.XLOOKUP(MONTH(BD$6),Assumptions!$F$38:$Q$38,Assumptions!$F$42:$Q$42)</f>
        <v>1</v>
      </c>
      <c r="BE28" s="401">
        <f>_xlfn.XLOOKUP(MONTH(BE$6),Assumptions!$F$38:$Q$38,Assumptions!$F$42:$Q$42)</f>
        <v>1</v>
      </c>
      <c r="BF28" s="401">
        <f>_xlfn.XLOOKUP(MONTH(BF$6),Assumptions!$F$38:$Q$38,Assumptions!$F$42:$Q$42)</f>
        <v>0.75</v>
      </c>
      <c r="BG28" s="401">
        <f>_xlfn.XLOOKUP(MONTH(BG$6),Assumptions!$F$38:$Q$38,Assumptions!$F$42:$Q$42)</f>
        <v>0.5</v>
      </c>
      <c r="BH28" s="401">
        <f>_xlfn.XLOOKUP(MONTH(BH$6),Assumptions!$F$38:$Q$38,Assumptions!$F$42:$Q$42)</f>
        <v>0.25</v>
      </c>
      <c r="BI28" s="401">
        <f>_xlfn.XLOOKUP(MONTH(BI$6),Assumptions!$F$38:$Q$38,Assumptions!$F$42:$Q$42)</f>
        <v>0.25</v>
      </c>
      <c r="BJ28" s="401">
        <f>_xlfn.XLOOKUP(MONTH(BJ$6),Assumptions!$F$38:$Q$38,Assumptions!$F$42:$Q$42)</f>
        <v>0.25</v>
      </c>
      <c r="BK28" s="401">
        <f>_xlfn.XLOOKUP(MONTH(BK$6),Assumptions!$F$38:$Q$38,Assumptions!$F$42:$Q$42)</f>
        <v>0.25</v>
      </c>
      <c r="BL28" s="401">
        <f>_xlfn.XLOOKUP(MONTH(BL$6),Assumptions!$F$38:$Q$38,Assumptions!$F$42:$Q$42)</f>
        <v>0.25</v>
      </c>
      <c r="BM28" s="401">
        <f>_xlfn.XLOOKUP(MONTH(BM$6),Assumptions!$F$38:$Q$38,Assumptions!$F$42:$Q$42)</f>
        <v>0.5</v>
      </c>
      <c r="BN28" s="401">
        <f>_xlfn.XLOOKUP(MONTH(BN$6),Assumptions!$F$38:$Q$38,Assumptions!$F$42:$Q$42)</f>
        <v>0.75</v>
      </c>
      <c r="BO28" s="401">
        <f>_xlfn.XLOOKUP(MONTH(BO$6),Assumptions!$F$38:$Q$38,Assumptions!$F$42:$Q$42)</f>
        <v>1</v>
      </c>
      <c r="BP28" s="401">
        <f>_xlfn.XLOOKUP(MONTH(BP$6),Assumptions!$F$38:$Q$38,Assumptions!$F$42:$Q$42)</f>
        <v>1</v>
      </c>
      <c r="BQ28" s="401">
        <f>_xlfn.XLOOKUP(MONTH(BQ$6),Assumptions!$F$38:$Q$38,Assumptions!$F$42:$Q$42)</f>
        <v>1</v>
      </c>
      <c r="BR28" s="401">
        <f>_xlfn.XLOOKUP(MONTH(BR$6),Assumptions!$F$38:$Q$38,Assumptions!$F$42:$Q$42)</f>
        <v>0.75</v>
      </c>
      <c r="BS28" s="401">
        <f>_xlfn.XLOOKUP(MONTH(BS$6),Assumptions!$F$38:$Q$38,Assumptions!$F$42:$Q$42)</f>
        <v>0.5</v>
      </c>
      <c r="BT28" s="401">
        <f>_xlfn.XLOOKUP(MONTH(BT$6),Assumptions!$F$38:$Q$38,Assumptions!$F$42:$Q$42)</f>
        <v>0.25</v>
      </c>
      <c r="BU28" s="401">
        <f>_xlfn.XLOOKUP(MONTH(BU$6),Assumptions!$F$38:$Q$38,Assumptions!$F$42:$Q$42)</f>
        <v>0.25</v>
      </c>
      <c r="BV28" s="401">
        <f>_xlfn.XLOOKUP(MONTH(BV$6),Assumptions!$F$38:$Q$38,Assumptions!$F$42:$Q$42)</f>
        <v>0.25</v>
      </c>
      <c r="BW28" s="401">
        <f>_xlfn.XLOOKUP(MONTH(BW$6),Assumptions!$F$38:$Q$38,Assumptions!$F$42:$Q$42)</f>
        <v>0.25</v>
      </c>
      <c r="BX28" s="401">
        <f>_xlfn.XLOOKUP(MONTH(BX$6),Assumptions!$F$38:$Q$38,Assumptions!$F$42:$Q$42)</f>
        <v>0.25</v>
      </c>
      <c r="BY28" s="401">
        <f>_xlfn.XLOOKUP(MONTH(BY$6),Assumptions!$F$38:$Q$38,Assumptions!$F$42:$Q$42)</f>
        <v>0.5</v>
      </c>
      <c r="BZ28" s="401">
        <f>_xlfn.XLOOKUP(MONTH(BZ$6),Assumptions!$F$38:$Q$38,Assumptions!$F$42:$Q$42)</f>
        <v>0.75</v>
      </c>
      <c r="CA28" s="401">
        <f>_xlfn.XLOOKUP(MONTH(CA$6),Assumptions!$F$38:$Q$38,Assumptions!$F$42:$Q$42)</f>
        <v>1</v>
      </c>
      <c r="CB28" s="401">
        <f>_xlfn.XLOOKUP(MONTH(CB$6),Assumptions!$F$38:$Q$38,Assumptions!$F$42:$Q$42)</f>
        <v>1</v>
      </c>
      <c r="CC28" s="401">
        <f>_xlfn.XLOOKUP(MONTH(CC$6),Assumptions!$F$38:$Q$38,Assumptions!$F$42:$Q$42)</f>
        <v>1</v>
      </c>
      <c r="CD28" s="401">
        <f>_xlfn.XLOOKUP(MONTH(CD$6),Assumptions!$F$38:$Q$38,Assumptions!$F$42:$Q$42)</f>
        <v>0.75</v>
      </c>
      <c r="CE28" s="401">
        <f>_xlfn.XLOOKUP(MONTH(CE$6),Assumptions!$F$38:$Q$38,Assumptions!$F$42:$Q$42)</f>
        <v>0.5</v>
      </c>
      <c r="CF28" s="401">
        <f>_xlfn.XLOOKUP(MONTH(CF$6),Assumptions!$F$38:$Q$38,Assumptions!$F$42:$Q$42)</f>
        <v>0.25</v>
      </c>
      <c r="CG28" s="401">
        <f>_xlfn.XLOOKUP(MONTH(CG$6),Assumptions!$F$38:$Q$38,Assumptions!$F$42:$Q$42)</f>
        <v>0.25</v>
      </c>
      <c r="CH28" s="401">
        <f>_xlfn.XLOOKUP(MONTH(CH$6),Assumptions!$F$38:$Q$38,Assumptions!$F$42:$Q$42)</f>
        <v>0.25</v>
      </c>
      <c r="CI28" s="401">
        <f>_xlfn.XLOOKUP(MONTH(CI$6),Assumptions!$F$38:$Q$38,Assumptions!$F$42:$Q$42)</f>
        <v>0.25</v>
      </c>
      <c r="CJ28" s="401">
        <f>_xlfn.XLOOKUP(MONTH(CJ$6),Assumptions!$F$38:$Q$38,Assumptions!$F$42:$Q$42)</f>
        <v>0.25</v>
      </c>
      <c r="CK28" s="401">
        <f>_xlfn.XLOOKUP(MONTH(CK$6),Assumptions!$F$38:$Q$38,Assumptions!$F$42:$Q$42)</f>
        <v>0.5</v>
      </c>
      <c r="CL28" s="401">
        <f>_xlfn.XLOOKUP(MONTH(CL$6),Assumptions!$F$38:$Q$38,Assumptions!$F$42:$Q$42)</f>
        <v>0.75</v>
      </c>
      <c r="CM28" s="401">
        <f>_xlfn.XLOOKUP(MONTH(CM$6),Assumptions!$F$38:$Q$38,Assumptions!$F$42:$Q$42)</f>
        <v>1</v>
      </c>
      <c r="CN28" s="401">
        <f>_xlfn.XLOOKUP(MONTH(CN$6),Assumptions!$F$38:$Q$38,Assumptions!$F$42:$Q$42)</f>
        <v>1</v>
      </c>
      <c r="CO28" s="401">
        <f>_xlfn.XLOOKUP(MONTH(CO$6),Assumptions!$F$38:$Q$38,Assumptions!$F$42:$Q$42)</f>
        <v>1</v>
      </c>
      <c r="CP28" s="401">
        <f>_xlfn.XLOOKUP(MONTH(CP$6),Assumptions!$F$38:$Q$38,Assumptions!$F$42:$Q$42)</f>
        <v>0.75</v>
      </c>
      <c r="CQ28" s="401">
        <f>_xlfn.XLOOKUP(MONTH(CQ$6),Assumptions!$F$38:$Q$38,Assumptions!$F$42:$Q$42)</f>
        <v>0.5</v>
      </c>
      <c r="CR28" s="401">
        <f>_xlfn.XLOOKUP(MONTH(CR$6),Assumptions!$F$38:$Q$38,Assumptions!$F$42:$Q$42)</f>
        <v>0.25</v>
      </c>
      <c r="CS28" s="401">
        <f>_xlfn.XLOOKUP(MONTH(CS$6),Assumptions!$F$38:$Q$38,Assumptions!$F$42:$Q$42)</f>
        <v>0.25</v>
      </c>
      <c r="CT28" s="401">
        <f>_xlfn.XLOOKUP(MONTH(CT$6),Assumptions!$F$38:$Q$38,Assumptions!$F$42:$Q$42)</f>
        <v>0.25</v>
      </c>
      <c r="CU28" s="401">
        <f>_xlfn.XLOOKUP(MONTH(CU$6),Assumptions!$F$38:$Q$38,Assumptions!$F$42:$Q$42)</f>
        <v>0.25</v>
      </c>
      <c r="CV28" s="401">
        <f>_xlfn.XLOOKUP(MONTH(CV$6),Assumptions!$F$38:$Q$38,Assumptions!$F$42:$Q$42)</f>
        <v>0.25</v>
      </c>
      <c r="CW28" s="401">
        <f>_xlfn.XLOOKUP(MONTH(CW$6),Assumptions!$F$38:$Q$38,Assumptions!$F$42:$Q$42)</f>
        <v>0.5</v>
      </c>
      <c r="CX28" s="401">
        <f>_xlfn.XLOOKUP(MONTH(CX$6),Assumptions!$F$38:$Q$38,Assumptions!$F$42:$Q$42)</f>
        <v>0.75</v>
      </c>
      <c r="CY28" s="401">
        <f>_xlfn.XLOOKUP(MONTH(CY$6),Assumptions!$F$38:$Q$38,Assumptions!$F$42:$Q$42)</f>
        <v>1</v>
      </c>
      <c r="CZ28" s="401">
        <f>_xlfn.XLOOKUP(MONTH(CZ$6),Assumptions!$F$38:$Q$38,Assumptions!$F$42:$Q$42)</f>
        <v>1</v>
      </c>
      <c r="DA28" s="401">
        <f>_xlfn.XLOOKUP(MONTH(DA$6),Assumptions!$F$38:$Q$38,Assumptions!$F$42:$Q$42)</f>
        <v>1</v>
      </c>
      <c r="DB28" s="401">
        <f>_xlfn.XLOOKUP(MONTH(DB$6),Assumptions!$F$38:$Q$38,Assumptions!$F$42:$Q$42)</f>
        <v>0.75</v>
      </c>
      <c r="DC28" s="401">
        <f>_xlfn.XLOOKUP(MONTH(DC$6),Assumptions!$F$38:$Q$38,Assumptions!$F$42:$Q$42)</f>
        <v>0.5</v>
      </c>
      <c r="DD28" s="401">
        <f>_xlfn.XLOOKUP(MONTH(DD$6),Assumptions!$F$38:$Q$38,Assumptions!$F$42:$Q$42)</f>
        <v>0.25</v>
      </c>
      <c r="DE28" s="401">
        <f>_xlfn.XLOOKUP(MONTH(DE$6),Assumptions!$F$38:$Q$38,Assumptions!$F$42:$Q$42)</f>
        <v>0.25</v>
      </c>
      <c r="DF28" s="401">
        <f>_xlfn.XLOOKUP(MONTH(DF$6),Assumptions!$F$38:$Q$38,Assumptions!$F$42:$Q$42)</f>
        <v>0.25</v>
      </c>
      <c r="DG28" s="401">
        <f>_xlfn.XLOOKUP(MONTH(DG$6),Assumptions!$F$38:$Q$38,Assumptions!$F$42:$Q$42)</f>
        <v>0.25</v>
      </c>
      <c r="DH28" s="401">
        <f>_xlfn.XLOOKUP(MONTH(DH$6),Assumptions!$F$38:$Q$38,Assumptions!$F$42:$Q$42)</f>
        <v>0.25</v>
      </c>
      <c r="DI28" s="401">
        <f>_xlfn.XLOOKUP(MONTH(DI$6),Assumptions!$F$38:$Q$38,Assumptions!$F$42:$Q$42)</f>
        <v>0.5</v>
      </c>
      <c r="DJ28" s="401">
        <f>_xlfn.XLOOKUP(MONTH(DJ$6),Assumptions!$F$38:$Q$38,Assumptions!$F$42:$Q$42)</f>
        <v>0.75</v>
      </c>
      <c r="DK28" s="401">
        <f>_xlfn.XLOOKUP(MONTH(DK$6),Assumptions!$F$38:$Q$38,Assumptions!$F$42:$Q$42)</f>
        <v>1</v>
      </c>
      <c r="DL28" s="401">
        <f>_xlfn.XLOOKUP(MONTH(DL$6),Assumptions!$F$38:$Q$38,Assumptions!$F$42:$Q$42)</f>
        <v>1</v>
      </c>
      <c r="DM28" s="401">
        <f>_xlfn.XLOOKUP(MONTH(DM$6),Assumptions!$F$38:$Q$38,Assumptions!$F$42:$Q$42)</f>
        <v>1</v>
      </c>
      <c r="DN28" s="401">
        <f>_xlfn.XLOOKUP(MONTH(DN$6),Assumptions!$F$38:$Q$38,Assumptions!$F$42:$Q$42)</f>
        <v>0.75</v>
      </c>
      <c r="DO28" s="401">
        <f>_xlfn.XLOOKUP(MONTH(DO$6),Assumptions!$F$38:$Q$38,Assumptions!$F$42:$Q$42)</f>
        <v>0.5</v>
      </c>
      <c r="DP28" s="401">
        <f>_xlfn.XLOOKUP(MONTH(DP$6),Assumptions!$F$38:$Q$38,Assumptions!$F$42:$Q$42)</f>
        <v>0.25</v>
      </c>
      <c r="DQ28" s="401">
        <f>_xlfn.XLOOKUP(MONTH(DQ$6),Assumptions!$F$38:$Q$38,Assumptions!$F$42:$Q$42)</f>
        <v>0.25</v>
      </c>
      <c r="DR28" s="401">
        <f>_xlfn.XLOOKUP(MONTH(DR$6),Assumptions!$F$38:$Q$38,Assumptions!$F$42:$Q$42)</f>
        <v>0.25</v>
      </c>
      <c r="DS28" s="157"/>
      <c r="DT28" s="157"/>
      <c r="DU28" s="157"/>
      <c r="DV28" s="157"/>
      <c r="DW28" s="157"/>
      <c r="DX28" s="157"/>
      <c r="DY28" s="157"/>
      <c r="DZ28" s="157"/>
      <c r="EA28" s="157"/>
      <c r="EB28" s="157"/>
      <c r="EC28" s="157"/>
      <c r="ED28" s="157"/>
    </row>
    <row r="29" spans="1:134" s="404" customFormat="1" ht="16" x14ac:dyDescent="0.2">
      <c r="A29" s="402"/>
      <c r="B29" s="294" t="s">
        <v>751</v>
      </c>
      <c r="C29" s="403">
        <f>C27*C28</f>
        <v>0</v>
      </c>
      <c r="D29" s="403">
        <f t="shared" ref="D29:BO29" si="29">D27*D28</f>
        <v>0</v>
      </c>
      <c r="E29" s="403">
        <f t="shared" si="29"/>
        <v>0</v>
      </c>
      <c r="F29" s="403">
        <f t="shared" si="29"/>
        <v>0</v>
      </c>
      <c r="G29" s="403">
        <f t="shared" si="29"/>
        <v>0</v>
      </c>
      <c r="H29" s="403">
        <f t="shared" si="29"/>
        <v>0</v>
      </c>
      <c r="I29" s="403">
        <f t="shared" si="29"/>
        <v>0</v>
      </c>
      <c r="J29" s="403">
        <f t="shared" si="29"/>
        <v>0</v>
      </c>
      <c r="K29" s="403">
        <f t="shared" si="29"/>
        <v>0</v>
      </c>
      <c r="L29" s="403">
        <f t="shared" si="29"/>
        <v>0</v>
      </c>
      <c r="M29" s="403">
        <f t="shared" si="29"/>
        <v>0</v>
      </c>
      <c r="N29" s="403">
        <f t="shared" si="29"/>
        <v>0</v>
      </c>
      <c r="O29" s="403">
        <f t="shared" si="29"/>
        <v>0</v>
      </c>
      <c r="P29" s="403">
        <f t="shared" si="29"/>
        <v>0</v>
      </c>
      <c r="Q29" s="403">
        <f t="shared" si="29"/>
        <v>0</v>
      </c>
      <c r="R29" s="403">
        <f t="shared" si="29"/>
        <v>0</v>
      </c>
      <c r="S29" s="403">
        <f t="shared" si="29"/>
        <v>0</v>
      </c>
      <c r="T29" s="403">
        <f t="shared" si="29"/>
        <v>0</v>
      </c>
      <c r="U29" s="403">
        <f t="shared" si="29"/>
        <v>0</v>
      </c>
      <c r="V29" s="403">
        <f t="shared" si="29"/>
        <v>0</v>
      </c>
      <c r="W29" s="403">
        <f t="shared" si="29"/>
        <v>0</v>
      </c>
      <c r="X29" s="403">
        <f t="shared" si="29"/>
        <v>0</v>
      </c>
      <c r="Y29" s="403">
        <f t="shared" si="29"/>
        <v>0</v>
      </c>
      <c r="Z29" s="403">
        <f t="shared" ca="1" si="29"/>
        <v>114930.83333333333</v>
      </c>
      <c r="AA29" s="403">
        <f t="shared" ca="1" si="29"/>
        <v>114930.83333333333</v>
      </c>
      <c r="AB29" s="403">
        <f t="shared" ca="1" si="29"/>
        <v>114930.83333333333</v>
      </c>
      <c r="AC29" s="403">
        <f t="shared" ca="1" si="29"/>
        <v>229861.66666666666</v>
      </c>
      <c r="AD29" s="403">
        <f t="shared" ca="1" si="29"/>
        <v>344792.5</v>
      </c>
      <c r="AE29" s="403">
        <f t="shared" ca="1" si="29"/>
        <v>459723.33333333331</v>
      </c>
      <c r="AF29" s="403">
        <f t="shared" ca="1" si="29"/>
        <v>473515.03333333327</v>
      </c>
      <c r="AG29" s="403">
        <f t="shared" ca="1" si="29"/>
        <v>473515.03333333327</v>
      </c>
      <c r="AH29" s="403">
        <f t="shared" ca="1" si="29"/>
        <v>355136.27499999997</v>
      </c>
      <c r="AI29" s="403">
        <f t="shared" ca="1" si="29"/>
        <v>236757.51666666663</v>
      </c>
      <c r="AJ29" s="403">
        <f t="shared" ca="1" si="29"/>
        <v>118378.75833333332</v>
      </c>
      <c r="AK29" s="403">
        <f t="shared" ca="1" si="29"/>
        <v>118378.75833333332</v>
      </c>
      <c r="AL29" s="403">
        <f t="shared" ca="1" si="29"/>
        <v>118378.75833333332</v>
      </c>
      <c r="AM29" s="403">
        <f t="shared" ca="1" si="29"/>
        <v>118378.75833333332</v>
      </c>
      <c r="AN29" s="403">
        <f t="shared" ca="1" si="29"/>
        <v>118378.75833333332</v>
      </c>
      <c r="AO29" s="403">
        <f t="shared" ca="1" si="29"/>
        <v>236757.51666666663</v>
      </c>
      <c r="AP29" s="403">
        <f t="shared" ca="1" si="29"/>
        <v>355136.27499999997</v>
      </c>
      <c r="AQ29" s="403">
        <f t="shared" ca="1" si="29"/>
        <v>473515.03333333327</v>
      </c>
      <c r="AR29" s="403">
        <f t="shared" ca="1" si="29"/>
        <v>487720.48433333327</v>
      </c>
      <c r="AS29" s="403">
        <f t="shared" ca="1" si="29"/>
        <v>487720.48433333327</v>
      </c>
      <c r="AT29" s="403">
        <f t="shared" ca="1" si="29"/>
        <v>365790.36324999994</v>
      </c>
      <c r="AU29" s="403">
        <f t="shared" ca="1" si="29"/>
        <v>243860.24216666663</v>
      </c>
      <c r="AV29" s="403">
        <f t="shared" ca="1" si="29"/>
        <v>121930.12108333332</v>
      </c>
      <c r="AW29" s="403">
        <f t="shared" ca="1" si="29"/>
        <v>121930.12108333332</v>
      </c>
      <c r="AX29" s="403">
        <f t="shared" ca="1" si="29"/>
        <v>121930.12108333332</v>
      </c>
      <c r="AY29" s="403">
        <f t="shared" ca="1" si="29"/>
        <v>121930.12108333332</v>
      </c>
      <c r="AZ29" s="403">
        <f t="shared" ca="1" si="29"/>
        <v>121930.12108333332</v>
      </c>
      <c r="BA29" s="403">
        <f t="shared" ca="1" si="29"/>
        <v>243860.24216666663</v>
      </c>
      <c r="BB29" s="403">
        <f t="shared" ca="1" si="29"/>
        <v>365790.36324999994</v>
      </c>
      <c r="BC29" s="403">
        <f t="shared" ca="1" si="29"/>
        <v>487720.48433333327</v>
      </c>
      <c r="BD29" s="403">
        <f t="shared" ca="1" si="29"/>
        <v>502352.09886333329</v>
      </c>
      <c r="BE29" s="403">
        <f t="shared" ca="1" si="29"/>
        <v>502352.09886333329</v>
      </c>
      <c r="BF29" s="403">
        <f t="shared" ca="1" si="29"/>
        <v>376764.07414749998</v>
      </c>
      <c r="BG29" s="403">
        <f t="shared" ca="1" si="29"/>
        <v>251176.04943166664</v>
      </c>
      <c r="BH29" s="403">
        <f t="shared" ca="1" si="29"/>
        <v>125588.02471583332</v>
      </c>
      <c r="BI29" s="403">
        <f t="shared" ca="1" si="29"/>
        <v>125588.02471583332</v>
      </c>
      <c r="BJ29" s="403">
        <f t="shared" ca="1" si="29"/>
        <v>125588.02471583332</v>
      </c>
      <c r="BK29" s="403">
        <f t="shared" ca="1" si="29"/>
        <v>125588.02471583332</v>
      </c>
      <c r="BL29" s="403">
        <f t="shared" ca="1" si="29"/>
        <v>125588.02471583332</v>
      </c>
      <c r="BM29" s="403">
        <f t="shared" ca="1" si="29"/>
        <v>251176.04943166664</v>
      </c>
      <c r="BN29" s="403">
        <f t="shared" ca="1" si="29"/>
        <v>376764.07414749998</v>
      </c>
      <c r="BO29" s="403">
        <f t="shared" ca="1" si="29"/>
        <v>502352.09886333329</v>
      </c>
      <c r="BP29" s="403">
        <f t="shared" ref="BP29:DR29" ca="1" si="30">BP27*BP28</f>
        <v>517422.66182923329</v>
      </c>
      <c r="BQ29" s="403">
        <f t="shared" ca="1" si="30"/>
        <v>517422.66182923329</v>
      </c>
      <c r="BR29" s="403">
        <f t="shared" ca="1" si="30"/>
        <v>388066.99637192499</v>
      </c>
      <c r="BS29" s="403">
        <f t="shared" ca="1" si="30"/>
        <v>258711.33091461664</v>
      </c>
      <c r="BT29" s="403">
        <f t="shared" ca="1" si="30"/>
        <v>129355.66545730832</v>
      </c>
      <c r="BU29" s="403">
        <f t="shared" ca="1" si="30"/>
        <v>129355.66545730832</v>
      </c>
      <c r="BV29" s="403">
        <f t="shared" ca="1" si="30"/>
        <v>129355.66545730832</v>
      </c>
      <c r="BW29" s="403">
        <f t="shared" ca="1" si="30"/>
        <v>129355.66545730832</v>
      </c>
      <c r="BX29" s="403">
        <f t="shared" ca="1" si="30"/>
        <v>129355.66545730832</v>
      </c>
      <c r="BY29" s="403">
        <f t="shared" ca="1" si="30"/>
        <v>258711.33091461664</v>
      </c>
      <c r="BZ29" s="403">
        <f t="shared" ca="1" si="30"/>
        <v>388066.99637192499</v>
      </c>
      <c r="CA29" s="403">
        <f t="shared" ca="1" si="30"/>
        <v>517422.66182923329</v>
      </c>
      <c r="CB29" s="403">
        <f t="shared" ca="1" si="30"/>
        <v>532945.34168411035</v>
      </c>
      <c r="CC29" s="403">
        <f t="shared" ca="1" si="30"/>
        <v>532945.34168411035</v>
      </c>
      <c r="CD29" s="403">
        <f t="shared" ca="1" si="30"/>
        <v>399709.00626308273</v>
      </c>
      <c r="CE29" s="403">
        <f t="shared" ca="1" si="30"/>
        <v>266472.67084205517</v>
      </c>
      <c r="CF29" s="403">
        <f t="shared" ca="1" si="30"/>
        <v>133236.33542102759</v>
      </c>
      <c r="CG29" s="403">
        <f t="shared" ca="1" si="30"/>
        <v>133236.33542102759</v>
      </c>
      <c r="CH29" s="403">
        <f t="shared" ca="1" si="30"/>
        <v>133236.33542102759</v>
      </c>
      <c r="CI29" s="403">
        <f t="shared" ca="1" si="30"/>
        <v>133236.33542102759</v>
      </c>
      <c r="CJ29" s="403">
        <f t="shared" ca="1" si="30"/>
        <v>133236.33542102759</v>
      </c>
      <c r="CK29" s="403">
        <f t="shared" ca="1" si="30"/>
        <v>266472.67084205517</v>
      </c>
      <c r="CL29" s="403">
        <f t="shared" ca="1" si="30"/>
        <v>399709.00626308273</v>
      </c>
      <c r="CM29" s="403">
        <f t="shared" ca="1" si="30"/>
        <v>532945.34168411035</v>
      </c>
      <c r="CN29" s="403">
        <f t="shared" ca="1" si="30"/>
        <v>548933.70193463354</v>
      </c>
      <c r="CO29" s="403">
        <f t="shared" ca="1" si="30"/>
        <v>548933.70193463354</v>
      </c>
      <c r="CP29" s="403">
        <f t="shared" ca="1" si="30"/>
        <v>411700.27645097516</v>
      </c>
      <c r="CQ29" s="403">
        <f t="shared" ca="1" si="30"/>
        <v>274466.85096731677</v>
      </c>
      <c r="CR29" s="403">
        <f t="shared" ca="1" si="30"/>
        <v>137233.42548365839</v>
      </c>
      <c r="CS29" s="403">
        <f t="shared" ca="1" si="30"/>
        <v>137233.42548365839</v>
      </c>
      <c r="CT29" s="403">
        <f t="shared" ca="1" si="30"/>
        <v>137233.42548365839</v>
      </c>
      <c r="CU29" s="403" t="e">
        <f t="shared" ca="1" si="30"/>
        <v>#N/A</v>
      </c>
      <c r="CV29" s="403" t="e">
        <f t="shared" ca="1" si="30"/>
        <v>#N/A</v>
      </c>
      <c r="CW29" s="403" t="e">
        <f t="shared" ca="1" si="30"/>
        <v>#N/A</v>
      </c>
      <c r="CX29" s="403" t="e">
        <f t="shared" ca="1" si="30"/>
        <v>#N/A</v>
      </c>
      <c r="CY29" s="403" t="e">
        <f t="shared" ca="1" si="30"/>
        <v>#N/A</v>
      </c>
      <c r="CZ29" s="403" t="e">
        <f t="shared" ca="1" si="30"/>
        <v>#N/A</v>
      </c>
      <c r="DA29" s="403" t="e">
        <f t="shared" ca="1" si="30"/>
        <v>#N/A</v>
      </c>
      <c r="DB29" s="403" t="e">
        <f t="shared" ca="1" si="30"/>
        <v>#N/A</v>
      </c>
      <c r="DC29" s="403" t="e">
        <f t="shared" ca="1" si="30"/>
        <v>#N/A</v>
      </c>
      <c r="DD29" s="403" t="e">
        <f t="shared" ca="1" si="30"/>
        <v>#N/A</v>
      </c>
      <c r="DE29" s="403" t="e">
        <f t="shared" ca="1" si="30"/>
        <v>#N/A</v>
      </c>
      <c r="DF29" s="403" t="e">
        <f t="shared" ca="1" si="30"/>
        <v>#N/A</v>
      </c>
      <c r="DG29" s="403" t="e">
        <f t="shared" ca="1" si="30"/>
        <v>#N/A</v>
      </c>
      <c r="DH29" s="403" t="e">
        <f t="shared" ca="1" si="30"/>
        <v>#N/A</v>
      </c>
      <c r="DI29" s="403" t="e">
        <f t="shared" ca="1" si="30"/>
        <v>#N/A</v>
      </c>
      <c r="DJ29" s="403" t="e">
        <f t="shared" ca="1" si="30"/>
        <v>#N/A</v>
      </c>
      <c r="DK29" s="403" t="e">
        <f t="shared" ca="1" si="30"/>
        <v>#N/A</v>
      </c>
      <c r="DL29" s="403" t="e">
        <f t="shared" ca="1" si="30"/>
        <v>#N/A</v>
      </c>
      <c r="DM29" s="403" t="e">
        <f t="shared" ca="1" si="30"/>
        <v>#N/A</v>
      </c>
      <c r="DN29" s="403" t="e">
        <f t="shared" ca="1" si="30"/>
        <v>#N/A</v>
      </c>
      <c r="DO29" s="403" t="e">
        <f t="shared" ca="1" si="30"/>
        <v>#N/A</v>
      </c>
      <c r="DP29" s="403" t="e">
        <f t="shared" ca="1" si="30"/>
        <v>#N/A</v>
      </c>
      <c r="DQ29" s="403" t="e">
        <f t="shared" ca="1" si="30"/>
        <v>#N/A</v>
      </c>
      <c r="DR29" s="403" t="e">
        <f t="shared" ca="1" si="30"/>
        <v>#N/A</v>
      </c>
      <c r="DS29" s="403"/>
      <c r="DT29" s="403"/>
      <c r="DU29" s="403"/>
      <c r="DV29" s="403"/>
      <c r="DW29" s="403"/>
      <c r="DX29" s="403"/>
      <c r="DY29" s="403"/>
      <c r="DZ29" s="403"/>
      <c r="EA29" s="403"/>
      <c r="EB29" s="403"/>
      <c r="EC29" s="403"/>
      <c r="ED29" s="403"/>
    </row>
    <row r="30" spans="1:134" s="404" customFormat="1" ht="16" x14ac:dyDescent="0.2">
      <c r="A30" s="402"/>
      <c r="B30" s="294" t="s">
        <v>752</v>
      </c>
      <c r="C30" s="407">
        <f>C29*Assumptions!$C$67</f>
        <v>0</v>
      </c>
      <c r="D30" s="407">
        <f>D29*Assumptions!$C$67</f>
        <v>0</v>
      </c>
      <c r="E30" s="407">
        <f>E29*Assumptions!$C$67</f>
        <v>0</v>
      </c>
      <c r="F30" s="407">
        <f>F29*Assumptions!$C$67</f>
        <v>0</v>
      </c>
      <c r="G30" s="407">
        <f>G29*Assumptions!$C$67</f>
        <v>0</v>
      </c>
      <c r="H30" s="407">
        <f>H29*Assumptions!$C$67</f>
        <v>0</v>
      </c>
      <c r="I30" s="407">
        <f>I29*Assumptions!$C$67</f>
        <v>0</v>
      </c>
      <c r="J30" s="407">
        <f>J29*Assumptions!$C$67</f>
        <v>0</v>
      </c>
      <c r="K30" s="407">
        <f>K29*Assumptions!$C$67</f>
        <v>0</v>
      </c>
      <c r="L30" s="407">
        <f>L29*Assumptions!$C$67</f>
        <v>0</v>
      </c>
      <c r="M30" s="407">
        <f>M29*Assumptions!$C$67</f>
        <v>0</v>
      </c>
      <c r="N30" s="407">
        <f>N29*Assumptions!$C$67</f>
        <v>0</v>
      </c>
      <c r="O30" s="407">
        <f>O29*Assumptions!$C$67</f>
        <v>0</v>
      </c>
      <c r="P30" s="407">
        <f>P29*Assumptions!$C$67</f>
        <v>0</v>
      </c>
      <c r="Q30" s="407">
        <f>Q29*Assumptions!$C$67</f>
        <v>0</v>
      </c>
      <c r="R30" s="407">
        <f>R29*Assumptions!$C$67</f>
        <v>0</v>
      </c>
      <c r="S30" s="407">
        <f>S29*Assumptions!$C$67</f>
        <v>0</v>
      </c>
      <c r="T30" s="407">
        <f>T29*Assumptions!$C$67</f>
        <v>0</v>
      </c>
      <c r="U30" s="407">
        <f>U29*Assumptions!$C$67</f>
        <v>0</v>
      </c>
      <c r="V30" s="407">
        <f>V29*Assumptions!$C$67</f>
        <v>0</v>
      </c>
      <c r="W30" s="407">
        <f>W29*Assumptions!$C$67</f>
        <v>0</v>
      </c>
      <c r="X30" s="407">
        <f>X29*Assumptions!$C$67</f>
        <v>0</v>
      </c>
      <c r="Y30" s="407">
        <f>Y29*Assumptions!$C$67</f>
        <v>0</v>
      </c>
      <c r="Z30" s="407">
        <f ca="1">Z29*Assumptions!$C$67</f>
        <v>11493.083333333334</v>
      </c>
      <c r="AA30" s="407">
        <f ca="1">AA29*Assumptions!$C$67</f>
        <v>11493.083333333334</v>
      </c>
      <c r="AB30" s="407">
        <f ca="1">AB29*Assumptions!$C$67</f>
        <v>11493.083333333334</v>
      </c>
      <c r="AC30" s="407">
        <f ca="1">AC29*Assumptions!$C$67</f>
        <v>22986.166666666668</v>
      </c>
      <c r="AD30" s="407">
        <f ca="1">AD29*Assumptions!$C$67</f>
        <v>34479.25</v>
      </c>
      <c r="AE30" s="407">
        <f ca="1">AE29*Assumptions!$C$67</f>
        <v>45972.333333333336</v>
      </c>
      <c r="AF30" s="407">
        <f ca="1">AF29*Assumptions!$C$67</f>
        <v>47351.503333333327</v>
      </c>
      <c r="AG30" s="407">
        <f ca="1">AG29*Assumptions!$C$67</f>
        <v>47351.503333333327</v>
      </c>
      <c r="AH30" s="407">
        <f ca="1">AH29*Assumptions!$C$67</f>
        <v>35513.627499999995</v>
      </c>
      <c r="AI30" s="407">
        <f ca="1">AI29*Assumptions!$C$67</f>
        <v>23675.751666666663</v>
      </c>
      <c r="AJ30" s="407">
        <f ca="1">AJ29*Assumptions!$C$67</f>
        <v>11837.875833333332</v>
      </c>
      <c r="AK30" s="407">
        <f ca="1">AK29*Assumptions!$C$67</f>
        <v>11837.875833333332</v>
      </c>
      <c r="AL30" s="407">
        <f ca="1">AL29*Assumptions!$C$67</f>
        <v>11837.875833333332</v>
      </c>
      <c r="AM30" s="407">
        <f ca="1">AM29*Assumptions!$C$67</f>
        <v>11837.875833333332</v>
      </c>
      <c r="AN30" s="407">
        <f ca="1">AN29*Assumptions!$C$67</f>
        <v>11837.875833333332</v>
      </c>
      <c r="AO30" s="407">
        <f ca="1">AO29*Assumptions!$C$67</f>
        <v>23675.751666666663</v>
      </c>
      <c r="AP30" s="407">
        <f ca="1">AP29*Assumptions!$C$67</f>
        <v>35513.627499999995</v>
      </c>
      <c r="AQ30" s="407">
        <f ca="1">AQ29*Assumptions!$C$67</f>
        <v>47351.503333333327</v>
      </c>
      <c r="AR30" s="407">
        <f ca="1">AR29*Assumptions!$C$67</f>
        <v>48772.04843333333</v>
      </c>
      <c r="AS30" s="407">
        <f ca="1">AS29*Assumptions!$C$67</f>
        <v>48772.04843333333</v>
      </c>
      <c r="AT30" s="407">
        <f ca="1">AT29*Assumptions!$C$67</f>
        <v>36579.036324999994</v>
      </c>
      <c r="AU30" s="407">
        <f ca="1">AU29*Assumptions!$C$67</f>
        <v>24386.024216666665</v>
      </c>
      <c r="AV30" s="407">
        <f ca="1">AV29*Assumptions!$C$67</f>
        <v>12193.012108333332</v>
      </c>
      <c r="AW30" s="407">
        <f ca="1">AW29*Assumptions!$C$67</f>
        <v>12193.012108333332</v>
      </c>
      <c r="AX30" s="407">
        <f ca="1">AX29*Assumptions!$C$67</f>
        <v>12193.012108333332</v>
      </c>
      <c r="AY30" s="407">
        <f ca="1">AY29*Assumptions!$C$67</f>
        <v>12193.012108333332</v>
      </c>
      <c r="AZ30" s="407">
        <f ca="1">AZ29*Assumptions!$C$67</f>
        <v>12193.012108333332</v>
      </c>
      <c r="BA30" s="407">
        <f ca="1">BA29*Assumptions!$C$67</f>
        <v>24386.024216666665</v>
      </c>
      <c r="BB30" s="407">
        <f ca="1">BB29*Assumptions!$C$67</f>
        <v>36579.036324999994</v>
      </c>
      <c r="BC30" s="407">
        <f ca="1">BC29*Assumptions!$C$67</f>
        <v>48772.04843333333</v>
      </c>
      <c r="BD30" s="407">
        <f ca="1">BD29*Assumptions!$C$67</f>
        <v>50235.20988633333</v>
      </c>
      <c r="BE30" s="407">
        <f ca="1">BE29*Assumptions!$C$67</f>
        <v>50235.20988633333</v>
      </c>
      <c r="BF30" s="407">
        <f ca="1">BF29*Assumptions!$C$67</f>
        <v>37676.40741475</v>
      </c>
      <c r="BG30" s="407">
        <f ca="1">BG29*Assumptions!$C$67</f>
        <v>25117.604943166665</v>
      </c>
      <c r="BH30" s="407">
        <f ca="1">BH29*Assumptions!$C$67</f>
        <v>12558.802471583333</v>
      </c>
      <c r="BI30" s="407">
        <f ca="1">BI29*Assumptions!$C$67</f>
        <v>12558.802471583333</v>
      </c>
      <c r="BJ30" s="407">
        <f ca="1">BJ29*Assumptions!$C$67</f>
        <v>12558.802471583333</v>
      </c>
      <c r="BK30" s="407">
        <f ca="1">BK29*Assumptions!$C$67</f>
        <v>12558.802471583333</v>
      </c>
      <c r="BL30" s="407">
        <f ca="1">BL29*Assumptions!$C$67</f>
        <v>12558.802471583333</v>
      </c>
      <c r="BM30" s="407">
        <f ca="1">BM29*Assumptions!$C$67</f>
        <v>25117.604943166665</v>
      </c>
      <c r="BN30" s="407">
        <f ca="1">BN29*Assumptions!$C$67</f>
        <v>37676.40741475</v>
      </c>
      <c r="BO30" s="407">
        <f ca="1">BO29*Assumptions!$C$67</f>
        <v>50235.20988633333</v>
      </c>
      <c r="BP30" s="407">
        <f ca="1">BP29*Assumptions!$C$67</f>
        <v>51742.266182923333</v>
      </c>
      <c r="BQ30" s="407">
        <f ca="1">BQ29*Assumptions!$C$67</f>
        <v>51742.266182923333</v>
      </c>
      <c r="BR30" s="407">
        <f ca="1">BR29*Assumptions!$C$67</f>
        <v>38806.699637192498</v>
      </c>
      <c r="BS30" s="407">
        <f ca="1">BS29*Assumptions!$C$67</f>
        <v>25871.133091461666</v>
      </c>
      <c r="BT30" s="407">
        <f ca="1">BT29*Assumptions!$C$67</f>
        <v>12935.566545730833</v>
      </c>
      <c r="BU30" s="407">
        <f ca="1">BU29*Assumptions!$C$67</f>
        <v>12935.566545730833</v>
      </c>
      <c r="BV30" s="407">
        <f ca="1">BV29*Assumptions!$C$67</f>
        <v>12935.566545730833</v>
      </c>
      <c r="BW30" s="407">
        <f ca="1">BW29*Assumptions!$C$67</f>
        <v>12935.566545730833</v>
      </c>
      <c r="BX30" s="407">
        <f ca="1">BX29*Assumptions!$C$67</f>
        <v>12935.566545730833</v>
      </c>
      <c r="BY30" s="407">
        <f ca="1">BY29*Assumptions!$C$67</f>
        <v>25871.133091461666</v>
      </c>
      <c r="BZ30" s="407">
        <f ca="1">BZ29*Assumptions!$C$67</f>
        <v>38806.699637192498</v>
      </c>
      <c r="CA30" s="407">
        <f ca="1">CA29*Assumptions!$C$67</f>
        <v>51742.266182923333</v>
      </c>
      <c r="CB30" s="407">
        <f ca="1">CB29*Assumptions!$C$67</f>
        <v>53294.534168411039</v>
      </c>
      <c r="CC30" s="407">
        <f ca="1">CC29*Assumptions!$C$67</f>
        <v>53294.534168411039</v>
      </c>
      <c r="CD30" s="407">
        <f ca="1">CD29*Assumptions!$C$67</f>
        <v>39970.900626308277</v>
      </c>
      <c r="CE30" s="407">
        <f ca="1">CE29*Assumptions!$C$67</f>
        <v>26647.267084205519</v>
      </c>
      <c r="CF30" s="407">
        <f ca="1">CF29*Assumptions!$C$67</f>
        <v>13323.63354210276</v>
      </c>
      <c r="CG30" s="407">
        <f ca="1">CG29*Assumptions!$C$67</f>
        <v>13323.63354210276</v>
      </c>
      <c r="CH30" s="407">
        <f ca="1">CH29*Assumptions!$C$67</f>
        <v>13323.63354210276</v>
      </c>
      <c r="CI30" s="407">
        <f ca="1">CI29*Assumptions!$C$67</f>
        <v>13323.63354210276</v>
      </c>
      <c r="CJ30" s="407">
        <f ca="1">CJ29*Assumptions!$C$67</f>
        <v>13323.63354210276</v>
      </c>
      <c r="CK30" s="407">
        <f ca="1">CK29*Assumptions!$C$67</f>
        <v>26647.267084205519</v>
      </c>
      <c r="CL30" s="407">
        <f ca="1">CL29*Assumptions!$C$67</f>
        <v>39970.900626308277</v>
      </c>
      <c r="CM30" s="407">
        <f ca="1">CM29*Assumptions!$C$67</f>
        <v>53294.534168411039</v>
      </c>
      <c r="CN30" s="407">
        <f ca="1">CN29*Assumptions!$C$67</f>
        <v>54893.370193463357</v>
      </c>
      <c r="CO30" s="407">
        <f ca="1">CO29*Assumptions!$C$67</f>
        <v>54893.370193463357</v>
      </c>
      <c r="CP30" s="407">
        <f ca="1">CP29*Assumptions!$C$67</f>
        <v>41170.027645097522</v>
      </c>
      <c r="CQ30" s="407">
        <f ca="1">CQ29*Assumptions!$C$67</f>
        <v>27446.685096731679</v>
      </c>
      <c r="CR30" s="407">
        <f ca="1">CR29*Assumptions!$C$67</f>
        <v>13723.342548365839</v>
      </c>
      <c r="CS30" s="407">
        <f ca="1">CS29*Assumptions!$C$67</f>
        <v>13723.342548365839</v>
      </c>
      <c r="CT30" s="407">
        <f ca="1">CT29*Assumptions!$C$67</f>
        <v>13723.342548365839</v>
      </c>
      <c r="CU30" s="407" t="e">
        <f ca="1">CU29*Assumptions!$C$67</f>
        <v>#N/A</v>
      </c>
      <c r="CV30" s="407" t="e">
        <f ca="1">CV29*Assumptions!$C$67</f>
        <v>#N/A</v>
      </c>
      <c r="CW30" s="407" t="e">
        <f ca="1">CW29*Assumptions!$C$67</f>
        <v>#N/A</v>
      </c>
      <c r="CX30" s="407" t="e">
        <f ca="1">CX29*Assumptions!$C$67</f>
        <v>#N/A</v>
      </c>
      <c r="CY30" s="407" t="e">
        <f ca="1">CY29*Assumptions!$C$67</f>
        <v>#N/A</v>
      </c>
      <c r="CZ30" s="407" t="e">
        <f ca="1">CZ29*Assumptions!$C$67</f>
        <v>#N/A</v>
      </c>
      <c r="DA30" s="407" t="e">
        <f ca="1">DA29*Assumptions!$C$67</f>
        <v>#N/A</v>
      </c>
      <c r="DB30" s="407" t="e">
        <f ca="1">DB29*Assumptions!$C$67</f>
        <v>#N/A</v>
      </c>
      <c r="DC30" s="407" t="e">
        <f ca="1">DC29*Assumptions!$C$67</f>
        <v>#N/A</v>
      </c>
      <c r="DD30" s="407" t="e">
        <f ca="1">DD29*Assumptions!$C$67</f>
        <v>#N/A</v>
      </c>
      <c r="DE30" s="407" t="e">
        <f ca="1">DE29*Assumptions!$C$67</f>
        <v>#N/A</v>
      </c>
      <c r="DF30" s="407" t="e">
        <f ca="1">DF29*Assumptions!$C$67</f>
        <v>#N/A</v>
      </c>
      <c r="DG30" s="407" t="e">
        <f ca="1">DG29*Assumptions!$C$67</f>
        <v>#N/A</v>
      </c>
      <c r="DH30" s="407" t="e">
        <f ca="1">DH29*Assumptions!$C$67</f>
        <v>#N/A</v>
      </c>
      <c r="DI30" s="407" t="e">
        <f ca="1">DI29*Assumptions!$C$67</f>
        <v>#N/A</v>
      </c>
      <c r="DJ30" s="407" t="e">
        <f ca="1">DJ29*Assumptions!$C$67</f>
        <v>#N/A</v>
      </c>
      <c r="DK30" s="407" t="e">
        <f ca="1">DK29*Assumptions!$C$67</f>
        <v>#N/A</v>
      </c>
      <c r="DL30" s="407" t="e">
        <f ca="1">DL29*Assumptions!$C$67</f>
        <v>#N/A</v>
      </c>
      <c r="DM30" s="407" t="e">
        <f ca="1">DM29*Assumptions!$C$67</f>
        <v>#N/A</v>
      </c>
      <c r="DN30" s="407" t="e">
        <f ca="1">DN29*Assumptions!$C$67</f>
        <v>#N/A</v>
      </c>
      <c r="DO30" s="407" t="e">
        <f ca="1">DO29*Assumptions!$C$67</f>
        <v>#N/A</v>
      </c>
      <c r="DP30" s="407" t="e">
        <f ca="1">DP29*Assumptions!$C$67</f>
        <v>#N/A</v>
      </c>
      <c r="DQ30" s="407" t="e">
        <f ca="1">DQ29*Assumptions!$C$67</f>
        <v>#N/A</v>
      </c>
      <c r="DR30" s="407" t="e">
        <f ca="1">DR29*Assumptions!$C$67</f>
        <v>#N/A</v>
      </c>
      <c r="DS30" s="407"/>
      <c r="DT30" s="407"/>
      <c r="DU30" s="407"/>
      <c r="DV30" s="407"/>
      <c r="DW30" s="407"/>
      <c r="DX30" s="407"/>
      <c r="DY30" s="407"/>
      <c r="DZ30" s="407"/>
      <c r="EA30" s="407"/>
      <c r="EB30" s="407"/>
      <c r="EC30" s="407"/>
      <c r="ED30" s="407"/>
    </row>
    <row r="31" spans="1:134" s="404" customFormat="1" ht="16" x14ac:dyDescent="0.2">
      <c r="A31" s="402"/>
      <c r="B31" s="409" t="s">
        <v>112</v>
      </c>
      <c r="C31" s="406">
        <f>IF(C29=0,0,-Assumptions!$C$68/Assumptions!$C$66)</f>
        <v>0</v>
      </c>
      <c r="D31" s="406">
        <f>IF(D29=0,0,-Assumptions!$C$68/Assumptions!$C$66)</f>
        <v>0</v>
      </c>
      <c r="E31" s="406">
        <f>IF(E29=0,0,-Assumptions!$C$68/Assumptions!$C$66)</f>
        <v>0</v>
      </c>
      <c r="F31" s="406">
        <f>IF(F29=0,0,-Assumptions!$C$68/Assumptions!$C$66)</f>
        <v>0</v>
      </c>
      <c r="G31" s="406">
        <f>IF(G29=0,0,-Assumptions!$C$68/Assumptions!$C$66)</f>
        <v>0</v>
      </c>
      <c r="H31" s="406">
        <f>IF(H29=0,0,-Assumptions!$C$68/Assumptions!$C$66)</f>
        <v>0</v>
      </c>
      <c r="I31" s="406">
        <f>IF(I29=0,0,-Assumptions!$C$68/Assumptions!$C$66)</f>
        <v>0</v>
      </c>
      <c r="J31" s="406">
        <f>IF(J29=0,0,-Assumptions!$C$68/Assumptions!$C$66)</f>
        <v>0</v>
      </c>
      <c r="K31" s="406">
        <f>IF(K29=0,0,-Assumptions!$C$68/Assumptions!$C$66)</f>
        <v>0</v>
      </c>
      <c r="L31" s="406">
        <f>IF(L29=0,0,-Assumptions!$C$68/Assumptions!$C$66)</f>
        <v>0</v>
      </c>
      <c r="M31" s="406">
        <f>IF(M29=0,0,-Assumptions!$C$68/Assumptions!$C$66)</f>
        <v>0</v>
      </c>
      <c r="N31" s="406">
        <f>IF(N29=0,0,-Assumptions!$C$68/Assumptions!$C$66)</f>
        <v>0</v>
      </c>
      <c r="O31" s="406">
        <f>IF(O29=0,0,-Assumptions!$C$68/Assumptions!$C$66)</f>
        <v>0</v>
      </c>
      <c r="P31" s="406">
        <f>IF(P29=0,0,-Assumptions!$C$68/Assumptions!$C$66)</f>
        <v>0</v>
      </c>
      <c r="Q31" s="406">
        <f>IF(Q29=0,0,-Assumptions!$C$68/Assumptions!$C$66)</f>
        <v>0</v>
      </c>
      <c r="R31" s="406">
        <f>IF(R29=0,0,-Assumptions!$C$68/Assumptions!$C$66)</f>
        <v>0</v>
      </c>
      <c r="S31" s="406">
        <f>IF(S29=0,0,-Assumptions!$C$68/Assumptions!$C$66)</f>
        <v>0</v>
      </c>
      <c r="T31" s="406">
        <f>IF(T29=0,0,-Assumptions!$C$68/Assumptions!$C$66)</f>
        <v>0</v>
      </c>
      <c r="U31" s="406">
        <f>IF(U29=0,0,-Assumptions!$C$68/Assumptions!$C$66)</f>
        <v>0</v>
      </c>
      <c r="V31" s="406">
        <f>IF(V29=0,0,-Assumptions!$C$68/Assumptions!$C$66)</f>
        <v>0</v>
      </c>
      <c r="W31" s="406">
        <f>IF(W29=0,0,-Assumptions!$C$68/Assumptions!$C$66)</f>
        <v>0</v>
      </c>
      <c r="X31" s="406">
        <f>IF(X29=0,0,-Assumptions!$C$68/Assumptions!$C$66)</f>
        <v>0</v>
      </c>
      <c r="Y31" s="406">
        <f>IF(Y29=0,0,-Assumptions!$C$68/Assumptions!$C$66)</f>
        <v>0</v>
      </c>
      <c r="Z31" s="406">
        <f ca="1">IF(Z29=0,0,-Assumptions!$C$68/Assumptions!$C$66)</f>
        <v>-3333.3333333333335</v>
      </c>
      <c r="AA31" s="406">
        <f ca="1">IF(AA29=0,0,-Assumptions!$C$68/Assumptions!$C$66)</f>
        <v>-3333.3333333333335</v>
      </c>
      <c r="AB31" s="406">
        <f ca="1">IF(AB29=0,0,-Assumptions!$C$68/Assumptions!$C$66)</f>
        <v>-3333.3333333333335</v>
      </c>
      <c r="AC31" s="406">
        <f ca="1">IF(AC29=0,0,-Assumptions!$C$68/Assumptions!$C$66)</f>
        <v>-3333.3333333333335</v>
      </c>
      <c r="AD31" s="406">
        <f ca="1">IF(AD29=0,0,-Assumptions!$C$68/Assumptions!$C$66)</f>
        <v>-3333.3333333333335</v>
      </c>
      <c r="AE31" s="406">
        <f ca="1">IF(AE29=0,0,-Assumptions!$C$68/Assumptions!$C$66)</f>
        <v>-3333.3333333333335</v>
      </c>
      <c r="AF31" s="406">
        <f ca="1">IF(AF29=0,0,-Assumptions!$C$68/Assumptions!$C$66)</f>
        <v>-3333.3333333333335</v>
      </c>
      <c r="AG31" s="406">
        <f ca="1">IF(AG29=0,0,-Assumptions!$C$68/Assumptions!$C$66)</f>
        <v>-3333.3333333333335</v>
      </c>
      <c r="AH31" s="406">
        <f ca="1">IF(AH29=0,0,-Assumptions!$C$68/Assumptions!$C$66)</f>
        <v>-3333.3333333333335</v>
      </c>
      <c r="AI31" s="406">
        <f ca="1">IF(AI29=0,0,-Assumptions!$C$68/Assumptions!$C$66)</f>
        <v>-3333.3333333333335</v>
      </c>
      <c r="AJ31" s="406">
        <f ca="1">IF(AJ29=0,0,-Assumptions!$C$68/Assumptions!$C$66)</f>
        <v>-3333.3333333333335</v>
      </c>
      <c r="AK31" s="406">
        <f ca="1">IF(AK29=0,0,-Assumptions!$C$68/Assumptions!$C$66)</f>
        <v>-3333.3333333333335</v>
      </c>
      <c r="AL31" s="406">
        <f ca="1">IF(AL29=0,0,-Assumptions!$C$68/Assumptions!$C$66)</f>
        <v>-3333.3333333333335</v>
      </c>
      <c r="AM31" s="406">
        <f ca="1">IF(AM29=0,0,-Assumptions!$C$68/Assumptions!$C$66)</f>
        <v>-3333.3333333333335</v>
      </c>
      <c r="AN31" s="406">
        <f ca="1">IF(AN29=0,0,-Assumptions!$C$68/Assumptions!$C$66)</f>
        <v>-3333.3333333333335</v>
      </c>
      <c r="AO31" s="406">
        <f ca="1">IF(AO29=0,0,-Assumptions!$C$68/Assumptions!$C$66)</f>
        <v>-3333.3333333333335</v>
      </c>
      <c r="AP31" s="406">
        <f ca="1">IF(AP29=0,0,-Assumptions!$C$68/Assumptions!$C$66)</f>
        <v>-3333.3333333333335</v>
      </c>
      <c r="AQ31" s="406">
        <f ca="1">IF(AQ29=0,0,-Assumptions!$C$68/Assumptions!$C$66)</f>
        <v>-3333.3333333333335</v>
      </c>
      <c r="AR31" s="406">
        <f ca="1">IF(AR29=0,0,-Assumptions!$C$68/Assumptions!$C$66)</f>
        <v>-3333.3333333333335</v>
      </c>
      <c r="AS31" s="406">
        <f ca="1">IF(AS29=0,0,-Assumptions!$C$68/Assumptions!$C$66)</f>
        <v>-3333.3333333333335</v>
      </c>
      <c r="AT31" s="406">
        <f ca="1">IF(AT29=0,0,-Assumptions!$C$68/Assumptions!$C$66)</f>
        <v>-3333.3333333333335</v>
      </c>
      <c r="AU31" s="406">
        <f ca="1">IF(AU29=0,0,-Assumptions!$C$68/Assumptions!$C$66)</f>
        <v>-3333.3333333333335</v>
      </c>
      <c r="AV31" s="406">
        <f ca="1">IF(AV29=0,0,-Assumptions!$C$68/Assumptions!$C$66)</f>
        <v>-3333.3333333333335</v>
      </c>
      <c r="AW31" s="406">
        <f ca="1">IF(AW29=0,0,-Assumptions!$C$68/Assumptions!$C$66)</f>
        <v>-3333.3333333333335</v>
      </c>
      <c r="AX31" s="406">
        <f ca="1">IF(AX29=0,0,-Assumptions!$C$68/Assumptions!$C$66)</f>
        <v>-3333.3333333333335</v>
      </c>
      <c r="AY31" s="406">
        <f ca="1">IF(AY29=0,0,-Assumptions!$C$68/Assumptions!$C$66)</f>
        <v>-3333.3333333333335</v>
      </c>
      <c r="AZ31" s="406">
        <f ca="1">IF(AZ29=0,0,-Assumptions!$C$68/Assumptions!$C$66)</f>
        <v>-3333.3333333333335</v>
      </c>
      <c r="BA31" s="406">
        <f ca="1">IF(BA29=0,0,-Assumptions!$C$68/Assumptions!$C$66)</f>
        <v>-3333.3333333333335</v>
      </c>
      <c r="BB31" s="406">
        <f ca="1">IF(BB29=0,0,-Assumptions!$C$68/Assumptions!$C$66)</f>
        <v>-3333.3333333333335</v>
      </c>
      <c r="BC31" s="406">
        <f ca="1">IF(BC29=0,0,-Assumptions!$C$68/Assumptions!$C$66)</f>
        <v>-3333.3333333333335</v>
      </c>
      <c r="BD31" s="406">
        <f ca="1">IF(BD29=0,0,-Assumptions!$C$68/Assumptions!$C$66)</f>
        <v>-3333.3333333333335</v>
      </c>
      <c r="BE31" s="406">
        <f ca="1">IF(BE29=0,0,-Assumptions!$C$68/Assumptions!$C$66)</f>
        <v>-3333.3333333333335</v>
      </c>
      <c r="BF31" s="406">
        <f ca="1">IF(BF29=0,0,-Assumptions!$C$68/Assumptions!$C$66)</f>
        <v>-3333.3333333333335</v>
      </c>
      <c r="BG31" s="406">
        <f ca="1">IF(BG29=0,0,-Assumptions!$C$68/Assumptions!$C$66)</f>
        <v>-3333.3333333333335</v>
      </c>
      <c r="BH31" s="406">
        <f ca="1">IF(BH29=0,0,-Assumptions!$C$68/Assumptions!$C$66)</f>
        <v>-3333.3333333333335</v>
      </c>
      <c r="BI31" s="406">
        <f ca="1">IF(BI29=0,0,-Assumptions!$C$68/Assumptions!$C$66)</f>
        <v>-3333.3333333333335</v>
      </c>
      <c r="BJ31" s="406">
        <f ca="1">IF(BJ29=0,0,-Assumptions!$C$68/Assumptions!$C$66)</f>
        <v>-3333.3333333333335</v>
      </c>
      <c r="BK31" s="406">
        <f ca="1">IF(BK29=0,0,-Assumptions!$C$68/Assumptions!$C$66)</f>
        <v>-3333.3333333333335</v>
      </c>
      <c r="BL31" s="406">
        <f ca="1">IF(BL29=0,0,-Assumptions!$C$68/Assumptions!$C$66)</f>
        <v>-3333.3333333333335</v>
      </c>
      <c r="BM31" s="406">
        <f ca="1">IF(BM29=0,0,-Assumptions!$C$68/Assumptions!$C$66)</f>
        <v>-3333.3333333333335</v>
      </c>
      <c r="BN31" s="406">
        <f ca="1">IF(BN29=0,0,-Assumptions!$C$68/Assumptions!$C$66)</f>
        <v>-3333.3333333333335</v>
      </c>
      <c r="BO31" s="406">
        <f ca="1">IF(BO29=0,0,-Assumptions!$C$68/Assumptions!$C$66)</f>
        <v>-3333.3333333333335</v>
      </c>
      <c r="BP31" s="406">
        <f ca="1">IF(BP29=0,0,-Assumptions!$C$68/Assumptions!$C$66)</f>
        <v>-3333.3333333333335</v>
      </c>
      <c r="BQ31" s="406">
        <f ca="1">IF(BQ29=0,0,-Assumptions!$C$68/Assumptions!$C$66)</f>
        <v>-3333.3333333333335</v>
      </c>
      <c r="BR31" s="406">
        <f ca="1">IF(BR29=0,0,-Assumptions!$C$68/Assumptions!$C$66)</f>
        <v>-3333.3333333333335</v>
      </c>
      <c r="BS31" s="406">
        <f ca="1">IF(BS29=0,0,-Assumptions!$C$68/Assumptions!$C$66)</f>
        <v>-3333.3333333333335</v>
      </c>
      <c r="BT31" s="406">
        <f ca="1">IF(BT29=0,0,-Assumptions!$C$68/Assumptions!$C$66)</f>
        <v>-3333.3333333333335</v>
      </c>
      <c r="BU31" s="406">
        <f ca="1">IF(BU29=0,0,-Assumptions!$C$68/Assumptions!$C$66)</f>
        <v>-3333.3333333333335</v>
      </c>
      <c r="BV31" s="406">
        <f ca="1">IF(BV29=0,0,-Assumptions!$C$68/Assumptions!$C$66)</f>
        <v>-3333.3333333333335</v>
      </c>
      <c r="BW31" s="406">
        <f ca="1">IF(BW29=0,0,-Assumptions!$C$68/Assumptions!$C$66)</f>
        <v>-3333.3333333333335</v>
      </c>
      <c r="BX31" s="406">
        <f ca="1">IF(BX29=0,0,-Assumptions!$C$68/Assumptions!$C$66)</f>
        <v>-3333.3333333333335</v>
      </c>
      <c r="BY31" s="406">
        <f ca="1">IF(BY29=0,0,-Assumptions!$C$68/Assumptions!$C$66)</f>
        <v>-3333.3333333333335</v>
      </c>
      <c r="BZ31" s="406">
        <f ca="1">IF(BZ29=0,0,-Assumptions!$C$68/Assumptions!$C$66)</f>
        <v>-3333.3333333333335</v>
      </c>
      <c r="CA31" s="406">
        <f ca="1">IF(CA29=0,0,-Assumptions!$C$68/Assumptions!$C$66)</f>
        <v>-3333.3333333333335</v>
      </c>
      <c r="CB31" s="406">
        <f ca="1">IF(CB29=0,0,-Assumptions!$C$68/Assumptions!$C$66)</f>
        <v>-3333.3333333333335</v>
      </c>
      <c r="CC31" s="406">
        <f ca="1">IF(CC29=0,0,-Assumptions!$C$68/Assumptions!$C$66)</f>
        <v>-3333.3333333333335</v>
      </c>
      <c r="CD31" s="406">
        <f ca="1">IF(CD29=0,0,-Assumptions!$C$68/Assumptions!$C$66)</f>
        <v>-3333.3333333333335</v>
      </c>
      <c r="CE31" s="406">
        <f ca="1">IF(CE29=0,0,-Assumptions!$C$68/Assumptions!$C$66)</f>
        <v>-3333.3333333333335</v>
      </c>
      <c r="CF31" s="406">
        <f ca="1">IF(CF29=0,0,-Assumptions!$C$68/Assumptions!$C$66)</f>
        <v>-3333.3333333333335</v>
      </c>
      <c r="CG31" s="406">
        <f ca="1">IF(CG29=0,0,-Assumptions!$C$68/Assumptions!$C$66)</f>
        <v>-3333.3333333333335</v>
      </c>
      <c r="CH31" s="406">
        <f ca="1">IF(CH29=0,0,-Assumptions!$C$68/Assumptions!$C$66)</f>
        <v>-3333.3333333333335</v>
      </c>
      <c r="CI31" s="406">
        <f ca="1">IF(CI29=0,0,-Assumptions!$C$68/Assumptions!$C$66)</f>
        <v>-3333.3333333333335</v>
      </c>
      <c r="CJ31" s="406">
        <f ca="1">IF(CJ29=0,0,-Assumptions!$C$68/Assumptions!$C$66)</f>
        <v>-3333.3333333333335</v>
      </c>
      <c r="CK31" s="406">
        <f ca="1">IF(CK29=0,0,-Assumptions!$C$68/Assumptions!$C$66)</f>
        <v>-3333.3333333333335</v>
      </c>
      <c r="CL31" s="406">
        <f ca="1">IF(CL29=0,0,-Assumptions!$C$68/Assumptions!$C$66)</f>
        <v>-3333.3333333333335</v>
      </c>
      <c r="CM31" s="406">
        <f ca="1">IF(CM29=0,0,-Assumptions!$C$68/Assumptions!$C$66)</f>
        <v>-3333.3333333333335</v>
      </c>
      <c r="CN31" s="406">
        <f ca="1">IF(CN29=0,0,-Assumptions!$C$68/Assumptions!$C$66)</f>
        <v>-3333.3333333333335</v>
      </c>
      <c r="CO31" s="406">
        <f ca="1">IF(CO29=0,0,-Assumptions!$C$68/Assumptions!$C$66)</f>
        <v>-3333.3333333333335</v>
      </c>
      <c r="CP31" s="406">
        <f ca="1">IF(CP29=0,0,-Assumptions!$C$68/Assumptions!$C$66)</f>
        <v>-3333.3333333333335</v>
      </c>
      <c r="CQ31" s="406">
        <f ca="1">IF(CQ29=0,0,-Assumptions!$C$68/Assumptions!$C$66)</f>
        <v>-3333.3333333333335</v>
      </c>
      <c r="CR31" s="406">
        <f ca="1">IF(CR29=0,0,-Assumptions!$C$68/Assumptions!$C$66)</f>
        <v>-3333.3333333333335</v>
      </c>
      <c r="CS31" s="406">
        <f ca="1">IF(CS29=0,0,-Assumptions!$C$68/Assumptions!$C$66)</f>
        <v>-3333.3333333333335</v>
      </c>
      <c r="CT31" s="406">
        <f ca="1">IF(CT29=0,0,-Assumptions!$C$68/Assumptions!$C$66)</f>
        <v>-3333.3333333333335</v>
      </c>
      <c r="CU31" s="406" t="e">
        <f ca="1">IF(CU29=0,0,-Assumptions!$C$68/Assumptions!$C$66)</f>
        <v>#N/A</v>
      </c>
      <c r="CV31" s="406" t="e">
        <f ca="1">IF(CV29=0,0,-Assumptions!$C$68/Assumptions!$C$66)</f>
        <v>#N/A</v>
      </c>
      <c r="CW31" s="406" t="e">
        <f ca="1">IF(CW29=0,0,-Assumptions!$C$68/Assumptions!$C$66)</f>
        <v>#N/A</v>
      </c>
      <c r="CX31" s="406" t="e">
        <f ca="1">IF(CX29=0,0,-Assumptions!$C$68/Assumptions!$C$66)</f>
        <v>#N/A</v>
      </c>
      <c r="CY31" s="406" t="e">
        <f ca="1">IF(CY29=0,0,-Assumptions!$C$68/Assumptions!$C$66)</f>
        <v>#N/A</v>
      </c>
      <c r="CZ31" s="406" t="e">
        <f ca="1">IF(CZ29=0,0,-Assumptions!$C$68/Assumptions!$C$66)</f>
        <v>#N/A</v>
      </c>
      <c r="DA31" s="406" t="e">
        <f ca="1">IF(DA29=0,0,-Assumptions!$C$68/Assumptions!$C$66)</f>
        <v>#N/A</v>
      </c>
      <c r="DB31" s="406" t="e">
        <f ca="1">IF(DB29=0,0,-Assumptions!$C$68/Assumptions!$C$66)</f>
        <v>#N/A</v>
      </c>
      <c r="DC31" s="406" t="e">
        <f ca="1">IF(DC29=0,0,-Assumptions!$C$68/Assumptions!$C$66)</f>
        <v>#N/A</v>
      </c>
      <c r="DD31" s="406" t="e">
        <f ca="1">IF(DD29=0,0,-Assumptions!$C$68/Assumptions!$C$66)</f>
        <v>#N/A</v>
      </c>
      <c r="DE31" s="406" t="e">
        <f ca="1">IF(DE29=0,0,-Assumptions!$C$68/Assumptions!$C$66)</f>
        <v>#N/A</v>
      </c>
      <c r="DF31" s="406" t="e">
        <f ca="1">IF(DF29=0,0,-Assumptions!$C$68/Assumptions!$C$66)</f>
        <v>#N/A</v>
      </c>
      <c r="DG31" s="406" t="e">
        <f ca="1">IF(DG29=0,0,-Assumptions!$C$68/Assumptions!$C$66)</f>
        <v>#N/A</v>
      </c>
      <c r="DH31" s="406" t="e">
        <f ca="1">IF(DH29=0,0,-Assumptions!$C$68/Assumptions!$C$66)</f>
        <v>#N/A</v>
      </c>
      <c r="DI31" s="406" t="e">
        <f ca="1">IF(DI29=0,0,-Assumptions!$C$68/Assumptions!$C$66)</f>
        <v>#N/A</v>
      </c>
      <c r="DJ31" s="406" t="e">
        <f ca="1">IF(DJ29=0,0,-Assumptions!$C$68/Assumptions!$C$66)</f>
        <v>#N/A</v>
      </c>
      <c r="DK31" s="406" t="e">
        <f ca="1">IF(DK29=0,0,-Assumptions!$C$68/Assumptions!$C$66)</f>
        <v>#N/A</v>
      </c>
      <c r="DL31" s="406" t="e">
        <f ca="1">IF(DL29=0,0,-Assumptions!$C$68/Assumptions!$C$66)</f>
        <v>#N/A</v>
      </c>
      <c r="DM31" s="406" t="e">
        <f ca="1">IF(DM29=0,0,-Assumptions!$C$68/Assumptions!$C$66)</f>
        <v>#N/A</v>
      </c>
      <c r="DN31" s="406" t="e">
        <f ca="1">IF(DN29=0,0,-Assumptions!$C$68/Assumptions!$C$66)</f>
        <v>#N/A</v>
      </c>
      <c r="DO31" s="406" t="e">
        <f ca="1">IF(DO29=0,0,-Assumptions!$C$68/Assumptions!$C$66)</f>
        <v>#N/A</v>
      </c>
      <c r="DP31" s="406" t="e">
        <f ca="1">IF(DP29=0,0,-Assumptions!$C$68/Assumptions!$C$66)</f>
        <v>#N/A</v>
      </c>
      <c r="DQ31" s="406" t="e">
        <f ca="1">IF(DQ29=0,0,-Assumptions!$C$68/Assumptions!$C$66)</f>
        <v>#N/A</v>
      </c>
      <c r="DR31" s="406" t="e">
        <f ca="1">IF(DR29=0,0,-Assumptions!$C$68/Assumptions!$C$66)</f>
        <v>#N/A</v>
      </c>
      <c r="DS31" s="403"/>
      <c r="DT31" s="403"/>
      <c r="DU31" s="403"/>
      <c r="DV31" s="403"/>
      <c r="DW31" s="403"/>
      <c r="DX31" s="403"/>
      <c r="DY31" s="403"/>
      <c r="DZ31" s="403"/>
      <c r="EA31" s="403"/>
      <c r="EB31" s="403"/>
      <c r="EC31" s="403"/>
      <c r="ED31" s="403"/>
    </row>
    <row r="32" spans="1:134" s="404" customFormat="1" ht="16" x14ac:dyDescent="0.2">
      <c r="A32" s="402"/>
      <c r="B32" s="408" t="s">
        <v>753</v>
      </c>
      <c r="C32" s="405">
        <f>C31+C30+C27*C28</f>
        <v>0</v>
      </c>
      <c r="D32" s="405">
        <f t="shared" ref="D32:BO32" si="31">D31+D30+D27*D28</f>
        <v>0</v>
      </c>
      <c r="E32" s="405">
        <f t="shared" si="31"/>
        <v>0</v>
      </c>
      <c r="F32" s="405">
        <f t="shared" si="31"/>
        <v>0</v>
      </c>
      <c r="G32" s="405">
        <f t="shared" si="31"/>
        <v>0</v>
      </c>
      <c r="H32" s="405">
        <f t="shared" si="31"/>
        <v>0</v>
      </c>
      <c r="I32" s="405">
        <f t="shared" si="31"/>
        <v>0</v>
      </c>
      <c r="J32" s="405">
        <f t="shared" si="31"/>
        <v>0</v>
      </c>
      <c r="K32" s="405">
        <f t="shared" si="31"/>
        <v>0</v>
      </c>
      <c r="L32" s="405">
        <f t="shared" si="31"/>
        <v>0</v>
      </c>
      <c r="M32" s="405">
        <f t="shared" si="31"/>
        <v>0</v>
      </c>
      <c r="N32" s="405">
        <f t="shared" si="31"/>
        <v>0</v>
      </c>
      <c r="O32" s="405">
        <f t="shared" si="31"/>
        <v>0</v>
      </c>
      <c r="P32" s="405">
        <f t="shared" si="31"/>
        <v>0</v>
      </c>
      <c r="Q32" s="405">
        <f t="shared" si="31"/>
        <v>0</v>
      </c>
      <c r="R32" s="405">
        <f t="shared" si="31"/>
        <v>0</v>
      </c>
      <c r="S32" s="405">
        <f t="shared" si="31"/>
        <v>0</v>
      </c>
      <c r="T32" s="405">
        <f t="shared" si="31"/>
        <v>0</v>
      </c>
      <c r="U32" s="405">
        <f t="shared" si="31"/>
        <v>0</v>
      </c>
      <c r="V32" s="405">
        <f t="shared" si="31"/>
        <v>0</v>
      </c>
      <c r="W32" s="405">
        <f t="shared" si="31"/>
        <v>0</v>
      </c>
      <c r="X32" s="405">
        <f t="shared" si="31"/>
        <v>0</v>
      </c>
      <c r="Y32" s="405">
        <f t="shared" si="31"/>
        <v>0</v>
      </c>
      <c r="Z32" s="405">
        <f t="shared" ca="1" si="31"/>
        <v>123090.58333333333</v>
      </c>
      <c r="AA32" s="405">
        <f t="shared" ca="1" si="31"/>
        <v>123090.58333333333</v>
      </c>
      <c r="AB32" s="405">
        <f t="shared" ca="1" si="31"/>
        <v>123090.58333333333</v>
      </c>
      <c r="AC32" s="405">
        <f t="shared" ca="1" si="31"/>
        <v>249514.5</v>
      </c>
      <c r="AD32" s="405">
        <f t="shared" ca="1" si="31"/>
        <v>375938.41666666669</v>
      </c>
      <c r="AE32" s="405">
        <f t="shared" ca="1" si="31"/>
        <v>502362.33333333331</v>
      </c>
      <c r="AF32" s="405">
        <f t="shared" ca="1" si="31"/>
        <v>517533.20333333325</v>
      </c>
      <c r="AG32" s="405">
        <f t="shared" ca="1" si="31"/>
        <v>517533.20333333325</v>
      </c>
      <c r="AH32" s="405">
        <f t="shared" ca="1" si="31"/>
        <v>387316.56916666665</v>
      </c>
      <c r="AI32" s="405">
        <f t="shared" ca="1" si="31"/>
        <v>257099.93499999997</v>
      </c>
      <c r="AJ32" s="405">
        <f t="shared" ca="1" si="31"/>
        <v>126883.30083333331</v>
      </c>
      <c r="AK32" s="405">
        <f t="shared" ca="1" si="31"/>
        <v>126883.30083333331</v>
      </c>
      <c r="AL32" s="405">
        <f t="shared" ca="1" si="31"/>
        <v>126883.30083333331</v>
      </c>
      <c r="AM32" s="405">
        <f t="shared" ca="1" si="31"/>
        <v>126883.30083333331</v>
      </c>
      <c r="AN32" s="405">
        <f t="shared" ca="1" si="31"/>
        <v>126883.30083333331</v>
      </c>
      <c r="AO32" s="405">
        <f t="shared" ca="1" si="31"/>
        <v>257099.93499999997</v>
      </c>
      <c r="AP32" s="405">
        <f t="shared" ca="1" si="31"/>
        <v>387316.56916666665</v>
      </c>
      <c r="AQ32" s="405">
        <f t="shared" ca="1" si="31"/>
        <v>517533.20333333325</v>
      </c>
      <c r="AR32" s="405">
        <f t="shared" ca="1" si="31"/>
        <v>533159.19943333324</v>
      </c>
      <c r="AS32" s="405">
        <f t="shared" ca="1" si="31"/>
        <v>533159.19943333324</v>
      </c>
      <c r="AT32" s="405">
        <f t="shared" ca="1" si="31"/>
        <v>399036.06624166662</v>
      </c>
      <c r="AU32" s="405">
        <f t="shared" ca="1" si="31"/>
        <v>264912.93304999999</v>
      </c>
      <c r="AV32" s="405">
        <f t="shared" ca="1" si="31"/>
        <v>130789.79985833331</v>
      </c>
      <c r="AW32" s="405">
        <f t="shared" ca="1" si="31"/>
        <v>130789.79985833331</v>
      </c>
      <c r="AX32" s="405">
        <f t="shared" ca="1" si="31"/>
        <v>130789.79985833331</v>
      </c>
      <c r="AY32" s="405">
        <f t="shared" ca="1" si="31"/>
        <v>130789.79985833331</v>
      </c>
      <c r="AZ32" s="405">
        <f t="shared" ca="1" si="31"/>
        <v>130789.79985833331</v>
      </c>
      <c r="BA32" s="405">
        <f t="shared" ca="1" si="31"/>
        <v>264912.93304999999</v>
      </c>
      <c r="BB32" s="405">
        <f t="shared" ca="1" si="31"/>
        <v>399036.06624166662</v>
      </c>
      <c r="BC32" s="405">
        <f t="shared" ca="1" si="31"/>
        <v>533159.19943333324</v>
      </c>
      <c r="BD32" s="405">
        <f t="shared" ca="1" si="31"/>
        <v>549253.9754163333</v>
      </c>
      <c r="BE32" s="405">
        <f t="shared" ca="1" si="31"/>
        <v>549253.9754163333</v>
      </c>
      <c r="BF32" s="405">
        <f t="shared" ca="1" si="31"/>
        <v>411107.14822891663</v>
      </c>
      <c r="BG32" s="405">
        <f t="shared" ca="1" si="31"/>
        <v>272960.32104149996</v>
      </c>
      <c r="BH32" s="405">
        <f t="shared" ca="1" si="31"/>
        <v>134813.49385408332</v>
      </c>
      <c r="BI32" s="405">
        <f t="shared" ca="1" si="31"/>
        <v>134813.49385408332</v>
      </c>
      <c r="BJ32" s="405">
        <f t="shared" ca="1" si="31"/>
        <v>134813.49385408332</v>
      </c>
      <c r="BK32" s="405">
        <f t="shared" ca="1" si="31"/>
        <v>134813.49385408332</v>
      </c>
      <c r="BL32" s="405">
        <f t="shared" ca="1" si="31"/>
        <v>134813.49385408332</v>
      </c>
      <c r="BM32" s="405">
        <f t="shared" ca="1" si="31"/>
        <v>272960.32104149996</v>
      </c>
      <c r="BN32" s="405">
        <f t="shared" ca="1" si="31"/>
        <v>411107.14822891663</v>
      </c>
      <c r="BO32" s="405">
        <f t="shared" ca="1" si="31"/>
        <v>549253.9754163333</v>
      </c>
      <c r="BP32" s="405">
        <f t="shared" ref="BP32:DR32" ca="1" si="32">BP31+BP30+BP27*BP28</f>
        <v>565831.59467882325</v>
      </c>
      <c r="BQ32" s="405">
        <f t="shared" ca="1" si="32"/>
        <v>565831.59467882325</v>
      </c>
      <c r="BR32" s="405">
        <f t="shared" ca="1" si="32"/>
        <v>423540.36267578416</v>
      </c>
      <c r="BS32" s="405">
        <f t="shared" ca="1" si="32"/>
        <v>281249.130672745</v>
      </c>
      <c r="BT32" s="405">
        <f t="shared" ca="1" si="32"/>
        <v>138957.89866970581</v>
      </c>
      <c r="BU32" s="405">
        <f t="shared" ca="1" si="32"/>
        <v>138957.89866970581</v>
      </c>
      <c r="BV32" s="405">
        <f t="shared" ca="1" si="32"/>
        <v>138957.89866970581</v>
      </c>
      <c r="BW32" s="405">
        <f t="shared" ca="1" si="32"/>
        <v>138957.89866970581</v>
      </c>
      <c r="BX32" s="405">
        <f t="shared" ca="1" si="32"/>
        <v>138957.89866970581</v>
      </c>
      <c r="BY32" s="405">
        <f t="shared" ca="1" si="32"/>
        <v>281249.130672745</v>
      </c>
      <c r="BZ32" s="405">
        <f t="shared" ca="1" si="32"/>
        <v>423540.36267578416</v>
      </c>
      <c r="CA32" s="405">
        <f t="shared" ca="1" si="32"/>
        <v>565831.59467882325</v>
      </c>
      <c r="CB32" s="405">
        <f t="shared" ca="1" si="32"/>
        <v>582906.54251918802</v>
      </c>
      <c r="CC32" s="405">
        <f t="shared" ca="1" si="32"/>
        <v>582906.54251918802</v>
      </c>
      <c r="CD32" s="405">
        <f t="shared" ca="1" si="32"/>
        <v>436346.57355605764</v>
      </c>
      <c r="CE32" s="405">
        <f t="shared" ca="1" si="32"/>
        <v>289786.60459292738</v>
      </c>
      <c r="CF32" s="405">
        <f t="shared" ca="1" si="32"/>
        <v>143226.63562979701</v>
      </c>
      <c r="CG32" s="405">
        <f t="shared" ca="1" si="32"/>
        <v>143226.63562979701</v>
      </c>
      <c r="CH32" s="405">
        <f t="shared" ca="1" si="32"/>
        <v>143226.63562979701</v>
      </c>
      <c r="CI32" s="405">
        <f t="shared" ca="1" si="32"/>
        <v>143226.63562979701</v>
      </c>
      <c r="CJ32" s="405">
        <f t="shared" ca="1" si="32"/>
        <v>143226.63562979701</v>
      </c>
      <c r="CK32" s="405">
        <f t="shared" ca="1" si="32"/>
        <v>289786.60459292738</v>
      </c>
      <c r="CL32" s="405">
        <f t="shared" ca="1" si="32"/>
        <v>436346.57355605764</v>
      </c>
      <c r="CM32" s="405">
        <f t="shared" ca="1" si="32"/>
        <v>582906.54251918802</v>
      </c>
      <c r="CN32" s="405">
        <f t="shared" ca="1" si="32"/>
        <v>600493.73879476357</v>
      </c>
      <c r="CO32" s="405">
        <f t="shared" ca="1" si="32"/>
        <v>600493.73879476357</v>
      </c>
      <c r="CP32" s="405">
        <f t="shared" ca="1" si="32"/>
        <v>449536.97076273937</v>
      </c>
      <c r="CQ32" s="405">
        <f t="shared" ca="1" si="32"/>
        <v>298580.2027307151</v>
      </c>
      <c r="CR32" s="405">
        <f t="shared" ca="1" si="32"/>
        <v>147623.43469869089</v>
      </c>
      <c r="CS32" s="405">
        <f t="shared" ca="1" si="32"/>
        <v>147623.43469869089</v>
      </c>
      <c r="CT32" s="405">
        <f t="shared" ca="1" si="32"/>
        <v>147623.43469869089</v>
      </c>
      <c r="CU32" s="405" t="e">
        <f t="shared" ca="1" si="32"/>
        <v>#N/A</v>
      </c>
      <c r="CV32" s="405" t="e">
        <f t="shared" ca="1" si="32"/>
        <v>#N/A</v>
      </c>
      <c r="CW32" s="405" t="e">
        <f t="shared" ca="1" si="32"/>
        <v>#N/A</v>
      </c>
      <c r="CX32" s="405" t="e">
        <f t="shared" ca="1" si="32"/>
        <v>#N/A</v>
      </c>
      <c r="CY32" s="405" t="e">
        <f t="shared" ca="1" si="32"/>
        <v>#N/A</v>
      </c>
      <c r="CZ32" s="405" t="e">
        <f t="shared" ca="1" si="32"/>
        <v>#N/A</v>
      </c>
      <c r="DA32" s="405" t="e">
        <f t="shared" ca="1" si="32"/>
        <v>#N/A</v>
      </c>
      <c r="DB32" s="405" t="e">
        <f t="shared" ca="1" si="32"/>
        <v>#N/A</v>
      </c>
      <c r="DC32" s="405" t="e">
        <f t="shared" ca="1" si="32"/>
        <v>#N/A</v>
      </c>
      <c r="DD32" s="405" t="e">
        <f t="shared" ca="1" si="32"/>
        <v>#N/A</v>
      </c>
      <c r="DE32" s="405" t="e">
        <f t="shared" ca="1" si="32"/>
        <v>#N/A</v>
      </c>
      <c r="DF32" s="405" t="e">
        <f t="shared" ca="1" si="32"/>
        <v>#N/A</v>
      </c>
      <c r="DG32" s="405" t="e">
        <f t="shared" ca="1" si="32"/>
        <v>#N/A</v>
      </c>
      <c r="DH32" s="405" t="e">
        <f t="shared" ca="1" si="32"/>
        <v>#N/A</v>
      </c>
      <c r="DI32" s="405" t="e">
        <f t="shared" ca="1" si="32"/>
        <v>#N/A</v>
      </c>
      <c r="DJ32" s="405" t="e">
        <f t="shared" ca="1" si="32"/>
        <v>#N/A</v>
      </c>
      <c r="DK32" s="405" t="e">
        <f t="shared" ca="1" si="32"/>
        <v>#N/A</v>
      </c>
      <c r="DL32" s="405" t="e">
        <f t="shared" ca="1" si="32"/>
        <v>#N/A</v>
      </c>
      <c r="DM32" s="405" t="e">
        <f t="shared" ca="1" si="32"/>
        <v>#N/A</v>
      </c>
      <c r="DN32" s="405" t="e">
        <f t="shared" ca="1" si="32"/>
        <v>#N/A</v>
      </c>
      <c r="DO32" s="405" t="e">
        <f t="shared" ca="1" si="32"/>
        <v>#N/A</v>
      </c>
      <c r="DP32" s="405" t="e">
        <f t="shared" ca="1" si="32"/>
        <v>#N/A</v>
      </c>
      <c r="DQ32" s="405" t="e">
        <f t="shared" ca="1" si="32"/>
        <v>#N/A</v>
      </c>
      <c r="DR32" s="405" t="e">
        <f t="shared" ca="1" si="32"/>
        <v>#N/A</v>
      </c>
      <c r="DS32" s="405"/>
      <c r="DT32" s="405"/>
      <c r="DU32" s="405"/>
      <c r="DV32" s="405"/>
      <c r="DW32" s="405"/>
      <c r="DX32" s="405"/>
      <c r="DY32" s="405"/>
      <c r="DZ32" s="405"/>
      <c r="EA32" s="405"/>
      <c r="EB32" s="405"/>
      <c r="EC32" s="405"/>
      <c r="ED32" s="405"/>
    </row>
    <row r="33" spans="1:134" s="153" customFormat="1" ht="16" x14ac:dyDescent="0.2">
      <c r="A33" s="316"/>
      <c r="B33" s="294"/>
    </row>
    <row r="34" spans="1:134" s="404" customFormat="1" ht="16" x14ac:dyDescent="0.2">
      <c r="A34" s="402"/>
      <c r="B34" s="294" t="s">
        <v>754</v>
      </c>
      <c r="C34" s="403">
        <f>IF(C6&gt;=Assumptions!$C$55,C12*Assumptions!$C$58,0)</f>
        <v>0</v>
      </c>
      <c r="D34" s="403">
        <f>IF(D6&gt;=Assumptions!$C$55,D12*Assumptions!$C$58,0)</f>
        <v>0</v>
      </c>
      <c r="E34" s="403">
        <f>IF(E6&gt;=Assumptions!$C$55,E12*Assumptions!$C$58,0)</f>
        <v>0</v>
      </c>
      <c r="F34" s="403">
        <f>IF(F6&gt;=Assumptions!$C$55,F12*Assumptions!$C$58,0)</f>
        <v>0</v>
      </c>
      <c r="G34" s="403">
        <f>IF(G6&gt;=Assumptions!$C$55,G12*Assumptions!$C$58,0)</f>
        <v>0</v>
      </c>
      <c r="H34" s="403">
        <f>IF(H6&gt;=Assumptions!$C$55,H12*Assumptions!$C$58,0)</f>
        <v>0</v>
      </c>
      <c r="I34" s="403">
        <f>IF(I6&gt;=Assumptions!$C$55,I12*Assumptions!$C$58,0)</f>
        <v>0</v>
      </c>
      <c r="J34" s="403">
        <f>IF(J6&gt;=Assumptions!$C$55,J12*Assumptions!$C$58,0)</f>
        <v>0</v>
      </c>
      <c r="K34" s="403">
        <f>IF(K6&gt;=Assumptions!$C$55,K12*Assumptions!$C$58,0)</f>
        <v>0</v>
      </c>
      <c r="L34" s="403">
        <f>IF(L6&gt;=Assumptions!$C$55,L12*Assumptions!$C$58,0)</f>
        <v>0</v>
      </c>
      <c r="M34" s="403">
        <f>IF(M6&gt;=Assumptions!$C$55,M12*Assumptions!$C$58,0)</f>
        <v>0</v>
      </c>
      <c r="N34" s="403">
        <f>IF(N6&gt;=Assumptions!$C$55,N12*Assumptions!$C$58,0)</f>
        <v>0</v>
      </c>
      <c r="O34" s="403">
        <f>IF(O6&gt;=Assumptions!$C$55,O12*Assumptions!$C$58,0)</f>
        <v>0</v>
      </c>
      <c r="P34" s="403">
        <f>IF(P6&gt;=Assumptions!$C$55,P12*Assumptions!$C$58,0)</f>
        <v>0</v>
      </c>
      <c r="Q34" s="403">
        <f>IF(Q6&gt;=Assumptions!$C$55,Q12*Assumptions!$C$58,0)</f>
        <v>0</v>
      </c>
      <c r="R34" s="403">
        <f>IF(R6&gt;=Assumptions!$C$55,R12*Assumptions!$C$58,0)</f>
        <v>0</v>
      </c>
      <c r="S34" s="403">
        <f>IF(S6&gt;=Assumptions!$C$55,S12*Assumptions!$C$58,0)</f>
        <v>0</v>
      </c>
      <c r="T34" s="403">
        <f>IF(T6&gt;=Assumptions!$C$55,T12*Assumptions!$C$58,0)</f>
        <v>0</v>
      </c>
      <c r="U34" s="403">
        <f>IF(U6&gt;=Assumptions!$C$55,U12*Assumptions!$C$58,0)</f>
        <v>0</v>
      </c>
      <c r="V34" s="403">
        <f>IF(V6&gt;=Assumptions!$C$55,V12*Assumptions!$C$58,0)</f>
        <v>0</v>
      </c>
      <c r="W34" s="403">
        <f>IF(W6&gt;=Assumptions!$C$55,W12*Assumptions!$C$58,0)</f>
        <v>0</v>
      </c>
      <c r="X34" s="403">
        <f>IF(X6&gt;=Assumptions!$C$55,X12*Assumptions!$C$58,0)</f>
        <v>0</v>
      </c>
      <c r="Y34" s="403">
        <f>IF(Y6&gt;=Assumptions!$C$55,Y12*Assumptions!$C$58,0)</f>
        <v>0</v>
      </c>
      <c r="Z34" s="403">
        <f>IF(Z6&gt;=Assumptions!$C$55,Z12*Assumptions!$C$58,0)</f>
        <v>163831.07385000002</v>
      </c>
      <c r="AA34" s="403">
        <f>IF(AA6&gt;=Assumptions!$C$55,AA12*Assumptions!$C$58,0)</f>
        <v>163831.07385000002</v>
      </c>
      <c r="AB34" s="403">
        <f>IF(AB6&gt;=Assumptions!$C$55,AB12*Assumptions!$C$58,0)</f>
        <v>132826.48353</v>
      </c>
      <c r="AC34" s="403">
        <f>IF(AC6&gt;=Assumptions!$C$55,AC12*Assumptions!$C$58,0)</f>
        <v>65532.429540000005</v>
      </c>
      <c r="AD34" s="403">
        <f>IF(AD6&gt;=Assumptions!$C$55,AD12*Assumptions!$C$58,0)</f>
        <v>63418.480199999998</v>
      </c>
      <c r="AE34" s="403">
        <f>IF(AE6&gt;=Assumptions!$C$55,AE12*Assumptions!$C$58,0)</f>
        <v>120142.78749000002</v>
      </c>
      <c r="AF34" s="403">
        <f>IF(AF6&gt;=Assumptions!$C$55,AF12*Assumptions!$C$58,0)</f>
        <v>575320.7655000001</v>
      </c>
      <c r="AG34" s="403">
        <f>IF(AG6&gt;=Assumptions!$C$55,AG12*Assumptions!$C$58,0)</f>
        <v>503036.87445000006</v>
      </c>
      <c r="AH34" s="403">
        <f>IF(AH6&gt;=Assumptions!$C$55,AH12*Assumptions!$C$58,0)</f>
        <v>457306.24950000003</v>
      </c>
      <c r="AI34" s="403">
        <f>IF(AI6&gt;=Assumptions!$C$55,AI12*Assumptions!$C$58,0)</f>
        <v>265532.66100000002</v>
      </c>
      <c r="AJ34" s="403">
        <f>IF(AJ6&gt;=Assumptions!$C$55,AJ12*Assumptions!$C$58,0)</f>
        <v>182922.49980000005</v>
      </c>
      <c r="AK34" s="403">
        <f>IF(AK6&gt;=Assumptions!$C$55,AK12*Assumptions!$C$58,0)</f>
        <v>486809.87850000017</v>
      </c>
      <c r="AL34" s="403">
        <f>IF(AL6&gt;=Assumptions!$C$55,AL12*Assumptions!$C$58,0)</f>
        <v>685959.37425000011</v>
      </c>
      <c r="AM34" s="403">
        <f>IF(AM6&gt;=Assumptions!$C$55,AM12*Assumptions!$C$58,0)</f>
        <v>685959.37425000011</v>
      </c>
      <c r="AN34" s="403">
        <f>IF(AN6&gt;=Assumptions!$C$55,AN12*Assumptions!$C$58,0)</f>
        <v>536966.04780000017</v>
      </c>
      <c r="AO34" s="403">
        <f>IF(AO6&gt;=Assumptions!$C$55,AO12*Assumptions!$C$58,0)</f>
        <v>274383.74969999999</v>
      </c>
      <c r="AP34" s="403">
        <f>IF(AP6&gt;=Assumptions!$C$55,AP12*Assumptions!$C$58,0)</f>
        <v>265532.66100000002</v>
      </c>
      <c r="AQ34" s="403">
        <f>IF(AQ6&gt;=Assumptions!$C$55,AQ12*Assumptions!$C$58,0)</f>
        <v>503036.87445000006</v>
      </c>
      <c r="AR34" s="403">
        <f>IF(AR6&gt;=Assumptions!$C$55,AR12*Assumptions!$C$58,0)</f>
        <v>900129.61007833527</v>
      </c>
      <c r="AS34" s="403">
        <f>IF(AS6&gt;=Assumptions!$C$55,AS12*Assumptions!$C$58,0)</f>
        <v>787036.40265823668</v>
      </c>
      <c r="AT34" s="403">
        <f>IF(AT6&gt;=Assumptions!$C$55,AT12*Assumptions!$C$58,0)</f>
        <v>715487.63878021506</v>
      </c>
      <c r="AU34" s="403">
        <f>IF(AU6&gt;=Assumptions!$C$55,AU12*Assumptions!$C$58,0)</f>
        <v>415444.43542077008</v>
      </c>
      <c r="AV34" s="403">
        <f>IF(AV6&gt;=Assumptions!$C$55,AV12*Assumptions!$C$58,0)</f>
        <v>286195.05551208602</v>
      </c>
      <c r="AW34" s="403">
        <f>IF(AW6&gt;=Assumptions!$C$55,AW12*Assumptions!$C$58,0)</f>
        <v>761648.13160474517</v>
      </c>
      <c r="AX34" s="403">
        <f>IF(AX6&gt;=Assumptions!$C$55,AX12*Assumptions!$C$58,0)</f>
        <v>1073231.4581703227</v>
      </c>
      <c r="AY34" s="403">
        <f>IF(AY6&gt;=Assumptions!$C$55,AY12*Assumptions!$C$58,0)</f>
        <v>1073231.4581703227</v>
      </c>
      <c r="AZ34" s="403">
        <f>IF(AZ6&gt;=Assumptions!$C$55,AZ12*Assumptions!$C$58,0)</f>
        <v>840120.96940644621</v>
      </c>
      <c r="BA34" s="403">
        <f>IF(BA6&gt;=Assumptions!$C$55,BA12*Assumptions!$C$58,0)</f>
        <v>429292.58326812903</v>
      </c>
      <c r="BB34" s="403">
        <f>IF(BB6&gt;=Assumptions!$C$55,BB12*Assumptions!$C$58,0)</f>
        <v>415444.43542077008</v>
      </c>
      <c r="BC34" s="403">
        <f>IF(BC6&gt;=Assumptions!$C$55,BC12*Assumptions!$C$58,0)</f>
        <v>787036.40265823668</v>
      </c>
      <c r="BD34" s="403">
        <f>IF(BD6&gt;=Assumptions!$C$55,BD12*Assumptions!$C$58,0)</f>
        <v>927133.49838068534</v>
      </c>
      <c r="BE34" s="403">
        <f>IF(BE6&gt;=Assumptions!$C$55,BE12*Assumptions!$C$58,0)</f>
        <v>810647.4947379838</v>
      </c>
      <c r="BF34" s="403">
        <f>IF(BF6&gt;=Assumptions!$C$55,BF12*Assumptions!$C$58,0)</f>
        <v>736952.26794362161</v>
      </c>
      <c r="BG34" s="403">
        <f>IF(BG6&gt;=Assumptions!$C$55,BG12*Assumptions!$C$58,0)</f>
        <v>427907.76848339319</v>
      </c>
      <c r="BH34" s="403">
        <f>IF(BH6&gt;=Assumptions!$C$55,BH12*Assumptions!$C$58,0)</f>
        <v>294780.90717744868</v>
      </c>
      <c r="BI34" s="403">
        <f>IF(BI6&gt;=Assumptions!$C$55,BI12*Assumptions!$C$58,0)</f>
        <v>784497.57555288763</v>
      </c>
      <c r="BJ34" s="403">
        <f>IF(BJ6&gt;=Assumptions!$C$55,BJ12*Assumptions!$C$58,0)</f>
        <v>1105428.4019154324</v>
      </c>
      <c r="BK34" s="403">
        <f>IF(BK6&gt;=Assumptions!$C$55,BK12*Assumptions!$C$58,0)</f>
        <v>1105428.4019154324</v>
      </c>
      <c r="BL34" s="403">
        <f>IF(BL6&gt;=Assumptions!$C$55,BL12*Assumptions!$C$58,0)</f>
        <v>865324.59848863957</v>
      </c>
      <c r="BM34" s="403">
        <f>IF(BM6&gt;=Assumptions!$C$55,BM12*Assumptions!$C$58,0)</f>
        <v>442171.36076617293</v>
      </c>
      <c r="BN34" s="403">
        <f>IF(BN6&gt;=Assumptions!$C$55,BN12*Assumptions!$C$58,0)</f>
        <v>427907.76848339319</v>
      </c>
      <c r="BO34" s="403">
        <f>IF(BO6&gt;=Assumptions!$C$55,BO12*Assumptions!$C$58,0)</f>
        <v>810647.4947379838</v>
      </c>
      <c r="BP34" s="403">
        <f>IF(BP6&gt;=Assumptions!$C$55,BP12*Assumptions!$C$58,0)</f>
        <v>954947.5033321057</v>
      </c>
      <c r="BQ34" s="403">
        <f>IF(BQ6&gt;=Assumptions!$C$55,BQ12*Assumptions!$C$58,0)</f>
        <v>834966.91958012327</v>
      </c>
      <c r="BR34" s="403">
        <f>IF(BR6&gt;=Assumptions!$C$55,BR12*Assumptions!$C$58,0)</f>
        <v>759060.83598193014</v>
      </c>
      <c r="BS34" s="403">
        <f>IF(BS6&gt;=Assumptions!$C$55,BS12*Assumptions!$C$58,0)</f>
        <v>440745.00153789495</v>
      </c>
      <c r="BT34" s="403">
        <f>IF(BT6&gt;=Assumptions!$C$55,BT12*Assumptions!$C$58,0)</f>
        <v>303624.33439277206</v>
      </c>
      <c r="BU34" s="403">
        <f>IF(BU6&gt;=Assumptions!$C$55,BU12*Assumptions!$C$58,0)</f>
        <v>808032.50281947409</v>
      </c>
      <c r="BV34" s="403">
        <f>IF(BV6&gt;=Assumptions!$C$55,BV12*Assumptions!$C$58,0)</f>
        <v>1138591.2539728952</v>
      </c>
      <c r="BW34" s="403">
        <f>IF(BW6&gt;=Assumptions!$C$55,BW12*Assumptions!$C$58,0)</f>
        <v>1138591.2539728952</v>
      </c>
      <c r="BX34" s="403">
        <f>IF(BX6&gt;=Assumptions!$C$55,BX12*Assumptions!$C$58,0)</f>
        <v>923115.91988770221</v>
      </c>
      <c r="BY34" s="403">
        <f>IF(BY6&gt;=Assumptions!$C$55,BY12*Assumptions!$C$58,0)</f>
        <v>455436.50158915808</v>
      </c>
      <c r="BZ34" s="403">
        <f>IF(BZ6&gt;=Assumptions!$C$55,BZ12*Assumptions!$C$58,0)</f>
        <v>440745.00153789495</v>
      </c>
      <c r="CA34" s="403">
        <f>IF(CA6&gt;=Assumptions!$C$55,CA12*Assumptions!$C$58,0)</f>
        <v>834966.91958012327</v>
      </c>
      <c r="CB34" s="403">
        <f>IF(CB6&gt;=Assumptions!$C$55,CB12*Assumptions!$C$58,0)</f>
        <v>983595.92843206902</v>
      </c>
      <c r="CC34" s="403">
        <f>IF(CC6&gt;=Assumptions!$C$55,CC12*Assumptions!$C$58,0)</f>
        <v>860015.92716752714</v>
      </c>
      <c r="CD34" s="403">
        <f>IF(CD6&gt;=Assumptions!$C$55,CD12*Assumptions!$C$58,0)</f>
        <v>781832.66106138821</v>
      </c>
      <c r="CE34" s="403">
        <f>IF(CE6&gt;=Assumptions!$C$55,CE12*Assumptions!$C$58,0)</f>
        <v>453967.35158403177</v>
      </c>
      <c r="CF34" s="403">
        <f>IF(CF6&gt;=Assumptions!$C$55,CF12*Assumptions!$C$58,0)</f>
        <v>312733.06442455528</v>
      </c>
      <c r="CG34" s="403">
        <f>IF(CG6&gt;=Assumptions!$C$55,CG12*Assumptions!$C$58,0)</f>
        <v>832273.47790405841</v>
      </c>
      <c r="CH34" s="403">
        <f>IF(CH6&gt;=Assumptions!$C$55,CH12*Assumptions!$C$58,0)</f>
        <v>1172748.9915920822</v>
      </c>
      <c r="CI34" s="403">
        <f>IF(CI6&gt;=Assumptions!$C$55,CI12*Assumptions!$C$58,0)</f>
        <v>1172748.9915920822</v>
      </c>
      <c r="CJ34" s="403">
        <f>IF(CJ6&gt;=Assumptions!$C$55,CJ12*Assumptions!$C$58,0)</f>
        <v>918022.8665365976</v>
      </c>
      <c r="CK34" s="403">
        <f>IF(CK6&gt;=Assumptions!$C$55,CK12*Assumptions!$C$58,0)</f>
        <v>469099.59663683292</v>
      </c>
      <c r="CL34" s="403">
        <f>IF(CL6&gt;=Assumptions!$C$55,CL12*Assumptions!$C$58,0)</f>
        <v>453967.35158403177</v>
      </c>
      <c r="CM34" s="403">
        <f>IF(CM6&gt;=Assumptions!$C$55,CM12*Assumptions!$C$58,0)</f>
        <v>860015.92716752714</v>
      </c>
      <c r="CN34" s="403">
        <f>IF(CN6&gt;=Assumptions!$C$55,CN12*Assumptions!$C$58,0)</f>
        <v>1013103.806285031</v>
      </c>
      <c r="CO34" s="403">
        <f>IF(CO6&gt;=Assumptions!$C$55,CO12*Assumptions!$C$58,0)</f>
        <v>885816.40498255298</v>
      </c>
      <c r="CP34" s="403">
        <f>IF(CP6&gt;=Assumptions!$C$55,CP12*Assumptions!$C$58,0)</f>
        <v>805287.64089322987</v>
      </c>
      <c r="CQ34" s="403">
        <f>IF(CQ6&gt;=Assumptions!$C$55,CQ12*Assumptions!$C$58,0)</f>
        <v>467586.37213155278</v>
      </c>
      <c r="CR34" s="403">
        <f>IF(CR6&gt;=Assumptions!$C$55,CR12*Assumptions!$C$58,0)</f>
        <v>322115.05635729193</v>
      </c>
      <c r="CS34" s="403">
        <f>IF(CS6&gt;=Assumptions!$C$55,CS12*Assumptions!$C$58,0)</f>
        <v>857241.68224118021</v>
      </c>
      <c r="CT34" s="403">
        <f>IF(CT6&gt;=Assumptions!$C$55,CT12*Assumptions!$C$58,0)</f>
        <v>1207931.4613398449</v>
      </c>
      <c r="CU34" s="403" t="e">
        <f>IF(CU6&gt;=Assumptions!$C$55,CU12*Assumptions!$C$58,0)</f>
        <v>#N/A</v>
      </c>
      <c r="CV34" s="403" t="e">
        <f>IF(CV6&gt;=Assumptions!$C$55,CV12*Assumptions!$C$58,0)</f>
        <v>#N/A</v>
      </c>
      <c r="CW34" s="403" t="e">
        <f>IF(CW6&gt;=Assumptions!$C$55,CW12*Assumptions!$C$58,0)</f>
        <v>#N/A</v>
      </c>
      <c r="CX34" s="403" t="e">
        <f>IF(CX6&gt;=Assumptions!$C$55,CX12*Assumptions!$C$58,0)</f>
        <v>#N/A</v>
      </c>
      <c r="CY34" s="403" t="e">
        <f>IF(CY6&gt;=Assumptions!$C$55,CY12*Assumptions!$C$58,0)</f>
        <v>#N/A</v>
      </c>
      <c r="CZ34" s="403" t="e">
        <f>IF(CZ6&gt;=Assumptions!$C$55,CZ12*Assumptions!$C$58,0)</f>
        <v>#N/A</v>
      </c>
      <c r="DA34" s="403" t="e">
        <f>IF(DA6&gt;=Assumptions!$C$55,DA12*Assumptions!$C$58,0)</f>
        <v>#N/A</v>
      </c>
      <c r="DB34" s="403" t="e">
        <f>IF(DB6&gt;=Assumptions!$C$55,DB12*Assumptions!$C$58,0)</f>
        <v>#N/A</v>
      </c>
      <c r="DC34" s="403" t="e">
        <f>IF(DC6&gt;=Assumptions!$C$55,DC12*Assumptions!$C$58,0)</f>
        <v>#N/A</v>
      </c>
      <c r="DD34" s="403" t="e">
        <f>IF(DD6&gt;=Assumptions!$C$55,DD12*Assumptions!$C$58,0)</f>
        <v>#N/A</v>
      </c>
      <c r="DE34" s="403" t="e">
        <f>IF(DE6&gt;=Assumptions!$C$55,DE12*Assumptions!$C$58,0)</f>
        <v>#N/A</v>
      </c>
      <c r="DF34" s="403" t="e">
        <f>IF(DF6&gt;=Assumptions!$C$55,DF12*Assumptions!$C$58,0)</f>
        <v>#N/A</v>
      </c>
      <c r="DG34" s="403" t="e">
        <f>IF(DG6&gt;=Assumptions!$C$55,DG12*Assumptions!$C$58,0)</f>
        <v>#N/A</v>
      </c>
      <c r="DH34" s="403" t="e">
        <f>IF(DH6&gt;=Assumptions!$C$55,DH12*Assumptions!$C$58,0)</f>
        <v>#N/A</v>
      </c>
      <c r="DI34" s="403" t="e">
        <f>IF(DI6&gt;=Assumptions!$C$55,DI12*Assumptions!$C$58,0)</f>
        <v>#N/A</v>
      </c>
      <c r="DJ34" s="403" t="e">
        <f>IF(DJ6&gt;=Assumptions!$C$55,DJ12*Assumptions!$C$58,0)</f>
        <v>#N/A</v>
      </c>
      <c r="DK34" s="403" t="e">
        <f>IF(DK6&gt;=Assumptions!$C$55,DK12*Assumptions!$C$58,0)</f>
        <v>#N/A</v>
      </c>
      <c r="DL34" s="403" t="e">
        <f>IF(DL6&gt;=Assumptions!$C$55,DL12*Assumptions!$C$58,0)</f>
        <v>#N/A</v>
      </c>
      <c r="DM34" s="403" t="e">
        <f>IF(DM6&gt;=Assumptions!$C$55,DM12*Assumptions!$C$58,0)</f>
        <v>#N/A</v>
      </c>
      <c r="DN34" s="403" t="e">
        <f>IF(DN6&gt;=Assumptions!$C$55,DN12*Assumptions!$C$58,0)</f>
        <v>#N/A</v>
      </c>
      <c r="DO34" s="403" t="e">
        <f>IF(DO6&gt;=Assumptions!$C$55,DO12*Assumptions!$C$58,0)</f>
        <v>#N/A</v>
      </c>
      <c r="DP34" s="403" t="e">
        <f>IF(DP6&gt;=Assumptions!$C$55,DP12*Assumptions!$C$58,0)</f>
        <v>#N/A</v>
      </c>
      <c r="DQ34" s="403" t="e">
        <f>IF(DQ6&gt;=Assumptions!$C$55,DQ12*Assumptions!$C$58,0)</f>
        <v>#N/A</v>
      </c>
      <c r="DR34" s="403" t="e">
        <f>IF(DR6&gt;=Assumptions!$C$55,DR12*Assumptions!$C$58,0)</f>
        <v>#N/A</v>
      </c>
      <c r="DS34" s="403"/>
      <c r="DT34" s="403"/>
      <c r="DU34" s="403"/>
      <c r="DV34" s="403"/>
      <c r="DW34" s="403"/>
      <c r="DX34" s="403"/>
      <c r="DY34" s="403"/>
      <c r="DZ34" s="403"/>
      <c r="EA34" s="403"/>
      <c r="EB34" s="403"/>
      <c r="EC34" s="403"/>
      <c r="ED34" s="403"/>
    </row>
    <row r="35" spans="1:134" s="404" customFormat="1" ht="16" x14ac:dyDescent="0.2">
      <c r="A35" s="402"/>
      <c r="B35" s="409" t="s">
        <v>745</v>
      </c>
      <c r="C35" s="406">
        <f>-C34*Assumptions!$C$59</f>
        <v>0</v>
      </c>
      <c r="D35" s="406">
        <f>-D34*Assumptions!$C$59</f>
        <v>0</v>
      </c>
      <c r="E35" s="406">
        <f>-E34*Assumptions!$C$59</f>
        <v>0</v>
      </c>
      <c r="F35" s="406">
        <f>-F34*Assumptions!$C$59</f>
        <v>0</v>
      </c>
      <c r="G35" s="406">
        <f>-G34*Assumptions!$C$59</f>
        <v>0</v>
      </c>
      <c r="H35" s="406">
        <f>-H34*Assumptions!$C$59</f>
        <v>0</v>
      </c>
      <c r="I35" s="406">
        <f>-I34*Assumptions!$C$59</f>
        <v>0</v>
      </c>
      <c r="J35" s="406">
        <f>-J34*Assumptions!$C$59</f>
        <v>0</v>
      </c>
      <c r="K35" s="406">
        <f>-K34*Assumptions!$C$59</f>
        <v>0</v>
      </c>
      <c r="L35" s="406">
        <f>-L34*Assumptions!$C$59</f>
        <v>0</v>
      </c>
      <c r="M35" s="406">
        <f>-M34*Assumptions!$C$59</f>
        <v>0</v>
      </c>
      <c r="N35" s="406">
        <f>-N34*Assumptions!$C$59</f>
        <v>0</v>
      </c>
      <c r="O35" s="406">
        <f>-O34*Assumptions!$C$59</f>
        <v>0</v>
      </c>
      <c r="P35" s="406">
        <f>-P34*Assumptions!$C$59</f>
        <v>0</v>
      </c>
      <c r="Q35" s="406">
        <f>-Q34*Assumptions!$C$59</f>
        <v>0</v>
      </c>
      <c r="R35" s="406">
        <f>-R34*Assumptions!$C$59</f>
        <v>0</v>
      </c>
      <c r="S35" s="406">
        <f>-S34*Assumptions!$C$59</f>
        <v>0</v>
      </c>
      <c r="T35" s="406">
        <f>-T34*Assumptions!$C$59</f>
        <v>0</v>
      </c>
      <c r="U35" s="406">
        <f>-U34*Assumptions!$C$59</f>
        <v>0</v>
      </c>
      <c r="V35" s="406">
        <f>-V34*Assumptions!$C$59</f>
        <v>0</v>
      </c>
      <c r="W35" s="406">
        <f>-W34*Assumptions!$C$59</f>
        <v>0</v>
      </c>
      <c r="X35" s="406">
        <f>-X34*Assumptions!$C$59</f>
        <v>0</v>
      </c>
      <c r="Y35" s="406">
        <f>-Y34*Assumptions!$C$59</f>
        <v>0</v>
      </c>
      <c r="Z35" s="406">
        <f>-Z34*Assumptions!$C$59</f>
        <v>-147447.966465</v>
      </c>
      <c r="AA35" s="406">
        <f>-AA34*Assumptions!$C$59</f>
        <v>-147447.966465</v>
      </c>
      <c r="AB35" s="406">
        <f>-AB34*Assumptions!$C$59</f>
        <v>-119543.835177</v>
      </c>
      <c r="AC35" s="406">
        <f>-AC34*Assumptions!$C$59</f>
        <v>-58979.186586000003</v>
      </c>
      <c r="AD35" s="406">
        <f>-AD34*Assumptions!$C$59</f>
        <v>-57076.632180000001</v>
      </c>
      <c r="AE35" s="406">
        <f>-AE34*Assumptions!$C$59</f>
        <v>-108128.50874100001</v>
      </c>
      <c r="AF35" s="406">
        <f>-AF34*Assumptions!$C$59</f>
        <v>-517788.6889500001</v>
      </c>
      <c r="AG35" s="406">
        <f>-AG34*Assumptions!$C$59</f>
        <v>-452733.18700500007</v>
      </c>
      <c r="AH35" s="406">
        <f>-AH34*Assumptions!$C$59</f>
        <v>-411575.62455000007</v>
      </c>
      <c r="AI35" s="406">
        <f>-AI34*Assumptions!$C$59</f>
        <v>-238979.39490000001</v>
      </c>
      <c r="AJ35" s="406">
        <f>-AJ34*Assumptions!$C$59</f>
        <v>-164630.24982000006</v>
      </c>
      <c r="AK35" s="406">
        <f>-AK34*Assumptions!$C$59</f>
        <v>-438128.89065000013</v>
      </c>
      <c r="AL35" s="406">
        <f>-AL34*Assumptions!$C$59</f>
        <v>-617363.4368250001</v>
      </c>
      <c r="AM35" s="406">
        <f>-AM34*Assumptions!$C$59</f>
        <v>-617363.4368250001</v>
      </c>
      <c r="AN35" s="406">
        <f>-AN34*Assumptions!$C$59</f>
        <v>-483269.44302000018</v>
      </c>
      <c r="AO35" s="406">
        <f>-AO34*Assumptions!$C$59</f>
        <v>-246945.37472999998</v>
      </c>
      <c r="AP35" s="406">
        <f>-AP34*Assumptions!$C$59</f>
        <v>-238979.39490000001</v>
      </c>
      <c r="AQ35" s="406">
        <f>-AQ34*Assumptions!$C$59</f>
        <v>-452733.18700500007</v>
      </c>
      <c r="AR35" s="406">
        <f>-AR34*Assumptions!$C$59</f>
        <v>-810116.64907050179</v>
      </c>
      <c r="AS35" s="406">
        <f>-AS34*Assumptions!$C$59</f>
        <v>-708332.76239241299</v>
      </c>
      <c r="AT35" s="406">
        <f>-AT34*Assumptions!$C$59</f>
        <v>-643938.87490219355</v>
      </c>
      <c r="AU35" s="406">
        <f>-AU34*Assumptions!$C$59</f>
        <v>-373899.99187869311</v>
      </c>
      <c r="AV35" s="406">
        <f>-AV34*Assumptions!$C$59</f>
        <v>-257575.54996087743</v>
      </c>
      <c r="AW35" s="406">
        <f>-AW34*Assumptions!$C$59</f>
        <v>-685483.31844427064</v>
      </c>
      <c r="AX35" s="406">
        <f>-AX34*Assumptions!$C$59</f>
        <v>-965908.3123532905</v>
      </c>
      <c r="AY35" s="406">
        <f>-AY34*Assumptions!$C$59</f>
        <v>-965908.3123532905</v>
      </c>
      <c r="AZ35" s="406">
        <f>-AZ34*Assumptions!$C$59</f>
        <v>-756108.87246580166</v>
      </c>
      <c r="BA35" s="406">
        <f>-BA34*Assumptions!$C$59</f>
        <v>-386363.32494131615</v>
      </c>
      <c r="BB35" s="406">
        <f>-BB34*Assumptions!$C$59</f>
        <v>-373899.99187869311</v>
      </c>
      <c r="BC35" s="406">
        <f>-BC34*Assumptions!$C$59</f>
        <v>-708332.76239241299</v>
      </c>
      <c r="BD35" s="406">
        <f>-BD34*Assumptions!$C$59</f>
        <v>-834420.14854261687</v>
      </c>
      <c r="BE35" s="406">
        <f>-BE34*Assumptions!$C$59</f>
        <v>-729582.74526418548</v>
      </c>
      <c r="BF35" s="406">
        <f>-BF34*Assumptions!$C$59</f>
        <v>-663257.04114925943</v>
      </c>
      <c r="BG35" s="406">
        <f>-BG34*Assumptions!$C$59</f>
        <v>-385116.99163505388</v>
      </c>
      <c r="BH35" s="406">
        <f>-BH34*Assumptions!$C$59</f>
        <v>-265302.81645970384</v>
      </c>
      <c r="BI35" s="406">
        <f>-BI34*Assumptions!$C$59</f>
        <v>-706047.8179975989</v>
      </c>
      <c r="BJ35" s="406">
        <f>-BJ34*Assumptions!$C$59</f>
        <v>-994885.5617238892</v>
      </c>
      <c r="BK35" s="406">
        <f>-BK34*Assumptions!$C$59</f>
        <v>-994885.5617238892</v>
      </c>
      <c r="BL35" s="406">
        <f>-BL34*Assumptions!$C$59</f>
        <v>-778792.13863977569</v>
      </c>
      <c r="BM35" s="406">
        <f>-BM34*Assumptions!$C$59</f>
        <v>-397954.22468955565</v>
      </c>
      <c r="BN35" s="406">
        <f>-BN34*Assumptions!$C$59</f>
        <v>-385116.99163505388</v>
      </c>
      <c r="BO35" s="406">
        <f>-BO34*Assumptions!$C$59</f>
        <v>-729582.74526418548</v>
      </c>
      <c r="BP35" s="406">
        <f>-BP34*Assumptions!$C$59</f>
        <v>-859452.75299889513</v>
      </c>
      <c r="BQ35" s="406">
        <f>-BQ34*Assumptions!$C$59</f>
        <v>-751470.22762211098</v>
      </c>
      <c r="BR35" s="406">
        <f>-BR34*Assumptions!$C$59</f>
        <v>-683154.75238373713</v>
      </c>
      <c r="BS35" s="406">
        <f>-BS34*Assumptions!$C$59</f>
        <v>-396670.50138410548</v>
      </c>
      <c r="BT35" s="406">
        <f>-BT34*Assumptions!$C$59</f>
        <v>-273261.90095349489</v>
      </c>
      <c r="BU35" s="406">
        <f>-BU34*Assumptions!$C$59</f>
        <v>-727229.25253752666</v>
      </c>
      <c r="BV35" s="406">
        <f>-BV34*Assumptions!$C$59</f>
        <v>-1024732.1285756057</v>
      </c>
      <c r="BW35" s="406">
        <f>-BW34*Assumptions!$C$59</f>
        <v>-1024732.1285756057</v>
      </c>
      <c r="BX35" s="406">
        <f>-BX34*Assumptions!$C$59</f>
        <v>-830804.32789893204</v>
      </c>
      <c r="BY35" s="406">
        <f>-BY34*Assumptions!$C$59</f>
        <v>-409892.8514302423</v>
      </c>
      <c r="BZ35" s="406">
        <f>-BZ34*Assumptions!$C$59</f>
        <v>-396670.50138410548</v>
      </c>
      <c r="CA35" s="406">
        <f>-CA34*Assumptions!$C$59</f>
        <v>-751470.22762211098</v>
      </c>
      <c r="CB35" s="406">
        <f>-CB34*Assumptions!$C$59</f>
        <v>-885236.33558886219</v>
      </c>
      <c r="CC35" s="406">
        <f>-CC34*Assumptions!$C$59</f>
        <v>-774014.33445077448</v>
      </c>
      <c r="CD35" s="406">
        <f>-CD34*Assumptions!$C$59</f>
        <v>-703649.39495524939</v>
      </c>
      <c r="CE35" s="406">
        <f>-CE34*Assumptions!$C$59</f>
        <v>-408570.6164256286</v>
      </c>
      <c r="CF35" s="406">
        <f>-CF34*Assumptions!$C$59</f>
        <v>-281459.75798209978</v>
      </c>
      <c r="CG35" s="406">
        <f>-CG34*Assumptions!$C$59</f>
        <v>-749046.13011365256</v>
      </c>
      <c r="CH35" s="406">
        <f>-CH34*Assumptions!$C$59</f>
        <v>-1055474.092432874</v>
      </c>
      <c r="CI35" s="406">
        <f>-CI34*Assumptions!$C$59</f>
        <v>-1055474.092432874</v>
      </c>
      <c r="CJ35" s="406">
        <f>-CJ34*Assumptions!$C$59</f>
        <v>-826220.57988293783</v>
      </c>
      <c r="CK35" s="406">
        <f>-CK34*Assumptions!$C$59</f>
        <v>-422189.63697314967</v>
      </c>
      <c r="CL35" s="406">
        <f>-CL34*Assumptions!$C$59</f>
        <v>-408570.6164256286</v>
      </c>
      <c r="CM35" s="406">
        <f>-CM34*Assumptions!$C$59</f>
        <v>-774014.33445077448</v>
      </c>
      <c r="CN35" s="406">
        <f>-CN34*Assumptions!$C$59</f>
        <v>-911793.42565652798</v>
      </c>
      <c r="CO35" s="406">
        <f>-CO34*Assumptions!$C$59</f>
        <v>-797234.76448429772</v>
      </c>
      <c r="CP35" s="406">
        <f>-CP34*Assumptions!$C$59</f>
        <v>-724758.87680390687</v>
      </c>
      <c r="CQ35" s="406">
        <f>-CQ34*Assumptions!$C$59</f>
        <v>-420827.7349183975</v>
      </c>
      <c r="CR35" s="406">
        <f>-CR34*Assumptions!$C$59</f>
        <v>-289903.55072156276</v>
      </c>
      <c r="CS35" s="406">
        <f>-CS34*Assumptions!$C$59</f>
        <v>-771517.51401706226</v>
      </c>
      <c r="CT35" s="406">
        <f>-CT34*Assumptions!$C$59</f>
        <v>-1087138.3152058604</v>
      </c>
      <c r="CU35" s="406" t="e">
        <f>-CU34*Assumptions!$C$59</f>
        <v>#N/A</v>
      </c>
      <c r="CV35" s="406" t="e">
        <f>-CV34*Assumptions!$C$59</f>
        <v>#N/A</v>
      </c>
      <c r="CW35" s="406" t="e">
        <f>-CW34*Assumptions!$C$59</f>
        <v>#N/A</v>
      </c>
      <c r="CX35" s="406" t="e">
        <f>-CX34*Assumptions!$C$59</f>
        <v>#N/A</v>
      </c>
      <c r="CY35" s="406" t="e">
        <f>-CY34*Assumptions!$C$59</f>
        <v>#N/A</v>
      </c>
      <c r="CZ35" s="406" t="e">
        <f>-CZ34*Assumptions!$C$59</f>
        <v>#N/A</v>
      </c>
      <c r="DA35" s="406" t="e">
        <f>-DA34*Assumptions!$C$59</f>
        <v>#N/A</v>
      </c>
      <c r="DB35" s="406" t="e">
        <f>-DB34*Assumptions!$C$59</f>
        <v>#N/A</v>
      </c>
      <c r="DC35" s="406" t="e">
        <f>-DC34*Assumptions!$C$59</f>
        <v>#N/A</v>
      </c>
      <c r="DD35" s="406" t="e">
        <f>-DD34*Assumptions!$C$59</f>
        <v>#N/A</v>
      </c>
      <c r="DE35" s="406" t="e">
        <f>-DE34*Assumptions!$C$59</f>
        <v>#N/A</v>
      </c>
      <c r="DF35" s="406" t="e">
        <f>-DF34*Assumptions!$C$59</f>
        <v>#N/A</v>
      </c>
      <c r="DG35" s="406" t="e">
        <f>-DG34*Assumptions!$C$59</f>
        <v>#N/A</v>
      </c>
      <c r="DH35" s="406" t="e">
        <f>-DH34*Assumptions!$C$59</f>
        <v>#N/A</v>
      </c>
      <c r="DI35" s="406" t="e">
        <f>-DI34*Assumptions!$C$59</f>
        <v>#N/A</v>
      </c>
      <c r="DJ35" s="406" t="e">
        <f>-DJ34*Assumptions!$C$59</f>
        <v>#N/A</v>
      </c>
      <c r="DK35" s="406" t="e">
        <f>-DK34*Assumptions!$C$59</f>
        <v>#N/A</v>
      </c>
      <c r="DL35" s="406" t="e">
        <f>-DL34*Assumptions!$C$59</f>
        <v>#N/A</v>
      </c>
      <c r="DM35" s="406" t="e">
        <f>-DM34*Assumptions!$C$59</f>
        <v>#N/A</v>
      </c>
      <c r="DN35" s="406" t="e">
        <f>-DN34*Assumptions!$C$59</f>
        <v>#N/A</v>
      </c>
      <c r="DO35" s="406" t="e">
        <f>-DO34*Assumptions!$C$59</f>
        <v>#N/A</v>
      </c>
      <c r="DP35" s="406" t="e">
        <f>-DP34*Assumptions!$C$59</f>
        <v>#N/A</v>
      </c>
      <c r="DQ35" s="406" t="e">
        <f>-DQ34*Assumptions!$C$59</f>
        <v>#N/A</v>
      </c>
      <c r="DR35" s="406" t="e">
        <f>-DR34*Assumptions!$C$59</f>
        <v>#N/A</v>
      </c>
      <c r="DS35" s="403"/>
      <c r="DT35" s="403"/>
      <c r="DU35" s="403"/>
      <c r="DV35" s="403"/>
      <c r="DW35" s="403"/>
      <c r="DX35" s="403"/>
      <c r="DY35" s="403"/>
      <c r="DZ35" s="403"/>
      <c r="EA35" s="403"/>
      <c r="EB35" s="403"/>
      <c r="EC35" s="403"/>
      <c r="ED35" s="403"/>
    </row>
    <row r="36" spans="1:134" s="404" customFormat="1" ht="16" x14ac:dyDescent="0.2">
      <c r="A36" s="402"/>
      <c r="B36" s="408" t="s">
        <v>755</v>
      </c>
      <c r="C36" s="405">
        <f t="shared" ref="C36:AH36" si="33">C35+C34</f>
        <v>0</v>
      </c>
      <c r="D36" s="405">
        <f t="shared" si="33"/>
        <v>0</v>
      </c>
      <c r="E36" s="405">
        <f t="shared" si="33"/>
        <v>0</v>
      </c>
      <c r="F36" s="405">
        <f t="shared" si="33"/>
        <v>0</v>
      </c>
      <c r="G36" s="405">
        <f t="shared" si="33"/>
        <v>0</v>
      </c>
      <c r="H36" s="405">
        <f t="shared" si="33"/>
        <v>0</v>
      </c>
      <c r="I36" s="405">
        <f t="shared" si="33"/>
        <v>0</v>
      </c>
      <c r="J36" s="405">
        <f t="shared" si="33"/>
        <v>0</v>
      </c>
      <c r="K36" s="405">
        <f t="shared" si="33"/>
        <v>0</v>
      </c>
      <c r="L36" s="405">
        <f t="shared" si="33"/>
        <v>0</v>
      </c>
      <c r="M36" s="405">
        <f t="shared" si="33"/>
        <v>0</v>
      </c>
      <c r="N36" s="405">
        <f t="shared" si="33"/>
        <v>0</v>
      </c>
      <c r="O36" s="405">
        <f t="shared" si="33"/>
        <v>0</v>
      </c>
      <c r="P36" s="405">
        <f t="shared" si="33"/>
        <v>0</v>
      </c>
      <c r="Q36" s="405">
        <f t="shared" si="33"/>
        <v>0</v>
      </c>
      <c r="R36" s="405">
        <f t="shared" si="33"/>
        <v>0</v>
      </c>
      <c r="S36" s="405">
        <f t="shared" si="33"/>
        <v>0</v>
      </c>
      <c r="T36" s="405">
        <f t="shared" si="33"/>
        <v>0</v>
      </c>
      <c r="U36" s="405">
        <f t="shared" si="33"/>
        <v>0</v>
      </c>
      <c r="V36" s="405">
        <f t="shared" si="33"/>
        <v>0</v>
      </c>
      <c r="W36" s="405">
        <f t="shared" si="33"/>
        <v>0</v>
      </c>
      <c r="X36" s="405">
        <f t="shared" si="33"/>
        <v>0</v>
      </c>
      <c r="Y36" s="405">
        <f t="shared" si="33"/>
        <v>0</v>
      </c>
      <c r="Z36" s="405">
        <f t="shared" si="33"/>
        <v>16383.10738500001</v>
      </c>
      <c r="AA36" s="405">
        <f t="shared" si="33"/>
        <v>16383.10738500001</v>
      </c>
      <c r="AB36" s="405">
        <f t="shared" si="33"/>
        <v>13282.648352999997</v>
      </c>
      <c r="AC36" s="405">
        <f t="shared" si="33"/>
        <v>6553.2429540000012</v>
      </c>
      <c r="AD36" s="405">
        <f t="shared" si="33"/>
        <v>6341.8480199999976</v>
      </c>
      <c r="AE36" s="405">
        <f t="shared" si="33"/>
        <v>12014.278749000005</v>
      </c>
      <c r="AF36" s="405">
        <f t="shared" si="33"/>
        <v>57532.076549999998</v>
      </c>
      <c r="AG36" s="405">
        <f t="shared" si="33"/>
        <v>50303.687444999989</v>
      </c>
      <c r="AH36" s="405">
        <f t="shared" si="33"/>
        <v>45730.624949999969</v>
      </c>
      <c r="AI36" s="405">
        <f t="shared" ref="AI36:BN36" si="34">AI35+AI34</f>
        <v>26553.266100000008</v>
      </c>
      <c r="AJ36" s="405">
        <f t="shared" si="34"/>
        <v>18292.249979999993</v>
      </c>
      <c r="AK36" s="405">
        <f t="shared" si="34"/>
        <v>48680.987850000034</v>
      </c>
      <c r="AL36" s="405">
        <f t="shared" si="34"/>
        <v>68595.937425000011</v>
      </c>
      <c r="AM36" s="405">
        <f t="shared" si="34"/>
        <v>68595.937425000011</v>
      </c>
      <c r="AN36" s="405">
        <f t="shared" si="34"/>
        <v>53696.604779999994</v>
      </c>
      <c r="AO36" s="405">
        <f t="shared" si="34"/>
        <v>27438.374970000004</v>
      </c>
      <c r="AP36" s="405">
        <f t="shared" si="34"/>
        <v>26553.266100000008</v>
      </c>
      <c r="AQ36" s="405">
        <f t="shared" si="34"/>
        <v>50303.687444999989</v>
      </c>
      <c r="AR36" s="405">
        <f t="shared" si="34"/>
        <v>90012.961007833481</v>
      </c>
      <c r="AS36" s="405">
        <f t="shared" si="34"/>
        <v>78703.640265823691</v>
      </c>
      <c r="AT36" s="405">
        <f t="shared" si="34"/>
        <v>71548.763878021506</v>
      </c>
      <c r="AU36" s="405">
        <f t="shared" si="34"/>
        <v>41544.443542076973</v>
      </c>
      <c r="AV36" s="405">
        <f t="shared" si="34"/>
        <v>28619.505551208596</v>
      </c>
      <c r="AW36" s="405">
        <f t="shared" si="34"/>
        <v>76164.813160474529</v>
      </c>
      <c r="AX36" s="405">
        <f t="shared" si="34"/>
        <v>107323.1458170322</v>
      </c>
      <c r="AY36" s="405">
        <f t="shared" si="34"/>
        <v>107323.1458170322</v>
      </c>
      <c r="AZ36" s="405">
        <f t="shared" si="34"/>
        <v>84012.096940644551</v>
      </c>
      <c r="BA36" s="405">
        <f t="shared" si="34"/>
        <v>42929.25832681288</v>
      </c>
      <c r="BB36" s="405">
        <f t="shared" si="34"/>
        <v>41544.443542076973</v>
      </c>
      <c r="BC36" s="405">
        <f t="shared" si="34"/>
        <v>78703.640265823691</v>
      </c>
      <c r="BD36" s="405">
        <f t="shared" si="34"/>
        <v>92713.349838068476</v>
      </c>
      <c r="BE36" s="405">
        <f t="shared" si="34"/>
        <v>81064.749473798322</v>
      </c>
      <c r="BF36" s="405">
        <f t="shared" si="34"/>
        <v>73695.226794362185</v>
      </c>
      <c r="BG36" s="405">
        <f t="shared" si="34"/>
        <v>42790.776848339301</v>
      </c>
      <c r="BH36" s="405">
        <f t="shared" si="34"/>
        <v>29478.090717744839</v>
      </c>
      <c r="BI36" s="405">
        <f t="shared" si="34"/>
        <v>78449.757555288728</v>
      </c>
      <c r="BJ36" s="405">
        <f t="shared" si="34"/>
        <v>110542.84019154322</v>
      </c>
      <c r="BK36" s="405">
        <f t="shared" si="34"/>
        <v>110542.84019154322</v>
      </c>
      <c r="BL36" s="405">
        <f t="shared" si="34"/>
        <v>86532.459848863888</v>
      </c>
      <c r="BM36" s="405">
        <f t="shared" si="34"/>
        <v>44217.136076617287</v>
      </c>
      <c r="BN36" s="405">
        <f t="shared" si="34"/>
        <v>42790.776848339301</v>
      </c>
      <c r="BO36" s="405">
        <f t="shared" ref="BO36:CT36" si="35">BO35+BO34</f>
        <v>81064.749473798322</v>
      </c>
      <c r="BP36" s="405">
        <f t="shared" si="35"/>
        <v>95494.75033321057</v>
      </c>
      <c r="BQ36" s="405">
        <f t="shared" si="35"/>
        <v>83496.691958012292</v>
      </c>
      <c r="BR36" s="405">
        <f t="shared" si="35"/>
        <v>75906.083598193014</v>
      </c>
      <c r="BS36" s="405">
        <f t="shared" si="35"/>
        <v>44074.500153789471</v>
      </c>
      <c r="BT36" s="405">
        <f t="shared" si="35"/>
        <v>30362.433439277171</v>
      </c>
      <c r="BU36" s="405">
        <f t="shared" si="35"/>
        <v>80803.250281947432</v>
      </c>
      <c r="BV36" s="405">
        <f t="shared" si="35"/>
        <v>113859.12539728952</v>
      </c>
      <c r="BW36" s="405">
        <f t="shared" si="35"/>
        <v>113859.12539728952</v>
      </c>
      <c r="BX36" s="405">
        <f t="shared" si="35"/>
        <v>92311.591988770175</v>
      </c>
      <c r="BY36" s="405">
        <f t="shared" si="35"/>
        <v>45543.650158915785</v>
      </c>
      <c r="BZ36" s="405">
        <f t="shared" si="35"/>
        <v>44074.500153789471</v>
      </c>
      <c r="CA36" s="405">
        <f t="shared" si="35"/>
        <v>83496.691958012292</v>
      </c>
      <c r="CB36" s="405">
        <f t="shared" si="35"/>
        <v>98359.592843206832</v>
      </c>
      <c r="CC36" s="405">
        <f t="shared" si="35"/>
        <v>86001.592716752668</v>
      </c>
      <c r="CD36" s="405">
        <f t="shared" si="35"/>
        <v>78183.266106138821</v>
      </c>
      <c r="CE36" s="405">
        <f t="shared" si="35"/>
        <v>45396.735158403171</v>
      </c>
      <c r="CF36" s="405">
        <f t="shared" si="35"/>
        <v>31273.306442455505</v>
      </c>
      <c r="CG36" s="405">
        <f t="shared" si="35"/>
        <v>83227.347790405853</v>
      </c>
      <c r="CH36" s="405">
        <f t="shared" si="35"/>
        <v>117274.89915920817</v>
      </c>
      <c r="CI36" s="405">
        <f t="shared" si="35"/>
        <v>117274.89915920817</v>
      </c>
      <c r="CJ36" s="405">
        <f t="shared" si="35"/>
        <v>91802.286653659772</v>
      </c>
      <c r="CK36" s="405">
        <f t="shared" si="35"/>
        <v>46909.959663683258</v>
      </c>
      <c r="CL36" s="405">
        <f t="shared" si="35"/>
        <v>45396.735158403171</v>
      </c>
      <c r="CM36" s="405">
        <f t="shared" si="35"/>
        <v>86001.592716752668</v>
      </c>
      <c r="CN36" s="405">
        <f t="shared" si="35"/>
        <v>101310.38062850304</v>
      </c>
      <c r="CO36" s="405">
        <f t="shared" si="35"/>
        <v>88581.640498255263</v>
      </c>
      <c r="CP36" s="405">
        <f t="shared" si="35"/>
        <v>80528.764089322998</v>
      </c>
      <c r="CQ36" s="405">
        <f t="shared" si="35"/>
        <v>46758.637213155278</v>
      </c>
      <c r="CR36" s="405">
        <f t="shared" si="35"/>
        <v>32211.505635729176</v>
      </c>
      <c r="CS36" s="405">
        <f t="shared" si="35"/>
        <v>85724.168224117951</v>
      </c>
      <c r="CT36" s="405">
        <f t="shared" si="35"/>
        <v>120793.14613398444</v>
      </c>
      <c r="CU36" s="405" t="e">
        <f t="shared" ref="CU36:DR36" si="36">CU35+CU34</f>
        <v>#N/A</v>
      </c>
      <c r="CV36" s="405" t="e">
        <f t="shared" si="36"/>
        <v>#N/A</v>
      </c>
      <c r="CW36" s="405" t="e">
        <f t="shared" si="36"/>
        <v>#N/A</v>
      </c>
      <c r="CX36" s="405" t="e">
        <f t="shared" si="36"/>
        <v>#N/A</v>
      </c>
      <c r="CY36" s="405" t="e">
        <f t="shared" si="36"/>
        <v>#N/A</v>
      </c>
      <c r="CZ36" s="405" t="e">
        <f t="shared" si="36"/>
        <v>#N/A</v>
      </c>
      <c r="DA36" s="405" t="e">
        <f t="shared" si="36"/>
        <v>#N/A</v>
      </c>
      <c r="DB36" s="405" t="e">
        <f t="shared" si="36"/>
        <v>#N/A</v>
      </c>
      <c r="DC36" s="405" t="e">
        <f t="shared" si="36"/>
        <v>#N/A</v>
      </c>
      <c r="DD36" s="405" t="e">
        <f t="shared" si="36"/>
        <v>#N/A</v>
      </c>
      <c r="DE36" s="405" t="e">
        <f t="shared" si="36"/>
        <v>#N/A</v>
      </c>
      <c r="DF36" s="405" t="e">
        <f t="shared" si="36"/>
        <v>#N/A</v>
      </c>
      <c r="DG36" s="405" t="e">
        <f t="shared" si="36"/>
        <v>#N/A</v>
      </c>
      <c r="DH36" s="405" t="e">
        <f t="shared" si="36"/>
        <v>#N/A</v>
      </c>
      <c r="DI36" s="405" t="e">
        <f t="shared" si="36"/>
        <v>#N/A</v>
      </c>
      <c r="DJ36" s="405" t="e">
        <f t="shared" si="36"/>
        <v>#N/A</v>
      </c>
      <c r="DK36" s="405" t="e">
        <f t="shared" si="36"/>
        <v>#N/A</v>
      </c>
      <c r="DL36" s="405" t="e">
        <f t="shared" si="36"/>
        <v>#N/A</v>
      </c>
      <c r="DM36" s="405" t="e">
        <f t="shared" si="36"/>
        <v>#N/A</v>
      </c>
      <c r="DN36" s="405" t="e">
        <f t="shared" si="36"/>
        <v>#N/A</v>
      </c>
      <c r="DO36" s="405" t="e">
        <f t="shared" si="36"/>
        <v>#N/A</v>
      </c>
      <c r="DP36" s="405" t="e">
        <f t="shared" si="36"/>
        <v>#N/A</v>
      </c>
      <c r="DQ36" s="405" t="e">
        <f t="shared" si="36"/>
        <v>#N/A</v>
      </c>
      <c r="DR36" s="405" t="e">
        <f t="shared" si="36"/>
        <v>#N/A</v>
      </c>
      <c r="DS36" s="405"/>
      <c r="DT36" s="405"/>
      <c r="DU36" s="405"/>
      <c r="DV36" s="405"/>
      <c r="DW36" s="405"/>
      <c r="DX36" s="405"/>
      <c r="DY36" s="405"/>
      <c r="DZ36" s="405"/>
      <c r="EA36" s="405"/>
      <c r="EB36" s="405"/>
      <c r="EC36" s="405"/>
      <c r="ED36" s="405"/>
    </row>
    <row r="37" spans="1:134" s="153" customFormat="1" ht="16" x14ac:dyDescent="0.2">
      <c r="A37" s="316"/>
      <c r="B37" s="294"/>
    </row>
    <row r="38" spans="1:134" s="404" customFormat="1" ht="16" x14ac:dyDescent="0.2">
      <c r="A38" s="402"/>
      <c r="B38" s="408" t="s">
        <v>756</v>
      </c>
      <c r="C38" s="405">
        <f t="shared" ref="C38:AH38" si="37">C32+C36+C17+C25+C21</f>
        <v>0</v>
      </c>
      <c r="D38" s="405">
        <f t="shared" si="37"/>
        <v>0</v>
      </c>
      <c r="E38" s="405">
        <f t="shared" si="37"/>
        <v>0</v>
      </c>
      <c r="F38" s="405">
        <f t="shared" si="37"/>
        <v>0</v>
      </c>
      <c r="G38" s="405">
        <f t="shared" si="37"/>
        <v>0</v>
      </c>
      <c r="H38" s="405">
        <f t="shared" si="37"/>
        <v>213627.15000000002</v>
      </c>
      <c r="I38" s="405">
        <f>I32+I36+I17+I25+I21</f>
        <v>192681.58499999999</v>
      </c>
      <c r="J38" s="405">
        <f t="shared" si="37"/>
        <v>178648.34999999998</v>
      </c>
      <c r="K38" s="405">
        <f t="shared" si="37"/>
        <v>118563.29999999999</v>
      </c>
      <c r="L38" s="405">
        <f t="shared" si="37"/>
        <v>94448.94</v>
      </c>
      <c r="M38" s="405">
        <f t="shared" si="37"/>
        <v>186466.05000000005</v>
      </c>
      <c r="N38" s="405">
        <f t="shared" si="37"/>
        <v>248814.52500000002</v>
      </c>
      <c r="O38" s="405">
        <f t="shared" si="37"/>
        <v>248814.52500000002</v>
      </c>
      <c r="P38" s="405">
        <f t="shared" si="37"/>
        <v>199385.34000000003</v>
      </c>
      <c r="Q38" s="405">
        <f t="shared" si="37"/>
        <v>122515.41000000002</v>
      </c>
      <c r="R38" s="405">
        <f t="shared" si="37"/>
        <v>118563.29999999999</v>
      </c>
      <c r="S38" s="405">
        <f t="shared" si="37"/>
        <v>192681.58499999999</v>
      </c>
      <c r="T38" s="405">
        <f t="shared" si="37"/>
        <v>220035.96449999994</v>
      </c>
      <c r="U38" s="405">
        <f t="shared" si="37"/>
        <v>198462.03255000003</v>
      </c>
      <c r="V38" s="405">
        <f t="shared" si="37"/>
        <v>184007.80049999995</v>
      </c>
      <c r="W38" s="405">
        <f t="shared" si="37"/>
        <v>122120.19899999999</v>
      </c>
      <c r="X38" s="405">
        <f t="shared" si="37"/>
        <v>97282.408199999991</v>
      </c>
      <c r="Y38" s="405">
        <f t="shared" si="37"/>
        <v>192060.03149999998</v>
      </c>
      <c r="Z38" s="405">
        <f t="shared" ca="1" si="37"/>
        <v>448846.05503083335</v>
      </c>
      <c r="AA38" s="405">
        <f t="shared" ca="1" si="37"/>
        <v>448846.05503083335</v>
      </c>
      <c r="AB38" s="405">
        <f t="shared" ca="1" si="37"/>
        <v>392120.2836988332</v>
      </c>
      <c r="AC38" s="405">
        <f t="shared" ca="1" si="37"/>
        <v>403495.97667900001</v>
      </c>
      <c r="AD38" s="405">
        <f t="shared" ca="1" si="37"/>
        <v>524952.74893666664</v>
      </c>
      <c r="AE38" s="405">
        <f t="shared" ca="1" si="37"/>
        <v>751773.80724483333</v>
      </c>
      <c r="AF38" s="405">
        <f t="shared" ca="1" si="37"/>
        <v>1518853.5897833335</v>
      </c>
      <c r="AG38" s="405">
        <f t="shared" ca="1" si="37"/>
        <v>1405554.1907883333</v>
      </c>
      <c r="AH38" s="405">
        <f t="shared" ca="1" si="37"/>
        <v>1201999.1840166668</v>
      </c>
      <c r="AI38" s="405">
        <f t="shared" ref="AI38:BN38" ca="1" si="38">AI32+AI36+AI17+AI25+AI21</f>
        <v>761611.99089999998</v>
      </c>
      <c r="AJ38" s="405">
        <f t="shared" ca="1" si="38"/>
        <v>501535.6800533334</v>
      </c>
      <c r="AK38" s="405">
        <f t="shared" ca="1" si="38"/>
        <v>986258.44998333382</v>
      </c>
      <c r="AL38" s="405">
        <f t="shared" ca="1" si="38"/>
        <v>1308257.7787083336</v>
      </c>
      <c r="AM38" s="405">
        <f t="shared" ca="1" si="38"/>
        <v>1308257.7787083336</v>
      </c>
      <c r="AN38" s="405">
        <f t="shared" ca="1" si="38"/>
        <v>1061448.9948533336</v>
      </c>
      <c r="AO38" s="405">
        <f t="shared" ca="1" si="38"/>
        <v>778429.05942999991</v>
      </c>
      <c r="AP38" s="405">
        <f t="shared" ca="1" si="38"/>
        <v>891828.62506666663</v>
      </c>
      <c r="AQ38" s="405">
        <f t="shared" ca="1" si="38"/>
        <v>1405554.1907883333</v>
      </c>
      <c r="AR38" s="405">
        <f t="shared" ca="1" si="38"/>
        <v>1906321.8446987858</v>
      </c>
      <c r="AS38" s="405">
        <f t="shared" ca="1" si="38"/>
        <v>1753120.4020673826</v>
      </c>
      <c r="AT38" s="405">
        <f t="shared" ca="1" si="38"/>
        <v>1519510.5034722569</v>
      </c>
      <c r="AU38" s="405">
        <f t="shared" ca="1" si="38"/>
        <v>964132.97396943974</v>
      </c>
      <c r="AV38" s="405">
        <f t="shared" ca="1" si="38"/>
        <v>654343.64466816944</v>
      </c>
      <c r="AW38" s="405">
        <f t="shared" ca="1" si="38"/>
        <v>1311397.4153106394</v>
      </c>
      <c r="AX38" s="405">
        <f t="shared" ca="1" si="38"/>
        <v>1748698.0641062187</v>
      </c>
      <c r="AY38" s="405">
        <f t="shared" ca="1" si="38"/>
        <v>1748698.0641062187</v>
      </c>
      <c r="AZ38" s="405">
        <f t="shared" ca="1" si="38"/>
        <v>1412408.2687727557</v>
      </c>
      <c r="BA38" s="405">
        <f t="shared" ca="1" si="38"/>
        <v>987440.30866675405</v>
      </c>
      <c r="BB38" s="405">
        <f t="shared" ca="1" si="38"/>
        <v>1098256.1071611065</v>
      </c>
      <c r="BC38" s="405">
        <f t="shared" ca="1" si="38"/>
        <v>1753120.4020673826</v>
      </c>
      <c r="BD38" s="405">
        <f t="shared" ca="1" si="38"/>
        <v>1963611.5000397498</v>
      </c>
      <c r="BE38" s="405">
        <f t="shared" ca="1" si="38"/>
        <v>1805814.0141294044</v>
      </c>
      <c r="BF38" s="405">
        <f t="shared" ca="1" si="38"/>
        <v>1565195.8185764251</v>
      </c>
      <c r="BG38" s="405">
        <f t="shared" ca="1" si="38"/>
        <v>993156.96318852296</v>
      </c>
      <c r="BH38" s="405">
        <f t="shared" ca="1" si="38"/>
        <v>674073.95400821464</v>
      </c>
      <c r="BI38" s="405">
        <f t="shared" ca="1" si="38"/>
        <v>1350839.3377699587</v>
      </c>
      <c r="BJ38" s="405">
        <f t="shared" ca="1" si="38"/>
        <v>1801259.0060294056</v>
      </c>
      <c r="BK38" s="405">
        <f t="shared" ca="1" si="38"/>
        <v>1801259.0060294056</v>
      </c>
      <c r="BL38" s="405">
        <f t="shared" ca="1" si="38"/>
        <v>1454880.5168359382</v>
      </c>
      <c r="BM38" s="405">
        <f t="shared" ca="1" si="38"/>
        <v>1017163.5179267569</v>
      </c>
      <c r="BN38" s="405">
        <f t="shared" ca="1" si="38"/>
        <v>1131303.7903759398</v>
      </c>
      <c r="BO38" s="405">
        <f t="shared" ref="BO38:CT38" ca="1" si="39">BO32+BO36+BO17+BO25+BO21</f>
        <v>1805814.0141294044</v>
      </c>
      <c r="BP38" s="405">
        <f t="shared" ca="1" si="39"/>
        <v>2022619.8450409416</v>
      </c>
      <c r="BQ38" s="405">
        <f t="shared" ca="1" si="39"/>
        <v>1860088.4345532865</v>
      </c>
      <c r="BR38" s="405">
        <f t="shared" ca="1" si="39"/>
        <v>1612251.6931337174</v>
      </c>
      <c r="BS38" s="405">
        <f t="shared" ca="1" si="39"/>
        <v>1023051.6720841783</v>
      </c>
      <c r="BT38" s="405">
        <f t="shared" ca="1" si="39"/>
        <v>694396.17262846103</v>
      </c>
      <c r="BU38" s="405">
        <f t="shared" ca="1" si="39"/>
        <v>1391464.5179030569</v>
      </c>
      <c r="BV38" s="405">
        <f t="shared" ca="1" si="39"/>
        <v>1855396.7762102876</v>
      </c>
      <c r="BW38" s="405">
        <f t="shared" ca="1" si="39"/>
        <v>1855396.7762102876</v>
      </c>
      <c r="BX38" s="405">
        <f t="shared" ca="1" si="39"/>
        <v>1547186.5406864202</v>
      </c>
      <c r="BY38" s="405">
        <f t="shared" ca="1" si="39"/>
        <v>1047778.4234645595</v>
      </c>
      <c r="BZ38" s="405">
        <f t="shared" ca="1" si="39"/>
        <v>1165342.9040872175</v>
      </c>
      <c r="CA38" s="405">
        <f t="shared" ca="1" si="39"/>
        <v>1860088.4345532865</v>
      </c>
      <c r="CB38" s="405">
        <f t="shared" ca="1" si="39"/>
        <v>2083398.4403921701</v>
      </c>
      <c r="CC38" s="405">
        <f t="shared" ca="1" si="39"/>
        <v>1915991.0875898853</v>
      </c>
      <c r="CD38" s="405">
        <f t="shared" ca="1" si="39"/>
        <v>1660719.2439277293</v>
      </c>
      <c r="CE38" s="405">
        <f t="shared" ca="1" si="39"/>
        <v>1053843.2222467037</v>
      </c>
      <c r="CF38" s="405">
        <f t="shared" ca="1" si="39"/>
        <v>715328.05780731491</v>
      </c>
      <c r="CG38" s="405">
        <f t="shared" ca="1" si="39"/>
        <v>1433308.4534401488</v>
      </c>
      <c r="CH38" s="405">
        <f t="shared" ca="1" si="39"/>
        <v>1911158.6794965961</v>
      </c>
      <c r="CI38" s="405">
        <f t="shared" ca="1" si="39"/>
        <v>1911158.6794965961</v>
      </c>
      <c r="CJ38" s="405">
        <f t="shared" ca="1" si="39"/>
        <v>1543685.7403112471</v>
      </c>
      <c r="CK38" s="405">
        <f t="shared" ca="1" si="39"/>
        <v>1079311.7761684963</v>
      </c>
      <c r="CL38" s="405">
        <f t="shared" ca="1" si="39"/>
        <v>1200403.1912098341</v>
      </c>
      <c r="CM38" s="405">
        <f t="shared" ca="1" si="39"/>
        <v>1915991.0875898853</v>
      </c>
      <c r="CN38" s="405">
        <f t="shared" ca="1" si="39"/>
        <v>2146000.3936039354</v>
      </c>
      <c r="CO38" s="405">
        <f t="shared" ca="1" si="39"/>
        <v>1973570.8202175824</v>
      </c>
      <c r="CP38" s="405">
        <f t="shared" ca="1" si="39"/>
        <v>1710640.8212455611</v>
      </c>
      <c r="CQ38" s="405">
        <f t="shared" ca="1" si="39"/>
        <v>1085558.5189141049</v>
      </c>
      <c r="CR38" s="405">
        <f t="shared" ca="1" si="39"/>
        <v>736887.89954153448</v>
      </c>
      <c r="CS38" s="405">
        <f t="shared" ca="1" si="39"/>
        <v>1476407.7070433535</v>
      </c>
      <c r="CT38" s="405">
        <f t="shared" ca="1" si="39"/>
        <v>1968593.4398814947</v>
      </c>
      <c r="CU38" s="405" t="e">
        <f ca="1">CU32+#REF!+CU36+CU17+CU25+CU21</f>
        <v>#N/A</v>
      </c>
      <c r="CV38" s="405" t="e">
        <f ca="1">CV32+#REF!+CV36+CV17+CV25+CV21</f>
        <v>#N/A</v>
      </c>
      <c r="CW38" s="405" t="e">
        <f ca="1">CW32+#REF!+CW36+CW17+CW25+CW21</f>
        <v>#N/A</v>
      </c>
      <c r="CX38" s="405" t="e">
        <f ca="1">CX32+#REF!+CX36+CX17+CX25+CX21</f>
        <v>#N/A</v>
      </c>
      <c r="CY38" s="405" t="e">
        <f ca="1">CY32+#REF!+CY36+CY17+CY25+CY21</f>
        <v>#N/A</v>
      </c>
      <c r="CZ38" s="405" t="e">
        <f ca="1">CZ32+#REF!+CZ36+CZ17+CZ25+CZ21</f>
        <v>#N/A</v>
      </c>
      <c r="DA38" s="405" t="e">
        <f ca="1">DA32+#REF!+DA36+DA17+DA25+DA21</f>
        <v>#N/A</v>
      </c>
      <c r="DB38" s="405" t="e">
        <f ca="1">DB32+#REF!+DB36+DB17+DB25+DB21</f>
        <v>#N/A</v>
      </c>
      <c r="DC38" s="405" t="e">
        <f ca="1">DC32+#REF!+DC36+DC17+DC25+DC21</f>
        <v>#N/A</v>
      </c>
      <c r="DD38" s="405" t="e">
        <f ca="1">DD32+#REF!+DD36+DD17+DD25+DD21</f>
        <v>#N/A</v>
      </c>
      <c r="DE38" s="405" t="e">
        <f ca="1">DE32+#REF!+DE36+DE17+DE25+DE21</f>
        <v>#N/A</v>
      </c>
      <c r="DF38" s="405" t="e">
        <f ca="1">DF32+#REF!+DF36+DF17+DF25+DF21</f>
        <v>#N/A</v>
      </c>
      <c r="DG38" s="405" t="e">
        <f ca="1">DG32+#REF!+DG36+DG17+DG25+DG21</f>
        <v>#N/A</v>
      </c>
      <c r="DH38" s="405" t="e">
        <f ca="1">DH32+#REF!+DH36+DH17+DH25+DH21</f>
        <v>#N/A</v>
      </c>
      <c r="DI38" s="405" t="e">
        <f ca="1">DI32+#REF!+DI36+DI17+DI25+DI21</f>
        <v>#N/A</v>
      </c>
      <c r="DJ38" s="405" t="e">
        <f ca="1">DJ32+#REF!+DJ36+DJ17+DJ25+DJ21</f>
        <v>#N/A</v>
      </c>
      <c r="DK38" s="405" t="e">
        <f ca="1">DK32+#REF!+DK36+DK17+DK25+DK21</f>
        <v>#N/A</v>
      </c>
      <c r="DL38" s="405" t="e">
        <f ca="1">DL32+#REF!+DL36+DL17+DL25+DL21</f>
        <v>#N/A</v>
      </c>
      <c r="DM38" s="405" t="e">
        <f ca="1">DM32+#REF!+DM36+DM17+DM25+DM21</f>
        <v>#N/A</v>
      </c>
      <c r="DN38" s="405" t="e">
        <f ca="1">DN32+#REF!+DN36+DN17+DN25+DN21</f>
        <v>#N/A</v>
      </c>
      <c r="DO38" s="405" t="e">
        <f ca="1">DO32+#REF!+DO36+DO17+DO25+DO21</f>
        <v>#N/A</v>
      </c>
      <c r="DP38" s="405" t="e">
        <f ca="1">DP32+#REF!+DP36+DP17+DP25+DP21</f>
        <v>#N/A</v>
      </c>
      <c r="DQ38" s="405" t="e">
        <f ca="1">DQ32+#REF!+DQ36+DQ17+DQ25+DQ21</f>
        <v>#N/A</v>
      </c>
      <c r="DR38" s="405" t="e">
        <f ca="1">DR32+#REF!+DR36+DR17+DR25+DR21</f>
        <v>#N/A</v>
      </c>
      <c r="DS38" s="405"/>
      <c r="DT38" s="405"/>
      <c r="DU38" s="405"/>
      <c r="DV38" s="405"/>
      <c r="DW38" s="405"/>
      <c r="DX38" s="405"/>
      <c r="DY38" s="405"/>
      <c r="DZ38" s="405"/>
      <c r="EA38" s="405"/>
      <c r="EB38" s="405"/>
      <c r="EC38" s="405"/>
      <c r="ED38" s="405"/>
    </row>
    <row r="39" spans="1:134" s="404" customFormat="1" ht="16" x14ac:dyDescent="0.2">
      <c r="A39" s="402"/>
      <c r="B39" s="408"/>
      <c r="C39" s="405"/>
      <c r="D39" s="405"/>
      <c r="E39" s="405"/>
      <c r="F39" s="405"/>
      <c r="G39" s="405"/>
      <c r="H39" s="405"/>
      <c r="I39" s="405"/>
      <c r="J39" s="405"/>
      <c r="K39" s="405"/>
      <c r="L39" s="405"/>
      <c r="M39" s="405"/>
      <c r="N39" s="405"/>
      <c r="O39" s="405"/>
      <c r="P39" s="405"/>
      <c r="Q39" s="405"/>
      <c r="R39" s="405"/>
      <c r="S39" s="405"/>
      <c r="T39" s="405"/>
      <c r="U39" s="405"/>
      <c r="V39" s="405"/>
      <c r="W39" s="405"/>
      <c r="X39" s="405"/>
      <c r="Y39" s="405"/>
      <c r="Z39" s="405"/>
      <c r="AA39" s="405"/>
      <c r="AB39" s="405"/>
      <c r="AC39" s="405"/>
      <c r="AD39" s="405"/>
      <c r="AE39" s="405"/>
      <c r="AF39" s="405"/>
      <c r="AG39" s="405"/>
      <c r="AH39" s="405"/>
      <c r="AI39" s="405"/>
      <c r="AJ39" s="405"/>
      <c r="AK39" s="405"/>
      <c r="AL39" s="405"/>
      <c r="AM39" s="405"/>
      <c r="AN39" s="405"/>
      <c r="AO39" s="405"/>
      <c r="AP39" s="405"/>
      <c r="AQ39" s="405"/>
      <c r="AR39" s="405"/>
      <c r="AS39" s="405"/>
      <c r="AT39" s="405"/>
      <c r="AU39" s="405"/>
      <c r="AV39" s="405"/>
      <c r="AW39" s="405"/>
      <c r="AX39" s="405"/>
      <c r="AY39" s="405"/>
      <c r="AZ39" s="405"/>
      <c r="BA39" s="405"/>
      <c r="BB39" s="405"/>
      <c r="BC39" s="405"/>
      <c r="BD39" s="405"/>
      <c r="BE39" s="405"/>
      <c r="BF39" s="405"/>
      <c r="BG39" s="405"/>
      <c r="BH39" s="405"/>
      <c r="BI39" s="405"/>
      <c r="BJ39" s="405"/>
      <c r="BK39" s="405"/>
      <c r="BL39" s="405"/>
      <c r="BM39" s="405"/>
      <c r="BN39" s="405"/>
      <c r="BO39" s="405"/>
      <c r="BP39" s="405"/>
      <c r="BQ39" s="405"/>
      <c r="BR39" s="405"/>
      <c r="BS39" s="405"/>
      <c r="BT39" s="405"/>
      <c r="BU39" s="405"/>
      <c r="BV39" s="405"/>
      <c r="BW39" s="405"/>
      <c r="BX39" s="405"/>
      <c r="BY39" s="405"/>
      <c r="BZ39" s="405"/>
      <c r="CA39" s="405"/>
      <c r="CB39" s="405"/>
      <c r="CC39" s="405"/>
      <c r="CD39" s="405"/>
      <c r="CE39" s="405"/>
      <c r="CF39" s="405"/>
      <c r="CG39" s="405"/>
      <c r="CH39" s="405"/>
      <c r="CI39" s="405"/>
      <c r="CJ39" s="405"/>
      <c r="CK39" s="405"/>
      <c r="CL39" s="405"/>
      <c r="CM39" s="405"/>
      <c r="CN39" s="405"/>
      <c r="CO39" s="405"/>
      <c r="CP39" s="405"/>
      <c r="CQ39" s="405"/>
      <c r="CR39" s="405"/>
      <c r="CS39" s="405"/>
      <c r="CT39" s="405"/>
      <c r="CU39" s="405"/>
      <c r="CV39" s="405"/>
      <c r="CW39" s="405"/>
      <c r="CX39" s="405"/>
      <c r="CY39" s="405"/>
      <c r="CZ39" s="405"/>
      <c r="DA39" s="405"/>
      <c r="DB39" s="405"/>
      <c r="DC39" s="405"/>
      <c r="DD39" s="405"/>
      <c r="DE39" s="405"/>
      <c r="DF39" s="405"/>
      <c r="DG39" s="405"/>
      <c r="DH39" s="405"/>
      <c r="DI39" s="405"/>
      <c r="DJ39" s="405"/>
      <c r="DK39" s="405"/>
      <c r="DL39" s="405"/>
      <c r="DM39" s="405"/>
      <c r="DN39" s="405"/>
      <c r="DO39" s="405"/>
      <c r="DP39" s="405"/>
      <c r="DQ39" s="405"/>
      <c r="DR39" s="405"/>
      <c r="DS39" s="405"/>
      <c r="DT39" s="405"/>
      <c r="DU39" s="405"/>
      <c r="DV39" s="405"/>
      <c r="DW39" s="405"/>
      <c r="DX39" s="405"/>
      <c r="DY39" s="405"/>
      <c r="DZ39" s="405"/>
      <c r="EA39" s="405"/>
      <c r="EB39" s="405"/>
      <c r="EC39" s="405"/>
      <c r="ED39" s="405"/>
    </row>
    <row r="40" spans="1:134" s="782" customFormat="1" ht="16" x14ac:dyDescent="0.2">
      <c r="A40" s="779"/>
      <c r="B40" s="780" t="s">
        <v>757</v>
      </c>
      <c r="C40" s="781">
        <f t="shared" ref="C40:AH40" si="40">C17-C13+C19+C23+SUM(C29:C30)+C34</f>
        <v>0</v>
      </c>
      <c r="D40" s="781">
        <f t="shared" si="40"/>
        <v>0</v>
      </c>
      <c r="E40" s="781">
        <f t="shared" si="40"/>
        <v>0</v>
      </c>
      <c r="F40" s="781">
        <f t="shared" si="40"/>
        <v>0</v>
      </c>
      <c r="G40" s="781">
        <f t="shared" si="40"/>
        <v>0</v>
      </c>
      <c r="H40" s="781">
        <f t="shared" si="40"/>
        <v>386559</v>
      </c>
      <c r="I40" s="781">
        <f t="shared" si="40"/>
        <v>343886.1</v>
      </c>
      <c r="J40" s="781">
        <f t="shared" si="40"/>
        <v>316107</v>
      </c>
      <c r="K40" s="781">
        <f t="shared" si="40"/>
        <v>198378</v>
      </c>
      <c r="L40" s="781">
        <f t="shared" si="40"/>
        <v>149432.4</v>
      </c>
      <c r="M40" s="781">
        <f t="shared" si="40"/>
        <v>332793.00000000006</v>
      </c>
      <c r="N40" s="781">
        <f t="shared" si="40"/>
        <v>455002.5</v>
      </c>
      <c r="O40" s="781">
        <f t="shared" si="40"/>
        <v>455002.5</v>
      </c>
      <c r="P40" s="781">
        <f t="shared" si="40"/>
        <v>360788.4</v>
      </c>
      <c r="Q40" s="781">
        <f t="shared" si="40"/>
        <v>204990.6</v>
      </c>
      <c r="R40" s="781">
        <f t="shared" si="40"/>
        <v>198378</v>
      </c>
      <c r="S40" s="781">
        <f t="shared" si="40"/>
        <v>343886.1</v>
      </c>
      <c r="T40" s="781">
        <f t="shared" si="40"/>
        <v>398155.7699999999</v>
      </c>
      <c r="U40" s="781">
        <f t="shared" si="40"/>
        <v>354202.68300000002</v>
      </c>
      <c r="V40" s="781">
        <f t="shared" si="40"/>
        <v>325590.20999999996</v>
      </c>
      <c r="W40" s="781">
        <f t="shared" si="40"/>
        <v>204329.33999999997</v>
      </c>
      <c r="X40" s="781">
        <f t="shared" si="40"/>
        <v>153915.37199999997</v>
      </c>
      <c r="Y40" s="781">
        <f t="shared" si="40"/>
        <v>342776.79</v>
      </c>
      <c r="Z40" s="781">
        <f t="shared" ca="1" si="40"/>
        <v>910603.0042666666</v>
      </c>
      <c r="AA40" s="781">
        <f t="shared" ca="1" si="40"/>
        <v>910603.0042666666</v>
      </c>
      <c r="AB40" s="781">
        <f t="shared" ca="1" si="40"/>
        <v>767121.79594666651</v>
      </c>
      <c r="AC40" s="781">
        <f t="shared" ca="1" si="40"/>
        <v>590198.7563733334</v>
      </c>
      <c r="AD40" s="781">
        <f t="shared" ca="1" si="40"/>
        <v>705740.38520000002</v>
      </c>
      <c r="AE40" s="781">
        <f t="shared" ca="1" si="40"/>
        <v>1091284.4589066666</v>
      </c>
      <c r="AF40" s="781">
        <f t="shared" ca="1" si="40"/>
        <v>3132019.6576916673</v>
      </c>
      <c r="AG40" s="781">
        <f t="shared" ca="1" si="40"/>
        <v>2816459.2228141669</v>
      </c>
      <c r="AH40" s="781">
        <f t="shared" ca="1" si="40"/>
        <v>2484943.1525250003</v>
      </c>
      <c r="AI40" s="781">
        <f t="shared" ref="AI40:BN40" ca="1" si="41">AI17-AI13+AI19+AI23+SUM(AI29:AI30)+AI34</f>
        <v>1507945.0478833334</v>
      </c>
      <c r="AJ40" s="781">
        <f t="shared" ca="1" si="41"/>
        <v>1016713.2674566668</v>
      </c>
      <c r="AK40" s="781">
        <f t="shared" ca="1" si="41"/>
        <v>2351757.9433416678</v>
      </c>
      <c r="AL40" s="781">
        <f t="shared" ca="1" si="41"/>
        <v>3231007.0648041675</v>
      </c>
      <c r="AM40" s="781">
        <f t="shared" ca="1" si="41"/>
        <v>3231007.0648041675</v>
      </c>
      <c r="AN40" s="781">
        <f t="shared" ca="1" si="41"/>
        <v>2567292.8804566674</v>
      </c>
      <c r="AO40" s="781">
        <f t="shared" ca="1" si="41"/>
        <v>1549528.7738683333</v>
      </c>
      <c r="AP40" s="781">
        <f t="shared" ca="1" si="41"/>
        <v>1638161.6820500002</v>
      </c>
      <c r="AQ40" s="781">
        <f t="shared" ca="1" si="41"/>
        <v>2816459.2228141669</v>
      </c>
      <c r="AR40" s="781">
        <f t="shared" ca="1" si="41"/>
        <v>4428351.1795661282</v>
      </c>
      <c r="AS40" s="781">
        <f t="shared" ca="1" si="41"/>
        <v>3958698.1880240412</v>
      </c>
      <c r="AT40" s="781">
        <f t="shared" ca="1" si="41"/>
        <v>3524884.2482813392</v>
      </c>
      <c r="AU40" s="781">
        <f t="shared" ca="1" si="41"/>
        <v>2129941.384933854</v>
      </c>
      <c r="AV40" s="781">
        <f t="shared" ca="1" si="41"/>
        <v>1458493.1425918026</v>
      </c>
      <c r="AW40" s="781">
        <f t="shared" ca="1" si="41"/>
        <v>3445935.057634287</v>
      </c>
      <c r="AX40" s="781">
        <f t="shared" ca="1" si="41"/>
        <v>4755092.014653177</v>
      </c>
      <c r="AY40" s="781">
        <f t="shared" ca="1" si="41"/>
        <v>4755092.014653177</v>
      </c>
      <c r="AZ40" s="781">
        <f t="shared" ca="1" si="41"/>
        <v>3766524.5368711632</v>
      </c>
      <c r="BA40" s="781">
        <f t="shared" ca="1" si="41"/>
        <v>2191997.8888855372</v>
      </c>
      <c r="BB40" s="781">
        <f t="shared" ca="1" si="41"/>
        <v>2264064.5181255206</v>
      </c>
      <c r="BC40" s="781">
        <f t="shared" ca="1" si="41"/>
        <v>3958698.1880240412</v>
      </c>
      <c r="BD40" s="781">
        <f t="shared" ca="1" si="41"/>
        <v>4561201.7149531115</v>
      </c>
      <c r="BE40" s="781">
        <f t="shared" ca="1" si="41"/>
        <v>4077459.1336647626</v>
      </c>
      <c r="BF40" s="781">
        <f t="shared" ca="1" si="41"/>
        <v>3630630.775729781</v>
      </c>
      <c r="BG40" s="781">
        <f t="shared" ca="1" si="41"/>
        <v>2193839.6264818697</v>
      </c>
      <c r="BH40" s="781">
        <f t="shared" ca="1" si="41"/>
        <v>1502247.9368695572</v>
      </c>
      <c r="BI40" s="781">
        <f t="shared" ca="1" si="41"/>
        <v>3549313.1093633166</v>
      </c>
      <c r="BJ40" s="781">
        <f t="shared" ca="1" si="41"/>
        <v>4897744.7750927731</v>
      </c>
      <c r="BK40" s="781">
        <f t="shared" ca="1" si="41"/>
        <v>4897744.7750927731</v>
      </c>
      <c r="BL40" s="781">
        <f t="shared" ca="1" si="41"/>
        <v>3879520.2729772981</v>
      </c>
      <c r="BM40" s="781">
        <f t="shared" ca="1" si="41"/>
        <v>2257757.8255521036</v>
      </c>
      <c r="BN40" s="781">
        <f t="shared" ca="1" si="41"/>
        <v>2331986.4536692863</v>
      </c>
      <c r="BO40" s="781">
        <f t="shared" ref="BO40:CT40" ca="1" si="42">BO17-BO13+BO19+BO23+SUM(BO29:BO30)+BO34</f>
        <v>4077459.1336647626</v>
      </c>
      <c r="BP40" s="781">
        <f t="shared" ca="1" si="42"/>
        <v>4698037.7664017035</v>
      </c>
      <c r="BQ40" s="781">
        <f t="shared" ca="1" si="42"/>
        <v>4199782.9076747056</v>
      </c>
      <c r="BR40" s="781">
        <f t="shared" ca="1" si="42"/>
        <v>3739549.6990016741</v>
      </c>
      <c r="BS40" s="781">
        <f t="shared" ca="1" si="42"/>
        <v>2259654.8152763247</v>
      </c>
      <c r="BT40" s="781">
        <f t="shared" ca="1" si="42"/>
        <v>1547315.3749756436</v>
      </c>
      <c r="BU40" s="781">
        <f t="shared" ca="1" si="42"/>
        <v>3655792.5026442148</v>
      </c>
      <c r="BV40" s="781">
        <f t="shared" ca="1" si="42"/>
        <v>5044677.1183455558</v>
      </c>
      <c r="BW40" s="781">
        <f t="shared" ca="1" si="42"/>
        <v>5044677.1183455558</v>
      </c>
      <c r="BX40" s="781">
        <f t="shared" ca="1" si="42"/>
        <v>4133534.9757796014</v>
      </c>
      <c r="BY40" s="781">
        <f t="shared" ca="1" si="42"/>
        <v>2325490.560318667</v>
      </c>
      <c r="BZ40" s="781">
        <f t="shared" ca="1" si="42"/>
        <v>2401946.047279364</v>
      </c>
      <c r="CA40" s="781">
        <f t="shared" ca="1" si="42"/>
        <v>4199782.9076747056</v>
      </c>
      <c r="CB40" s="781">
        <f t="shared" ca="1" si="42"/>
        <v>4838978.8993937559</v>
      </c>
      <c r="CC40" s="781">
        <f t="shared" ca="1" si="42"/>
        <v>4325776.3949049478</v>
      </c>
      <c r="CD40" s="781">
        <f t="shared" ca="1" si="42"/>
        <v>3851736.1899717245</v>
      </c>
      <c r="CE40" s="781">
        <f t="shared" ca="1" si="42"/>
        <v>2327444.4597346149</v>
      </c>
      <c r="CF40" s="781">
        <f t="shared" ca="1" si="42"/>
        <v>1593734.8362249131</v>
      </c>
      <c r="CG40" s="781">
        <f t="shared" ca="1" si="42"/>
        <v>3765466.2777235419</v>
      </c>
      <c r="CH40" s="781">
        <f t="shared" ca="1" si="42"/>
        <v>5196017.4318959219</v>
      </c>
      <c r="CI40" s="781">
        <f t="shared" ca="1" si="42"/>
        <v>5196017.4318959219</v>
      </c>
      <c r="CJ40" s="781">
        <f t="shared" ca="1" si="42"/>
        <v>4115783.0576016158</v>
      </c>
      <c r="CK40" s="781">
        <f t="shared" ca="1" si="42"/>
        <v>2395255.2771282271</v>
      </c>
      <c r="CL40" s="781">
        <f t="shared" ca="1" si="42"/>
        <v>2474004.4286977453</v>
      </c>
      <c r="CM40" s="781">
        <f t="shared" ca="1" si="42"/>
        <v>4325776.3949049478</v>
      </c>
      <c r="CN40" s="781">
        <f t="shared" ca="1" si="42"/>
        <v>4984148.2663755687</v>
      </c>
      <c r="CO40" s="781">
        <f t="shared" ca="1" si="42"/>
        <v>4455549.6867520958</v>
      </c>
      <c r="CP40" s="781">
        <f t="shared" ca="1" si="42"/>
        <v>3967288.2756708763</v>
      </c>
      <c r="CQ40" s="781">
        <f t="shared" ca="1" si="42"/>
        <v>2397267.7935266537</v>
      </c>
      <c r="CR40" s="781">
        <f t="shared" ca="1" si="42"/>
        <v>1641546.8813116604</v>
      </c>
      <c r="CS40" s="781">
        <f t="shared" ca="1" si="42"/>
        <v>3878430.2660552487</v>
      </c>
      <c r="CT40" s="781">
        <f t="shared" ca="1" si="42"/>
        <v>5351897.9548528008</v>
      </c>
      <c r="CU40" s="781"/>
      <c r="CV40" s="781"/>
      <c r="CW40" s="781"/>
      <c r="CX40" s="781"/>
      <c r="CY40" s="781"/>
      <c r="CZ40" s="781"/>
      <c r="DA40" s="781"/>
      <c r="DB40" s="781"/>
      <c r="DC40" s="781"/>
      <c r="DD40" s="781"/>
      <c r="DE40" s="781"/>
      <c r="DF40" s="781"/>
      <c r="DG40" s="781"/>
      <c r="DH40" s="781"/>
      <c r="DI40" s="781"/>
      <c r="DJ40" s="781"/>
      <c r="DK40" s="781"/>
      <c r="DL40" s="781"/>
      <c r="DM40" s="781"/>
      <c r="DN40" s="781"/>
      <c r="DO40" s="781"/>
      <c r="DP40" s="781"/>
      <c r="DQ40" s="781"/>
      <c r="DR40" s="781"/>
      <c r="DS40" s="781"/>
      <c r="DT40" s="781"/>
      <c r="DU40" s="781"/>
      <c r="DV40" s="781"/>
      <c r="DW40" s="781"/>
      <c r="DX40" s="781"/>
      <c r="DY40" s="781"/>
      <c r="DZ40" s="781"/>
      <c r="EA40" s="781"/>
      <c r="EB40" s="781"/>
      <c r="EC40" s="781"/>
      <c r="ED40" s="781"/>
    </row>
    <row r="41" spans="1:134" s="404" customFormat="1" ht="16" x14ac:dyDescent="0.2">
      <c r="A41" s="402"/>
      <c r="B41" s="294" t="s">
        <v>119</v>
      </c>
      <c r="C41" s="403">
        <f>-C$40*Assumptions!$C75</f>
        <v>0</v>
      </c>
      <c r="D41" s="403">
        <f>-D$40*Assumptions!$C75</f>
        <v>0</v>
      </c>
      <c r="E41" s="403">
        <f>-E$40*Assumptions!$C75</f>
        <v>0</v>
      </c>
      <c r="F41" s="403">
        <f>-F$40*Assumptions!$C75</f>
        <v>0</v>
      </c>
      <c r="G41" s="403">
        <f>-G$40*Assumptions!$C75</f>
        <v>0</v>
      </c>
      <c r="H41" s="403">
        <f>-H$40*Assumptions!$C75</f>
        <v>-34790.31</v>
      </c>
      <c r="I41" s="403">
        <f>-I$40*Assumptions!$C75</f>
        <v>-30949.748999999996</v>
      </c>
      <c r="J41" s="403">
        <f>-J$40*Assumptions!$C75</f>
        <v>-28449.629999999997</v>
      </c>
      <c r="K41" s="403">
        <f>-K$40*Assumptions!$C75</f>
        <v>-17854.02</v>
      </c>
      <c r="L41" s="403">
        <f>-L$40*Assumptions!$C75</f>
        <v>-13448.915999999999</v>
      </c>
      <c r="M41" s="403">
        <f>-M$40*Assumptions!$C75</f>
        <v>-29951.370000000003</v>
      </c>
      <c r="N41" s="403">
        <f>-N$40*Assumptions!$C75</f>
        <v>-40950.224999999999</v>
      </c>
      <c r="O41" s="403">
        <f>-O$40*Assumptions!$C75</f>
        <v>-40950.224999999999</v>
      </c>
      <c r="P41" s="403">
        <f>-P$40*Assumptions!$C75</f>
        <v>-32470.956000000002</v>
      </c>
      <c r="Q41" s="403">
        <f>-Q$40*Assumptions!$C75</f>
        <v>-18449.153999999999</v>
      </c>
      <c r="R41" s="403">
        <f>-R$40*Assumptions!$C75</f>
        <v>-17854.02</v>
      </c>
      <c r="S41" s="403">
        <f>-S$40*Assumptions!$C75</f>
        <v>-30949.748999999996</v>
      </c>
      <c r="T41" s="403">
        <f>-T$40*Assumptions!$C75</f>
        <v>-35834.019299999993</v>
      </c>
      <c r="U41" s="403">
        <f>-U$40*Assumptions!$C75</f>
        <v>-31878.241470000001</v>
      </c>
      <c r="V41" s="403">
        <f>-V$40*Assumptions!$C75</f>
        <v>-29303.118899999994</v>
      </c>
      <c r="W41" s="403">
        <f>-W$40*Assumptions!$C75</f>
        <v>-18389.640599999995</v>
      </c>
      <c r="X41" s="403">
        <f>-X$40*Assumptions!$C75</f>
        <v>-13852.383479999997</v>
      </c>
      <c r="Y41" s="403">
        <f>-Y$40*Assumptions!$C75</f>
        <v>-30849.911099999998</v>
      </c>
      <c r="Z41" s="403">
        <f ca="1">-Z$40*Assumptions!$C75</f>
        <v>-81954.270383999989</v>
      </c>
      <c r="AA41" s="403">
        <f ca="1">-AA$40*Assumptions!$C75</f>
        <v>-81954.270383999989</v>
      </c>
      <c r="AB41" s="403">
        <f ca="1">-AB$40*Assumptions!$C75</f>
        <v>-69040.961635199987</v>
      </c>
      <c r="AC41" s="403">
        <f ca="1">-AC$40*Assumptions!$C75</f>
        <v>-53117.888073600006</v>
      </c>
      <c r="AD41" s="403">
        <f ca="1">-AD$40*Assumptions!$C75</f>
        <v>-63516.634667999999</v>
      </c>
      <c r="AE41" s="403">
        <f ca="1">-AE$40*Assumptions!$C75</f>
        <v>-98215.601301599992</v>
      </c>
      <c r="AF41" s="403">
        <f ca="1">-AF$40*Assumptions!$C75</f>
        <v>-281881.76919225004</v>
      </c>
      <c r="AG41" s="403">
        <f ca="1">-AG$40*Assumptions!$C75</f>
        <v>-253481.33005327501</v>
      </c>
      <c r="AH41" s="403">
        <f ca="1">-AH$40*Assumptions!$C75</f>
        <v>-223644.88372725001</v>
      </c>
      <c r="AI41" s="403">
        <f ca="1">-AI$40*Assumptions!$C75</f>
        <v>-135715.0543095</v>
      </c>
      <c r="AJ41" s="403">
        <f ca="1">-AJ$40*Assumptions!$C75</f>
        <v>-91504.194071100006</v>
      </c>
      <c r="AK41" s="403">
        <f ca="1">-AK$40*Assumptions!$C75</f>
        <v>-211658.21490075008</v>
      </c>
      <c r="AL41" s="403">
        <f ca="1">-AL$40*Assumptions!$C75</f>
        <v>-290790.63583237509</v>
      </c>
      <c r="AM41" s="403">
        <f ca="1">-AM$40*Assumptions!$C75</f>
        <v>-290790.63583237509</v>
      </c>
      <c r="AN41" s="403">
        <f ca="1">-AN$40*Assumptions!$C75</f>
        <v>-231056.35924110006</v>
      </c>
      <c r="AO41" s="403">
        <f ca="1">-AO$40*Assumptions!$C75</f>
        <v>-139457.58964814999</v>
      </c>
      <c r="AP41" s="403">
        <f ca="1">-AP$40*Assumptions!$C75</f>
        <v>-147434.55138450002</v>
      </c>
      <c r="AQ41" s="403">
        <f ca="1">-AQ$40*Assumptions!$C75</f>
        <v>-253481.33005327501</v>
      </c>
      <c r="AR41" s="403">
        <f ca="1">-AR$40*Assumptions!$C75</f>
        <v>-398551.60616095155</v>
      </c>
      <c r="AS41" s="403">
        <f ca="1">-AS$40*Assumptions!$C75</f>
        <v>-356282.83692216373</v>
      </c>
      <c r="AT41" s="403">
        <f ca="1">-AT$40*Assumptions!$C75</f>
        <v>-317239.58234532049</v>
      </c>
      <c r="AU41" s="403">
        <f ca="1">-AU$40*Assumptions!$C75</f>
        <v>-191694.72464404686</v>
      </c>
      <c r="AV41" s="403">
        <f ca="1">-AV$40*Assumptions!$C75</f>
        <v>-131264.38283326224</v>
      </c>
      <c r="AW41" s="403">
        <f ca="1">-AW$40*Assumptions!$C75</f>
        <v>-310134.15518708579</v>
      </c>
      <c r="AX41" s="403">
        <f ca="1">-AX$40*Assumptions!$C75</f>
        <v>-427958.28131878591</v>
      </c>
      <c r="AY41" s="403">
        <f ca="1">-AY$40*Assumptions!$C75</f>
        <v>-427958.28131878591</v>
      </c>
      <c r="AZ41" s="403">
        <f ca="1">-AZ$40*Assumptions!$C75</f>
        <v>-338987.20831840468</v>
      </c>
      <c r="BA41" s="403">
        <f ca="1">-BA$40*Assumptions!$C75</f>
        <v>-197279.80999969834</v>
      </c>
      <c r="BB41" s="403">
        <f ca="1">-BB$40*Assumptions!$C75</f>
        <v>-203765.80663129684</v>
      </c>
      <c r="BC41" s="403">
        <f ca="1">-BC$40*Assumptions!$C75</f>
        <v>-356282.83692216373</v>
      </c>
      <c r="BD41" s="403">
        <f ca="1">-BD$40*Assumptions!$C75</f>
        <v>-410508.15434578003</v>
      </c>
      <c r="BE41" s="403">
        <f ca="1">-BE$40*Assumptions!$C75</f>
        <v>-366971.32202982862</v>
      </c>
      <c r="BF41" s="403">
        <f ca="1">-BF$40*Assumptions!$C75</f>
        <v>-326756.76981568028</v>
      </c>
      <c r="BG41" s="403">
        <f ca="1">-BG$40*Assumptions!$C75</f>
        <v>-197445.56638336828</v>
      </c>
      <c r="BH41" s="403">
        <f ca="1">-BH$40*Assumptions!$C75</f>
        <v>-135202.31431826015</v>
      </c>
      <c r="BI41" s="403">
        <f ca="1">-BI$40*Assumptions!$C75</f>
        <v>-319438.1798426985</v>
      </c>
      <c r="BJ41" s="403">
        <f ca="1">-BJ$40*Assumptions!$C75</f>
        <v>-440797.02975834958</v>
      </c>
      <c r="BK41" s="403">
        <f ca="1">-BK$40*Assumptions!$C75</f>
        <v>-440797.02975834958</v>
      </c>
      <c r="BL41" s="403">
        <f ca="1">-BL$40*Assumptions!$C75</f>
        <v>-349156.82456795679</v>
      </c>
      <c r="BM41" s="403">
        <f ca="1">-BM$40*Assumptions!$C75</f>
        <v>-203198.20429968933</v>
      </c>
      <c r="BN41" s="403">
        <f ca="1">-BN$40*Assumptions!$C75</f>
        <v>-209878.78083023577</v>
      </c>
      <c r="BO41" s="403">
        <f ca="1">-BO$40*Assumptions!$C75</f>
        <v>-366971.32202982862</v>
      </c>
      <c r="BP41" s="403">
        <f ca="1">-BP$40*Assumptions!$C75</f>
        <v>-422823.39897615329</v>
      </c>
      <c r="BQ41" s="403">
        <f ca="1">-BQ$40*Assumptions!$C75</f>
        <v>-377980.46169072349</v>
      </c>
      <c r="BR41" s="403">
        <f ca="1">-BR$40*Assumptions!$C75</f>
        <v>-336559.47291015065</v>
      </c>
      <c r="BS41" s="403">
        <f ca="1">-BS$40*Assumptions!$C75</f>
        <v>-203368.93337486923</v>
      </c>
      <c r="BT41" s="403">
        <f ca="1">-BT$40*Assumptions!$C75</f>
        <v>-139258.38374780791</v>
      </c>
      <c r="BU41" s="403">
        <f ca="1">-BU$40*Assumptions!$C75</f>
        <v>-329021.3252379793</v>
      </c>
      <c r="BV41" s="403">
        <f ca="1">-BV$40*Assumptions!$C75</f>
        <v>-454020.94065110001</v>
      </c>
      <c r="BW41" s="403">
        <f ca="1">-BW$40*Assumptions!$C75</f>
        <v>-454020.94065110001</v>
      </c>
      <c r="BX41" s="403">
        <f ca="1">-BX$40*Assumptions!$C75</f>
        <v>-372018.1478201641</v>
      </c>
      <c r="BY41" s="403">
        <f ca="1">-BY$40*Assumptions!$C75</f>
        <v>-209294.15042868003</v>
      </c>
      <c r="BZ41" s="403">
        <f ca="1">-BZ$40*Assumptions!$C75</f>
        <v>-216175.14425514275</v>
      </c>
      <c r="CA41" s="403">
        <f ca="1">-CA$40*Assumptions!$C75</f>
        <v>-377980.46169072349</v>
      </c>
      <c r="CB41" s="403">
        <f ca="1">-CB$40*Assumptions!$C75</f>
        <v>-435508.10094543803</v>
      </c>
      <c r="CC41" s="403">
        <f ca="1">-CC$40*Assumptions!$C75</f>
        <v>-389319.87554144528</v>
      </c>
      <c r="CD41" s="403">
        <f ca="1">-CD$40*Assumptions!$C75</f>
        <v>-346656.25709745521</v>
      </c>
      <c r="CE41" s="403">
        <f ca="1">-CE$40*Assumptions!$C75</f>
        <v>-209470.00137611534</v>
      </c>
      <c r="CF41" s="403">
        <f ca="1">-CF$40*Assumptions!$C75</f>
        <v>-143436.13526024218</v>
      </c>
      <c r="CG41" s="403">
        <f ca="1">-CG$40*Assumptions!$C75</f>
        <v>-338891.96499511879</v>
      </c>
      <c r="CH41" s="403">
        <f ca="1">-CH$40*Assumptions!$C75</f>
        <v>-467641.56887063297</v>
      </c>
      <c r="CI41" s="403">
        <f ca="1">-CI$40*Assumptions!$C75</f>
        <v>-467641.56887063297</v>
      </c>
      <c r="CJ41" s="403">
        <f ca="1">-CJ$40*Assumptions!$C75</f>
        <v>-370420.47518414538</v>
      </c>
      <c r="CK41" s="403">
        <f ca="1">-CK$40*Assumptions!$C75</f>
        <v>-215572.97494154042</v>
      </c>
      <c r="CL41" s="403">
        <f ca="1">-CL$40*Assumptions!$C75</f>
        <v>-222660.39858279706</v>
      </c>
      <c r="CM41" s="403">
        <f ca="1">-CM$40*Assumptions!$C75</f>
        <v>-389319.87554144528</v>
      </c>
      <c r="CN41" s="403">
        <f ca="1">-CN$40*Assumptions!$C75</f>
        <v>-448573.34397380118</v>
      </c>
      <c r="CO41" s="403">
        <f ca="1">-CO$40*Assumptions!$C75</f>
        <v>-400999.47180768859</v>
      </c>
      <c r="CP41" s="403">
        <f ca="1">-CP$40*Assumptions!$C75</f>
        <v>-357055.94481037883</v>
      </c>
      <c r="CQ41" s="403">
        <f ca="1">-CQ$40*Assumptions!$C75</f>
        <v>-215754.10141739881</v>
      </c>
      <c r="CR41" s="403">
        <f ca="1">-CR$40*Assumptions!$C75</f>
        <v>-147739.21931804944</v>
      </c>
      <c r="CS41" s="403">
        <f ca="1">-CS$40*Assumptions!$C75</f>
        <v>-349058.72394497239</v>
      </c>
      <c r="CT41" s="403">
        <f ca="1">-CT$40*Assumptions!$C75</f>
        <v>-481670.81593675207</v>
      </c>
      <c r="CU41" s="403" t="e">
        <f ca="1">-CU38*Assumptions!$C$75</f>
        <v>#N/A</v>
      </c>
      <c r="CV41" s="403" t="e">
        <f ca="1">-CV38*Assumptions!$C$75</f>
        <v>#N/A</v>
      </c>
      <c r="CW41" s="403" t="e">
        <f ca="1">-CW38*Assumptions!$C$75</f>
        <v>#N/A</v>
      </c>
      <c r="CX41" s="403" t="e">
        <f ca="1">-CX38*Assumptions!$C$75</f>
        <v>#N/A</v>
      </c>
      <c r="CY41" s="403" t="e">
        <f ca="1">-CY38*Assumptions!$C$75</f>
        <v>#N/A</v>
      </c>
      <c r="CZ41" s="403" t="e">
        <f ca="1">-CZ38*Assumptions!$C$75</f>
        <v>#N/A</v>
      </c>
      <c r="DA41" s="403" t="e">
        <f ca="1">-DA38*Assumptions!$C$75</f>
        <v>#N/A</v>
      </c>
      <c r="DB41" s="403" t="e">
        <f ca="1">-DB38*Assumptions!$C$75</f>
        <v>#N/A</v>
      </c>
      <c r="DC41" s="403" t="e">
        <f ca="1">-DC38*Assumptions!$C$75</f>
        <v>#N/A</v>
      </c>
      <c r="DD41" s="403" t="e">
        <f ca="1">-DD38*Assumptions!$C$75</f>
        <v>#N/A</v>
      </c>
      <c r="DE41" s="403" t="e">
        <f ca="1">-DE38*Assumptions!$C$75</f>
        <v>#N/A</v>
      </c>
      <c r="DF41" s="403" t="e">
        <f ca="1">-DF38*Assumptions!$C$75</f>
        <v>#N/A</v>
      </c>
      <c r="DG41" s="403" t="e">
        <f ca="1">-DG38*Assumptions!$C$75</f>
        <v>#N/A</v>
      </c>
      <c r="DH41" s="403" t="e">
        <f ca="1">-DH38*Assumptions!$C$75</f>
        <v>#N/A</v>
      </c>
      <c r="DI41" s="403" t="e">
        <f ca="1">-DI38*Assumptions!$C$75</f>
        <v>#N/A</v>
      </c>
      <c r="DJ41" s="403" t="e">
        <f ca="1">-DJ38*Assumptions!$C$75</f>
        <v>#N/A</v>
      </c>
      <c r="DK41" s="403" t="e">
        <f ca="1">-DK38*Assumptions!$C$75</f>
        <v>#N/A</v>
      </c>
      <c r="DL41" s="403" t="e">
        <f ca="1">-DL38*Assumptions!$C$75</f>
        <v>#N/A</v>
      </c>
      <c r="DM41" s="403" t="e">
        <f ca="1">-DM38*Assumptions!$C$75</f>
        <v>#N/A</v>
      </c>
      <c r="DN41" s="403" t="e">
        <f ca="1">-DN38*Assumptions!$C$75</f>
        <v>#N/A</v>
      </c>
      <c r="DO41" s="403" t="e">
        <f ca="1">-DO38*Assumptions!$C$75</f>
        <v>#N/A</v>
      </c>
      <c r="DP41" s="403" t="e">
        <f ca="1">-DP38*Assumptions!$C$75</f>
        <v>#N/A</v>
      </c>
      <c r="DQ41" s="403" t="e">
        <f ca="1">-DQ38*Assumptions!$C$75</f>
        <v>#N/A</v>
      </c>
      <c r="DR41" s="403" t="e">
        <f ca="1">-DR38*Assumptions!$C$75</f>
        <v>#N/A</v>
      </c>
      <c r="DS41" s="403"/>
      <c r="DT41" s="403"/>
      <c r="DU41" s="403"/>
      <c r="DV41" s="403"/>
      <c r="DW41" s="403"/>
      <c r="DX41" s="403"/>
      <c r="DY41" s="403"/>
      <c r="DZ41" s="403"/>
      <c r="EA41" s="403"/>
      <c r="EB41" s="403"/>
      <c r="EC41" s="403"/>
      <c r="ED41" s="403"/>
    </row>
    <row r="42" spans="1:134" s="404" customFormat="1" ht="16" x14ac:dyDescent="0.2">
      <c r="A42" s="402"/>
      <c r="B42" s="294" t="s">
        <v>120</v>
      </c>
      <c r="C42" s="407">
        <f>-C$40*Assumptions!$C76</f>
        <v>0</v>
      </c>
      <c r="D42" s="407">
        <f>-D$40*Assumptions!$C76</f>
        <v>0</v>
      </c>
      <c r="E42" s="407">
        <f>-E$40*Assumptions!$C76</f>
        <v>0</v>
      </c>
      <c r="F42" s="407">
        <f>-F$40*Assumptions!$C76</f>
        <v>0</v>
      </c>
      <c r="G42" s="407">
        <f>-G$40*Assumptions!$C76</f>
        <v>0</v>
      </c>
      <c r="H42" s="407">
        <f>-H$40*Assumptions!$C76</f>
        <v>-19327.95</v>
      </c>
      <c r="I42" s="407">
        <f>-I$40*Assumptions!$C76</f>
        <v>-17194.305</v>
      </c>
      <c r="J42" s="407">
        <f>-J$40*Assumptions!$C76</f>
        <v>-15805.35</v>
      </c>
      <c r="K42" s="407">
        <f>-K$40*Assumptions!$C76</f>
        <v>-9918.9000000000015</v>
      </c>
      <c r="L42" s="407">
        <f>-L$40*Assumptions!$C76</f>
        <v>-7471.62</v>
      </c>
      <c r="M42" s="407">
        <f>-M$40*Assumptions!$C76</f>
        <v>-16639.650000000005</v>
      </c>
      <c r="N42" s="407">
        <f>-N$40*Assumptions!$C76</f>
        <v>-22750.125</v>
      </c>
      <c r="O42" s="407">
        <f>-O$40*Assumptions!$C76</f>
        <v>-22750.125</v>
      </c>
      <c r="P42" s="407">
        <f>-P$40*Assumptions!$C76</f>
        <v>-18039.420000000002</v>
      </c>
      <c r="Q42" s="407">
        <f>-Q$40*Assumptions!$C76</f>
        <v>-10249.530000000001</v>
      </c>
      <c r="R42" s="407">
        <f>-R$40*Assumptions!$C76</f>
        <v>-9918.9000000000015</v>
      </c>
      <c r="S42" s="407">
        <f>-S$40*Assumptions!$C76</f>
        <v>-17194.305</v>
      </c>
      <c r="T42" s="407">
        <f>-T$40*Assumptions!$C76</f>
        <v>-19907.788499999995</v>
      </c>
      <c r="U42" s="407">
        <f>-U$40*Assumptions!$C76</f>
        <v>-17710.134150000002</v>
      </c>
      <c r="V42" s="407">
        <f>-V$40*Assumptions!$C76</f>
        <v>-16279.510499999999</v>
      </c>
      <c r="W42" s="407">
        <f>-W$40*Assumptions!$C76</f>
        <v>-10216.466999999999</v>
      </c>
      <c r="X42" s="407">
        <f>-X$40*Assumptions!$C76</f>
        <v>-7695.7685999999994</v>
      </c>
      <c r="Y42" s="407">
        <f>-Y$40*Assumptions!$C76</f>
        <v>-17138.839499999998</v>
      </c>
      <c r="Z42" s="407">
        <f ca="1">-Z$40*Assumptions!$C76</f>
        <v>-45530.150213333334</v>
      </c>
      <c r="AA42" s="407">
        <f ca="1">-AA$40*Assumptions!$C76</f>
        <v>-45530.150213333334</v>
      </c>
      <c r="AB42" s="407">
        <f ca="1">-AB$40*Assumptions!$C76</f>
        <v>-38356.089797333327</v>
      </c>
      <c r="AC42" s="407">
        <f ca="1">-AC$40*Assumptions!$C76</f>
        <v>-29509.937818666673</v>
      </c>
      <c r="AD42" s="407">
        <f ca="1">-AD$40*Assumptions!$C76</f>
        <v>-35287.019260000001</v>
      </c>
      <c r="AE42" s="407">
        <f ca="1">-AE$40*Assumptions!$C76</f>
        <v>-54564.222945333335</v>
      </c>
      <c r="AF42" s="407">
        <f ca="1">-AF$40*Assumptions!$C76</f>
        <v>-156600.98288458338</v>
      </c>
      <c r="AG42" s="407">
        <f ca="1">-AG$40*Assumptions!$C76</f>
        <v>-140822.96114070836</v>
      </c>
      <c r="AH42" s="407">
        <f ca="1">-AH$40*Assumptions!$C76</f>
        <v>-124247.15762625002</v>
      </c>
      <c r="AI42" s="407">
        <f ca="1">-AI$40*Assumptions!$C76</f>
        <v>-75397.252394166673</v>
      </c>
      <c r="AJ42" s="407">
        <f ca="1">-AJ$40*Assumptions!$C76</f>
        <v>-50835.66337283334</v>
      </c>
      <c r="AK42" s="407">
        <f ca="1">-AK$40*Assumptions!$C76</f>
        <v>-117587.8971670834</v>
      </c>
      <c r="AL42" s="407">
        <f ca="1">-AL$40*Assumptions!$C76</f>
        <v>-161550.35324020838</v>
      </c>
      <c r="AM42" s="407">
        <f ca="1">-AM$40*Assumptions!$C76</f>
        <v>-161550.35324020838</v>
      </c>
      <c r="AN42" s="407">
        <f ca="1">-AN$40*Assumptions!$C76</f>
        <v>-128364.64402283338</v>
      </c>
      <c r="AO42" s="407">
        <f ca="1">-AO$40*Assumptions!$C76</f>
        <v>-77476.438693416669</v>
      </c>
      <c r="AP42" s="407">
        <f ca="1">-AP$40*Assumptions!$C76</f>
        <v>-81908.084102500012</v>
      </c>
      <c r="AQ42" s="407">
        <f ca="1">-AQ$40*Assumptions!$C76</f>
        <v>-140822.96114070836</v>
      </c>
      <c r="AR42" s="407">
        <f ca="1">-AR$40*Assumptions!$C76</f>
        <v>-221417.55897830642</v>
      </c>
      <c r="AS42" s="407">
        <f ca="1">-AS$40*Assumptions!$C76</f>
        <v>-197934.90940120208</v>
      </c>
      <c r="AT42" s="407">
        <f ca="1">-AT$40*Assumptions!$C76</f>
        <v>-176244.21241406698</v>
      </c>
      <c r="AU42" s="407">
        <f ca="1">-AU$40*Assumptions!$C76</f>
        <v>-106497.0692466927</v>
      </c>
      <c r="AV42" s="407">
        <f ca="1">-AV$40*Assumptions!$C76</f>
        <v>-72924.657129590138</v>
      </c>
      <c r="AW42" s="407">
        <f ca="1">-AW$40*Assumptions!$C76</f>
        <v>-172296.75288171438</v>
      </c>
      <c r="AX42" s="407">
        <f ca="1">-AX$40*Assumptions!$C76</f>
        <v>-237754.60073265887</v>
      </c>
      <c r="AY42" s="407">
        <f ca="1">-AY$40*Assumptions!$C76</f>
        <v>-237754.60073265887</v>
      </c>
      <c r="AZ42" s="407">
        <f ca="1">-AZ$40*Assumptions!$C76</f>
        <v>-188326.22684355816</v>
      </c>
      <c r="BA42" s="407">
        <f ca="1">-BA$40*Assumptions!$C76</f>
        <v>-109599.89444427687</v>
      </c>
      <c r="BB42" s="407">
        <f ca="1">-BB$40*Assumptions!$C76</f>
        <v>-113203.22590627603</v>
      </c>
      <c r="BC42" s="407">
        <f ca="1">-BC$40*Assumptions!$C76</f>
        <v>-197934.90940120208</v>
      </c>
      <c r="BD42" s="407">
        <f ca="1">-BD$40*Assumptions!$C76</f>
        <v>-228060.0857476556</v>
      </c>
      <c r="BE42" s="407">
        <f ca="1">-BE$40*Assumptions!$C76</f>
        <v>-203872.95668323815</v>
      </c>
      <c r="BF42" s="407">
        <f ca="1">-BF$40*Assumptions!$C76</f>
        <v>-181531.53878648905</v>
      </c>
      <c r="BG42" s="407">
        <f ca="1">-BG$40*Assumptions!$C76</f>
        <v>-109691.98132409349</v>
      </c>
      <c r="BH42" s="407">
        <f ca="1">-BH$40*Assumptions!$C76</f>
        <v>-75112.396843477865</v>
      </c>
      <c r="BI42" s="407">
        <f ca="1">-BI$40*Assumptions!$C76</f>
        <v>-177465.65546816585</v>
      </c>
      <c r="BJ42" s="407">
        <f ca="1">-BJ$40*Assumptions!$C76</f>
        <v>-244887.23875463867</v>
      </c>
      <c r="BK42" s="407">
        <f ca="1">-BK$40*Assumptions!$C76</f>
        <v>-244887.23875463867</v>
      </c>
      <c r="BL42" s="407">
        <f ca="1">-BL$40*Assumptions!$C76</f>
        <v>-193976.01364886493</v>
      </c>
      <c r="BM42" s="407">
        <f ca="1">-BM$40*Assumptions!$C76</f>
        <v>-112887.89127760519</v>
      </c>
      <c r="BN42" s="407">
        <f ca="1">-BN$40*Assumptions!$C76</f>
        <v>-116599.32268346433</v>
      </c>
      <c r="BO42" s="407">
        <f ca="1">-BO$40*Assumptions!$C76</f>
        <v>-203872.95668323815</v>
      </c>
      <c r="BP42" s="407">
        <f ca="1">-BP$40*Assumptions!$C76</f>
        <v>-234901.88832008519</v>
      </c>
      <c r="BQ42" s="407">
        <f ca="1">-BQ$40*Assumptions!$C76</f>
        <v>-209989.1453837353</v>
      </c>
      <c r="BR42" s="407">
        <f ca="1">-BR$40*Assumptions!$C76</f>
        <v>-186977.48495008372</v>
      </c>
      <c r="BS42" s="407">
        <f ca="1">-BS$40*Assumptions!$C76</f>
        <v>-112982.74076381624</v>
      </c>
      <c r="BT42" s="407">
        <f ca="1">-BT$40*Assumptions!$C76</f>
        <v>-77365.768748782182</v>
      </c>
      <c r="BU42" s="407">
        <f ca="1">-BU$40*Assumptions!$C76</f>
        <v>-182789.62513221076</v>
      </c>
      <c r="BV42" s="407">
        <f ca="1">-BV$40*Assumptions!$C76</f>
        <v>-252233.8559172778</v>
      </c>
      <c r="BW42" s="407">
        <f ca="1">-BW$40*Assumptions!$C76</f>
        <v>-252233.8559172778</v>
      </c>
      <c r="BX42" s="407">
        <f ca="1">-BX$40*Assumptions!$C76</f>
        <v>-206676.74878898007</v>
      </c>
      <c r="BY42" s="407">
        <f ca="1">-BY$40*Assumptions!$C76</f>
        <v>-116274.52801593335</v>
      </c>
      <c r="BZ42" s="407">
        <f ca="1">-BZ$40*Assumptions!$C76</f>
        <v>-120097.30236396821</v>
      </c>
      <c r="CA42" s="407">
        <f ca="1">-CA$40*Assumptions!$C76</f>
        <v>-209989.1453837353</v>
      </c>
      <c r="CB42" s="407">
        <f ca="1">-CB$40*Assumptions!$C76</f>
        <v>-241948.94496968781</v>
      </c>
      <c r="CC42" s="407">
        <f ca="1">-CC$40*Assumptions!$C76</f>
        <v>-216288.8197452474</v>
      </c>
      <c r="CD42" s="407">
        <f ca="1">-CD$40*Assumptions!$C76</f>
        <v>-192586.80949858623</v>
      </c>
      <c r="CE42" s="407">
        <f ca="1">-CE$40*Assumptions!$C76</f>
        <v>-116372.22298673075</v>
      </c>
      <c r="CF42" s="407">
        <f ca="1">-CF$40*Assumptions!$C76</f>
        <v>-79686.741811245665</v>
      </c>
      <c r="CG42" s="407">
        <f ca="1">-CG$40*Assumptions!$C76</f>
        <v>-188273.31388617711</v>
      </c>
      <c r="CH42" s="407">
        <f ca="1">-CH$40*Assumptions!$C76</f>
        <v>-259800.8715947961</v>
      </c>
      <c r="CI42" s="407">
        <f ca="1">-CI$40*Assumptions!$C76</f>
        <v>-259800.8715947961</v>
      </c>
      <c r="CJ42" s="407">
        <f ca="1">-CJ$40*Assumptions!$C76</f>
        <v>-205789.1528800808</v>
      </c>
      <c r="CK42" s="407">
        <f ca="1">-CK$40*Assumptions!$C76</f>
        <v>-119762.76385641136</v>
      </c>
      <c r="CL42" s="407">
        <f ca="1">-CL$40*Assumptions!$C76</f>
        <v>-123700.22143488727</v>
      </c>
      <c r="CM42" s="407">
        <f ca="1">-CM$40*Assumptions!$C76</f>
        <v>-216288.8197452474</v>
      </c>
      <c r="CN42" s="407">
        <f ca="1">-CN$40*Assumptions!$C76</f>
        <v>-249207.41331877845</v>
      </c>
      <c r="CO42" s="407">
        <f ca="1">-CO$40*Assumptions!$C76</f>
        <v>-222777.48433760481</v>
      </c>
      <c r="CP42" s="407">
        <f ca="1">-CP$40*Assumptions!$C76</f>
        <v>-198364.41378354383</v>
      </c>
      <c r="CQ42" s="407">
        <f ca="1">-CQ$40*Assumptions!$C76</f>
        <v>-119863.38967633269</v>
      </c>
      <c r="CR42" s="407">
        <f ca="1">-CR$40*Assumptions!$C76</f>
        <v>-82077.34406558302</v>
      </c>
      <c r="CS42" s="407">
        <f ca="1">-CS$40*Assumptions!$C76</f>
        <v>-193921.51330276244</v>
      </c>
      <c r="CT42" s="407">
        <f ca="1">-CT$40*Assumptions!$C76</f>
        <v>-267594.89774264005</v>
      </c>
      <c r="CU42" s="407" t="e">
        <f>-CU$12*Assumptions!$C76</f>
        <v>#N/A</v>
      </c>
      <c r="CV42" s="407" t="e">
        <f>-CV$12*Assumptions!$C76</f>
        <v>#N/A</v>
      </c>
      <c r="CW42" s="407" t="e">
        <f>-CW$12*Assumptions!$C76</f>
        <v>#N/A</v>
      </c>
      <c r="CX42" s="407" t="e">
        <f>-CX$12*Assumptions!$C76</f>
        <v>#N/A</v>
      </c>
      <c r="CY42" s="407" t="e">
        <f>-CY$12*Assumptions!$C76</f>
        <v>#N/A</v>
      </c>
      <c r="CZ42" s="407" t="e">
        <f>-CZ$12*Assumptions!$C76</f>
        <v>#N/A</v>
      </c>
      <c r="DA42" s="407" t="e">
        <f>-DA$12*Assumptions!$C76</f>
        <v>#N/A</v>
      </c>
      <c r="DB42" s="407" t="e">
        <f>-DB$12*Assumptions!$C76</f>
        <v>#N/A</v>
      </c>
      <c r="DC42" s="407" t="e">
        <f>-DC$12*Assumptions!$C76</f>
        <v>#N/A</v>
      </c>
      <c r="DD42" s="407" t="e">
        <f>-DD$12*Assumptions!$C76</f>
        <v>#N/A</v>
      </c>
      <c r="DE42" s="407" t="e">
        <f>-DE$12*Assumptions!$C76</f>
        <v>#N/A</v>
      </c>
      <c r="DF42" s="407" t="e">
        <f>-DF$12*Assumptions!$C76</f>
        <v>#N/A</v>
      </c>
      <c r="DG42" s="407" t="e">
        <f>-DG$12*Assumptions!$C76</f>
        <v>#N/A</v>
      </c>
      <c r="DH42" s="407" t="e">
        <f>-DH$12*Assumptions!$C76</f>
        <v>#N/A</v>
      </c>
      <c r="DI42" s="407" t="e">
        <f>-DI$12*Assumptions!$C76</f>
        <v>#N/A</v>
      </c>
      <c r="DJ42" s="407" t="e">
        <f>-DJ$12*Assumptions!$C76</f>
        <v>#N/A</v>
      </c>
      <c r="DK42" s="407" t="e">
        <f>-DK$12*Assumptions!$C76</f>
        <v>#N/A</v>
      </c>
      <c r="DL42" s="407" t="e">
        <f>-DL$12*Assumptions!$C76</f>
        <v>#N/A</v>
      </c>
      <c r="DM42" s="407" t="e">
        <f>-DM$12*Assumptions!$C76</f>
        <v>#N/A</v>
      </c>
      <c r="DN42" s="407" t="e">
        <f>-DN$12*Assumptions!$C76</f>
        <v>#N/A</v>
      </c>
      <c r="DO42" s="407" t="e">
        <f>-DO$12*Assumptions!$C76</f>
        <v>#N/A</v>
      </c>
      <c r="DP42" s="407" t="e">
        <f>-DP$12*Assumptions!$C76</f>
        <v>#N/A</v>
      </c>
      <c r="DQ42" s="407" t="e">
        <f>-DQ$12*Assumptions!$C76</f>
        <v>#N/A</v>
      </c>
      <c r="DR42" s="407" t="e">
        <f>-DR$12*Assumptions!$C76</f>
        <v>#N/A</v>
      </c>
      <c r="DS42" s="407"/>
      <c r="DT42" s="407"/>
      <c r="DU42" s="407"/>
      <c r="DV42" s="407"/>
      <c r="DW42" s="407"/>
      <c r="DX42" s="407"/>
      <c r="DY42" s="407"/>
      <c r="DZ42" s="407"/>
      <c r="EA42" s="407"/>
      <c r="EB42" s="407"/>
      <c r="EC42" s="407"/>
      <c r="ED42" s="407"/>
    </row>
    <row r="43" spans="1:134" s="404" customFormat="1" ht="16" x14ac:dyDescent="0.2">
      <c r="A43" s="402"/>
      <c r="B43" s="294" t="s">
        <v>121</v>
      </c>
      <c r="C43" s="403">
        <f>-C$40*Assumptions!$C77</f>
        <v>0</v>
      </c>
      <c r="D43" s="403">
        <f>-D$40*Assumptions!$C77</f>
        <v>0</v>
      </c>
      <c r="E43" s="403">
        <f>-E$40*Assumptions!$C77</f>
        <v>0</v>
      </c>
      <c r="F43" s="403">
        <f>-F$40*Assumptions!$C77</f>
        <v>0</v>
      </c>
      <c r="G43" s="403">
        <f>-G$40*Assumptions!$C77</f>
        <v>0</v>
      </c>
      <c r="H43" s="403">
        <f>-H$40*Assumptions!$C77</f>
        <v>-30924.720000000001</v>
      </c>
      <c r="I43" s="403">
        <f>-I$40*Assumptions!$C77</f>
        <v>-27510.887999999999</v>
      </c>
      <c r="J43" s="403">
        <f>-J$40*Assumptions!$C77</f>
        <v>-25288.560000000001</v>
      </c>
      <c r="K43" s="403">
        <f>-K$40*Assumptions!$C77</f>
        <v>-15870.24</v>
      </c>
      <c r="L43" s="403">
        <f>-L$40*Assumptions!$C77</f>
        <v>-11954.592000000001</v>
      </c>
      <c r="M43" s="403">
        <f>-M$40*Assumptions!$C77</f>
        <v>-26623.440000000006</v>
      </c>
      <c r="N43" s="403">
        <f>-N$40*Assumptions!$C77</f>
        <v>-36400.200000000004</v>
      </c>
      <c r="O43" s="403">
        <f>-O$40*Assumptions!$C77</f>
        <v>-36400.200000000004</v>
      </c>
      <c r="P43" s="403">
        <f>-P$40*Assumptions!$C77</f>
        <v>-28863.072000000004</v>
      </c>
      <c r="Q43" s="403">
        <f>-Q$40*Assumptions!$C77</f>
        <v>-16399.248</v>
      </c>
      <c r="R43" s="403">
        <f>-R$40*Assumptions!$C77</f>
        <v>-15870.24</v>
      </c>
      <c r="S43" s="403">
        <f>-S$40*Assumptions!$C77</f>
        <v>-27510.887999999999</v>
      </c>
      <c r="T43" s="403">
        <f>-T$40*Assumptions!$C77</f>
        <v>-31852.461599999991</v>
      </c>
      <c r="U43" s="403">
        <f>-U$40*Assumptions!$C77</f>
        <v>-28336.214640000002</v>
      </c>
      <c r="V43" s="403">
        <f>-V$40*Assumptions!$C77</f>
        <v>-26047.216799999998</v>
      </c>
      <c r="W43" s="403">
        <f>-W$40*Assumptions!$C77</f>
        <v>-16346.347199999998</v>
      </c>
      <c r="X43" s="403">
        <f>-X$40*Assumptions!$C77</f>
        <v>-12313.229759999998</v>
      </c>
      <c r="Y43" s="403">
        <f>-Y$40*Assumptions!$C77</f>
        <v>-27422.143199999999</v>
      </c>
      <c r="Z43" s="403">
        <f ca="1">-Z$40*Assumptions!$C77</f>
        <v>-72848.240341333323</v>
      </c>
      <c r="AA43" s="403">
        <f ca="1">-AA$40*Assumptions!$C77</f>
        <v>-72848.240341333323</v>
      </c>
      <c r="AB43" s="403">
        <f ca="1">-AB$40*Assumptions!$C77</f>
        <v>-61369.74367573332</v>
      </c>
      <c r="AC43" s="403">
        <f ca="1">-AC$40*Assumptions!$C77</f>
        <v>-47215.900509866675</v>
      </c>
      <c r="AD43" s="403">
        <f ca="1">-AD$40*Assumptions!$C77</f>
        <v>-56459.230816000003</v>
      </c>
      <c r="AE43" s="403">
        <f ca="1">-AE$40*Assumptions!$C77</f>
        <v>-87302.75671253333</v>
      </c>
      <c r="AF43" s="403">
        <f ca="1">-AF$40*Assumptions!$C77</f>
        <v>-250561.5726153334</v>
      </c>
      <c r="AG43" s="403">
        <f ca="1">-AG$40*Assumptions!$C77</f>
        <v>-225316.73782513337</v>
      </c>
      <c r="AH43" s="403">
        <f ca="1">-AH$40*Assumptions!$C77</f>
        <v>-198795.45220200001</v>
      </c>
      <c r="AI43" s="403">
        <f ca="1">-AI$40*Assumptions!$C77</f>
        <v>-120635.60383066667</v>
      </c>
      <c r="AJ43" s="403">
        <f ca="1">-AJ$40*Assumptions!$C77</f>
        <v>-81337.061396533347</v>
      </c>
      <c r="AK43" s="403">
        <f ca="1">-AK$40*Assumptions!$C77</f>
        <v>-188140.63546733343</v>
      </c>
      <c r="AL43" s="403">
        <f ca="1">-AL$40*Assumptions!$C77</f>
        <v>-258480.56518433339</v>
      </c>
      <c r="AM43" s="403">
        <f ca="1">-AM$40*Assumptions!$C77</f>
        <v>-258480.56518433339</v>
      </c>
      <c r="AN43" s="403">
        <f ca="1">-AN$40*Assumptions!$C77</f>
        <v>-205383.43043653341</v>
      </c>
      <c r="AO43" s="403">
        <f ca="1">-AO$40*Assumptions!$C77</f>
        <v>-123962.30190946667</v>
      </c>
      <c r="AP43" s="403">
        <f ca="1">-AP$40*Assumptions!$C77</f>
        <v>-131052.93456400001</v>
      </c>
      <c r="AQ43" s="403">
        <f ca="1">-AQ$40*Assumptions!$C77</f>
        <v>-225316.73782513337</v>
      </c>
      <c r="AR43" s="403">
        <f ca="1">-AR$40*Assumptions!$C77</f>
        <v>-354268.09436529025</v>
      </c>
      <c r="AS43" s="403">
        <f ca="1">-AS$40*Assumptions!$C77</f>
        <v>-316695.85504192329</v>
      </c>
      <c r="AT43" s="403">
        <f ca="1">-AT$40*Assumptions!$C77</f>
        <v>-281990.73986250715</v>
      </c>
      <c r="AU43" s="403">
        <f ca="1">-AU$40*Assumptions!$C77</f>
        <v>-170395.31079470832</v>
      </c>
      <c r="AV43" s="403">
        <f ca="1">-AV$40*Assumptions!$C77</f>
        <v>-116679.45140734421</v>
      </c>
      <c r="AW43" s="403">
        <f ca="1">-AW$40*Assumptions!$C77</f>
        <v>-275674.80461074295</v>
      </c>
      <c r="AX43" s="403">
        <f ca="1">-AX$40*Assumptions!$C77</f>
        <v>-380407.36117225414</v>
      </c>
      <c r="AY43" s="403">
        <f ca="1">-AY$40*Assumptions!$C77</f>
        <v>-380407.36117225414</v>
      </c>
      <c r="AZ43" s="403">
        <f ca="1">-AZ$40*Assumptions!$C77</f>
        <v>-301321.96294969309</v>
      </c>
      <c r="BA43" s="403">
        <f ca="1">-BA$40*Assumptions!$C77</f>
        <v>-175359.83111084296</v>
      </c>
      <c r="BB43" s="403">
        <f ca="1">-BB$40*Assumptions!$C77</f>
        <v>-181125.16145004166</v>
      </c>
      <c r="BC43" s="403">
        <f ca="1">-BC$40*Assumptions!$C77</f>
        <v>-316695.85504192329</v>
      </c>
      <c r="BD43" s="403">
        <f ca="1">-BD$40*Assumptions!$C77</f>
        <v>-364896.13719624892</v>
      </c>
      <c r="BE43" s="403">
        <f ca="1">-BE$40*Assumptions!$C77</f>
        <v>-326196.73069318099</v>
      </c>
      <c r="BF43" s="403">
        <f ca="1">-BF$40*Assumptions!$C77</f>
        <v>-290450.46205838252</v>
      </c>
      <c r="BG43" s="403">
        <f ca="1">-BG$40*Assumptions!$C77</f>
        <v>-175507.17011854958</v>
      </c>
      <c r="BH43" s="403">
        <f ca="1">-BH$40*Assumptions!$C77</f>
        <v>-120179.83494956458</v>
      </c>
      <c r="BI43" s="403">
        <f ca="1">-BI$40*Assumptions!$C77</f>
        <v>-283945.04874906532</v>
      </c>
      <c r="BJ43" s="403">
        <f ca="1">-BJ$40*Assumptions!$C77</f>
        <v>-391819.58200742188</v>
      </c>
      <c r="BK43" s="403">
        <f ca="1">-BK$40*Assumptions!$C77</f>
        <v>-391819.58200742188</v>
      </c>
      <c r="BL43" s="403">
        <f ca="1">-BL$40*Assumptions!$C77</f>
        <v>-310361.62183818384</v>
      </c>
      <c r="BM43" s="403">
        <f ca="1">-BM$40*Assumptions!$C77</f>
        <v>-180620.62604416828</v>
      </c>
      <c r="BN43" s="403">
        <f ca="1">-BN$40*Assumptions!$C77</f>
        <v>-186558.91629354292</v>
      </c>
      <c r="BO43" s="403">
        <f ca="1">-BO$40*Assumptions!$C77</f>
        <v>-326196.73069318099</v>
      </c>
      <c r="BP43" s="403">
        <f ca="1">-BP$40*Assumptions!$C77</f>
        <v>-375843.02131213626</v>
      </c>
      <c r="BQ43" s="403">
        <f ca="1">-BQ$40*Assumptions!$C77</f>
        <v>-335982.63261397643</v>
      </c>
      <c r="BR43" s="403">
        <f ca="1">-BR$40*Assumptions!$C77</f>
        <v>-299163.97592013393</v>
      </c>
      <c r="BS43" s="403">
        <f ca="1">-BS$40*Assumptions!$C77</f>
        <v>-180772.38522210598</v>
      </c>
      <c r="BT43" s="403">
        <f ca="1">-BT$40*Assumptions!$C77</f>
        <v>-123785.22999805149</v>
      </c>
      <c r="BU43" s="403">
        <f ca="1">-BU$40*Assumptions!$C77</f>
        <v>-292463.4002115372</v>
      </c>
      <c r="BV43" s="403">
        <f ca="1">-BV$40*Assumptions!$C77</f>
        <v>-403574.16946764447</v>
      </c>
      <c r="BW43" s="403">
        <f ca="1">-BW$40*Assumptions!$C77</f>
        <v>-403574.16946764447</v>
      </c>
      <c r="BX43" s="403">
        <f ca="1">-BX$40*Assumptions!$C77</f>
        <v>-330682.79806236812</v>
      </c>
      <c r="BY43" s="403">
        <f ca="1">-BY$40*Assumptions!$C77</f>
        <v>-186039.24482549337</v>
      </c>
      <c r="BZ43" s="403">
        <f ca="1">-BZ$40*Assumptions!$C77</f>
        <v>-192155.68378234911</v>
      </c>
      <c r="CA43" s="403">
        <f ca="1">-CA$40*Assumptions!$C77</f>
        <v>-335982.63261397643</v>
      </c>
      <c r="CB43" s="403">
        <f ca="1">-CB$40*Assumptions!$C77</f>
        <v>-387118.31195150048</v>
      </c>
      <c r="CC43" s="403">
        <f ca="1">-CC$40*Assumptions!$C77</f>
        <v>-346062.11159239581</v>
      </c>
      <c r="CD43" s="403">
        <f ca="1">-CD$40*Assumptions!$C77</f>
        <v>-308138.89519773796</v>
      </c>
      <c r="CE43" s="403">
        <f ca="1">-CE$40*Assumptions!$C77</f>
        <v>-186195.55677876921</v>
      </c>
      <c r="CF43" s="403">
        <f ca="1">-CF$40*Assumptions!$C77</f>
        <v>-127498.78689799305</v>
      </c>
      <c r="CG43" s="403">
        <f ca="1">-CG$40*Assumptions!$C77</f>
        <v>-301237.30221788335</v>
      </c>
      <c r="CH43" s="403">
        <f ca="1">-CH$40*Assumptions!$C77</f>
        <v>-415681.39455167379</v>
      </c>
      <c r="CI43" s="403">
        <f ca="1">-CI$40*Assumptions!$C77</f>
        <v>-415681.39455167379</v>
      </c>
      <c r="CJ43" s="403">
        <f ca="1">-CJ$40*Assumptions!$C77</f>
        <v>-329262.64460812928</v>
      </c>
      <c r="CK43" s="403">
        <f ca="1">-CK$40*Assumptions!$C77</f>
        <v>-191620.42217025816</v>
      </c>
      <c r="CL43" s="403">
        <f ca="1">-CL$40*Assumptions!$C77</f>
        <v>-197920.35429581962</v>
      </c>
      <c r="CM43" s="403">
        <f ca="1">-CM$40*Assumptions!$C77</f>
        <v>-346062.11159239581</v>
      </c>
      <c r="CN43" s="403">
        <f ca="1">-CN$40*Assumptions!$C77</f>
        <v>-398731.86131004553</v>
      </c>
      <c r="CO43" s="403">
        <f ca="1">-CO$40*Assumptions!$C77</f>
        <v>-356443.97494016768</v>
      </c>
      <c r="CP43" s="403">
        <f ca="1">-CP$40*Assumptions!$C77</f>
        <v>-317383.06205367012</v>
      </c>
      <c r="CQ43" s="403">
        <f ca="1">-CQ$40*Assumptions!$C77</f>
        <v>-191781.42348213229</v>
      </c>
      <c r="CR43" s="403">
        <f ca="1">-CR$40*Assumptions!$C77</f>
        <v>-131323.75050493283</v>
      </c>
      <c r="CS43" s="403">
        <f ca="1">-CS$40*Assumptions!$C77</f>
        <v>-310274.42128441989</v>
      </c>
      <c r="CT43" s="403">
        <f ca="1">-CT$40*Assumptions!$C77</f>
        <v>-428151.8363882241</v>
      </c>
      <c r="CU43" s="403" t="e">
        <f>-CU$12*Assumptions!$C77</f>
        <v>#N/A</v>
      </c>
      <c r="CV43" s="403" t="e">
        <f>-CV$12*Assumptions!$C77</f>
        <v>#N/A</v>
      </c>
      <c r="CW43" s="403" t="e">
        <f>-CW$12*Assumptions!$C77</f>
        <v>#N/A</v>
      </c>
      <c r="CX43" s="403" t="e">
        <f>-CX$12*Assumptions!$C77</f>
        <v>#N/A</v>
      </c>
      <c r="CY43" s="403" t="e">
        <f>-CY$12*Assumptions!$C77</f>
        <v>#N/A</v>
      </c>
      <c r="CZ43" s="403" t="e">
        <f>-CZ$12*Assumptions!$C77</f>
        <v>#N/A</v>
      </c>
      <c r="DA43" s="403" t="e">
        <f>-DA$12*Assumptions!$C77</f>
        <v>#N/A</v>
      </c>
      <c r="DB43" s="403" t="e">
        <f>-DB$12*Assumptions!$C77</f>
        <v>#N/A</v>
      </c>
      <c r="DC43" s="403" t="e">
        <f>-DC$12*Assumptions!$C77</f>
        <v>#N/A</v>
      </c>
      <c r="DD43" s="403" t="e">
        <f>-DD$12*Assumptions!$C77</f>
        <v>#N/A</v>
      </c>
      <c r="DE43" s="403" t="e">
        <f>-DE$12*Assumptions!$C77</f>
        <v>#N/A</v>
      </c>
      <c r="DF43" s="403" t="e">
        <f>-DF$12*Assumptions!$C77</f>
        <v>#N/A</v>
      </c>
      <c r="DG43" s="403" t="e">
        <f>-DG$12*Assumptions!$C77</f>
        <v>#N/A</v>
      </c>
      <c r="DH43" s="403" t="e">
        <f>-DH$12*Assumptions!$C77</f>
        <v>#N/A</v>
      </c>
      <c r="DI43" s="403" t="e">
        <f>-DI$12*Assumptions!$C77</f>
        <v>#N/A</v>
      </c>
      <c r="DJ43" s="403" t="e">
        <f>-DJ$12*Assumptions!$C77</f>
        <v>#N/A</v>
      </c>
      <c r="DK43" s="403" t="e">
        <f>-DK$12*Assumptions!$C77</f>
        <v>#N/A</v>
      </c>
      <c r="DL43" s="403" t="e">
        <f>-DL$12*Assumptions!$C77</f>
        <v>#N/A</v>
      </c>
      <c r="DM43" s="403" t="e">
        <f>-DM$12*Assumptions!$C77</f>
        <v>#N/A</v>
      </c>
      <c r="DN43" s="403" t="e">
        <f>-DN$12*Assumptions!$C77</f>
        <v>#N/A</v>
      </c>
      <c r="DO43" s="403" t="e">
        <f>-DO$12*Assumptions!$C77</f>
        <v>#N/A</v>
      </c>
      <c r="DP43" s="403" t="e">
        <f>-DP$12*Assumptions!$C77</f>
        <v>#N/A</v>
      </c>
      <c r="DQ43" s="403" t="e">
        <f>-DQ$12*Assumptions!$C77</f>
        <v>#N/A</v>
      </c>
      <c r="DR43" s="403" t="e">
        <f>-DR$12*Assumptions!$C77</f>
        <v>#N/A</v>
      </c>
      <c r="DS43" s="403"/>
      <c r="DT43" s="403"/>
      <c r="DU43" s="403"/>
      <c r="DV43" s="403"/>
      <c r="DW43" s="403"/>
      <c r="DX43" s="403"/>
      <c r="DY43" s="403"/>
      <c r="DZ43" s="403"/>
      <c r="EA43" s="403"/>
      <c r="EB43" s="403"/>
      <c r="EC43" s="403"/>
      <c r="ED43" s="403"/>
    </row>
    <row r="44" spans="1:134" s="404" customFormat="1" ht="16" x14ac:dyDescent="0.2">
      <c r="A44" s="402"/>
      <c r="B44" s="409" t="s">
        <v>758</v>
      </c>
      <c r="C44" s="406">
        <f>-C$40*Assumptions!$C78</f>
        <v>0</v>
      </c>
      <c r="D44" s="406">
        <f>-D$40*Assumptions!$C78</f>
        <v>0</v>
      </c>
      <c r="E44" s="406">
        <f>-E$40*Assumptions!$C78</f>
        <v>0</v>
      </c>
      <c r="F44" s="406">
        <f>-F$40*Assumptions!$C78</f>
        <v>0</v>
      </c>
      <c r="G44" s="406">
        <f>-G$40*Assumptions!$C78</f>
        <v>0</v>
      </c>
      <c r="H44" s="406">
        <f>-H$40*Assumptions!$C78</f>
        <v>-9663.9750000000004</v>
      </c>
      <c r="I44" s="406">
        <f>-I$40*Assumptions!$C78</f>
        <v>-8597.1525000000001</v>
      </c>
      <c r="J44" s="406">
        <f>-J$40*Assumptions!$C78</f>
        <v>-7902.6750000000002</v>
      </c>
      <c r="K44" s="406">
        <f>-K$40*Assumptions!$C78</f>
        <v>-4959.4500000000007</v>
      </c>
      <c r="L44" s="406">
        <f>-L$40*Assumptions!$C78</f>
        <v>-3735.81</v>
      </c>
      <c r="M44" s="406">
        <f>-M$40*Assumptions!$C78</f>
        <v>-8319.8250000000025</v>
      </c>
      <c r="N44" s="406">
        <f>-N$40*Assumptions!$C78</f>
        <v>-11375.0625</v>
      </c>
      <c r="O44" s="406">
        <f>-O$40*Assumptions!$C78</f>
        <v>-11375.0625</v>
      </c>
      <c r="P44" s="406">
        <f>-P$40*Assumptions!$C78</f>
        <v>-9019.7100000000009</v>
      </c>
      <c r="Q44" s="406">
        <f>-Q$40*Assumptions!$C78</f>
        <v>-5124.7650000000003</v>
      </c>
      <c r="R44" s="406">
        <f>-R$40*Assumptions!$C78</f>
        <v>-4959.4500000000007</v>
      </c>
      <c r="S44" s="406">
        <f>-S$40*Assumptions!$C78</f>
        <v>-8597.1525000000001</v>
      </c>
      <c r="T44" s="406">
        <f>-T$40*Assumptions!$C78</f>
        <v>-9953.8942499999976</v>
      </c>
      <c r="U44" s="406">
        <f>-U$40*Assumptions!$C78</f>
        <v>-8855.0670750000008</v>
      </c>
      <c r="V44" s="406">
        <f>-V$40*Assumptions!$C78</f>
        <v>-8139.7552499999993</v>
      </c>
      <c r="W44" s="406">
        <f>-W$40*Assumptions!$C78</f>
        <v>-5108.2334999999994</v>
      </c>
      <c r="X44" s="406">
        <f>-X$40*Assumptions!$C78</f>
        <v>-3847.8842999999997</v>
      </c>
      <c r="Y44" s="406">
        <f>-Y$40*Assumptions!$C78</f>
        <v>-8569.4197499999991</v>
      </c>
      <c r="Z44" s="406">
        <f ca="1">-Z$40*Assumptions!$C78</f>
        <v>-22765.075106666667</v>
      </c>
      <c r="AA44" s="406">
        <f ca="1">-AA$40*Assumptions!$C78</f>
        <v>-22765.075106666667</v>
      </c>
      <c r="AB44" s="406">
        <f ca="1">-AB$40*Assumptions!$C78</f>
        <v>-19178.044898666663</v>
      </c>
      <c r="AC44" s="406">
        <f ca="1">-AC$40*Assumptions!$C78</f>
        <v>-14754.968909333336</v>
      </c>
      <c r="AD44" s="406">
        <f ca="1">-AD$40*Assumptions!$C78</f>
        <v>-17643.50963</v>
      </c>
      <c r="AE44" s="406">
        <f ca="1">-AE$40*Assumptions!$C78</f>
        <v>-27282.111472666667</v>
      </c>
      <c r="AF44" s="406">
        <f ca="1">-AF$40*Assumptions!$C78</f>
        <v>-78300.491442291692</v>
      </c>
      <c r="AG44" s="406">
        <f ca="1">-AG$40*Assumptions!$C78</f>
        <v>-70411.480570354179</v>
      </c>
      <c r="AH44" s="406">
        <f ca="1">-AH$40*Assumptions!$C78</f>
        <v>-62123.578813125008</v>
      </c>
      <c r="AI44" s="406">
        <f ca="1">-AI$40*Assumptions!$C78</f>
        <v>-37698.626197083337</v>
      </c>
      <c r="AJ44" s="406">
        <f ca="1">-AJ$40*Assumptions!$C78</f>
        <v>-25417.83168641667</v>
      </c>
      <c r="AK44" s="406">
        <f ca="1">-AK$40*Assumptions!$C78</f>
        <v>-58793.9485835417</v>
      </c>
      <c r="AL44" s="406">
        <f ca="1">-AL$40*Assumptions!$C78</f>
        <v>-80775.17662010419</v>
      </c>
      <c r="AM44" s="406">
        <f ca="1">-AM$40*Assumptions!$C78</f>
        <v>-80775.17662010419</v>
      </c>
      <c r="AN44" s="406">
        <f ca="1">-AN$40*Assumptions!$C78</f>
        <v>-64182.322011416691</v>
      </c>
      <c r="AO44" s="406">
        <f ca="1">-AO$40*Assumptions!$C78</f>
        <v>-38738.219346708334</v>
      </c>
      <c r="AP44" s="406">
        <f ca="1">-AP$40*Assumptions!$C78</f>
        <v>-40954.042051250006</v>
      </c>
      <c r="AQ44" s="406">
        <f ca="1">-AQ$40*Assumptions!$C78</f>
        <v>-70411.480570354179</v>
      </c>
      <c r="AR44" s="406">
        <f ca="1">-AR$40*Assumptions!$C78</f>
        <v>-110708.77948915321</v>
      </c>
      <c r="AS44" s="406">
        <f ca="1">-AS$40*Assumptions!$C78</f>
        <v>-98967.45470060104</v>
      </c>
      <c r="AT44" s="406">
        <f ca="1">-AT$40*Assumptions!$C78</f>
        <v>-88122.106207033488</v>
      </c>
      <c r="AU44" s="406">
        <f ca="1">-AU$40*Assumptions!$C78</f>
        <v>-53248.53462334635</v>
      </c>
      <c r="AV44" s="406">
        <f ca="1">-AV$40*Assumptions!$C78</f>
        <v>-36462.328564795069</v>
      </c>
      <c r="AW44" s="406">
        <f ca="1">-AW$40*Assumptions!$C78</f>
        <v>-86148.376440857188</v>
      </c>
      <c r="AX44" s="406">
        <f ca="1">-AX$40*Assumptions!$C78</f>
        <v>-118877.30036632944</v>
      </c>
      <c r="AY44" s="406">
        <f ca="1">-AY$40*Assumptions!$C78</f>
        <v>-118877.30036632944</v>
      </c>
      <c r="AZ44" s="406">
        <f ca="1">-AZ$40*Assumptions!$C78</f>
        <v>-94163.113421779082</v>
      </c>
      <c r="BA44" s="406">
        <f ca="1">-BA$40*Assumptions!$C78</f>
        <v>-54799.947222138435</v>
      </c>
      <c r="BB44" s="406">
        <f ca="1">-BB$40*Assumptions!$C78</f>
        <v>-56601.612953138014</v>
      </c>
      <c r="BC44" s="406">
        <f ca="1">-BC$40*Assumptions!$C78</f>
        <v>-98967.45470060104</v>
      </c>
      <c r="BD44" s="406">
        <f ca="1">-BD$40*Assumptions!$C78</f>
        <v>-114030.0428738278</v>
      </c>
      <c r="BE44" s="406">
        <f ca="1">-BE$40*Assumptions!$C78</f>
        <v>-101936.47834161908</v>
      </c>
      <c r="BF44" s="406">
        <f ca="1">-BF$40*Assumptions!$C78</f>
        <v>-90765.769393244525</v>
      </c>
      <c r="BG44" s="406">
        <f ca="1">-BG$40*Assumptions!$C78</f>
        <v>-54845.990662046745</v>
      </c>
      <c r="BH44" s="406">
        <f ca="1">-BH$40*Assumptions!$C78</f>
        <v>-37556.198421738933</v>
      </c>
      <c r="BI44" s="406">
        <f ca="1">-BI$40*Assumptions!$C78</f>
        <v>-88732.827734082923</v>
      </c>
      <c r="BJ44" s="406">
        <f ca="1">-BJ$40*Assumptions!$C78</f>
        <v>-122443.61937731934</v>
      </c>
      <c r="BK44" s="406">
        <f ca="1">-BK$40*Assumptions!$C78</f>
        <v>-122443.61937731934</v>
      </c>
      <c r="BL44" s="406">
        <f ca="1">-BL$40*Assumptions!$C78</f>
        <v>-96988.006824432465</v>
      </c>
      <c r="BM44" s="406">
        <f ca="1">-BM$40*Assumptions!$C78</f>
        <v>-56443.945638802594</v>
      </c>
      <c r="BN44" s="406">
        <f ca="1">-BN$40*Assumptions!$C78</f>
        <v>-58299.661341732164</v>
      </c>
      <c r="BO44" s="406">
        <f ca="1">-BO$40*Assumptions!$C78</f>
        <v>-101936.47834161908</v>
      </c>
      <c r="BP44" s="406">
        <f ca="1">-BP$40*Assumptions!$C78</f>
        <v>-117450.94416004259</v>
      </c>
      <c r="BQ44" s="406">
        <f ca="1">-BQ$40*Assumptions!$C78</f>
        <v>-104994.57269186765</v>
      </c>
      <c r="BR44" s="406">
        <f ca="1">-BR$40*Assumptions!$C78</f>
        <v>-93488.742475041858</v>
      </c>
      <c r="BS44" s="406">
        <f ca="1">-BS$40*Assumptions!$C78</f>
        <v>-56491.37038190812</v>
      </c>
      <c r="BT44" s="406">
        <f ca="1">-BT$40*Assumptions!$C78</f>
        <v>-38682.884374391091</v>
      </c>
      <c r="BU44" s="406">
        <f ca="1">-BU$40*Assumptions!$C78</f>
        <v>-91394.812566105378</v>
      </c>
      <c r="BV44" s="406">
        <f ca="1">-BV$40*Assumptions!$C78</f>
        <v>-126116.9279586389</v>
      </c>
      <c r="BW44" s="406">
        <f ca="1">-BW$40*Assumptions!$C78</f>
        <v>-126116.9279586389</v>
      </c>
      <c r="BX44" s="406">
        <f ca="1">-BX$40*Assumptions!$C78</f>
        <v>-103338.37439449003</v>
      </c>
      <c r="BY44" s="406">
        <f ca="1">-BY$40*Assumptions!$C78</f>
        <v>-58137.264007966674</v>
      </c>
      <c r="BZ44" s="406">
        <f ca="1">-BZ$40*Assumptions!$C78</f>
        <v>-60048.651181984103</v>
      </c>
      <c r="CA44" s="406">
        <f ca="1">-CA$40*Assumptions!$C78</f>
        <v>-104994.57269186765</v>
      </c>
      <c r="CB44" s="406">
        <f ca="1">-CB$40*Assumptions!$C78</f>
        <v>-120974.47248484391</v>
      </c>
      <c r="CC44" s="406">
        <f ca="1">-CC$40*Assumptions!$C78</f>
        <v>-108144.4098726237</v>
      </c>
      <c r="CD44" s="406">
        <f ca="1">-CD$40*Assumptions!$C78</f>
        <v>-96293.404749293113</v>
      </c>
      <c r="CE44" s="406">
        <f ca="1">-CE$40*Assumptions!$C78</f>
        <v>-58186.111493365373</v>
      </c>
      <c r="CF44" s="406">
        <f ca="1">-CF$40*Assumptions!$C78</f>
        <v>-39843.370905622833</v>
      </c>
      <c r="CG44" s="406">
        <f ca="1">-CG$40*Assumptions!$C78</f>
        <v>-94136.656943088557</v>
      </c>
      <c r="CH44" s="406">
        <f ca="1">-CH$40*Assumptions!$C78</f>
        <v>-129900.43579739805</v>
      </c>
      <c r="CI44" s="406">
        <f ca="1">-CI$40*Assumptions!$C78</f>
        <v>-129900.43579739805</v>
      </c>
      <c r="CJ44" s="406">
        <f ca="1">-CJ$40*Assumptions!$C78</f>
        <v>-102894.5764400404</v>
      </c>
      <c r="CK44" s="406">
        <f ca="1">-CK$40*Assumptions!$C78</f>
        <v>-59881.381928205679</v>
      </c>
      <c r="CL44" s="406">
        <f ca="1">-CL$40*Assumptions!$C78</f>
        <v>-61850.110717443633</v>
      </c>
      <c r="CM44" s="406">
        <f ca="1">-CM$40*Assumptions!$C78</f>
        <v>-108144.4098726237</v>
      </c>
      <c r="CN44" s="406">
        <f ca="1">-CN$40*Assumptions!$C78</f>
        <v>-124603.70665938922</v>
      </c>
      <c r="CO44" s="406">
        <f ca="1">-CO$40*Assumptions!$C78</f>
        <v>-111388.7421688024</v>
      </c>
      <c r="CP44" s="406">
        <f ca="1">-CP$40*Assumptions!$C78</f>
        <v>-99182.206891771915</v>
      </c>
      <c r="CQ44" s="406">
        <f ca="1">-CQ$40*Assumptions!$C78</f>
        <v>-59931.694838166346</v>
      </c>
      <c r="CR44" s="406">
        <f ca="1">-CR$40*Assumptions!$C78</f>
        <v>-41038.67203279151</v>
      </c>
      <c r="CS44" s="406">
        <f ca="1">-CS$40*Assumptions!$C78</f>
        <v>-96960.75665138122</v>
      </c>
      <c r="CT44" s="406">
        <f ca="1">-CT$40*Assumptions!$C78</f>
        <v>-133797.44887132003</v>
      </c>
      <c r="CU44" s="403"/>
      <c r="CV44" s="403"/>
      <c r="CW44" s="403"/>
      <c r="CX44" s="403"/>
      <c r="CY44" s="403"/>
      <c r="CZ44" s="403"/>
      <c r="DA44" s="403"/>
      <c r="DB44" s="403"/>
      <c r="DC44" s="403"/>
      <c r="DD44" s="403"/>
      <c r="DE44" s="403"/>
      <c r="DF44" s="403"/>
      <c r="DG44" s="403"/>
      <c r="DH44" s="403"/>
      <c r="DI44" s="403"/>
      <c r="DJ44" s="403"/>
      <c r="DK44" s="403"/>
      <c r="DL44" s="403"/>
      <c r="DM44" s="403"/>
      <c r="DN44" s="403"/>
      <c r="DO44" s="403"/>
      <c r="DP44" s="403"/>
      <c r="DQ44" s="403"/>
      <c r="DR44" s="403"/>
      <c r="DS44" s="403"/>
      <c r="DT44" s="403"/>
      <c r="DU44" s="403"/>
      <c r="DV44" s="403"/>
      <c r="DW44" s="403"/>
      <c r="DX44" s="403"/>
      <c r="DY44" s="403"/>
      <c r="DZ44" s="403"/>
      <c r="EA44" s="403"/>
      <c r="EB44" s="403"/>
      <c r="EC44" s="403"/>
      <c r="ED44" s="403"/>
    </row>
    <row r="45" spans="1:134" s="784" customFormat="1" ht="16" x14ac:dyDescent="0.2">
      <c r="A45" s="783"/>
      <c r="B45" s="408" t="s">
        <v>759</v>
      </c>
      <c r="C45" s="405">
        <f>SUM(C41:C44)</f>
        <v>0</v>
      </c>
      <c r="D45" s="405">
        <f t="shared" ref="D45:BO45" si="43">SUM(D41:D44)</f>
        <v>0</v>
      </c>
      <c r="E45" s="405">
        <f t="shared" si="43"/>
        <v>0</v>
      </c>
      <c r="F45" s="405">
        <f t="shared" si="43"/>
        <v>0</v>
      </c>
      <c r="G45" s="405">
        <f t="shared" si="43"/>
        <v>0</v>
      </c>
      <c r="H45" s="405">
        <f t="shared" si="43"/>
        <v>-94706.955000000002</v>
      </c>
      <c r="I45" s="405">
        <f t="shared" si="43"/>
        <v>-84252.094499999992</v>
      </c>
      <c r="J45" s="405">
        <f t="shared" si="43"/>
        <v>-77446.214999999997</v>
      </c>
      <c r="K45" s="405">
        <f t="shared" si="43"/>
        <v>-48602.61</v>
      </c>
      <c r="L45" s="405">
        <f t="shared" si="43"/>
        <v>-36610.937999999995</v>
      </c>
      <c r="M45" s="405">
        <f t="shared" si="43"/>
        <v>-81534.285000000003</v>
      </c>
      <c r="N45" s="405">
        <f t="shared" si="43"/>
        <v>-111475.6125</v>
      </c>
      <c r="O45" s="405">
        <f t="shared" si="43"/>
        <v>-111475.6125</v>
      </c>
      <c r="P45" s="405">
        <f t="shared" si="43"/>
        <v>-88393.15800000001</v>
      </c>
      <c r="Q45" s="405">
        <f t="shared" si="43"/>
        <v>-50222.697</v>
      </c>
      <c r="R45" s="405">
        <f t="shared" si="43"/>
        <v>-48602.61</v>
      </c>
      <c r="S45" s="405">
        <f t="shared" si="43"/>
        <v>-84252.094499999992</v>
      </c>
      <c r="T45" s="405">
        <f t="shared" si="43"/>
        <v>-97548.163649999973</v>
      </c>
      <c r="U45" s="405">
        <f t="shared" si="43"/>
        <v>-86779.657335000011</v>
      </c>
      <c r="V45" s="405">
        <f t="shared" si="43"/>
        <v>-79769.601449999987</v>
      </c>
      <c r="W45" s="405">
        <f t="shared" si="43"/>
        <v>-50060.688299999994</v>
      </c>
      <c r="X45" s="405">
        <f t="shared" si="43"/>
        <v>-37709.266139999992</v>
      </c>
      <c r="Y45" s="405">
        <f t="shared" si="43"/>
        <v>-83980.313549999992</v>
      </c>
      <c r="Z45" s="405">
        <f t="shared" ca="1" si="43"/>
        <v>-223097.73604533329</v>
      </c>
      <c r="AA45" s="405">
        <f t="shared" ca="1" si="43"/>
        <v>-223097.73604533329</v>
      </c>
      <c r="AB45" s="405">
        <f t="shared" ca="1" si="43"/>
        <v>-187944.84000693331</v>
      </c>
      <c r="AC45" s="405">
        <f t="shared" ca="1" si="43"/>
        <v>-144598.6953114667</v>
      </c>
      <c r="AD45" s="405">
        <f t="shared" ca="1" si="43"/>
        <v>-172906.39437400002</v>
      </c>
      <c r="AE45" s="405">
        <f t="shared" ca="1" si="43"/>
        <v>-267364.69243213331</v>
      </c>
      <c r="AF45" s="405">
        <f t="shared" ca="1" si="43"/>
        <v>-767344.81613445841</v>
      </c>
      <c r="AG45" s="405">
        <f t="shared" ca="1" si="43"/>
        <v>-690032.50958947092</v>
      </c>
      <c r="AH45" s="405">
        <f t="shared" ca="1" si="43"/>
        <v>-608811.07236862509</v>
      </c>
      <c r="AI45" s="405">
        <f t="shared" ca="1" si="43"/>
        <v>-369446.53673141671</v>
      </c>
      <c r="AJ45" s="405">
        <f t="shared" ca="1" si="43"/>
        <v>-249094.75052688338</v>
      </c>
      <c r="AK45" s="405">
        <f t="shared" ca="1" si="43"/>
        <v>-576180.69611870858</v>
      </c>
      <c r="AL45" s="405">
        <f t="shared" ca="1" si="43"/>
        <v>-791596.73087702109</v>
      </c>
      <c r="AM45" s="405">
        <f t="shared" ca="1" si="43"/>
        <v>-791596.73087702109</v>
      </c>
      <c r="AN45" s="405">
        <f t="shared" ca="1" si="43"/>
        <v>-628986.75571188354</v>
      </c>
      <c r="AO45" s="405">
        <f t="shared" ca="1" si="43"/>
        <v>-379634.54959774169</v>
      </c>
      <c r="AP45" s="405">
        <f t="shared" ca="1" si="43"/>
        <v>-401349.61210225004</v>
      </c>
      <c r="AQ45" s="405">
        <f t="shared" ca="1" si="43"/>
        <v>-690032.50958947092</v>
      </c>
      <c r="AR45" s="405">
        <f t="shared" ca="1" si="43"/>
        <v>-1084946.0389937013</v>
      </c>
      <c r="AS45" s="405">
        <f t="shared" ca="1" si="43"/>
        <v>-969881.05606589024</v>
      </c>
      <c r="AT45" s="405">
        <f t="shared" ca="1" si="43"/>
        <v>-863596.6408289281</v>
      </c>
      <c r="AU45" s="405">
        <f t="shared" ca="1" si="43"/>
        <v>-521835.63930879423</v>
      </c>
      <c r="AV45" s="405">
        <f t="shared" ca="1" si="43"/>
        <v>-357330.81993499165</v>
      </c>
      <c r="AW45" s="405">
        <f t="shared" ca="1" si="43"/>
        <v>-844254.08912040025</v>
      </c>
      <c r="AX45" s="405">
        <f t="shared" ca="1" si="43"/>
        <v>-1164997.5435900285</v>
      </c>
      <c r="AY45" s="405">
        <f t="shared" ca="1" si="43"/>
        <v>-1164997.5435900285</v>
      </c>
      <c r="AZ45" s="405">
        <f t="shared" ca="1" si="43"/>
        <v>-922798.51153343508</v>
      </c>
      <c r="BA45" s="405">
        <f t="shared" ca="1" si="43"/>
        <v>-537039.48277695663</v>
      </c>
      <c r="BB45" s="405">
        <f t="shared" ca="1" si="43"/>
        <v>-554695.80694075255</v>
      </c>
      <c r="BC45" s="405">
        <f t="shared" ca="1" si="43"/>
        <v>-969881.05606589024</v>
      </c>
      <c r="BD45" s="405">
        <f t="shared" ca="1" si="43"/>
        <v>-1117494.4201635122</v>
      </c>
      <c r="BE45" s="405">
        <f t="shared" ca="1" si="43"/>
        <v>-998977.48774786689</v>
      </c>
      <c r="BF45" s="405">
        <f t="shared" ca="1" si="43"/>
        <v>-889504.54005379637</v>
      </c>
      <c r="BG45" s="405">
        <f t="shared" ca="1" si="43"/>
        <v>-537490.70848805807</v>
      </c>
      <c r="BH45" s="405">
        <f t="shared" ca="1" si="43"/>
        <v>-368050.74453304155</v>
      </c>
      <c r="BI45" s="405">
        <f t="shared" ca="1" si="43"/>
        <v>-869581.71179401269</v>
      </c>
      <c r="BJ45" s="405">
        <f t="shared" ca="1" si="43"/>
        <v>-1199947.4698977293</v>
      </c>
      <c r="BK45" s="405">
        <f t="shared" ca="1" si="43"/>
        <v>-1199947.4698977293</v>
      </c>
      <c r="BL45" s="405">
        <f t="shared" ca="1" si="43"/>
        <v>-950482.46687943791</v>
      </c>
      <c r="BM45" s="405">
        <f t="shared" ca="1" si="43"/>
        <v>-553150.66726026544</v>
      </c>
      <c r="BN45" s="405">
        <f t="shared" ca="1" si="43"/>
        <v>-571336.68114897516</v>
      </c>
      <c r="BO45" s="405">
        <f t="shared" ca="1" si="43"/>
        <v>-998977.48774786689</v>
      </c>
      <c r="BP45" s="405">
        <f t="shared" ref="BP45:CT45" ca="1" si="44">SUM(BP41:BP44)</f>
        <v>-1151019.2527684174</v>
      </c>
      <c r="BQ45" s="405">
        <f t="shared" ca="1" si="44"/>
        <v>-1028946.8123803029</v>
      </c>
      <c r="BR45" s="405">
        <f t="shared" ca="1" si="44"/>
        <v>-916189.67625541019</v>
      </c>
      <c r="BS45" s="405">
        <f t="shared" ca="1" si="44"/>
        <v>-553615.42974269961</v>
      </c>
      <c r="BT45" s="405">
        <f t="shared" ca="1" si="44"/>
        <v>-379092.2668690327</v>
      </c>
      <c r="BU45" s="405">
        <f t="shared" ca="1" si="44"/>
        <v>-895669.16314783262</v>
      </c>
      <c r="BV45" s="405">
        <f t="shared" ca="1" si="44"/>
        <v>-1235945.8939946613</v>
      </c>
      <c r="BW45" s="405">
        <f t="shared" ca="1" si="44"/>
        <v>-1235945.8939946613</v>
      </c>
      <c r="BX45" s="405">
        <f t="shared" ca="1" si="44"/>
        <v>-1012716.0690660024</v>
      </c>
      <c r="BY45" s="405">
        <f t="shared" ca="1" si="44"/>
        <v>-569745.1872780734</v>
      </c>
      <c r="BZ45" s="405">
        <f t="shared" ca="1" si="44"/>
        <v>-588476.7815834441</v>
      </c>
      <c r="CA45" s="405">
        <f t="shared" ca="1" si="44"/>
        <v>-1028946.8123803029</v>
      </c>
      <c r="CB45" s="405">
        <f t="shared" ca="1" si="44"/>
        <v>-1185549.83035147</v>
      </c>
      <c r="CC45" s="405">
        <f t="shared" ca="1" si="44"/>
        <v>-1059815.2167517121</v>
      </c>
      <c r="CD45" s="405">
        <f t="shared" ca="1" si="44"/>
        <v>-943675.36654307251</v>
      </c>
      <c r="CE45" s="405">
        <f t="shared" ca="1" si="44"/>
        <v>-570223.89263498073</v>
      </c>
      <c r="CF45" s="405">
        <f t="shared" ca="1" si="44"/>
        <v>-390465.03487510374</v>
      </c>
      <c r="CG45" s="405">
        <f t="shared" ca="1" si="44"/>
        <v>-922539.23804226785</v>
      </c>
      <c r="CH45" s="405">
        <f t="shared" ca="1" si="44"/>
        <v>-1273024.2708145007</v>
      </c>
      <c r="CI45" s="405">
        <f t="shared" ca="1" si="44"/>
        <v>-1273024.2708145007</v>
      </c>
      <c r="CJ45" s="405">
        <f t="shared" ca="1" si="44"/>
        <v>-1008366.8491123958</v>
      </c>
      <c r="CK45" s="405">
        <f t="shared" ca="1" si="44"/>
        <v>-586837.54289641569</v>
      </c>
      <c r="CL45" s="405">
        <f t="shared" ca="1" si="44"/>
        <v>-606131.08503094758</v>
      </c>
      <c r="CM45" s="405">
        <f t="shared" ca="1" si="44"/>
        <v>-1059815.2167517121</v>
      </c>
      <c r="CN45" s="405">
        <f t="shared" ca="1" si="44"/>
        <v>-1221116.3252620143</v>
      </c>
      <c r="CO45" s="405">
        <f t="shared" ca="1" si="44"/>
        <v>-1091609.6732542634</v>
      </c>
      <c r="CP45" s="405">
        <f t="shared" ca="1" si="44"/>
        <v>-971985.62753936462</v>
      </c>
      <c r="CQ45" s="405">
        <f t="shared" ca="1" si="44"/>
        <v>-587330.6094140301</v>
      </c>
      <c r="CR45" s="405">
        <f t="shared" ca="1" si="44"/>
        <v>-402178.98592135683</v>
      </c>
      <c r="CS45" s="405">
        <f t="shared" ca="1" si="44"/>
        <v>-950215.41518353601</v>
      </c>
      <c r="CT45" s="405">
        <f t="shared" ca="1" si="44"/>
        <v>-1311214.9989389363</v>
      </c>
      <c r="CU45" s="405"/>
      <c r="CV45" s="405"/>
      <c r="CW45" s="405"/>
      <c r="CX45" s="405"/>
      <c r="CY45" s="405"/>
      <c r="CZ45" s="405"/>
      <c r="DA45" s="405"/>
      <c r="DB45" s="405"/>
      <c r="DC45" s="405"/>
      <c r="DD45" s="405"/>
      <c r="DE45" s="405"/>
      <c r="DF45" s="405"/>
      <c r="DG45" s="405"/>
      <c r="DH45" s="405"/>
      <c r="DI45" s="405"/>
      <c r="DJ45" s="405"/>
      <c r="DK45" s="405"/>
      <c r="DL45" s="405"/>
      <c r="DM45" s="405"/>
      <c r="DN45" s="405"/>
      <c r="DO45" s="405"/>
      <c r="DP45" s="405"/>
      <c r="DQ45" s="405"/>
      <c r="DR45" s="405"/>
      <c r="DS45" s="405"/>
      <c r="DT45" s="405"/>
      <c r="DU45" s="405"/>
      <c r="DV45" s="405"/>
      <c r="DW45" s="405"/>
      <c r="DX45" s="405"/>
      <c r="DY45" s="405"/>
      <c r="DZ45" s="405"/>
      <c r="EA45" s="405"/>
      <c r="EB45" s="405"/>
      <c r="EC45" s="405"/>
      <c r="ED45" s="405"/>
    </row>
    <row r="46" spans="1:134" s="404" customFormat="1" ht="16" x14ac:dyDescent="0.2">
      <c r="A46" s="402"/>
      <c r="B46" s="294"/>
      <c r="C46" s="403"/>
      <c r="D46" s="403"/>
      <c r="E46" s="403"/>
      <c r="F46" s="403"/>
      <c r="G46" s="403"/>
      <c r="H46" s="403"/>
      <c r="I46" s="403"/>
      <c r="J46" s="403"/>
      <c r="K46" s="403"/>
      <c r="L46" s="403"/>
      <c r="M46" s="403"/>
      <c r="N46" s="403"/>
      <c r="O46" s="403"/>
      <c r="P46" s="403"/>
      <c r="Q46" s="403"/>
      <c r="R46" s="403"/>
      <c r="S46" s="403"/>
      <c r="T46" s="403"/>
      <c r="U46" s="403"/>
      <c r="V46" s="403"/>
      <c r="W46" s="403"/>
      <c r="X46" s="403"/>
      <c r="Y46" s="403"/>
      <c r="Z46" s="403"/>
      <c r="AA46" s="403"/>
      <c r="AB46" s="403"/>
      <c r="AC46" s="403"/>
      <c r="AD46" s="403"/>
      <c r="AE46" s="403"/>
      <c r="AF46" s="403"/>
      <c r="AG46" s="403"/>
      <c r="AH46" s="403"/>
      <c r="AI46" s="403"/>
      <c r="AJ46" s="403"/>
      <c r="AK46" s="403"/>
      <c r="AL46" s="403"/>
      <c r="AM46" s="403"/>
      <c r="AN46" s="403"/>
      <c r="AO46" s="403"/>
      <c r="AP46" s="403"/>
      <c r="AQ46" s="403"/>
      <c r="AR46" s="403"/>
      <c r="AS46" s="403"/>
      <c r="AT46" s="403"/>
      <c r="AU46" s="403"/>
      <c r="AV46" s="403"/>
      <c r="AW46" s="403"/>
      <c r="AX46" s="403"/>
      <c r="AY46" s="403"/>
      <c r="AZ46" s="403"/>
      <c r="BA46" s="403"/>
      <c r="BB46" s="403"/>
      <c r="BC46" s="403"/>
      <c r="BD46" s="403"/>
      <c r="BE46" s="403"/>
      <c r="BF46" s="403"/>
      <c r="BG46" s="403"/>
      <c r="BH46" s="403"/>
      <c r="BI46" s="403"/>
      <c r="BJ46" s="403"/>
      <c r="BK46" s="403"/>
      <c r="BL46" s="403"/>
      <c r="BM46" s="403"/>
      <c r="BN46" s="403"/>
      <c r="BO46" s="403"/>
      <c r="BP46" s="403"/>
      <c r="BQ46" s="403"/>
      <c r="BR46" s="403"/>
      <c r="BS46" s="403"/>
      <c r="BT46" s="403"/>
      <c r="BU46" s="403"/>
      <c r="BV46" s="403"/>
      <c r="BW46" s="403"/>
      <c r="BX46" s="403"/>
      <c r="BY46" s="403"/>
      <c r="BZ46" s="403"/>
      <c r="CA46" s="403"/>
      <c r="CB46" s="403"/>
      <c r="CC46" s="403"/>
      <c r="CD46" s="403"/>
      <c r="CE46" s="403"/>
      <c r="CF46" s="403"/>
      <c r="CG46" s="403"/>
      <c r="CH46" s="403"/>
      <c r="CI46" s="403"/>
      <c r="CJ46" s="403"/>
      <c r="CK46" s="403"/>
      <c r="CL46" s="403"/>
      <c r="CM46" s="403"/>
      <c r="CN46" s="403"/>
      <c r="CO46" s="403"/>
      <c r="CP46" s="403"/>
      <c r="CQ46" s="403"/>
      <c r="CR46" s="403"/>
      <c r="CS46" s="403"/>
      <c r="CT46" s="403"/>
      <c r="CU46" s="403"/>
      <c r="CV46" s="403"/>
      <c r="CW46" s="403"/>
      <c r="CX46" s="403"/>
      <c r="CY46" s="403"/>
      <c r="CZ46" s="403"/>
      <c r="DA46" s="403"/>
      <c r="DB46" s="403"/>
      <c r="DC46" s="403"/>
      <c r="DD46" s="403"/>
      <c r="DE46" s="403"/>
      <c r="DF46" s="403"/>
      <c r="DG46" s="403"/>
      <c r="DH46" s="403"/>
      <c r="DI46" s="403"/>
      <c r="DJ46" s="403"/>
      <c r="DK46" s="403"/>
      <c r="DL46" s="403"/>
      <c r="DM46" s="403"/>
      <c r="DN46" s="403"/>
      <c r="DO46" s="403"/>
      <c r="DP46" s="403"/>
      <c r="DQ46" s="403"/>
      <c r="DR46" s="403"/>
      <c r="DS46" s="403"/>
      <c r="DT46" s="403"/>
      <c r="DU46" s="403"/>
      <c r="DV46" s="403"/>
      <c r="DW46" s="403"/>
      <c r="DX46" s="403"/>
      <c r="DY46" s="403"/>
      <c r="DZ46" s="403"/>
      <c r="EA46" s="403"/>
      <c r="EB46" s="403"/>
      <c r="EC46" s="403"/>
      <c r="ED46" s="403"/>
    </row>
    <row r="47" spans="1:134" s="404" customFormat="1" ht="16" x14ac:dyDescent="0.2">
      <c r="A47" s="402"/>
      <c r="B47" s="408" t="s">
        <v>760</v>
      </c>
      <c r="C47" s="405">
        <f t="shared" ref="C47:AH47" si="45">C38+C45</f>
        <v>0</v>
      </c>
      <c r="D47" s="405">
        <f t="shared" si="45"/>
        <v>0</v>
      </c>
      <c r="E47" s="405">
        <f t="shared" si="45"/>
        <v>0</v>
      </c>
      <c r="F47" s="405">
        <f t="shared" si="45"/>
        <v>0</v>
      </c>
      <c r="G47" s="405">
        <f t="shared" si="45"/>
        <v>0</v>
      </c>
      <c r="H47" s="405">
        <f>H38+H45</f>
        <v>118920.19500000002</v>
      </c>
      <c r="I47" s="405">
        <f t="shared" si="45"/>
        <v>108429.4905</v>
      </c>
      <c r="J47" s="405">
        <f t="shared" si="45"/>
        <v>101202.13499999998</v>
      </c>
      <c r="K47" s="405">
        <f t="shared" si="45"/>
        <v>69960.689999999988</v>
      </c>
      <c r="L47" s="405">
        <f t="shared" si="45"/>
        <v>57838.002000000008</v>
      </c>
      <c r="M47" s="405">
        <f t="shared" si="45"/>
        <v>104931.76500000004</v>
      </c>
      <c r="N47" s="405">
        <f t="shared" si="45"/>
        <v>137338.91250000003</v>
      </c>
      <c r="O47" s="405">
        <f t="shared" si="45"/>
        <v>137338.91250000003</v>
      </c>
      <c r="P47" s="405">
        <f t="shared" si="45"/>
        <v>110992.18200000002</v>
      </c>
      <c r="Q47" s="405">
        <f t="shared" si="45"/>
        <v>72292.713000000018</v>
      </c>
      <c r="R47" s="405">
        <f t="shared" si="45"/>
        <v>69960.689999999988</v>
      </c>
      <c r="S47" s="405">
        <f t="shared" si="45"/>
        <v>108429.4905</v>
      </c>
      <c r="T47" s="405">
        <f t="shared" si="45"/>
        <v>122487.80084999997</v>
      </c>
      <c r="U47" s="405">
        <f t="shared" si="45"/>
        <v>111682.37521500002</v>
      </c>
      <c r="V47" s="405">
        <f t="shared" si="45"/>
        <v>104238.19904999997</v>
      </c>
      <c r="W47" s="405">
        <f t="shared" si="45"/>
        <v>72059.510699999999</v>
      </c>
      <c r="X47" s="405">
        <f t="shared" si="45"/>
        <v>59573.142059999998</v>
      </c>
      <c r="Y47" s="405">
        <f t="shared" si="45"/>
        <v>108079.71794999999</v>
      </c>
      <c r="Z47" s="405">
        <f t="shared" ca="1" si="45"/>
        <v>225748.31898550005</v>
      </c>
      <c r="AA47" s="405">
        <f t="shared" ca="1" si="45"/>
        <v>225748.31898550005</v>
      </c>
      <c r="AB47" s="405">
        <f t="shared" ca="1" si="45"/>
        <v>204175.44369189988</v>
      </c>
      <c r="AC47" s="405">
        <f t="shared" ca="1" si="45"/>
        <v>258897.28136753332</v>
      </c>
      <c r="AD47" s="405">
        <f t="shared" ca="1" si="45"/>
        <v>352046.35456266662</v>
      </c>
      <c r="AE47" s="405">
        <f t="shared" ca="1" si="45"/>
        <v>484409.11481270002</v>
      </c>
      <c r="AF47" s="405">
        <f t="shared" ca="1" si="45"/>
        <v>751508.77364887507</v>
      </c>
      <c r="AG47" s="405">
        <f t="shared" ca="1" si="45"/>
        <v>715521.68119886238</v>
      </c>
      <c r="AH47" s="405">
        <f t="shared" ca="1" si="45"/>
        <v>593188.11164804175</v>
      </c>
      <c r="AI47" s="405">
        <f t="shared" ref="AI47:BN47" ca="1" si="46">AI38+AI45</f>
        <v>392165.45416858327</v>
      </c>
      <c r="AJ47" s="405">
        <f t="shared" ca="1" si="46"/>
        <v>252440.92952645003</v>
      </c>
      <c r="AK47" s="405">
        <f t="shared" ca="1" si="46"/>
        <v>410077.75386462524</v>
      </c>
      <c r="AL47" s="405">
        <f t="shared" ca="1" si="46"/>
        <v>516661.04783131252</v>
      </c>
      <c r="AM47" s="405">
        <f t="shared" ca="1" si="46"/>
        <v>516661.04783131252</v>
      </c>
      <c r="AN47" s="405">
        <f t="shared" ca="1" si="46"/>
        <v>432462.23914145003</v>
      </c>
      <c r="AO47" s="405">
        <f t="shared" ca="1" si="46"/>
        <v>398794.50983225822</v>
      </c>
      <c r="AP47" s="405">
        <f t="shared" ca="1" si="46"/>
        <v>490479.01296441659</v>
      </c>
      <c r="AQ47" s="405">
        <f t="shared" ca="1" si="46"/>
        <v>715521.68119886238</v>
      </c>
      <c r="AR47" s="405">
        <f t="shared" ca="1" si="46"/>
        <v>821375.80570508447</v>
      </c>
      <c r="AS47" s="405">
        <f t="shared" ca="1" si="46"/>
        <v>783239.34600149235</v>
      </c>
      <c r="AT47" s="405">
        <f t="shared" ca="1" si="46"/>
        <v>655913.86264332884</v>
      </c>
      <c r="AU47" s="405">
        <f t="shared" ca="1" si="46"/>
        <v>442297.33466064552</v>
      </c>
      <c r="AV47" s="405">
        <f t="shared" ca="1" si="46"/>
        <v>297012.82473317778</v>
      </c>
      <c r="AW47" s="405">
        <f t="shared" ca="1" si="46"/>
        <v>467143.32619023917</v>
      </c>
      <c r="AX47" s="405">
        <f t="shared" ca="1" si="46"/>
        <v>583700.52051619021</v>
      </c>
      <c r="AY47" s="405">
        <f t="shared" ca="1" si="46"/>
        <v>583700.52051619021</v>
      </c>
      <c r="AZ47" s="405">
        <f t="shared" ca="1" si="46"/>
        <v>489609.75723932066</v>
      </c>
      <c r="BA47" s="405">
        <f t="shared" ca="1" si="46"/>
        <v>450400.82588979742</v>
      </c>
      <c r="BB47" s="405">
        <f t="shared" ca="1" si="46"/>
        <v>543560.30022035399</v>
      </c>
      <c r="BC47" s="405">
        <f t="shared" ca="1" si="46"/>
        <v>783239.34600149235</v>
      </c>
      <c r="BD47" s="405">
        <f t="shared" ca="1" si="46"/>
        <v>846117.07987623755</v>
      </c>
      <c r="BE47" s="405">
        <f t="shared" ca="1" si="46"/>
        <v>806836.52638153755</v>
      </c>
      <c r="BF47" s="405">
        <f t="shared" ca="1" si="46"/>
        <v>675691.27852262871</v>
      </c>
      <c r="BG47" s="405">
        <f t="shared" ca="1" si="46"/>
        <v>455666.25470046489</v>
      </c>
      <c r="BH47" s="405">
        <f t="shared" ca="1" si="46"/>
        <v>306023.20947517309</v>
      </c>
      <c r="BI47" s="405">
        <f t="shared" ca="1" si="46"/>
        <v>481257.62597594596</v>
      </c>
      <c r="BJ47" s="405">
        <f t="shared" ca="1" si="46"/>
        <v>601311.53613167629</v>
      </c>
      <c r="BK47" s="405">
        <f t="shared" ca="1" si="46"/>
        <v>601311.53613167629</v>
      </c>
      <c r="BL47" s="405">
        <f t="shared" ca="1" si="46"/>
        <v>504398.0499565003</v>
      </c>
      <c r="BM47" s="405">
        <f t="shared" ca="1" si="46"/>
        <v>464012.85066649143</v>
      </c>
      <c r="BN47" s="405">
        <f t="shared" ca="1" si="46"/>
        <v>559967.10922696465</v>
      </c>
      <c r="BO47" s="405">
        <f t="shared" ref="BO47:CT47" ca="1" si="47">BO38+BO45</f>
        <v>806836.52638153755</v>
      </c>
      <c r="BP47" s="405">
        <f t="shared" ca="1" si="47"/>
        <v>871600.59227252426</v>
      </c>
      <c r="BQ47" s="405">
        <f t="shared" ca="1" si="47"/>
        <v>831141.6221729836</v>
      </c>
      <c r="BR47" s="405">
        <f t="shared" ca="1" si="47"/>
        <v>696062.01687830721</v>
      </c>
      <c r="BS47" s="405">
        <f t="shared" ca="1" si="47"/>
        <v>469436.2423414787</v>
      </c>
      <c r="BT47" s="405">
        <f t="shared" ca="1" si="47"/>
        <v>315303.90575942834</v>
      </c>
      <c r="BU47" s="405">
        <f t="shared" ca="1" si="47"/>
        <v>495795.35475522431</v>
      </c>
      <c r="BV47" s="405">
        <f t="shared" ca="1" si="47"/>
        <v>619450.8822156263</v>
      </c>
      <c r="BW47" s="405">
        <f t="shared" ca="1" si="47"/>
        <v>619450.8822156263</v>
      </c>
      <c r="BX47" s="405">
        <f t="shared" ca="1" si="47"/>
        <v>534470.47162041778</v>
      </c>
      <c r="BY47" s="405">
        <f t="shared" ca="1" si="47"/>
        <v>478033.23618648609</v>
      </c>
      <c r="BZ47" s="405">
        <f t="shared" ca="1" si="47"/>
        <v>576866.12250377343</v>
      </c>
      <c r="CA47" s="405">
        <f t="shared" ca="1" si="47"/>
        <v>831141.6221729836</v>
      </c>
      <c r="CB47" s="405">
        <f t="shared" ca="1" si="47"/>
        <v>897848.61004070006</v>
      </c>
      <c r="CC47" s="405">
        <f t="shared" ca="1" si="47"/>
        <v>856175.8708381732</v>
      </c>
      <c r="CD47" s="405">
        <f t="shared" ca="1" si="47"/>
        <v>717043.87738465681</v>
      </c>
      <c r="CE47" s="405">
        <f t="shared" ca="1" si="47"/>
        <v>483619.32961172296</v>
      </c>
      <c r="CF47" s="405">
        <f t="shared" ca="1" si="47"/>
        <v>324863.02293221117</v>
      </c>
      <c r="CG47" s="405">
        <f t="shared" ca="1" si="47"/>
        <v>510769.21539788099</v>
      </c>
      <c r="CH47" s="405">
        <f t="shared" ca="1" si="47"/>
        <v>638134.40868209535</v>
      </c>
      <c r="CI47" s="405">
        <f t="shared" ca="1" si="47"/>
        <v>638134.40868209535</v>
      </c>
      <c r="CJ47" s="405">
        <f t="shared" ca="1" si="47"/>
        <v>535318.89119885128</v>
      </c>
      <c r="CK47" s="405">
        <f t="shared" ca="1" si="47"/>
        <v>492474.23327208066</v>
      </c>
      <c r="CL47" s="405">
        <f t="shared" ca="1" si="47"/>
        <v>594272.10617888649</v>
      </c>
      <c r="CM47" s="405">
        <f t="shared" ca="1" si="47"/>
        <v>856175.8708381732</v>
      </c>
      <c r="CN47" s="405">
        <f t="shared" ca="1" si="47"/>
        <v>924884.06834192108</v>
      </c>
      <c r="CO47" s="405">
        <f t="shared" ca="1" si="47"/>
        <v>881961.14696331904</v>
      </c>
      <c r="CP47" s="405">
        <f t="shared" ca="1" si="47"/>
        <v>738655.1937061965</v>
      </c>
      <c r="CQ47" s="405">
        <f t="shared" ca="1" si="47"/>
        <v>498227.90950007481</v>
      </c>
      <c r="CR47" s="405">
        <f t="shared" ca="1" si="47"/>
        <v>334708.91362017766</v>
      </c>
      <c r="CS47" s="405">
        <f t="shared" ca="1" si="47"/>
        <v>526192.29185981746</v>
      </c>
      <c r="CT47" s="405">
        <f t="shared" ca="1" si="47"/>
        <v>657378.44094255846</v>
      </c>
      <c r="CU47" s="405" t="e">
        <f ca="1">CU38+#REF!</f>
        <v>#N/A</v>
      </c>
      <c r="CV47" s="405" t="e">
        <f ca="1">CV38+#REF!</f>
        <v>#N/A</v>
      </c>
      <c r="CW47" s="405" t="e">
        <f ca="1">CW38+#REF!</f>
        <v>#N/A</v>
      </c>
      <c r="CX47" s="405" t="e">
        <f ca="1">CX38+#REF!</f>
        <v>#N/A</v>
      </c>
      <c r="CY47" s="405" t="e">
        <f ca="1">CY38+#REF!</f>
        <v>#N/A</v>
      </c>
      <c r="CZ47" s="405" t="e">
        <f ca="1">CZ38+#REF!</f>
        <v>#N/A</v>
      </c>
      <c r="DA47" s="405" t="e">
        <f ca="1">DA38+#REF!</f>
        <v>#N/A</v>
      </c>
      <c r="DB47" s="405" t="e">
        <f ca="1">DB38+#REF!</f>
        <v>#N/A</v>
      </c>
      <c r="DC47" s="405" t="e">
        <f ca="1">DC38+#REF!</f>
        <v>#N/A</v>
      </c>
      <c r="DD47" s="405" t="e">
        <f ca="1">DD38+#REF!</f>
        <v>#N/A</v>
      </c>
      <c r="DE47" s="405" t="e">
        <f ca="1">DE38+#REF!</f>
        <v>#N/A</v>
      </c>
      <c r="DF47" s="405" t="e">
        <f ca="1">DF38+#REF!</f>
        <v>#N/A</v>
      </c>
      <c r="DG47" s="405" t="e">
        <f ca="1">DG38+#REF!</f>
        <v>#N/A</v>
      </c>
      <c r="DH47" s="405" t="e">
        <f ca="1">DH38+#REF!</f>
        <v>#N/A</v>
      </c>
      <c r="DI47" s="405" t="e">
        <f ca="1">DI38+#REF!</f>
        <v>#N/A</v>
      </c>
      <c r="DJ47" s="405" t="e">
        <f ca="1">DJ38+#REF!</f>
        <v>#N/A</v>
      </c>
      <c r="DK47" s="405" t="e">
        <f ca="1">DK38+#REF!</f>
        <v>#N/A</v>
      </c>
      <c r="DL47" s="405" t="e">
        <f ca="1">DL38+#REF!</f>
        <v>#N/A</v>
      </c>
      <c r="DM47" s="405" t="e">
        <f ca="1">DM38+#REF!</f>
        <v>#N/A</v>
      </c>
      <c r="DN47" s="405" t="e">
        <f ca="1">DN38+#REF!</f>
        <v>#N/A</v>
      </c>
      <c r="DO47" s="405" t="e">
        <f ca="1">DO38+#REF!</f>
        <v>#N/A</v>
      </c>
      <c r="DP47" s="405" t="e">
        <f ca="1">DP38+#REF!</f>
        <v>#N/A</v>
      </c>
      <c r="DQ47" s="405" t="e">
        <f ca="1">DQ38+#REF!</f>
        <v>#N/A</v>
      </c>
      <c r="DR47" s="405" t="e">
        <f ca="1">DR38+#REF!</f>
        <v>#N/A</v>
      </c>
      <c r="DS47" s="405"/>
      <c r="DT47" s="405"/>
      <c r="DU47" s="405"/>
      <c r="DV47" s="405"/>
      <c r="DW47" s="405"/>
      <c r="DX47" s="405"/>
      <c r="DY47" s="405"/>
      <c r="DZ47" s="405"/>
      <c r="EA47" s="405"/>
      <c r="EB47" s="405"/>
      <c r="EC47" s="405"/>
      <c r="ED47" s="405"/>
    </row>
    <row r="48" spans="1:134" s="404" customFormat="1" ht="16" x14ac:dyDescent="0.2">
      <c r="A48" s="402"/>
      <c r="B48" s="408"/>
      <c r="C48" s="405"/>
      <c r="D48" s="405"/>
      <c r="E48" s="405"/>
      <c r="F48" s="405"/>
      <c r="G48" s="405"/>
      <c r="H48" s="405"/>
      <c r="I48" s="405"/>
      <c r="J48" s="405"/>
      <c r="K48" s="405"/>
      <c r="L48" s="405"/>
      <c r="M48" s="405"/>
      <c r="N48" s="405"/>
      <c r="O48" s="405"/>
      <c r="P48" s="405"/>
      <c r="Q48" s="405"/>
      <c r="R48" s="405"/>
      <c r="S48" s="405"/>
      <c r="T48" s="405"/>
      <c r="U48" s="405"/>
      <c r="V48" s="405"/>
      <c r="W48" s="405"/>
      <c r="X48" s="405"/>
      <c r="Y48" s="405"/>
      <c r="Z48" s="405"/>
      <c r="AA48" s="405"/>
      <c r="AB48" s="405"/>
      <c r="AC48" s="405"/>
      <c r="AD48" s="405"/>
      <c r="AE48" s="405"/>
      <c r="AF48" s="405"/>
      <c r="AG48" s="405"/>
      <c r="AH48" s="405"/>
      <c r="AI48" s="405"/>
      <c r="AJ48" s="405"/>
      <c r="AK48" s="405"/>
      <c r="AL48" s="405"/>
      <c r="AM48" s="405"/>
      <c r="AN48" s="405"/>
      <c r="AO48" s="405"/>
      <c r="AP48" s="405"/>
      <c r="AQ48" s="405"/>
      <c r="AR48" s="405"/>
      <c r="AS48" s="405"/>
      <c r="AT48" s="405"/>
      <c r="AU48" s="405"/>
      <c r="AV48" s="405"/>
      <c r="AW48" s="405"/>
      <c r="AX48" s="405"/>
      <c r="AY48" s="405"/>
      <c r="AZ48" s="405"/>
      <c r="BA48" s="405"/>
      <c r="BB48" s="405"/>
      <c r="BC48" s="405"/>
      <c r="BD48" s="405"/>
      <c r="BE48" s="405"/>
      <c r="BF48" s="405"/>
      <c r="BG48" s="405"/>
      <c r="BH48" s="405"/>
      <c r="BI48" s="405"/>
      <c r="BJ48" s="405"/>
      <c r="BK48" s="405"/>
      <c r="BL48" s="405"/>
      <c r="BM48" s="405"/>
      <c r="BN48" s="405"/>
      <c r="BO48" s="405"/>
      <c r="BP48" s="405"/>
      <c r="BQ48" s="405"/>
      <c r="BR48" s="405"/>
      <c r="BS48" s="405"/>
      <c r="BT48" s="405"/>
      <c r="BU48" s="405"/>
      <c r="BV48" s="405"/>
      <c r="BW48" s="405"/>
      <c r="BX48" s="405"/>
      <c r="BY48" s="405"/>
      <c r="BZ48" s="405"/>
      <c r="CA48" s="405"/>
      <c r="CB48" s="405"/>
      <c r="CC48" s="405"/>
      <c r="CD48" s="405"/>
      <c r="CE48" s="405"/>
      <c r="CF48" s="405"/>
      <c r="CG48" s="405"/>
      <c r="CH48" s="405"/>
      <c r="CI48" s="405"/>
      <c r="CJ48" s="405"/>
      <c r="CK48" s="405"/>
      <c r="CL48" s="405"/>
      <c r="CM48" s="405"/>
      <c r="CN48" s="405"/>
      <c r="CO48" s="405"/>
      <c r="CP48" s="405"/>
      <c r="CQ48" s="405"/>
      <c r="CR48" s="405"/>
      <c r="CS48" s="405"/>
      <c r="CT48" s="405"/>
      <c r="CU48" s="405"/>
      <c r="CV48" s="405"/>
      <c r="CW48" s="405"/>
      <c r="CX48" s="405"/>
      <c r="CY48" s="405"/>
      <c r="CZ48" s="405"/>
      <c r="DA48" s="405"/>
      <c r="DB48" s="405"/>
      <c r="DC48" s="405"/>
      <c r="DD48" s="405"/>
      <c r="DE48" s="405"/>
      <c r="DF48" s="405"/>
      <c r="DG48" s="405"/>
      <c r="DH48" s="405"/>
      <c r="DI48" s="405"/>
      <c r="DJ48" s="405"/>
      <c r="DK48" s="405"/>
      <c r="DL48" s="405"/>
      <c r="DM48" s="405"/>
      <c r="DN48" s="405"/>
      <c r="DO48" s="405"/>
      <c r="DP48" s="405"/>
      <c r="DQ48" s="405"/>
      <c r="DR48" s="405"/>
      <c r="DS48" s="405"/>
      <c r="DT48" s="405"/>
      <c r="DU48" s="405"/>
      <c r="DV48" s="405"/>
      <c r="DW48" s="405"/>
      <c r="DX48" s="405"/>
      <c r="DY48" s="405"/>
      <c r="DZ48" s="405"/>
      <c r="EA48" s="405"/>
      <c r="EB48" s="405"/>
      <c r="EC48" s="405"/>
      <c r="ED48" s="405"/>
    </row>
    <row r="49" spans="1:134" s="404" customFormat="1" ht="16" x14ac:dyDescent="0.2">
      <c r="A49" s="402"/>
      <c r="B49" s="294" t="s">
        <v>761</v>
      </c>
      <c r="C49" s="403">
        <f>-C$40*Assumptions!$C81</f>
        <v>0</v>
      </c>
      <c r="D49" s="403">
        <f>-D$40*Assumptions!$C81</f>
        <v>0</v>
      </c>
      <c r="E49" s="403">
        <f>-E$40*Assumptions!$C81</f>
        <v>0</v>
      </c>
      <c r="F49" s="403">
        <f>-F$40*Assumptions!$C81</f>
        <v>0</v>
      </c>
      <c r="G49" s="403">
        <f>-G$40*Assumptions!$C81</f>
        <v>0</v>
      </c>
      <c r="H49" s="403">
        <f>-H$40*Assumptions!$C81</f>
        <v>-9663.9750000000004</v>
      </c>
      <c r="I49" s="403">
        <f>-I$40*Assumptions!$C81</f>
        <v>-8597.1525000000001</v>
      </c>
      <c r="J49" s="403">
        <f>-J$40*Assumptions!$C81</f>
        <v>-7902.6750000000002</v>
      </c>
      <c r="K49" s="403">
        <f>-K$40*Assumptions!$C81</f>
        <v>-4959.4500000000007</v>
      </c>
      <c r="L49" s="403">
        <f>-L$40*Assumptions!$C81</f>
        <v>-3735.81</v>
      </c>
      <c r="M49" s="403">
        <f>-M$40*Assumptions!$C81</f>
        <v>-8319.8250000000025</v>
      </c>
      <c r="N49" s="403">
        <f>-N$40*Assumptions!$C81</f>
        <v>-11375.0625</v>
      </c>
      <c r="O49" s="403">
        <f>-O$40*Assumptions!$C81</f>
        <v>-11375.0625</v>
      </c>
      <c r="P49" s="403">
        <f>-P$40*Assumptions!$C81</f>
        <v>-9019.7100000000009</v>
      </c>
      <c r="Q49" s="403">
        <f>-Q$40*Assumptions!$C81</f>
        <v>-5124.7650000000003</v>
      </c>
      <c r="R49" s="403">
        <f>-R$40*Assumptions!$C81</f>
        <v>-4959.4500000000007</v>
      </c>
      <c r="S49" s="403">
        <f>-S$40*Assumptions!$C81</f>
        <v>-8597.1525000000001</v>
      </c>
      <c r="T49" s="403">
        <f>-T$40*Assumptions!$C81</f>
        <v>-9953.8942499999976</v>
      </c>
      <c r="U49" s="403">
        <f>-U$40*Assumptions!$C81</f>
        <v>-8855.0670750000008</v>
      </c>
      <c r="V49" s="403">
        <f>-V$40*Assumptions!$C81</f>
        <v>-8139.7552499999993</v>
      </c>
      <c r="W49" s="403">
        <f>-W$40*Assumptions!$C81</f>
        <v>-5108.2334999999994</v>
      </c>
      <c r="X49" s="403">
        <f>-X$40*Assumptions!$C81</f>
        <v>-3847.8842999999997</v>
      </c>
      <c r="Y49" s="403">
        <f>-Y$40*Assumptions!$C81</f>
        <v>-8569.4197499999991</v>
      </c>
      <c r="Z49" s="403">
        <f ca="1">-Z$40*Assumptions!$C81</f>
        <v>-22765.075106666667</v>
      </c>
      <c r="AA49" s="403">
        <f ca="1">-AA$40*Assumptions!$C81</f>
        <v>-22765.075106666667</v>
      </c>
      <c r="AB49" s="403">
        <f ca="1">-AB$40*Assumptions!$C81</f>
        <v>-19178.044898666663</v>
      </c>
      <c r="AC49" s="403">
        <f ca="1">-AC$40*Assumptions!$C81</f>
        <v>-14754.968909333336</v>
      </c>
      <c r="AD49" s="403">
        <f ca="1">-AD$40*Assumptions!$C81</f>
        <v>-17643.50963</v>
      </c>
      <c r="AE49" s="403">
        <f ca="1">-AE$40*Assumptions!$C81</f>
        <v>-27282.111472666667</v>
      </c>
      <c r="AF49" s="403">
        <f ca="1">-AF$40*Assumptions!$C81</f>
        <v>-78300.491442291692</v>
      </c>
      <c r="AG49" s="403">
        <f ca="1">-AG$40*Assumptions!$C81</f>
        <v>-70411.480570354179</v>
      </c>
      <c r="AH49" s="403">
        <f ca="1">-AH$40*Assumptions!$C81</f>
        <v>-62123.578813125008</v>
      </c>
      <c r="AI49" s="403">
        <f ca="1">-AI$40*Assumptions!$C81</f>
        <v>-37698.626197083337</v>
      </c>
      <c r="AJ49" s="403">
        <f ca="1">-AJ$40*Assumptions!$C81</f>
        <v>-25417.83168641667</v>
      </c>
      <c r="AK49" s="403">
        <f ca="1">-AK$40*Assumptions!$C81</f>
        <v>-58793.9485835417</v>
      </c>
      <c r="AL49" s="403">
        <f ca="1">-AL$40*Assumptions!$C81</f>
        <v>-80775.17662010419</v>
      </c>
      <c r="AM49" s="403">
        <f ca="1">-AM$40*Assumptions!$C81</f>
        <v>-80775.17662010419</v>
      </c>
      <c r="AN49" s="403">
        <f ca="1">-AN$40*Assumptions!$C81</f>
        <v>-64182.322011416691</v>
      </c>
      <c r="AO49" s="403">
        <f ca="1">-AO$40*Assumptions!$C81</f>
        <v>-38738.219346708334</v>
      </c>
      <c r="AP49" s="403">
        <f ca="1">-AP$40*Assumptions!$C81</f>
        <v>-40954.042051250006</v>
      </c>
      <c r="AQ49" s="403">
        <f ca="1">-AQ$40*Assumptions!$C81</f>
        <v>-70411.480570354179</v>
      </c>
      <c r="AR49" s="403">
        <f ca="1">-AR$40*Assumptions!$C81</f>
        <v>-110708.77948915321</v>
      </c>
      <c r="AS49" s="403">
        <f ca="1">-AS$40*Assumptions!$C81</f>
        <v>-98967.45470060104</v>
      </c>
      <c r="AT49" s="403">
        <f ca="1">-AT$40*Assumptions!$C81</f>
        <v>-88122.106207033488</v>
      </c>
      <c r="AU49" s="403">
        <f ca="1">-AU$40*Assumptions!$C81</f>
        <v>-53248.53462334635</v>
      </c>
      <c r="AV49" s="403">
        <f ca="1">-AV$40*Assumptions!$C81</f>
        <v>-36462.328564795069</v>
      </c>
      <c r="AW49" s="403">
        <f ca="1">-AW$40*Assumptions!$C81</f>
        <v>-86148.376440857188</v>
      </c>
      <c r="AX49" s="403">
        <f ca="1">-AX$40*Assumptions!$C81</f>
        <v>-118877.30036632944</v>
      </c>
      <c r="AY49" s="403">
        <f ca="1">-AY$40*Assumptions!$C81</f>
        <v>-118877.30036632944</v>
      </c>
      <c r="AZ49" s="403">
        <f ca="1">-AZ$40*Assumptions!$C81</f>
        <v>-94163.113421779082</v>
      </c>
      <c r="BA49" s="403">
        <f ca="1">-BA$40*Assumptions!$C81</f>
        <v>-54799.947222138435</v>
      </c>
      <c r="BB49" s="403">
        <f ca="1">-BB$40*Assumptions!$C81</f>
        <v>-56601.612953138014</v>
      </c>
      <c r="BC49" s="403">
        <f ca="1">-BC$40*Assumptions!$C81</f>
        <v>-98967.45470060104</v>
      </c>
      <c r="BD49" s="403">
        <f ca="1">-BD$40*Assumptions!$C81</f>
        <v>-114030.0428738278</v>
      </c>
      <c r="BE49" s="403">
        <f ca="1">-BE$40*Assumptions!$C81</f>
        <v>-101936.47834161908</v>
      </c>
      <c r="BF49" s="403">
        <f ca="1">-BF$40*Assumptions!$C81</f>
        <v>-90765.769393244525</v>
      </c>
      <c r="BG49" s="403">
        <f ca="1">-BG$40*Assumptions!$C81</f>
        <v>-54845.990662046745</v>
      </c>
      <c r="BH49" s="403">
        <f ca="1">-BH$40*Assumptions!$C81</f>
        <v>-37556.198421738933</v>
      </c>
      <c r="BI49" s="403">
        <f ca="1">-BI$40*Assumptions!$C81</f>
        <v>-88732.827734082923</v>
      </c>
      <c r="BJ49" s="403">
        <f ca="1">-BJ$40*Assumptions!$C81</f>
        <v>-122443.61937731934</v>
      </c>
      <c r="BK49" s="403">
        <f ca="1">-BK$40*Assumptions!$C81</f>
        <v>-122443.61937731934</v>
      </c>
      <c r="BL49" s="403">
        <f ca="1">-BL$40*Assumptions!$C81</f>
        <v>-96988.006824432465</v>
      </c>
      <c r="BM49" s="403">
        <f ca="1">-BM$40*Assumptions!$C81</f>
        <v>-56443.945638802594</v>
      </c>
      <c r="BN49" s="403">
        <f ca="1">-BN$40*Assumptions!$C81</f>
        <v>-58299.661341732164</v>
      </c>
      <c r="BO49" s="403">
        <f ca="1">-BO$40*Assumptions!$C81</f>
        <v>-101936.47834161908</v>
      </c>
      <c r="BP49" s="403">
        <f ca="1">-BP$40*Assumptions!$C81</f>
        <v>-117450.94416004259</v>
      </c>
      <c r="BQ49" s="403">
        <f ca="1">-BQ$40*Assumptions!$C81</f>
        <v>-104994.57269186765</v>
      </c>
      <c r="BR49" s="403">
        <f ca="1">-BR$40*Assumptions!$C81</f>
        <v>-93488.742475041858</v>
      </c>
      <c r="BS49" s="403">
        <f ca="1">-BS$40*Assumptions!$C81</f>
        <v>-56491.37038190812</v>
      </c>
      <c r="BT49" s="403">
        <f ca="1">-BT$40*Assumptions!$C81</f>
        <v>-38682.884374391091</v>
      </c>
      <c r="BU49" s="403">
        <f ca="1">-BU$40*Assumptions!$C81</f>
        <v>-91394.812566105378</v>
      </c>
      <c r="BV49" s="403">
        <f ca="1">-BV$40*Assumptions!$C81</f>
        <v>-126116.9279586389</v>
      </c>
      <c r="BW49" s="403">
        <f ca="1">-BW$40*Assumptions!$C81</f>
        <v>-126116.9279586389</v>
      </c>
      <c r="BX49" s="403">
        <f ca="1">-BX$40*Assumptions!$C81</f>
        <v>-103338.37439449003</v>
      </c>
      <c r="BY49" s="403">
        <f ca="1">-BY$40*Assumptions!$C81</f>
        <v>-58137.264007966674</v>
      </c>
      <c r="BZ49" s="403">
        <f ca="1">-BZ$40*Assumptions!$C81</f>
        <v>-60048.651181984103</v>
      </c>
      <c r="CA49" s="403">
        <f ca="1">-CA$40*Assumptions!$C81</f>
        <v>-104994.57269186765</v>
      </c>
      <c r="CB49" s="403">
        <f ca="1">-CB$40*Assumptions!$C81</f>
        <v>-120974.47248484391</v>
      </c>
      <c r="CC49" s="403">
        <f ca="1">-CC$40*Assumptions!$C81</f>
        <v>-108144.4098726237</v>
      </c>
      <c r="CD49" s="403">
        <f ca="1">-CD$40*Assumptions!$C81</f>
        <v>-96293.404749293113</v>
      </c>
      <c r="CE49" s="403">
        <f ca="1">-CE$40*Assumptions!$C81</f>
        <v>-58186.111493365373</v>
      </c>
      <c r="CF49" s="403">
        <f ca="1">-CF$40*Assumptions!$C81</f>
        <v>-39843.370905622833</v>
      </c>
      <c r="CG49" s="403">
        <f ca="1">-CG$40*Assumptions!$C81</f>
        <v>-94136.656943088557</v>
      </c>
      <c r="CH49" s="403">
        <f ca="1">-CH$40*Assumptions!$C81</f>
        <v>-129900.43579739805</v>
      </c>
      <c r="CI49" s="403">
        <f ca="1">-CI$40*Assumptions!$C81</f>
        <v>-129900.43579739805</v>
      </c>
      <c r="CJ49" s="403">
        <f ca="1">-CJ$40*Assumptions!$C81</f>
        <v>-102894.5764400404</v>
      </c>
      <c r="CK49" s="403">
        <f ca="1">-CK$40*Assumptions!$C81</f>
        <v>-59881.381928205679</v>
      </c>
      <c r="CL49" s="403">
        <f ca="1">-CL$40*Assumptions!$C81</f>
        <v>-61850.110717443633</v>
      </c>
      <c r="CM49" s="403">
        <f ca="1">-CM$40*Assumptions!$C81</f>
        <v>-108144.4098726237</v>
      </c>
      <c r="CN49" s="403">
        <f ca="1">-CN$40*Assumptions!$C81</f>
        <v>-124603.70665938922</v>
      </c>
      <c r="CO49" s="403">
        <f ca="1">-CO$40*Assumptions!$C81</f>
        <v>-111388.7421688024</v>
      </c>
      <c r="CP49" s="403">
        <f ca="1">-CP$40*Assumptions!$C81</f>
        <v>-99182.206891771915</v>
      </c>
      <c r="CQ49" s="403">
        <f ca="1">-CQ$40*Assumptions!$C81</f>
        <v>-59931.694838166346</v>
      </c>
      <c r="CR49" s="403">
        <f ca="1">-CR$40*Assumptions!$C81</f>
        <v>-41038.67203279151</v>
      </c>
      <c r="CS49" s="403">
        <f ca="1">-CS$40*Assumptions!$C81</f>
        <v>-96960.75665138122</v>
      </c>
      <c r="CT49" s="403">
        <f ca="1">-CT$40*Assumptions!$C81</f>
        <v>-133797.44887132003</v>
      </c>
      <c r="CU49" s="403"/>
      <c r="CV49" s="403"/>
      <c r="CW49" s="403"/>
      <c r="CX49" s="403"/>
      <c r="CY49" s="403"/>
      <c r="CZ49" s="403"/>
      <c r="DA49" s="403"/>
      <c r="DB49" s="403"/>
      <c r="DC49" s="403"/>
      <c r="DD49" s="403"/>
      <c r="DE49" s="403"/>
      <c r="DF49" s="403"/>
      <c r="DG49" s="403"/>
      <c r="DH49" s="403"/>
      <c r="DI49" s="403"/>
      <c r="DJ49" s="403"/>
      <c r="DK49" s="403"/>
      <c r="DL49" s="403"/>
      <c r="DM49" s="403"/>
      <c r="DN49" s="403"/>
      <c r="DO49" s="403"/>
      <c r="DP49" s="403"/>
      <c r="DQ49" s="403"/>
      <c r="DR49" s="403"/>
      <c r="DS49" s="403"/>
      <c r="DT49" s="403"/>
      <c r="DU49" s="403"/>
      <c r="DV49" s="403"/>
      <c r="DW49" s="403"/>
      <c r="DX49" s="403"/>
      <c r="DY49" s="403"/>
      <c r="DZ49" s="403"/>
      <c r="EA49" s="403"/>
      <c r="EB49" s="403"/>
      <c r="EC49" s="403"/>
      <c r="ED49" s="403"/>
    </row>
    <row r="50" spans="1:134" s="404" customFormat="1" ht="16" x14ac:dyDescent="0.2">
      <c r="A50" s="402"/>
      <c r="B50" s="409" t="s">
        <v>762</v>
      </c>
      <c r="C50" s="406">
        <f>-C$40*Assumptions!$C82</f>
        <v>0</v>
      </c>
      <c r="D50" s="406">
        <f>-D$40*Assumptions!$C82</f>
        <v>0</v>
      </c>
      <c r="E50" s="406">
        <f>-E$40*Assumptions!$C82</f>
        <v>0</v>
      </c>
      <c r="F50" s="406">
        <f>-F$40*Assumptions!$C82</f>
        <v>0</v>
      </c>
      <c r="G50" s="406">
        <f>-G$40*Assumptions!$C82</f>
        <v>0</v>
      </c>
      <c r="H50" s="406">
        <f>-H$40*Assumptions!$C82</f>
        <v>-3865.59</v>
      </c>
      <c r="I50" s="406">
        <f>-I$40*Assumptions!$C82</f>
        <v>-3438.8609999999999</v>
      </c>
      <c r="J50" s="406">
        <f>-J$40*Assumptions!$C82</f>
        <v>-3161.07</v>
      </c>
      <c r="K50" s="406">
        <f>-K$40*Assumptions!$C82</f>
        <v>-1983.78</v>
      </c>
      <c r="L50" s="406">
        <f>-L$40*Assumptions!$C82</f>
        <v>-1494.3240000000001</v>
      </c>
      <c r="M50" s="406">
        <f>-M$40*Assumptions!$C82</f>
        <v>-3327.9300000000007</v>
      </c>
      <c r="N50" s="406">
        <f>-N$40*Assumptions!$C82</f>
        <v>-4550.0250000000005</v>
      </c>
      <c r="O50" s="406">
        <f>-O$40*Assumptions!$C82</f>
        <v>-4550.0250000000005</v>
      </c>
      <c r="P50" s="406">
        <f>-P$40*Assumptions!$C82</f>
        <v>-3607.8840000000005</v>
      </c>
      <c r="Q50" s="406">
        <f>-Q$40*Assumptions!$C82</f>
        <v>-2049.9059999999999</v>
      </c>
      <c r="R50" s="406">
        <f>-R$40*Assumptions!$C82</f>
        <v>-1983.78</v>
      </c>
      <c r="S50" s="406">
        <f>-S$40*Assumptions!$C82</f>
        <v>-3438.8609999999999</v>
      </c>
      <c r="T50" s="406">
        <f>-T$40*Assumptions!$C82</f>
        <v>-3981.5576999999989</v>
      </c>
      <c r="U50" s="406">
        <f>-U$40*Assumptions!$C82</f>
        <v>-3542.0268300000002</v>
      </c>
      <c r="V50" s="406">
        <f>-V$40*Assumptions!$C82</f>
        <v>-3255.9020999999998</v>
      </c>
      <c r="W50" s="406">
        <f>-W$40*Assumptions!$C82</f>
        <v>-2043.2933999999998</v>
      </c>
      <c r="X50" s="406">
        <f>-X$40*Assumptions!$C82</f>
        <v>-1539.1537199999998</v>
      </c>
      <c r="Y50" s="406">
        <f>-Y$40*Assumptions!$C82</f>
        <v>-3427.7678999999998</v>
      </c>
      <c r="Z50" s="406">
        <f ca="1">-Z$40*Assumptions!$C82</f>
        <v>-9106.0300426666654</v>
      </c>
      <c r="AA50" s="406">
        <f ca="1">-AA$40*Assumptions!$C82</f>
        <v>-9106.0300426666654</v>
      </c>
      <c r="AB50" s="406">
        <f ca="1">-AB$40*Assumptions!$C82</f>
        <v>-7671.217959466665</v>
      </c>
      <c r="AC50" s="406">
        <f ca="1">-AC$40*Assumptions!$C82</f>
        <v>-5901.9875637333344</v>
      </c>
      <c r="AD50" s="406">
        <f ca="1">-AD$40*Assumptions!$C82</f>
        <v>-7057.4038520000004</v>
      </c>
      <c r="AE50" s="406">
        <f ca="1">-AE$40*Assumptions!$C82</f>
        <v>-10912.844589066666</v>
      </c>
      <c r="AF50" s="406">
        <f ca="1">-AF$40*Assumptions!$C82</f>
        <v>-31320.196576916675</v>
      </c>
      <c r="AG50" s="406">
        <f ca="1">-AG$40*Assumptions!$C82</f>
        <v>-28164.592228141672</v>
      </c>
      <c r="AH50" s="406">
        <f ca="1">-AH$40*Assumptions!$C82</f>
        <v>-24849.431525250002</v>
      </c>
      <c r="AI50" s="406">
        <f ca="1">-AI$40*Assumptions!$C82</f>
        <v>-15079.450478833334</v>
      </c>
      <c r="AJ50" s="406">
        <f ca="1">-AJ$40*Assumptions!$C82</f>
        <v>-10167.132674566668</v>
      </c>
      <c r="AK50" s="406">
        <f ca="1">-AK$40*Assumptions!$C82</f>
        <v>-23517.579433416679</v>
      </c>
      <c r="AL50" s="406">
        <f ca="1">-AL$40*Assumptions!$C82</f>
        <v>-32310.070648041674</v>
      </c>
      <c r="AM50" s="406">
        <f ca="1">-AM$40*Assumptions!$C82</f>
        <v>-32310.070648041674</v>
      </c>
      <c r="AN50" s="406">
        <f ca="1">-AN$40*Assumptions!$C82</f>
        <v>-25672.928804566676</v>
      </c>
      <c r="AO50" s="406">
        <f ca="1">-AO$40*Assumptions!$C82</f>
        <v>-15495.287738683333</v>
      </c>
      <c r="AP50" s="406">
        <f ca="1">-AP$40*Assumptions!$C82</f>
        <v>-16381.616820500001</v>
      </c>
      <c r="AQ50" s="406">
        <f ca="1">-AQ$40*Assumptions!$C82</f>
        <v>-28164.592228141672</v>
      </c>
      <c r="AR50" s="406">
        <f ca="1">-AR$40*Assumptions!$C82</f>
        <v>-44283.511795661281</v>
      </c>
      <c r="AS50" s="406">
        <f ca="1">-AS$40*Assumptions!$C82</f>
        <v>-39586.981880240412</v>
      </c>
      <c r="AT50" s="406">
        <f ca="1">-AT$40*Assumptions!$C82</f>
        <v>-35248.842482813394</v>
      </c>
      <c r="AU50" s="406">
        <f ca="1">-AU$40*Assumptions!$C82</f>
        <v>-21299.41384933854</v>
      </c>
      <c r="AV50" s="406">
        <f ca="1">-AV$40*Assumptions!$C82</f>
        <v>-14584.931425918026</v>
      </c>
      <c r="AW50" s="406">
        <f ca="1">-AW$40*Assumptions!$C82</f>
        <v>-34459.350576342869</v>
      </c>
      <c r="AX50" s="406">
        <f ca="1">-AX$40*Assumptions!$C82</f>
        <v>-47550.920146531767</v>
      </c>
      <c r="AY50" s="406">
        <f ca="1">-AY$40*Assumptions!$C82</f>
        <v>-47550.920146531767</v>
      </c>
      <c r="AZ50" s="406">
        <f ca="1">-AZ$40*Assumptions!$C82</f>
        <v>-37665.245368711636</v>
      </c>
      <c r="BA50" s="406">
        <f ca="1">-BA$40*Assumptions!$C82</f>
        <v>-21919.97888885537</v>
      </c>
      <c r="BB50" s="406">
        <f ca="1">-BB$40*Assumptions!$C82</f>
        <v>-22640.645181255208</v>
      </c>
      <c r="BC50" s="406">
        <f ca="1">-BC$40*Assumptions!$C82</f>
        <v>-39586.981880240412</v>
      </c>
      <c r="BD50" s="406">
        <f ca="1">-BD$40*Assumptions!$C82</f>
        <v>-45612.017149531115</v>
      </c>
      <c r="BE50" s="406">
        <f ca="1">-BE$40*Assumptions!$C82</f>
        <v>-40774.591336647623</v>
      </c>
      <c r="BF50" s="406">
        <f ca="1">-BF$40*Assumptions!$C82</f>
        <v>-36306.307757297815</v>
      </c>
      <c r="BG50" s="406">
        <f ca="1">-BG$40*Assumptions!$C82</f>
        <v>-21938.396264818697</v>
      </c>
      <c r="BH50" s="406">
        <f ca="1">-BH$40*Assumptions!$C82</f>
        <v>-15022.479368695573</v>
      </c>
      <c r="BI50" s="406">
        <f ca="1">-BI$40*Assumptions!$C82</f>
        <v>-35493.131093633165</v>
      </c>
      <c r="BJ50" s="406">
        <f ca="1">-BJ$40*Assumptions!$C82</f>
        <v>-48977.447750927735</v>
      </c>
      <c r="BK50" s="406">
        <f ca="1">-BK$40*Assumptions!$C82</f>
        <v>-48977.447750927735</v>
      </c>
      <c r="BL50" s="406">
        <f ca="1">-BL$40*Assumptions!$C82</f>
        <v>-38795.20272977298</v>
      </c>
      <c r="BM50" s="406">
        <f ca="1">-BM$40*Assumptions!$C82</f>
        <v>-22577.578255521035</v>
      </c>
      <c r="BN50" s="406">
        <f ca="1">-BN$40*Assumptions!$C82</f>
        <v>-23319.864536692865</v>
      </c>
      <c r="BO50" s="406">
        <f ca="1">-BO$40*Assumptions!$C82</f>
        <v>-40774.591336647623</v>
      </c>
      <c r="BP50" s="406">
        <f ca="1">-BP$40*Assumptions!$C82</f>
        <v>-46980.377664017033</v>
      </c>
      <c r="BQ50" s="406">
        <f ca="1">-BQ$40*Assumptions!$C82</f>
        <v>-41997.829076747053</v>
      </c>
      <c r="BR50" s="406">
        <f ca="1">-BR$40*Assumptions!$C82</f>
        <v>-37395.496990016742</v>
      </c>
      <c r="BS50" s="406">
        <f ca="1">-BS$40*Assumptions!$C82</f>
        <v>-22596.548152763247</v>
      </c>
      <c r="BT50" s="406">
        <f ca="1">-BT$40*Assumptions!$C82</f>
        <v>-15473.153749756437</v>
      </c>
      <c r="BU50" s="406">
        <f ca="1">-BU$40*Assumptions!$C82</f>
        <v>-36557.92502644215</v>
      </c>
      <c r="BV50" s="406">
        <f ca="1">-BV$40*Assumptions!$C82</f>
        <v>-50446.771183455559</v>
      </c>
      <c r="BW50" s="406">
        <f ca="1">-BW$40*Assumptions!$C82</f>
        <v>-50446.771183455559</v>
      </c>
      <c r="BX50" s="406">
        <f ca="1">-BX$40*Assumptions!$C82</f>
        <v>-41335.349757796015</v>
      </c>
      <c r="BY50" s="406">
        <f ca="1">-BY$40*Assumptions!$C82</f>
        <v>-23254.905603186671</v>
      </c>
      <c r="BZ50" s="406">
        <f ca="1">-BZ$40*Assumptions!$C82</f>
        <v>-24019.460472793638</v>
      </c>
      <c r="CA50" s="406">
        <f ca="1">-CA$40*Assumptions!$C82</f>
        <v>-41997.829076747053</v>
      </c>
      <c r="CB50" s="406">
        <f ca="1">-CB$40*Assumptions!$C82</f>
        <v>-48389.78899393756</v>
      </c>
      <c r="CC50" s="406">
        <f ca="1">-CC$40*Assumptions!$C82</f>
        <v>-43257.763949049477</v>
      </c>
      <c r="CD50" s="406">
        <f ca="1">-CD$40*Assumptions!$C82</f>
        <v>-38517.361899717245</v>
      </c>
      <c r="CE50" s="406">
        <f ca="1">-CE$40*Assumptions!$C82</f>
        <v>-23274.444597346152</v>
      </c>
      <c r="CF50" s="406">
        <f ca="1">-CF$40*Assumptions!$C82</f>
        <v>-15937.348362249131</v>
      </c>
      <c r="CG50" s="406">
        <f ca="1">-CG$40*Assumptions!$C82</f>
        <v>-37654.662777235419</v>
      </c>
      <c r="CH50" s="406">
        <f ca="1">-CH$40*Assumptions!$C82</f>
        <v>-51960.174318959223</v>
      </c>
      <c r="CI50" s="406">
        <f ca="1">-CI$40*Assumptions!$C82</f>
        <v>-51960.174318959223</v>
      </c>
      <c r="CJ50" s="406">
        <f ca="1">-CJ$40*Assumptions!$C82</f>
        <v>-41157.83057601616</v>
      </c>
      <c r="CK50" s="406">
        <f ca="1">-CK$40*Assumptions!$C82</f>
        <v>-23952.55277128227</v>
      </c>
      <c r="CL50" s="406">
        <f ca="1">-CL$40*Assumptions!$C82</f>
        <v>-24740.044286977452</v>
      </c>
      <c r="CM50" s="406">
        <f ca="1">-CM$40*Assumptions!$C82</f>
        <v>-43257.763949049477</v>
      </c>
      <c r="CN50" s="406">
        <f ca="1">-CN$40*Assumptions!$C82</f>
        <v>-49841.482663755691</v>
      </c>
      <c r="CO50" s="406">
        <f ca="1">-CO$40*Assumptions!$C82</f>
        <v>-44555.49686752096</v>
      </c>
      <c r="CP50" s="406">
        <f ca="1">-CP$40*Assumptions!$C82</f>
        <v>-39672.882756708765</v>
      </c>
      <c r="CQ50" s="406">
        <f ca="1">-CQ$40*Assumptions!$C82</f>
        <v>-23972.677935266536</v>
      </c>
      <c r="CR50" s="406">
        <f ca="1">-CR$40*Assumptions!$C82</f>
        <v>-16415.468813116604</v>
      </c>
      <c r="CS50" s="406">
        <f ca="1">-CS$40*Assumptions!$C82</f>
        <v>-38784.302660552486</v>
      </c>
      <c r="CT50" s="406">
        <f ca="1">-CT$40*Assumptions!$C82</f>
        <v>-53518.979548528012</v>
      </c>
      <c r="CU50" s="403"/>
      <c r="CV50" s="403"/>
      <c r="CW50" s="403"/>
      <c r="CX50" s="403"/>
      <c r="CY50" s="403"/>
      <c r="CZ50" s="403"/>
      <c r="DA50" s="403"/>
      <c r="DB50" s="403"/>
      <c r="DC50" s="403"/>
      <c r="DD50" s="403"/>
      <c r="DE50" s="403"/>
      <c r="DF50" s="403"/>
      <c r="DG50" s="403"/>
      <c r="DH50" s="403"/>
      <c r="DI50" s="403"/>
      <c r="DJ50" s="403"/>
      <c r="DK50" s="403"/>
      <c r="DL50" s="403"/>
      <c r="DM50" s="403"/>
      <c r="DN50" s="403"/>
      <c r="DO50" s="403"/>
      <c r="DP50" s="403"/>
      <c r="DQ50" s="403"/>
      <c r="DR50" s="403"/>
      <c r="DS50" s="403"/>
      <c r="DT50" s="403"/>
      <c r="DU50" s="403"/>
      <c r="DV50" s="403"/>
      <c r="DW50" s="403"/>
      <c r="DX50" s="403"/>
      <c r="DY50" s="403"/>
      <c r="DZ50" s="403"/>
      <c r="EA50" s="403"/>
      <c r="EB50" s="403"/>
      <c r="EC50" s="403"/>
      <c r="ED50" s="403"/>
    </row>
    <row r="51" spans="1:134" s="784" customFormat="1" ht="16" x14ac:dyDescent="0.2">
      <c r="A51" s="783"/>
      <c r="B51" s="408" t="s">
        <v>763</v>
      </c>
      <c r="C51" s="405">
        <f t="shared" ref="C51:AH51" si="48">C47+SUM(C49:C50)</f>
        <v>0</v>
      </c>
      <c r="D51" s="405">
        <f t="shared" si="48"/>
        <v>0</v>
      </c>
      <c r="E51" s="405">
        <f t="shared" si="48"/>
        <v>0</v>
      </c>
      <c r="F51" s="405">
        <f t="shared" si="48"/>
        <v>0</v>
      </c>
      <c r="G51" s="405">
        <f t="shared" si="48"/>
        <v>0</v>
      </c>
      <c r="H51" s="405">
        <f t="shared" si="48"/>
        <v>105390.63000000002</v>
      </c>
      <c r="I51" s="405">
        <f t="shared" si="48"/>
        <v>96393.476999999999</v>
      </c>
      <c r="J51" s="405">
        <f t="shared" si="48"/>
        <v>90138.389999999985</v>
      </c>
      <c r="K51" s="405">
        <f t="shared" si="48"/>
        <v>63017.459999999985</v>
      </c>
      <c r="L51" s="405">
        <f t="shared" si="48"/>
        <v>52607.868000000009</v>
      </c>
      <c r="M51" s="405">
        <f t="shared" si="48"/>
        <v>93284.010000000038</v>
      </c>
      <c r="N51" s="405">
        <f t="shared" si="48"/>
        <v>121413.82500000004</v>
      </c>
      <c r="O51" s="405">
        <f t="shared" si="48"/>
        <v>121413.82500000004</v>
      </c>
      <c r="P51" s="405">
        <f t="shared" si="48"/>
        <v>98364.588000000018</v>
      </c>
      <c r="Q51" s="405">
        <f t="shared" si="48"/>
        <v>65118.042000000016</v>
      </c>
      <c r="R51" s="405">
        <f t="shared" si="48"/>
        <v>63017.459999999985</v>
      </c>
      <c r="S51" s="405">
        <f t="shared" si="48"/>
        <v>96393.476999999999</v>
      </c>
      <c r="T51" s="405">
        <f t="shared" si="48"/>
        <v>108552.34889999997</v>
      </c>
      <c r="U51" s="405">
        <f t="shared" si="48"/>
        <v>99285.28131000002</v>
      </c>
      <c r="V51" s="405">
        <f t="shared" si="48"/>
        <v>92842.541699999972</v>
      </c>
      <c r="W51" s="405">
        <f t="shared" si="48"/>
        <v>64907.983800000002</v>
      </c>
      <c r="X51" s="405">
        <f t="shared" si="48"/>
        <v>54186.104039999998</v>
      </c>
      <c r="Y51" s="405">
        <f t="shared" si="48"/>
        <v>96082.530299999984</v>
      </c>
      <c r="Z51" s="405">
        <f t="shared" ca="1" si="48"/>
        <v>193877.21383616672</v>
      </c>
      <c r="AA51" s="405">
        <f t="shared" ca="1" si="48"/>
        <v>193877.21383616672</v>
      </c>
      <c r="AB51" s="405">
        <f t="shared" ca="1" si="48"/>
        <v>177326.18083376656</v>
      </c>
      <c r="AC51" s="405">
        <f t="shared" ca="1" si="48"/>
        <v>238240.32489446664</v>
      </c>
      <c r="AD51" s="405">
        <f t="shared" ca="1" si="48"/>
        <v>327345.44108066661</v>
      </c>
      <c r="AE51" s="405">
        <f t="shared" ca="1" si="48"/>
        <v>446214.15875096666</v>
      </c>
      <c r="AF51" s="405">
        <f t="shared" ca="1" si="48"/>
        <v>641888.08562966669</v>
      </c>
      <c r="AG51" s="405">
        <f t="shared" ca="1" si="48"/>
        <v>616945.6084003665</v>
      </c>
      <c r="AH51" s="405">
        <f t="shared" ca="1" si="48"/>
        <v>506215.10130966676</v>
      </c>
      <c r="AI51" s="405">
        <f t="shared" ref="AI51:BN51" ca="1" si="49">AI47+SUM(AI49:AI50)</f>
        <v>339387.37749266659</v>
      </c>
      <c r="AJ51" s="405">
        <f t="shared" ca="1" si="49"/>
        <v>216855.96516546668</v>
      </c>
      <c r="AK51" s="405">
        <f t="shared" ca="1" si="49"/>
        <v>327766.22584766685</v>
      </c>
      <c r="AL51" s="405">
        <f t="shared" ca="1" si="49"/>
        <v>403575.80056316667</v>
      </c>
      <c r="AM51" s="405">
        <f t="shared" ca="1" si="49"/>
        <v>403575.80056316667</v>
      </c>
      <c r="AN51" s="405">
        <f t="shared" ca="1" si="49"/>
        <v>342606.98832546663</v>
      </c>
      <c r="AO51" s="405">
        <f t="shared" ca="1" si="49"/>
        <v>344561.00274686655</v>
      </c>
      <c r="AP51" s="405">
        <f t="shared" ca="1" si="49"/>
        <v>433143.35409266659</v>
      </c>
      <c r="AQ51" s="405">
        <f t="shared" ca="1" si="49"/>
        <v>616945.6084003665</v>
      </c>
      <c r="AR51" s="405">
        <f t="shared" ca="1" si="49"/>
        <v>666383.51442026999</v>
      </c>
      <c r="AS51" s="405">
        <f t="shared" ca="1" si="49"/>
        <v>644684.90942065092</v>
      </c>
      <c r="AT51" s="405">
        <f t="shared" ca="1" si="49"/>
        <v>532542.91395348194</v>
      </c>
      <c r="AU51" s="405">
        <f t="shared" ca="1" si="49"/>
        <v>367749.38618796063</v>
      </c>
      <c r="AV51" s="405">
        <f t="shared" ca="1" si="49"/>
        <v>245965.56474246469</v>
      </c>
      <c r="AW51" s="405">
        <f t="shared" ca="1" si="49"/>
        <v>346535.59917303908</v>
      </c>
      <c r="AX51" s="405">
        <f t="shared" ca="1" si="49"/>
        <v>417272.300003329</v>
      </c>
      <c r="AY51" s="405">
        <f t="shared" ca="1" si="49"/>
        <v>417272.300003329</v>
      </c>
      <c r="AZ51" s="405">
        <f t="shared" ca="1" si="49"/>
        <v>357781.39844882995</v>
      </c>
      <c r="BA51" s="405">
        <f t="shared" ca="1" si="49"/>
        <v>373680.89977880358</v>
      </c>
      <c r="BB51" s="405">
        <f t="shared" ca="1" si="49"/>
        <v>464318.04208596074</v>
      </c>
      <c r="BC51" s="405">
        <f t="shared" ca="1" si="49"/>
        <v>644684.90942065092</v>
      </c>
      <c r="BD51" s="405">
        <f t="shared" ca="1" si="49"/>
        <v>686475.01985287864</v>
      </c>
      <c r="BE51" s="405">
        <f t="shared" ca="1" si="49"/>
        <v>664125.45670327079</v>
      </c>
      <c r="BF51" s="405">
        <f t="shared" ca="1" si="49"/>
        <v>548619.2013720863</v>
      </c>
      <c r="BG51" s="405">
        <f t="shared" ca="1" si="49"/>
        <v>378881.86777359946</v>
      </c>
      <c r="BH51" s="405">
        <f t="shared" ca="1" si="49"/>
        <v>253444.53168473858</v>
      </c>
      <c r="BI51" s="405">
        <f t="shared" ca="1" si="49"/>
        <v>357031.6671482299</v>
      </c>
      <c r="BJ51" s="405">
        <f t="shared" ca="1" si="49"/>
        <v>429890.46900342923</v>
      </c>
      <c r="BK51" s="405">
        <f t="shared" ca="1" si="49"/>
        <v>429890.46900342923</v>
      </c>
      <c r="BL51" s="405">
        <f t="shared" ca="1" si="49"/>
        <v>368614.84040229488</v>
      </c>
      <c r="BM51" s="405">
        <f t="shared" ca="1" si="49"/>
        <v>384991.32677216781</v>
      </c>
      <c r="BN51" s="405">
        <f t="shared" ca="1" si="49"/>
        <v>478347.5833485396</v>
      </c>
      <c r="BO51" s="405">
        <f t="shared" ref="BO51:CT51" ca="1" si="50">BO47+SUM(BO49:BO50)</f>
        <v>664125.45670327079</v>
      </c>
      <c r="BP51" s="405">
        <f t="shared" ca="1" si="50"/>
        <v>707169.27044846467</v>
      </c>
      <c r="BQ51" s="405">
        <f t="shared" ca="1" si="50"/>
        <v>684149.22040436883</v>
      </c>
      <c r="BR51" s="405">
        <f t="shared" ca="1" si="50"/>
        <v>565177.77741324855</v>
      </c>
      <c r="BS51" s="405">
        <f t="shared" ca="1" si="50"/>
        <v>390348.32380680734</v>
      </c>
      <c r="BT51" s="405">
        <f t="shared" ca="1" si="50"/>
        <v>261147.86763528083</v>
      </c>
      <c r="BU51" s="405">
        <f t="shared" ca="1" si="50"/>
        <v>367842.61716267676</v>
      </c>
      <c r="BV51" s="405">
        <f t="shared" ca="1" si="50"/>
        <v>442887.18307353184</v>
      </c>
      <c r="BW51" s="405">
        <f t="shared" ca="1" si="50"/>
        <v>442887.18307353184</v>
      </c>
      <c r="BX51" s="405">
        <f t="shared" ca="1" si="50"/>
        <v>389796.74746813171</v>
      </c>
      <c r="BY51" s="405">
        <f t="shared" ca="1" si="50"/>
        <v>396641.06657533278</v>
      </c>
      <c r="BZ51" s="405">
        <f t="shared" ca="1" si="50"/>
        <v>492798.01084899565</v>
      </c>
      <c r="CA51" s="405">
        <f t="shared" ca="1" si="50"/>
        <v>684149.22040436883</v>
      </c>
      <c r="CB51" s="405">
        <f t="shared" ca="1" si="50"/>
        <v>728484.3485619186</v>
      </c>
      <c r="CC51" s="405">
        <f t="shared" ca="1" si="50"/>
        <v>704773.69701650005</v>
      </c>
      <c r="CD51" s="405">
        <f t="shared" ca="1" si="50"/>
        <v>582233.11073564645</v>
      </c>
      <c r="CE51" s="405">
        <f t="shared" ca="1" si="50"/>
        <v>402158.77352101146</v>
      </c>
      <c r="CF51" s="405">
        <f t="shared" ca="1" si="50"/>
        <v>269082.30366433918</v>
      </c>
      <c r="CG51" s="405">
        <f t="shared" ca="1" si="50"/>
        <v>378977.89567755698</v>
      </c>
      <c r="CH51" s="405">
        <f t="shared" ca="1" si="50"/>
        <v>456273.79856573808</v>
      </c>
      <c r="CI51" s="405">
        <f t="shared" ca="1" si="50"/>
        <v>456273.79856573808</v>
      </c>
      <c r="CJ51" s="405">
        <f t="shared" ca="1" si="50"/>
        <v>391266.48418279469</v>
      </c>
      <c r="CK51" s="405">
        <f t="shared" ca="1" si="50"/>
        <v>408640.29857259273</v>
      </c>
      <c r="CL51" s="405">
        <f t="shared" ca="1" si="50"/>
        <v>507681.95117446542</v>
      </c>
      <c r="CM51" s="405">
        <f t="shared" ca="1" si="50"/>
        <v>704773.69701650005</v>
      </c>
      <c r="CN51" s="405">
        <f t="shared" ca="1" si="50"/>
        <v>750438.87901877612</v>
      </c>
      <c r="CO51" s="405">
        <f t="shared" ca="1" si="50"/>
        <v>726016.90792699566</v>
      </c>
      <c r="CP51" s="405">
        <f t="shared" ca="1" si="50"/>
        <v>599800.10405771586</v>
      </c>
      <c r="CQ51" s="405">
        <f t="shared" ca="1" si="50"/>
        <v>414323.53672664193</v>
      </c>
      <c r="CR51" s="405">
        <f t="shared" ca="1" si="50"/>
        <v>277254.77277426957</v>
      </c>
      <c r="CS51" s="405">
        <f t="shared" ca="1" si="50"/>
        <v>390447.23254788376</v>
      </c>
      <c r="CT51" s="405">
        <f t="shared" ca="1" si="50"/>
        <v>470062.01252271043</v>
      </c>
      <c r="CU51" s="405"/>
      <c r="CV51" s="405"/>
      <c r="CW51" s="405"/>
      <c r="CX51" s="405"/>
      <c r="CY51" s="405"/>
      <c r="CZ51" s="405"/>
      <c r="DA51" s="405"/>
      <c r="DB51" s="405"/>
      <c r="DC51" s="405"/>
      <c r="DD51" s="405"/>
      <c r="DE51" s="405"/>
      <c r="DF51" s="405"/>
      <c r="DG51" s="405"/>
      <c r="DH51" s="405"/>
      <c r="DI51" s="405"/>
      <c r="DJ51" s="405"/>
      <c r="DK51" s="405"/>
      <c r="DL51" s="405"/>
      <c r="DM51" s="405"/>
      <c r="DN51" s="405"/>
      <c r="DO51" s="405"/>
      <c r="DP51" s="405"/>
      <c r="DQ51" s="405"/>
      <c r="DR51" s="405"/>
      <c r="DS51" s="405"/>
      <c r="DT51" s="405"/>
      <c r="DU51" s="405"/>
      <c r="DV51" s="405"/>
      <c r="DW51" s="405"/>
      <c r="DX51" s="405"/>
      <c r="DY51" s="405"/>
      <c r="DZ51" s="405"/>
      <c r="EA51" s="405"/>
      <c r="EB51" s="405"/>
      <c r="EC51" s="405"/>
      <c r="ED51" s="405"/>
    </row>
    <row r="52" spans="1:134" s="404" customFormat="1" ht="16" x14ac:dyDescent="0.2">
      <c r="A52" s="402"/>
      <c r="B52" s="294"/>
      <c r="C52" s="405"/>
      <c r="D52" s="405"/>
      <c r="E52" s="405"/>
      <c r="F52" s="405"/>
      <c r="G52" s="405"/>
      <c r="H52" s="405"/>
      <c r="I52" s="405"/>
      <c r="J52" s="405"/>
      <c r="K52" s="405"/>
      <c r="L52" s="405"/>
      <c r="M52" s="405"/>
      <c r="N52" s="405"/>
      <c r="O52" s="405"/>
      <c r="P52" s="405"/>
      <c r="Q52" s="405"/>
      <c r="R52" s="405"/>
      <c r="S52" s="405"/>
      <c r="T52" s="405"/>
      <c r="U52" s="405"/>
      <c r="V52" s="405"/>
      <c r="W52" s="405"/>
      <c r="X52" s="405"/>
      <c r="Y52" s="405"/>
      <c r="Z52" s="405"/>
      <c r="AA52" s="405"/>
      <c r="AB52" s="405"/>
      <c r="AC52" s="405"/>
      <c r="AD52" s="405"/>
      <c r="AE52" s="405"/>
      <c r="AF52" s="405"/>
      <c r="AG52" s="405"/>
      <c r="AH52" s="405"/>
      <c r="AI52" s="405"/>
      <c r="AJ52" s="405"/>
      <c r="AK52" s="405"/>
      <c r="AL52" s="405"/>
      <c r="AM52" s="405"/>
      <c r="AN52" s="405"/>
      <c r="AO52" s="405"/>
      <c r="AP52" s="405"/>
      <c r="AQ52" s="405"/>
      <c r="AR52" s="405"/>
      <c r="AS52" s="405"/>
      <c r="AT52" s="405"/>
      <c r="AU52" s="405"/>
      <c r="AV52" s="405"/>
      <c r="AW52" s="405"/>
      <c r="AX52" s="405"/>
      <c r="AY52" s="405"/>
      <c r="AZ52" s="405"/>
      <c r="BA52" s="405"/>
      <c r="BB52" s="405"/>
      <c r="BC52" s="405"/>
      <c r="BD52" s="405"/>
      <c r="BE52" s="405"/>
      <c r="BF52" s="405"/>
      <c r="BG52" s="405"/>
      <c r="BH52" s="405"/>
      <c r="BI52" s="405"/>
      <c r="BJ52" s="405"/>
      <c r="BK52" s="405"/>
      <c r="BL52" s="405"/>
      <c r="BM52" s="405"/>
      <c r="BN52" s="405"/>
      <c r="BO52" s="405"/>
      <c r="BP52" s="405"/>
      <c r="BQ52" s="405"/>
      <c r="BR52" s="405"/>
      <c r="BS52" s="405"/>
      <c r="BT52" s="405"/>
      <c r="BU52" s="405"/>
      <c r="BV52" s="405"/>
      <c r="BW52" s="405"/>
      <c r="BX52" s="405"/>
      <c r="BY52" s="405"/>
      <c r="BZ52" s="405"/>
      <c r="CA52" s="405"/>
      <c r="CB52" s="405"/>
      <c r="CC52" s="405"/>
      <c r="CD52" s="405"/>
      <c r="CE52" s="405"/>
      <c r="CF52" s="405"/>
      <c r="CG52" s="405"/>
      <c r="CH52" s="405"/>
      <c r="CI52" s="405"/>
      <c r="CJ52" s="405"/>
      <c r="CK52" s="405"/>
      <c r="CL52" s="405"/>
      <c r="CM52" s="405"/>
      <c r="CN52" s="405"/>
      <c r="CO52" s="405"/>
      <c r="CP52" s="405"/>
      <c r="CQ52" s="405"/>
      <c r="CR52" s="405"/>
      <c r="CS52" s="405"/>
      <c r="CT52" s="405"/>
      <c r="CU52" s="405"/>
      <c r="CV52" s="405"/>
      <c r="CW52" s="405"/>
      <c r="CX52" s="405"/>
      <c r="CY52" s="405"/>
      <c r="CZ52" s="405"/>
      <c r="DA52" s="405"/>
      <c r="DB52" s="405"/>
      <c r="DC52" s="405"/>
      <c r="DD52" s="405"/>
      <c r="DE52" s="405"/>
      <c r="DF52" s="405"/>
      <c r="DG52" s="405"/>
      <c r="DH52" s="405"/>
      <c r="DI52" s="405"/>
      <c r="DJ52" s="405"/>
      <c r="DK52" s="405"/>
      <c r="DL52" s="405"/>
      <c r="DM52" s="405"/>
      <c r="DN52" s="405"/>
      <c r="DO52" s="405"/>
      <c r="DP52" s="405"/>
      <c r="DQ52" s="405"/>
      <c r="DR52" s="405"/>
      <c r="DS52" s="405"/>
      <c r="DT52" s="405"/>
      <c r="DU52" s="405"/>
      <c r="DV52" s="405"/>
      <c r="DW52" s="405"/>
      <c r="DX52" s="405"/>
      <c r="DY52" s="405"/>
      <c r="DZ52" s="405"/>
      <c r="EA52" s="405"/>
      <c r="EB52" s="405"/>
      <c r="EC52" s="405"/>
      <c r="ED52" s="405"/>
    </row>
    <row r="53" spans="1:134" s="404" customFormat="1" ht="16" x14ac:dyDescent="0.2">
      <c r="A53" s="402"/>
      <c r="B53" s="294" t="s">
        <v>764</v>
      </c>
      <c r="C53" s="403"/>
      <c r="D53" s="403"/>
      <c r="E53" s="403"/>
      <c r="F53" s="403"/>
      <c r="G53" s="403"/>
      <c r="H53" s="403">
        <f>-Assumptions!$C$83/12</f>
        <v>-2083.3333333333335</v>
      </c>
      <c r="I53" s="403">
        <f>-Assumptions!$C$83/12</f>
        <v>-2083.3333333333335</v>
      </c>
      <c r="J53" s="403">
        <f>-Assumptions!$C$83/12</f>
        <v>-2083.3333333333335</v>
      </c>
      <c r="K53" s="403">
        <f>-Assumptions!$C$83/12</f>
        <v>-2083.3333333333335</v>
      </c>
      <c r="L53" s="403">
        <f>-Assumptions!$C$83/12</f>
        <v>-2083.3333333333335</v>
      </c>
      <c r="M53" s="403">
        <f>-Assumptions!$C$83/12</f>
        <v>-2083.3333333333335</v>
      </c>
      <c r="N53" s="403">
        <f>-Assumptions!$C$83/12</f>
        <v>-2083.3333333333335</v>
      </c>
      <c r="O53" s="403">
        <f>-Assumptions!$C$83/12</f>
        <v>-2083.3333333333335</v>
      </c>
      <c r="P53" s="403">
        <f>-Assumptions!$C$83/12</f>
        <v>-2083.3333333333335</v>
      </c>
      <c r="Q53" s="403">
        <f>-Assumptions!$C$83/12</f>
        <v>-2083.3333333333335</v>
      </c>
      <c r="R53" s="403">
        <f>-Assumptions!$C$83/12</f>
        <v>-2083.3333333333335</v>
      </c>
      <c r="S53" s="403">
        <f>-Assumptions!$C$83/12</f>
        <v>-2083.3333333333335</v>
      </c>
      <c r="T53" s="403">
        <f>-Assumptions!$C$83/12</f>
        <v>-2083.3333333333335</v>
      </c>
      <c r="U53" s="403">
        <f>-Assumptions!$C$83/12</f>
        <v>-2083.3333333333335</v>
      </c>
      <c r="V53" s="403">
        <f>-Assumptions!$C$83/12</f>
        <v>-2083.3333333333335</v>
      </c>
      <c r="W53" s="403">
        <f>-Assumptions!$C$83/12</f>
        <v>-2083.3333333333335</v>
      </c>
      <c r="X53" s="403">
        <f>-Assumptions!$C$83/12</f>
        <v>-2083.3333333333335</v>
      </c>
      <c r="Y53" s="403">
        <f>-Assumptions!$C$83/12</f>
        <v>-2083.3333333333335</v>
      </c>
      <c r="Z53" s="403">
        <f>-Assumptions!$C$83/12</f>
        <v>-2083.3333333333335</v>
      </c>
      <c r="AA53" s="403">
        <f>-Assumptions!$C$83/12</f>
        <v>-2083.3333333333335</v>
      </c>
      <c r="AB53" s="403">
        <f>-Assumptions!$C$83/12</f>
        <v>-2083.3333333333335</v>
      </c>
      <c r="AC53" s="403">
        <f>-Assumptions!$C$83/12</f>
        <v>-2083.3333333333335</v>
      </c>
      <c r="AD53" s="403">
        <f>-Assumptions!$C$83/12</f>
        <v>-2083.3333333333335</v>
      </c>
      <c r="AE53" s="403">
        <f>-Assumptions!$C$83/12</f>
        <v>-2083.3333333333335</v>
      </c>
      <c r="AF53" s="403">
        <f>-Assumptions!$C$83/12</f>
        <v>-2083.3333333333335</v>
      </c>
      <c r="AG53" s="403">
        <f>-Assumptions!$C$83/12</f>
        <v>-2083.3333333333335</v>
      </c>
      <c r="AH53" s="403">
        <f>-Assumptions!$C$83/12</f>
        <v>-2083.3333333333335</v>
      </c>
      <c r="AI53" s="403">
        <f>-Assumptions!$C$83/12</f>
        <v>-2083.3333333333335</v>
      </c>
      <c r="AJ53" s="403">
        <f>-Assumptions!$C$83/12</f>
        <v>-2083.3333333333335</v>
      </c>
      <c r="AK53" s="403">
        <f>-Assumptions!$C$83/12</f>
        <v>-2083.3333333333335</v>
      </c>
      <c r="AL53" s="403">
        <f>-Assumptions!$C$83/12</f>
        <v>-2083.3333333333335</v>
      </c>
      <c r="AM53" s="403">
        <f>-Assumptions!$C$83/12</f>
        <v>-2083.3333333333335</v>
      </c>
      <c r="AN53" s="403">
        <f>-Assumptions!$C$83/12</f>
        <v>-2083.3333333333335</v>
      </c>
      <c r="AO53" s="403">
        <f>-Assumptions!$C$83/12</f>
        <v>-2083.3333333333335</v>
      </c>
      <c r="AP53" s="403">
        <f>-Assumptions!$C$83/12</f>
        <v>-2083.3333333333335</v>
      </c>
      <c r="AQ53" s="403">
        <f>-Assumptions!$C$83/12</f>
        <v>-2083.3333333333335</v>
      </c>
      <c r="AR53" s="403">
        <f>-Assumptions!$C$83/12</f>
        <v>-2083.3333333333335</v>
      </c>
      <c r="AS53" s="403">
        <f>-Assumptions!$C$83/12</f>
        <v>-2083.3333333333335</v>
      </c>
      <c r="AT53" s="403">
        <f>-Assumptions!$C$83/12</f>
        <v>-2083.3333333333335</v>
      </c>
      <c r="AU53" s="403">
        <f>-Assumptions!$C$83/12</f>
        <v>-2083.3333333333335</v>
      </c>
      <c r="AV53" s="403">
        <f>-Assumptions!$C$83/12</f>
        <v>-2083.3333333333335</v>
      </c>
      <c r="AW53" s="403">
        <f>-Assumptions!$C$83/12</f>
        <v>-2083.3333333333335</v>
      </c>
      <c r="AX53" s="403">
        <f>-Assumptions!$C$83/12</f>
        <v>-2083.3333333333335</v>
      </c>
      <c r="AY53" s="403">
        <f>-Assumptions!$C$83/12</f>
        <v>-2083.3333333333335</v>
      </c>
      <c r="AZ53" s="403">
        <f>-Assumptions!$C$83/12</f>
        <v>-2083.3333333333335</v>
      </c>
      <c r="BA53" s="403">
        <f>-Assumptions!$C$83/12</f>
        <v>-2083.3333333333335</v>
      </c>
      <c r="BB53" s="403">
        <f>-Assumptions!$C$83/12</f>
        <v>-2083.3333333333335</v>
      </c>
      <c r="BC53" s="403">
        <f>-Assumptions!$C$83/12</f>
        <v>-2083.3333333333335</v>
      </c>
      <c r="BD53" s="403">
        <f>-Assumptions!$C$83/12</f>
        <v>-2083.3333333333335</v>
      </c>
      <c r="BE53" s="403">
        <f>-Assumptions!$C$83/12</f>
        <v>-2083.3333333333335</v>
      </c>
      <c r="BF53" s="403">
        <f>-Assumptions!$C$83/12</f>
        <v>-2083.3333333333335</v>
      </c>
      <c r="BG53" s="403">
        <f>-Assumptions!$C$83/12</f>
        <v>-2083.3333333333335</v>
      </c>
      <c r="BH53" s="403">
        <f>-Assumptions!$C$83/12</f>
        <v>-2083.3333333333335</v>
      </c>
      <c r="BI53" s="403">
        <f>-Assumptions!$C$83/12</f>
        <v>-2083.3333333333335</v>
      </c>
      <c r="BJ53" s="403">
        <f>-Assumptions!$C$83/12</f>
        <v>-2083.3333333333335</v>
      </c>
      <c r="BK53" s="403">
        <f>-Assumptions!$C$83/12</f>
        <v>-2083.3333333333335</v>
      </c>
      <c r="BL53" s="403">
        <f>-Assumptions!$C$83/12</f>
        <v>-2083.3333333333335</v>
      </c>
      <c r="BM53" s="403">
        <f>-Assumptions!$C$83/12</f>
        <v>-2083.3333333333335</v>
      </c>
      <c r="BN53" s="403">
        <f>-Assumptions!$C$83/12</f>
        <v>-2083.3333333333335</v>
      </c>
      <c r="BO53" s="403">
        <f>-Assumptions!$C$83/12</f>
        <v>-2083.3333333333335</v>
      </c>
      <c r="BP53" s="403">
        <f>-Assumptions!$C$83/12</f>
        <v>-2083.3333333333335</v>
      </c>
      <c r="BQ53" s="403">
        <f>-Assumptions!$C$83/12</f>
        <v>-2083.3333333333335</v>
      </c>
      <c r="BR53" s="403">
        <f>-Assumptions!$C$83/12</f>
        <v>-2083.3333333333335</v>
      </c>
      <c r="BS53" s="403">
        <f>-Assumptions!$C$83/12</f>
        <v>-2083.3333333333335</v>
      </c>
      <c r="BT53" s="403">
        <f>-Assumptions!$C$83/12</f>
        <v>-2083.3333333333335</v>
      </c>
      <c r="BU53" s="403">
        <f>-Assumptions!$C$83/12</f>
        <v>-2083.3333333333335</v>
      </c>
      <c r="BV53" s="403">
        <f>-Assumptions!$C$83/12</f>
        <v>-2083.3333333333335</v>
      </c>
      <c r="BW53" s="403">
        <f>-Assumptions!$C$83/12</f>
        <v>-2083.3333333333335</v>
      </c>
      <c r="BX53" s="403">
        <f>-Assumptions!$C$83/12</f>
        <v>-2083.3333333333335</v>
      </c>
      <c r="BY53" s="403">
        <f>-Assumptions!$C$83/12</f>
        <v>-2083.3333333333335</v>
      </c>
      <c r="BZ53" s="403">
        <f>-Assumptions!$C$83/12</f>
        <v>-2083.3333333333335</v>
      </c>
      <c r="CA53" s="403">
        <f>-Assumptions!$C$83/12</f>
        <v>-2083.3333333333335</v>
      </c>
      <c r="CB53" s="403">
        <f>-Assumptions!$C$83/12</f>
        <v>-2083.3333333333335</v>
      </c>
      <c r="CC53" s="403">
        <f>-Assumptions!$C$83/12</f>
        <v>-2083.3333333333335</v>
      </c>
      <c r="CD53" s="403">
        <f>-Assumptions!$C$83/12</f>
        <v>-2083.3333333333335</v>
      </c>
      <c r="CE53" s="403">
        <f>-Assumptions!$C$83/12</f>
        <v>-2083.3333333333335</v>
      </c>
      <c r="CF53" s="403">
        <f>-Assumptions!$C$83/12</f>
        <v>-2083.3333333333335</v>
      </c>
      <c r="CG53" s="403">
        <f>-Assumptions!$C$83/12</f>
        <v>-2083.3333333333335</v>
      </c>
      <c r="CH53" s="403">
        <f>-Assumptions!$C$83/12</f>
        <v>-2083.3333333333335</v>
      </c>
      <c r="CI53" s="403">
        <f>-Assumptions!$C$83/12</f>
        <v>-2083.3333333333335</v>
      </c>
      <c r="CJ53" s="403">
        <f>-Assumptions!$C$83/12</f>
        <v>-2083.3333333333335</v>
      </c>
      <c r="CK53" s="403">
        <f>-Assumptions!$C$83/12</f>
        <v>-2083.3333333333335</v>
      </c>
      <c r="CL53" s="403">
        <f>-Assumptions!$C$83/12</f>
        <v>-2083.3333333333335</v>
      </c>
      <c r="CM53" s="403">
        <f>-Assumptions!$C$83/12</f>
        <v>-2083.3333333333335</v>
      </c>
      <c r="CN53" s="403">
        <f>-Assumptions!$C$83/12</f>
        <v>-2083.3333333333335</v>
      </c>
      <c r="CO53" s="403">
        <f>-Assumptions!$C$83/12</f>
        <v>-2083.3333333333335</v>
      </c>
      <c r="CP53" s="403">
        <f>-Assumptions!$C$83/12</f>
        <v>-2083.3333333333335</v>
      </c>
      <c r="CQ53" s="403">
        <f>-Assumptions!$C$83/12</f>
        <v>-2083.3333333333335</v>
      </c>
      <c r="CR53" s="403">
        <f>-Assumptions!$C$83/12</f>
        <v>-2083.3333333333335</v>
      </c>
      <c r="CS53" s="403">
        <f>-Assumptions!$C$83/12</f>
        <v>-2083.3333333333335</v>
      </c>
      <c r="CT53" s="403">
        <f>-Assumptions!$C$83/12</f>
        <v>-2083.3333333333335</v>
      </c>
      <c r="CU53" s="403"/>
      <c r="CV53" s="403"/>
      <c r="CW53" s="403"/>
      <c r="CX53" s="403"/>
      <c r="CY53" s="403"/>
      <c r="CZ53" s="403"/>
      <c r="DA53" s="403"/>
      <c r="DB53" s="403"/>
      <c r="DC53" s="403"/>
      <c r="DD53" s="403"/>
      <c r="DE53" s="403"/>
      <c r="DF53" s="403"/>
      <c r="DG53" s="403"/>
      <c r="DH53" s="403"/>
      <c r="DI53" s="403"/>
      <c r="DJ53" s="403"/>
      <c r="DK53" s="403"/>
      <c r="DL53" s="403"/>
      <c r="DM53" s="403"/>
      <c r="DN53" s="403"/>
      <c r="DO53" s="403"/>
      <c r="DP53" s="403"/>
      <c r="DQ53" s="403"/>
      <c r="DR53" s="403"/>
      <c r="DS53" s="403"/>
      <c r="DT53" s="403"/>
      <c r="DU53" s="403"/>
      <c r="DV53" s="403"/>
      <c r="DW53" s="403"/>
      <c r="DX53" s="403"/>
      <c r="DY53" s="403"/>
      <c r="DZ53" s="403"/>
      <c r="EA53" s="403"/>
      <c r="EB53" s="403"/>
      <c r="EC53" s="403"/>
      <c r="ED53" s="403"/>
    </row>
    <row r="54" spans="1:134" s="404" customFormat="1" ht="16" x14ac:dyDescent="0.2">
      <c r="A54" s="402"/>
      <c r="B54" s="409" t="s">
        <v>127</v>
      </c>
      <c r="C54" s="406">
        <f>-C$40*Assumptions!$C84</f>
        <v>0</v>
      </c>
      <c r="D54" s="406">
        <f>-D$40*Assumptions!$C84</f>
        <v>0</v>
      </c>
      <c r="E54" s="406">
        <f>-E$40*Assumptions!$C84</f>
        <v>0</v>
      </c>
      <c r="F54" s="406">
        <f>-F$40*Assumptions!$C84</f>
        <v>0</v>
      </c>
      <c r="G54" s="406">
        <f>-G$40*Assumptions!$C84</f>
        <v>0</v>
      </c>
      <c r="H54" s="406">
        <f>-H$40*Assumptions!$C84</f>
        <v>-3865.59</v>
      </c>
      <c r="I54" s="406">
        <f>-I$40*Assumptions!$C84</f>
        <v>-3438.8609999999999</v>
      </c>
      <c r="J54" s="406">
        <f>-J$40*Assumptions!$C84</f>
        <v>-3161.07</v>
      </c>
      <c r="K54" s="406">
        <f>-K$40*Assumptions!$C84</f>
        <v>-1983.78</v>
      </c>
      <c r="L54" s="406">
        <f>-L$40*Assumptions!$C84</f>
        <v>-1494.3240000000001</v>
      </c>
      <c r="M54" s="406">
        <f>-M$40*Assumptions!$C84</f>
        <v>-3327.9300000000007</v>
      </c>
      <c r="N54" s="406">
        <f>-N$40*Assumptions!$C84</f>
        <v>-4550.0250000000005</v>
      </c>
      <c r="O54" s="406">
        <f>-O$40*Assumptions!$C84</f>
        <v>-4550.0250000000005</v>
      </c>
      <c r="P54" s="406">
        <f>-P$40*Assumptions!$C84</f>
        <v>-3607.8840000000005</v>
      </c>
      <c r="Q54" s="406">
        <f>-Q$40*Assumptions!$C84</f>
        <v>-2049.9059999999999</v>
      </c>
      <c r="R54" s="406">
        <f>-R$40*Assumptions!$C84</f>
        <v>-1983.78</v>
      </c>
      <c r="S54" s="406">
        <f>-S$40*Assumptions!$C84</f>
        <v>-3438.8609999999999</v>
      </c>
      <c r="T54" s="406">
        <f>-T$40*Assumptions!$C84</f>
        <v>-3981.5576999999989</v>
      </c>
      <c r="U54" s="406">
        <f>-U$40*Assumptions!$C84</f>
        <v>-3542.0268300000002</v>
      </c>
      <c r="V54" s="406">
        <f>-V$40*Assumptions!$C84</f>
        <v>-3255.9020999999998</v>
      </c>
      <c r="W54" s="406">
        <f>-W$40*Assumptions!$C84</f>
        <v>-2043.2933999999998</v>
      </c>
      <c r="X54" s="406">
        <f>-X$40*Assumptions!$C84</f>
        <v>-1539.1537199999998</v>
      </c>
      <c r="Y54" s="406">
        <f>-Y$40*Assumptions!$C84</f>
        <v>-3427.7678999999998</v>
      </c>
      <c r="Z54" s="406">
        <f ca="1">-Z$40*Assumptions!$C84</f>
        <v>-9106.0300426666654</v>
      </c>
      <c r="AA54" s="406">
        <f ca="1">-AA$40*Assumptions!$C84</f>
        <v>-9106.0300426666654</v>
      </c>
      <c r="AB54" s="406">
        <f ca="1">-AB$40*Assumptions!$C84</f>
        <v>-7671.217959466665</v>
      </c>
      <c r="AC54" s="406">
        <f ca="1">-AC$40*Assumptions!$C84</f>
        <v>-5901.9875637333344</v>
      </c>
      <c r="AD54" s="406">
        <f ca="1">-AD$40*Assumptions!$C84</f>
        <v>-7057.4038520000004</v>
      </c>
      <c r="AE54" s="406">
        <f ca="1">-AE$40*Assumptions!$C84</f>
        <v>-10912.844589066666</v>
      </c>
      <c r="AF54" s="406">
        <f ca="1">-AF$40*Assumptions!$C84</f>
        <v>-31320.196576916675</v>
      </c>
      <c r="AG54" s="406">
        <f ca="1">-AG$40*Assumptions!$C84</f>
        <v>-28164.592228141672</v>
      </c>
      <c r="AH54" s="406">
        <f ca="1">-AH$40*Assumptions!$C84</f>
        <v>-24849.431525250002</v>
      </c>
      <c r="AI54" s="406">
        <f ca="1">-AI$40*Assumptions!$C84</f>
        <v>-15079.450478833334</v>
      </c>
      <c r="AJ54" s="406">
        <f ca="1">-AJ$40*Assumptions!$C84</f>
        <v>-10167.132674566668</v>
      </c>
      <c r="AK54" s="406">
        <f ca="1">-AK$40*Assumptions!$C84</f>
        <v>-23517.579433416679</v>
      </c>
      <c r="AL54" s="406">
        <f ca="1">-AL$40*Assumptions!$C84</f>
        <v>-32310.070648041674</v>
      </c>
      <c r="AM54" s="406">
        <f ca="1">-AM$40*Assumptions!$C84</f>
        <v>-32310.070648041674</v>
      </c>
      <c r="AN54" s="406">
        <f ca="1">-AN$40*Assumptions!$C84</f>
        <v>-25672.928804566676</v>
      </c>
      <c r="AO54" s="406">
        <f ca="1">-AO$40*Assumptions!$C84</f>
        <v>-15495.287738683333</v>
      </c>
      <c r="AP54" s="406">
        <f ca="1">-AP$40*Assumptions!$C84</f>
        <v>-16381.616820500001</v>
      </c>
      <c r="AQ54" s="406">
        <f ca="1">-AQ$40*Assumptions!$C84</f>
        <v>-28164.592228141672</v>
      </c>
      <c r="AR54" s="406">
        <f ca="1">-AR$40*Assumptions!$C84</f>
        <v>-44283.511795661281</v>
      </c>
      <c r="AS54" s="406">
        <f ca="1">-AS$40*Assumptions!$C84</f>
        <v>-39586.981880240412</v>
      </c>
      <c r="AT54" s="406">
        <f ca="1">-AT$40*Assumptions!$C84</f>
        <v>-35248.842482813394</v>
      </c>
      <c r="AU54" s="406">
        <f ca="1">-AU$40*Assumptions!$C84</f>
        <v>-21299.41384933854</v>
      </c>
      <c r="AV54" s="406">
        <f ca="1">-AV$40*Assumptions!$C84</f>
        <v>-14584.931425918026</v>
      </c>
      <c r="AW54" s="406">
        <f ca="1">-AW$40*Assumptions!$C84</f>
        <v>-34459.350576342869</v>
      </c>
      <c r="AX54" s="406">
        <f ca="1">-AX$40*Assumptions!$C84</f>
        <v>-47550.920146531767</v>
      </c>
      <c r="AY54" s="406">
        <f ca="1">-AY$40*Assumptions!$C84</f>
        <v>-47550.920146531767</v>
      </c>
      <c r="AZ54" s="406">
        <f ca="1">-AZ$40*Assumptions!$C84</f>
        <v>-37665.245368711636</v>
      </c>
      <c r="BA54" s="406">
        <f ca="1">-BA$40*Assumptions!$C84</f>
        <v>-21919.97888885537</v>
      </c>
      <c r="BB54" s="406">
        <f ca="1">-BB$40*Assumptions!$C84</f>
        <v>-22640.645181255208</v>
      </c>
      <c r="BC54" s="406">
        <f ca="1">-BC$40*Assumptions!$C84</f>
        <v>-39586.981880240412</v>
      </c>
      <c r="BD54" s="406">
        <f ca="1">-BD$40*Assumptions!$C84</f>
        <v>-45612.017149531115</v>
      </c>
      <c r="BE54" s="406">
        <f ca="1">-BE$40*Assumptions!$C84</f>
        <v>-40774.591336647623</v>
      </c>
      <c r="BF54" s="406">
        <f ca="1">-BF$40*Assumptions!$C84</f>
        <v>-36306.307757297815</v>
      </c>
      <c r="BG54" s="406">
        <f ca="1">-BG$40*Assumptions!$C84</f>
        <v>-21938.396264818697</v>
      </c>
      <c r="BH54" s="406">
        <f ca="1">-BH$40*Assumptions!$C84</f>
        <v>-15022.479368695573</v>
      </c>
      <c r="BI54" s="406">
        <f ca="1">-BI$40*Assumptions!$C84</f>
        <v>-35493.131093633165</v>
      </c>
      <c r="BJ54" s="406">
        <f ca="1">-BJ$40*Assumptions!$C84</f>
        <v>-48977.447750927735</v>
      </c>
      <c r="BK54" s="406">
        <f ca="1">-BK$40*Assumptions!$C84</f>
        <v>-48977.447750927735</v>
      </c>
      <c r="BL54" s="406">
        <f ca="1">-BL$40*Assumptions!$C84</f>
        <v>-38795.20272977298</v>
      </c>
      <c r="BM54" s="406">
        <f ca="1">-BM$40*Assumptions!$C84</f>
        <v>-22577.578255521035</v>
      </c>
      <c r="BN54" s="406">
        <f ca="1">-BN$40*Assumptions!$C84</f>
        <v>-23319.864536692865</v>
      </c>
      <c r="BO54" s="406">
        <f ca="1">-BO$40*Assumptions!$C84</f>
        <v>-40774.591336647623</v>
      </c>
      <c r="BP54" s="406">
        <f ca="1">-BP$40*Assumptions!$C84</f>
        <v>-46980.377664017033</v>
      </c>
      <c r="BQ54" s="406">
        <f ca="1">-BQ$40*Assumptions!$C84</f>
        <v>-41997.829076747053</v>
      </c>
      <c r="BR54" s="406">
        <f ca="1">-BR$40*Assumptions!$C84</f>
        <v>-37395.496990016742</v>
      </c>
      <c r="BS54" s="406">
        <f ca="1">-BS$40*Assumptions!$C84</f>
        <v>-22596.548152763247</v>
      </c>
      <c r="BT54" s="406">
        <f ca="1">-BT$40*Assumptions!$C84</f>
        <v>-15473.153749756437</v>
      </c>
      <c r="BU54" s="406">
        <f ca="1">-BU$40*Assumptions!$C84</f>
        <v>-36557.92502644215</v>
      </c>
      <c r="BV54" s="406">
        <f ca="1">-BV$40*Assumptions!$C84</f>
        <v>-50446.771183455559</v>
      </c>
      <c r="BW54" s="406">
        <f ca="1">-BW$40*Assumptions!$C84</f>
        <v>-50446.771183455559</v>
      </c>
      <c r="BX54" s="406">
        <f ca="1">-BX$40*Assumptions!$C84</f>
        <v>-41335.349757796015</v>
      </c>
      <c r="BY54" s="406">
        <f ca="1">-BY$40*Assumptions!$C84</f>
        <v>-23254.905603186671</v>
      </c>
      <c r="BZ54" s="406">
        <f ca="1">-BZ$40*Assumptions!$C84</f>
        <v>-24019.460472793638</v>
      </c>
      <c r="CA54" s="406">
        <f ca="1">-CA$40*Assumptions!$C84</f>
        <v>-41997.829076747053</v>
      </c>
      <c r="CB54" s="406">
        <f ca="1">-CB$40*Assumptions!$C84</f>
        <v>-48389.78899393756</v>
      </c>
      <c r="CC54" s="406">
        <f ca="1">-CC$40*Assumptions!$C84</f>
        <v>-43257.763949049477</v>
      </c>
      <c r="CD54" s="406">
        <f ca="1">-CD$40*Assumptions!$C84</f>
        <v>-38517.361899717245</v>
      </c>
      <c r="CE54" s="406">
        <f ca="1">-CE$40*Assumptions!$C84</f>
        <v>-23274.444597346152</v>
      </c>
      <c r="CF54" s="406">
        <f ca="1">-CF$40*Assumptions!$C84</f>
        <v>-15937.348362249131</v>
      </c>
      <c r="CG54" s="406">
        <f ca="1">-CG$40*Assumptions!$C84</f>
        <v>-37654.662777235419</v>
      </c>
      <c r="CH54" s="406">
        <f ca="1">-CH$40*Assumptions!$C84</f>
        <v>-51960.174318959223</v>
      </c>
      <c r="CI54" s="406">
        <f ca="1">-CI$40*Assumptions!$C84</f>
        <v>-51960.174318959223</v>
      </c>
      <c r="CJ54" s="406">
        <f ca="1">-CJ$40*Assumptions!$C84</f>
        <v>-41157.83057601616</v>
      </c>
      <c r="CK54" s="406">
        <f ca="1">-CK$40*Assumptions!$C84</f>
        <v>-23952.55277128227</v>
      </c>
      <c r="CL54" s="406">
        <f ca="1">-CL$40*Assumptions!$C84</f>
        <v>-24740.044286977452</v>
      </c>
      <c r="CM54" s="406">
        <f ca="1">-CM$40*Assumptions!$C84</f>
        <v>-43257.763949049477</v>
      </c>
      <c r="CN54" s="406">
        <f ca="1">-CN$40*Assumptions!$C84</f>
        <v>-49841.482663755691</v>
      </c>
      <c r="CO54" s="406">
        <f ca="1">-CO$40*Assumptions!$C84</f>
        <v>-44555.49686752096</v>
      </c>
      <c r="CP54" s="406">
        <f ca="1">-CP$40*Assumptions!$C84</f>
        <v>-39672.882756708765</v>
      </c>
      <c r="CQ54" s="406">
        <f ca="1">-CQ$40*Assumptions!$C84</f>
        <v>-23972.677935266536</v>
      </c>
      <c r="CR54" s="406">
        <f ca="1">-CR$40*Assumptions!$C84</f>
        <v>-16415.468813116604</v>
      </c>
      <c r="CS54" s="406">
        <f ca="1">-CS$40*Assumptions!$C84</f>
        <v>-38784.302660552486</v>
      </c>
      <c r="CT54" s="406">
        <f ca="1">-CT$40*Assumptions!$C84</f>
        <v>-53518.979548528012</v>
      </c>
      <c r="CU54" s="403"/>
      <c r="CV54" s="403"/>
      <c r="CW54" s="403"/>
      <c r="CX54" s="403"/>
      <c r="CY54" s="403"/>
      <c r="CZ54" s="403"/>
      <c r="DA54" s="403"/>
      <c r="DB54" s="403"/>
      <c r="DC54" s="403"/>
      <c r="DD54" s="403"/>
      <c r="DE54" s="403"/>
      <c r="DF54" s="403"/>
      <c r="DG54" s="403"/>
      <c r="DH54" s="403"/>
      <c r="DI54" s="403"/>
      <c r="DJ54" s="403"/>
      <c r="DK54" s="403"/>
      <c r="DL54" s="403"/>
      <c r="DM54" s="403"/>
      <c r="DN54" s="403"/>
      <c r="DO54" s="403"/>
      <c r="DP54" s="403"/>
      <c r="DQ54" s="403"/>
      <c r="DR54" s="403"/>
      <c r="DS54" s="403"/>
      <c r="DT54" s="403"/>
      <c r="DU54" s="403"/>
      <c r="DV54" s="403"/>
      <c r="DW54" s="403"/>
      <c r="DX54" s="403"/>
      <c r="DY54" s="403"/>
      <c r="DZ54" s="403"/>
      <c r="EA54" s="403"/>
      <c r="EB54" s="403"/>
      <c r="EC54" s="403"/>
      <c r="ED54" s="403"/>
    </row>
    <row r="55" spans="1:134" s="784" customFormat="1" ht="16" x14ac:dyDescent="0.2">
      <c r="A55" s="783"/>
      <c r="B55" s="408" t="s">
        <v>765</v>
      </c>
      <c r="C55" s="405">
        <f>SUM(C53:C54)</f>
        <v>0</v>
      </c>
      <c r="D55" s="405">
        <f t="shared" ref="D55:BO55" si="51">SUM(D53:D54)</f>
        <v>0</v>
      </c>
      <c r="E55" s="405">
        <f t="shared" si="51"/>
        <v>0</v>
      </c>
      <c r="F55" s="405">
        <f t="shared" si="51"/>
        <v>0</v>
      </c>
      <c r="G55" s="405">
        <f t="shared" si="51"/>
        <v>0</v>
      </c>
      <c r="H55" s="405">
        <f t="shared" si="51"/>
        <v>-5948.9233333333341</v>
      </c>
      <c r="I55" s="405">
        <f t="shared" si="51"/>
        <v>-5522.1943333333329</v>
      </c>
      <c r="J55" s="405">
        <f t="shared" si="51"/>
        <v>-5244.4033333333336</v>
      </c>
      <c r="K55" s="405">
        <f t="shared" si="51"/>
        <v>-4067.1133333333337</v>
      </c>
      <c r="L55" s="405">
        <f t="shared" si="51"/>
        <v>-3577.6573333333336</v>
      </c>
      <c r="M55" s="405">
        <f t="shared" si="51"/>
        <v>-5411.2633333333342</v>
      </c>
      <c r="N55" s="405">
        <f t="shared" si="51"/>
        <v>-6633.3583333333336</v>
      </c>
      <c r="O55" s="405">
        <f t="shared" si="51"/>
        <v>-6633.3583333333336</v>
      </c>
      <c r="P55" s="405">
        <f t="shared" si="51"/>
        <v>-5691.217333333334</v>
      </c>
      <c r="Q55" s="405">
        <f t="shared" si="51"/>
        <v>-4133.239333333333</v>
      </c>
      <c r="R55" s="405">
        <f t="shared" si="51"/>
        <v>-4067.1133333333337</v>
      </c>
      <c r="S55" s="405">
        <f t="shared" si="51"/>
        <v>-5522.1943333333329</v>
      </c>
      <c r="T55" s="405">
        <f t="shared" si="51"/>
        <v>-6064.8910333333324</v>
      </c>
      <c r="U55" s="405">
        <f t="shared" si="51"/>
        <v>-5625.3601633333337</v>
      </c>
      <c r="V55" s="405">
        <f t="shared" si="51"/>
        <v>-5339.2354333333333</v>
      </c>
      <c r="W55" s="405">
        <f t="shared" si="51"/>
        <v>-4126.6267333333335</v>
      </c>
      <c r="X55" s="405">
        <f t="shared" si="51"/>
        <v>-3622.4870533333333</v>
      </c>
      <c r="Y55" s="405">
        <f t="shared" si="51"/>
        <v>-5511.1012333333329</v>
      </c>
      <c r="Z55" s="405">
        <f t="shared" ca="1" si="51"/>
        <v>-11189.363375999999</v>
      </c>
      <c r="AA55" s="405">
        <f t="shared" ca="1" si="51"/>
        <v>-11189.363375999999</v>
      </c>
      <c r="AB55" s="405">
        <f t="shared" ca="1" si="51"/>
        <v>-9754.5512927999989</v>
      </c>
      <c r="AC55" s="405">
        <f t="shared" ca="1" si="51"/>
        <v>-7985.3208970666674</v>
      </c>
      <c r="AD55" s="405">
        <f t="shared" ca="1" si="51"/>
        <v>-9140.7371853333334</v>
      </c>
      <c r="AE55" s="405">
        <f t="shared" ca="1" si="51"/>
        <v>-12996.1779224</v>
      </c>
      <c r="AF55" s="405">
        <f t="shared" ca="1" si="51"/>
        <v>-33403.529910250007</v>
      </c>
      <c r="AG55" s="405">
        <f t="shared" ca="1" si="51"/>
        <v>-30247.925561475004</v>
      </c>
      <c r="AH55" s="405">
        <f t="shared" ca="1" si="51"/>
        <v>-26932.764858583334</v>
      </c>
      <c r="AI55" s="405">
        <f t="shared" ca="1" si="51"/>
        <v>-17162.783812166668</v>
      </c>
      <c r="AJ55" s="405">
        <f t="shared" ca="1" si="51"/>
        <v>-12250.466007900002</v>
      </c>
      <c r="AK55" s="405">
        <f t="shared" ca="1" si="51"/>
        <v>-25600.912766750011</v>
      </c>
      <c r="AL55" s="405">
        <f t="shared" ca="1" si="51"/>
        <v>-34393.403981375006</v>
      </c>
      <c r="AM55" s="405">
        <f t="shared" ca="1" si="51"/>
        <v>-34393.403981375006</v>
      </c>
      <c r="AN55" s="405">
        <f t="shared" ca="1" si="51"/>
        <v>-27756.262137900008</v>
      </c>
      <c r="AO55" s="405">
        <f t="shared" ca="1" si="51"/>
        <v>-17578.621072016667</v>
      </c>
      <c r="AP55" s="405">
        <f t="shared" ca="1" si="51"/>
        <v>-18464.950153833335</v>
      </c>
      <c r="AQ55" s="405">
        <f t="shared" ca="1" si="51"/>
        <v>-30247.925561475004</v>
      </c>
      <c r="AR55" s="405">
        <f t="shared" ca="1" si="51"/>
        <v>-46366.845128994617</v>
      </c>
      <c r="AS55" s="405">
        <f t="shared" ca="1" si="51"/>
        <v>-41670.315213573747</v>
      </c>
      <c r="AT55" s="405">
        <f t="shared" ca="1" si="51"/>
        <v>-37332.17581614673</v>
      </c>
      <c r="AU55" s="405">
        <f t="shared" ca="1" si="51"/>
        <v>-23382.747182671872</v>
      </c>
      <c r="AV55" s="405">
        <f t="shared" ca="1" si="51"/>
        <v>-16668.26475925136</v>
      </c>
      <c r="AW55" s="405">
        <f t="shared" ca="1" si="51"/>
        <v>-36542.683909676205</v>
      </c>
      <c r="AX55" s="405">
        <f t="shared" ca="1" si="51"/>
        <v>-49634.253479865103</v>
      </c>
      <c r="AY55" s="405">
        <f t="shared" ca="1" si="51"/>
        <v>-49634.253479865103</v>
      </c>
      <c r="AZ55" s="405">
        <f t="shared" ca="1" si="51"/>
        <v>-39748.578702044972</v>
      </c>
      <c r="BA55" s="405">
        <f t="shared" ca="1" si="51"/>
        <v>-24003.312222188702</v>
      </c>
      <c r="BB55" s="405">
        <f t="shared" ca="1" si="51"/>
        <v>-24723.97851458854</v>
      </c>
      <c r="BC55" s="405">
        <f t="shared" ca="1" si="51"/>
        <v>-41670.315213573747</v>
      </c>
      <c r="BD55" s="405">
        <f t="shared" ca="1" si="51"/>
        <v>-47695.350482864451</v>
      </c>
      <c r="BE55" s="405">
        <f t="shared" ca="1" si="51"/>
        <v>-42857.924669980959</v>
      </c>
      <c r="BF55" s="405">
        <f t="shared" ca="1" si="51"/>
        <v>-38389.64109063115</v>
      </c>
      <c r="BG55" s="405">
        <f t="shared" ca="1" si="51"/>
        <v>-24021.729598152029</v>
      </c>
      <c r="BH55" s="405">
        <f t="shared" ca="1" si="51"/>
        <v>-17105.812702028907</v>
      </c>
      <c r="BI55" s="405">
        <f t="shared" ca="1" si="51"/>
        <v>-37576.4644269665</v>
      </c>
      <c r="BJ55" s="405">
        <f t="shared" ca="1" si="51"/>
        <v>-51060.781084261071</v>
      </c>
      <c r="BK55" s="405">
        <f t="shared" ca="1" si="51"/>
        <v>-51060.781084261071</v>
      </c>
      <c r="BL55" s="405">
        <f t="shared" ca="1" si="51"/>
        <v>-40878.536063106316</v>
      </c>
      <c r="BM55" s="405">
        <f t="shared" ca="1" si="51"/>
        <v>-24660.911588854367</v>
      </c>
      <c r="BN55" s="405">
        <f t="shared" ca="1" si="51"/>
        <v>-25403.197870026197</v>
      </c>
      <c r="BO55" s="405">
        <f t="shared" ca="1" si="51"/>
        <v>-42857.924669980959</v>
      </c>
      <c r="BP55" s="405">
        <f t="shared" ref="BP55:CT55" ca="1" si="52">SUM(BP53:BP54)</f>
        <v>-49063.710997350368</v>
      </c>
      <c r="BQ55" s="405">
        <f t="shared" ca="1" si="52"/>
        <v>-44081.162410080389</v>
      </c>
      <c r="BR55" s="405">
        <f t="shared" ca="1" si="52"/>
        <v>-39478.830323350077</v>
      </c>
      <c r="BS55" s="405">
        <f t="shared" ca="1" si="52"/>
        <v>-24679.881486096579</v>
      </c>
      <c r="BT55" s="405">
        <f t="shared" ca="1" si="52"/>
        <v>-17556.487083089771</v>
      </c>
      <c r="BU55" s="405">
        <f t="shared" ca="1" si="52"/>
        <v>-38641.258359775486</v>
      </c>
      <c r="BV55" s="405">
        <f t="shared" ca="1" si="52"/>
        <v>-52530.104516788895</v>
      </c>
      <c r="BW55" s="405">
        <f t="shared" ca="1" si="52"/>
        <v>-52530.104516788895</v>
      </c>
      <c r="BX55" s="405">
        <f t="shared" ca="1" si="52"/>
        <v>-43418.683091129351</v>
      </c>
      <c r="BY55" s="405">
        <f t="shared" ca="1" si="52"/>
        <v>-25338.238936520003</v>
      </c>
      <c r="BZ55" s="405">
        <f t="shared" ca="1" si="52"/>
        <v>-26102.793806126971</v>
      </c>
      <c r="CA55" s="405">
        <f t="shared" ca="1" si="52"/>
        <v>-44081.162410080389</v>
      </c>
      <c r="CB55" s="405">
        <f t="shared" ca="1" si="52"/>
        <v>-50473.122327270896</v>
      </c>
      <c r="CC55" s="405">
        <f t="shared" ca="1" si="52"/>
        <v>-45341.097282382812</v>
      </c>
      <c r="CD55" s="405">
        <f t="shared" ca="1" si="52"/>
        <v>-40600.695233050581</v>
      </c>
      <c r="CE55" s="405">
        <f t="shared" ca="1" si="52"/>
        <v>-25357.777930679484</v>
      </c>
      <c r="CF55" s="405">
        <f t="shared" ca="1" si="52"/>
        <v>-18020.681695582465</v>
      </c>
      <c r="CG55" s="405">
        <f t="shared" ca="1" si="52"/>
        <v>-39737.996110568754</v>
      </c>
      <c r="CH55" s="405">
        <f t="shared" ca="1" si="52"/>
        <v>-54043.507652292559</v>
      </c>
      <c r="CI55" s="405">
        <f t="shared" ca="1" si="52"/>
        <v>-54043.507652292559</v>
      </c>
      <c r="CJ55" s="405">
        <f t="shared" ca="1" si="52"/>
        <v>-43241.163909349496</v>
      </c>
      <c r="CK55" s="405">
        <f t="shared" ca="1" si="52"/>
        <v>-26035.886104615602</v>
      </c>
      <c r="CL55" s="405">
        <f t="shared" ca="1" si="52"/>
        <v>-26823.377620310785</v>
      </c>
      <c r="CM55" s="405">
        <f t="shared" ca="1" si="52"/>
        <v>-45341.097282382812</v>
      </c>
      <c r="CN55" s="405">
        <f t="shared" ca="1" si="52"/>
        <v>-51924.815997089026</v>
      </c>
      <c r="CO55" s="405">
        <f t="shared" ca="1" si="52"/>
        <v>-46638.830200854296</v>
      </c>
      <c r="CP55" s="405">
        <f t="shared" ca="1" si="52"/>
        <v>-41756.2160900421</v>
      </c>
      <c r="CQ55" s="405">
        <f t="shared" ca="1" si="52"/>
        <v>-26056.011268599868</v>
      </c>
      <c r="CR55" s="405">
        <f t="shared" ca="1" si="52"/>
        <v>-18498.802146449936</v>
      </c>
      <c r="CS55" s="405">
        <f t="shared" ca="1" si="52"/>
        <v>-40867.635993885822</v>
      </c>
      <c r="CT55" s="405">
        <f t="shared" ca="1" si="52"/>
        <v>-55602.312881861348</v>
      </c>
      <c r="CU55" s="405"/>
      <c r="CV55" s="405"/>
      <c r="CW55" s="405"/>
      <c r="CX55" s="405"/>
      <c r="CY55" s="405"/>
      <c r="CZ55" s="405"/>
      <c r="DA55" s="405"/>
      <c r="DB55" s="405"/>
      <c r="DC55" s="405"/>
      <c r="DD55" s="405"/>
      <c r="DE55" s="405"/>
      <c r="DF55" s="405"/>
      <c r="DG55" s="405"/>
      <c r="DH55" s="405"/>
      <c r="DI55" s="405"/>
      <c r="DJ55" s="405"/>
      <c r="DK55" s="405"/>
      <c r="DL55" s="405"/>
      <c r="DM55" s="405"/>
      <c r="DN55" s="405"/>
      <c r="DO55" s="405"/>
      <c r="DP55" s="405"/>
      <c r="DQ55" s="405"/>
      <c r="DR55" s="405"/>
      <c r="DS55" s="405"/>
      <c r="DT55" s="405"/>
      <c r="DU55" s="405"/>
      <c r="DV55" s="405"/>
      <c r="DW55" s="405"/>
      <c r="DX55" s="405"/>
      <c r="DY55" s="405"/>
      <c r="DZ55" s="405"/>
      <c r="EA55" s="405"/>
      <c r="EB55" s="405"/>
      <c r="EC55" s="405"/>
      <c r="ED55" s="405"/>
    </row>
    <row r="56" spans="1:134" s="404" customFormat="1" ht="16" x14ac:dyDescent="0.2">
      <c r="A56" s="402"/>
      <c r="B56" s="294"/>
      <c r="C56" s="405"/>
      <c r="D56" s="405"/>
      <c r="E56" s="405"/>
      <c r="F56" s="405"/>
      <c r="G56" s="405"/>
      <c r="H56" s="405"/>
      <c r="I56" s="405"/>
      <c r="J56" s="405"/>
      <c r="K56" s="405"/>
      <c r="L56" s="405"/>
      <c r="M56" s="405"/>
      <c r="N56" s="405"/>
      <c r="O56" s="405"/>
      <c r="P56" s="405"/>
      <c r="Q56" s="405"/>
      <c r="R56" s="405"/>
      <c r="S56" s="405"/>
      <c r="T56" s="405"/>
      <c r="U56" s="405"/>
      <c r="V56" s="405"/>
      <c r="W56" s="405"/>
      <c r="X56" s="405"/>
      <c r="Y56" s="405"/>
      <c r="Z56" s="405"/>
      <c r="AA56" s="405"/>
      <c r="AB56" s="405"/>
      <c r="AC56" s="405"/>
      <c r="AD56" s="405"/>
      <c r="AE56" s="405"/>
      <c r="AF56" s="405"/>
      <c r="AG56" s="405"/>
      <c r="AH56" s="405"/>
      <c r="AI56" s="405"/>
      <c r="AJ56" s="405"/>
      <c r="AK56" s="405"/>
      <c r="AL56" s="405"/>
      <c r="AM56" s="405"/>
      <c r="AN56" s="405"/>
      <c r="AO56" s="405"/>
      <c r="AP56" s="405"/>
      <c r="AQ56" s="405"/>
      <c r="AR56" s="405"/>
      <c r="AS56" s="405"/>
      <c r="AT56" s="405"/>
      <c r="AU56" s="405"/>
      <c r="AV56" s="405"/>
      <c r="AW56" s="405"/>
      <c r="AX56" s="405"/>
      <c r="AY56" s="405"/>
      <c r="AZ56" s="405"/>
      <c r="BA56" s="405"/>
      <c r="BB56" s="405"/>
      <c r="BC56" s="405"/>
      <c r="BD56" s="405"/>
      <c r="BE56" s="405"/>
      <c r="BF56" s="405"/>
      <c r="BG56" s="405"/>
      <c r="BH56" s="405"/>
      <c r="BI56" s="405"/>
      <c r="BJ56" s="405"/>
      <c r="BK56" s="405"/>
      <c r="BL56" s="405"/>
      <c r="BM56" s="405"/>
      <c r="BN56" s="405"/>
      <c r="BO56" s="405"/>
      <c r="BP56" s="405"/>
      <c r="BQ56" s="405"/>
      <c r="BR56" s="405"/>
      <c r="BS56" s="405"/>
      <c r="BT56" s="405"/>
      <c r="BU56" s="405"/>
      <c r="BV56" s="405"/>
      <c r="BW56" s="405"/>
      <c r="BX56" s="405"/>
      <c r="BY56" s="405"/>
      <c r="BZ56" s="405"/>
      <c r="CA56" s="405"/>
      <c r="CB56" s="405"/>
      <c r="CC56" s="405"/>
      <c r="CD56" s="405"/>
      <c r="CE56" s="405"/>
      <c r="CF56" s="405"/>
      <c r="CG56" s="405"/>
      <c r="CH56" s="405"/>
      <c r="CI56" s="405"/>
      <c r="CJ56" s="405"/>
      <c r="CK56" s="405"/>
      <c r="CL56" s="405"/>
      <c r="CM56" s="405"/>
      <c r="CN56" s="405"/>
      <c r="CO56" s="405"/>
      <c r="CP56" s="405"/>
      <c r="CQ56" s="405"/>
      <c r="CR56" s="405"/>
      <c r="CS56" s="405"/>
      <c r="CT56" s="405"/>
      <c r="CU56" s="405"/>
      <c r="CV56" s="405"/>
      <c r="CW56" s="405"/>
      <c r="CX56" s="405"/>
      <c r="CY56" s="405"/>
      <c r="CZ56" s="405"/>
      <c r="DA56" s="405"/>
      <c r="DB56" s="405"/>
      <c r="DC56" s="405"/>
      <c r="DD56" s="405"/>
      <c r="DE56" s="405"/>
      <c r="DF56" s="405"/>
      <c r="DG56" s="405"/>
      <c r="DH56" s="405"/>
      <c r="DI56" s="405"/>
      <c r="DJ56" s="405"/>
      <c r="DK56" s="405"/>
      <c r="DL56" s="405"/>
      <c r="DM56" s="405"/>
      <c r="DN56" s="405"/>
      <c r="DO56" s="405"/>
      <c r="DP56" s="405"/>
      <c r="DQ56" s="405"/>
      <c r="DR56" s="405"/>
      <c r="DS56" s="405"/>
      <c r="DT56" s="405"/>
      <c r="DU56" s="405"/>
      <c r="DV56" s="405"/>
      <c r="DW56" s="405"/>
      <c r="DX56" s="405"/>
      <c r="DY56" s="405"/>
      <c r="DZ56" s="405"/>
      <c r="EA56" s="405"/>
      <c r="EB56" s="405"/>
      <c r="EC56" s="405"/>
      <c r="ED56" s="405"/>
    </row>
    <row r="57" spans="1:134" s="784" customFormat="1" ht="16" x14ac:dyDescent="0.2">
      <c r="A57" s="783"/>
      <c r="B57" s="408" t="s">
        <v>766</v>
      </c>
      <c r="C57" s="405">
        <f>C51+C55</f>
        <v>0</v>
      </c>
      <c r="D57" s="405">
        <f t="shared" ref="D57:BO57" si="53">D51+D55</f>
        <v>0</v>
      </c>
      <c r="E57" s="405">
        <f t="shared" si="53"/>
        <v>0</v>
      </c>
      <c r="F57" s="405">
        <f t="shared" si="53"/>
        <v>0</v>
      </c>
      <c r="G57" s="405">
        <f t="shared" si="53"/>
        <v>0</v>
      </c>
      <c r="H57" s="405">
        <f t="shared" si="53"/>
        <v>99441.70666666668</v>
      </c>
      <c r="I57" s="405">
        <f t="shared" si="53"/>
        <v>90871.282666666666</v>
      </c>
      <c r="J57" s="405">
        <f t="shared" si="53"/>
        <v>84893.986666666649</v>
      </c>
      <c r="K57" s="405">
        <f t="shared" si="53"/>
        <v>58950.34666666665</v>
      </c>
      <c r="L57" s="405">
        <f t="shared" si="53"/>
        <v>49030.210666666673</v>
      </c>
      <c r="M57" s="405">
        <f t="shared" si="53"/>
        <v>87872.746666666702</v>
      </c>
      <c r="N57" s="405">
        <f t="shared" si="53"/>
        <v>114780.4666666667</v>
      </c>
      <c r="O57" s="405">
        <f t="shared" si="53"/>
        <v>114780.4666666667</v>
      </c>
      <c r="P57" s="405">
        <f t="shared" si="53"/>
        <v>92673.370666666684</v>
      </c>
      <c r="Q57" s="405">
        <f t="shared" si="53"/>
        <v>60984.802666666685</v>
      </c>
      <c r="R57" s="405">
        <f t="shared" si="53"/>
        <v>58950.34666666665</v>
      </c>
      <c r="S57" s="405">
        <f t="shared" si="53"/>
        <v>90871.282666666666</v>
      </c>
      <c r="T57" s="405">
        <f t="shared" si="53"/>
        <v>102487.45786666663</v>
      </c>
      <c r="U57" s="405">
        <f t="shared" si="53"/>
        <v>93659.921146666689</v>
      </c>
      <c r="V57" s="405">
        <f t="shared" si="53"/>
        <v>87503.306266666637</v>
      </c>
      <c r="W57" s="405">
        <f t="shared" si="53"/>
        <v>60781.357066666671</v>
      </c>
      <c r="X57" s="405">
        <f t="shared" si="53"/>
        <v>50563.616986666668</v>
      </c>
      <c r="Y57" s="405">
        <f t="shared" si="53"/>
        <v>90571.429066666649</v>
      </c>
      <c r="Z57" s="405">
        <f t="shared" ca="1" si="53"/>
        <v>182687.85046016672</v>
      </c>
      <c r="AA57" s="405">
        <f t="shared" ca="1" si="53"/>
        <v>182687.85046016672</v>
      </c>
      <c r="AB57" s="405">
        <f t="shared" ca="1" si="53"/>
        <v>167571.62954096656</v>
      </c>
      <c r="AC57" s="405">
        <f t="shared" ca="1" si="53"/>
        <v>230255.00399739997</v>
      </c>
      <c r="AD57" s="405">
        <f t="shared" ca="1" si="53"/>
        <v>318204.70389533328</v>
      </c>
      <c r="AE57" s="405">
        <f t="shared" ca="1" si="53"/>
        <v>433217.98082856665</v>
      </c>
      <c r="AF57" s="405">
        <f t="shared" ca="1" si="53"/>
        <v>608484.5557194167</v>
      </c>
      <c r="AG57" s="405">
        <f t="shared" ca="1" si="53"/>
        <v>586697.68283889152</v>
      </c>
      <c r="AH57" s="405">
        <f t="shared" ca="1" si="53"/>
        <v>479282.33645108342</v>
      </c>
      <c r="AI57" s="405">
        <f t="shared" ca="1" si="53"/>
        <v>322224.59368049994</v>
      </c>
      <c r="AJ57" s="405">
        <f t="shared" ca="1" si="53"/>
        <v>204605.49915756669</v>
      </c>
      <c r="AK57" s="405">
        <f t="shared" ca="1" si="53"/>
        <v>302165.31308091682</v>
      </c>
      <c r="AL57" s="405">
        <f t="shared" ca="1" si="53"/>
        <v>369182.39658179169</v>
      </c>
      <c r="AM57" s="405">
        <f t="shared" ca="1" si="53"/>
        <v>369182.39658179169</v>
      </c>
      <c r="AN57" s="405">
        <f t="shared" ca="1" si="53"/>
        <v>314850.72618756664</v>
      </c>
      <c r="AO57" s="405">
        <f t="shared" ca="1" si="53"/>
        <v>326982.38167484989</v>
      </c>
      <c r="AP57" s="405">
        <f t="shared" ca="1" si="53"/>
        <v>414678.40393883327</v>
      </c>
      <c r="AQ57" s="405">
        <f t="shared" ca="1" si="53"/>
        <v>586697.68283889152</v>
      </c>
      <c r="AR57" s="405">
        <f t="shared" ca="1" si="53"/>
        <v>620016.66929127532</v>
      </c>
      <c r="AS57" s="405">
        <f t="shared" ca="1" si="53"/>
        <v>603014.59420707717</v>
      </c>
      <c r="AT57" s="405">
        <f t="shared" ca="1" si="53"/>
        <v>495210.73813733523</v>
      </c>
      <c r="AU57" s="405">
        <f t="shared" ca="1" si="53"/>
        <v>344366.63900528877</v>
      </c>
      <c r="AV57" s="405">
        <f t="shared" ca="1" si="53"/>
        <v>229297.29998321334</v>
      </c>
      <c r="AW57" s="405">
        <f t="shared" ca="1" si="53"/>
        <v>309992.91526336287</v>
      </c>
      <c r="AX57" s="405">
        <f t="shared" ca="1" si="53"/>
        <v>367638.04652346391</v>
      </c>
      <c r="AY57" s="405">
        <f t="shared" ca="1" si="53"/>
        <v>367638.04652346391</v>
      </c>
      <c r="AZ57" s="405">
        <f t="shared" ca="1" si="53"/>
        <v>318032.81974678498</v>
      </c>
      <c r="BA57" s="405">
        <f t="shared" ca="1" si="53"/>
        <v>349677.58755661489</v>
      </c>
      <c r="BB57" s="405">
        <f t="shared" ca="1" si="53"/>
        <v>439594.06357137219</v>
      </c>
      <c r="BC57" s="405">
        <f t="shared" ca="1" si="53"/>
        <v>603014.59420707717</v>
      </c>
      <c r="BD57" s="405">
        <f t="shared" ca="1" si="53"/>
        <v>638779.66937001422</v>
      </c>
      <c r="BE57" s="405">
        <f t="shared" ca="1" si="53"/>
        <v>621267.53203328978</v>
      </c>
      <c r="BF57" s="405">
        <f t="shared" ca="1" si="53"/>
        <v>510229.56028145517</v>
      </c>
      <c r="BG57" s="405">
        <f t="shared" ca="1" si="53"/>
        <v>354860.13817544741</v>
      </c>
      <c r="BH57" s="405">
        <f t="shared" ca="1" si="53"/>
        <v>236338.71898270969</v>
      </c>
      <c r="BI57" s="405">
        <f t="shared" ca="1" si="53"/>
        <v>319455.2027212634</v>
      </c>
      <c r="BJ57" s="405">
        <f t="shared" ca="1" si="53"/>
        <v>378829.68791916815</v>
      </c>
      <c r="BK57" s="405">
        <f t="shared" ca="1" si="53"/>
        <v>378829.68791916815</v>
      </c>
      <c r="BL57" s="405">
        <f t="shared" ca="1" si="53"/>
        <v>327736.30433918856</v>
      </c>
      <c r="BM57" s="405">
        <f t="shared" ca="1" si="53"/>
        <v>360330.41518331342</v>
      </c>
      <c r="BN57" s="405">
        <f t="shared" ca="1" si="53"/>
        <v>452944.38547851343</v>
      </c>
      <c r="BO57" s="405">
        <f t="shared" ca="1" si="53"/>
        <v>621267.53203328978</v>
      </c>
      <c r="BP57" s="405">
        <f t="shared" ref="BP57:CT57" ca="1" si="54">BP51+BP55</f>
        <v>658105.55945111427</v>
      </c>
      <c r="BQ57" s="405">
        <f t="shared" ca="1" si="54"/>
        <v>640068.05799428839</v>
      </c>
      <c r="BR57" s="405">
        <f t="shared" ca="1" si="54"/>
        <v>525698.94708989852</v>
      </c>
      <c r="BS57" s="405">
        <f t="shared" ca="1" si="54"/>
        <v>365668.44232071075</v>
      </c>
      <c r="BT57" s="405">
        <f t="shared" ca="1" si="54"/>
        <v>243591.38055219105</v>
      </c>
      <c r="BU57" s="405">
        <f t="shared" ca="1" si="54"/>
        <v>329201.35880290129</v>
      </c>
      <c r="BV57" s="405">
        <f t="shared" ca="1" si="54"/>
        <v>390357.07855674293</v>
      </c>
      <c r="BW57" s="405">
        <f t="shared" ca="1" si="54"/>
        <v>390357.07855674293</v>
      </c>
      <c r="BX57" s="405">
        <f t="shared" ca="1" si="54"/>
        <v>346378.06437700236</v>
      </c>
      <c r="BY57" s="405">
        <f t="shared" ca="1" si="54"/>
        <v>371302.82763881277</v>
      </c>
      <c r="BZ57" s="405">
        <f t="shared" ca="1" si="54"/>
        <v>466695.21704286867</v>
      </c>
      <c r="CA57" s="405">
        <f t="shared" ca="1" si="54"/>
        <v>640068.05799428839</v>
      </c>
      <c r="CB57" s="405">
        <f t="shared" ca="1" si="54"/>
        <v>678011.22623464768</v>
      </c>
      <c r="CC57" s="405">
        <f t="shared" ca="1" si="54"/>
        <v>659432.59973411728</v>
      </c>
      <c r="CD57" s="405">
        <f t="shared" ca="1" si="54"/>
        <v>541632.41550259583</v>
      </c>
      <c r="CE57" s="405">
        <f t="shared" ca="1" si="54"/>
        <v>376800.99559033196</v>
      </c>
      <c r="CF57" s="405">
        <f t="shared" ca="1" si="54"/>
        <v>251061.62196875672</v>
      </c>
      <c r="CG57" s="405">
        <f t="shared" ca="1" si="54"/>
        <v>339239.89956698823</v>
      </c>
      <c r="CH57" s="405">
        <f t="shared" ca="1" si="54"/>
        <v>402230.29091344553</v>
      </c>
      <c r="CI57" s="405">
        <f t="shared" ca="1" si="54"/>
        <v>402230.29091344553</v>
      </c>
      <c r="CJ57" s="405">
        <f t="shared" ca="1" si="54"/>
        <v>348025.32027344522</v>
      </c>
      <c r="CK57" s="405">
        <f t="shared" ca="1" si="54"/>
        <v>382604.41246797715</v>
      </c>
      <c r="CL57" s="405">
        <f t="shared" ca="1" si="54"/>
        <v>480858.5735541546</v>
      </c>
      <c r="CM57" s="405">
        <f t="shared" ca="1" si="54"/>
        <v>659432.59973411728</v>
      </c>
      <c r="CN57" s="405">
        <f t="shared" ca="1" si="54"/>
        <v>698514.06302168709</v>
      </c>
      <c r="CO57" s="405">
        <f t="shared" ca="1" si="54"/>
        <v>679378.07772614132</v>
      </c>
      <c r="CP57" s="405">
        <f t="shared" ca="1" si="54"/>
        <v>558043.88796767371</v>
      </c>
      <c r="CQ57" s="405">
        <f t="shared" ca="1" si="54"/>
        <v>388267.52545804204</v>
      </c>
      <c r="CR57" s="405">
        <f t="shared" ca="1" si="54"/>
        <v>258755.97062781962</v>
      </c>
      <c r="CS57" s="405">
        <f t="shared" ca="1" si="54"/>
        <v>349579.59655399795</v>
      </c>
      <c r="CT57" s="405">
        <f t="shared" ca="1" si="54"/>
        <v>414459.69964084908</v>
      </c>
      <c r="CU57" s="405"/>
      <c r="CV57" s="405"/>
      <c r="CW57" s="405"/>
      <c r="CX57" s="405"/>
      <c r="CY57" s="405"/>
      <c r="CZ57" s="405"/>
      <c r="DA57" s="405"/>
      <c r="DB57" s="405"/>
      <c r="DC57" s="405"/>
      <c r="DD57" s="405"/>
      <c r="DE57" s="405"/>
      <c r="DF57" s="405"/>
      <c r="DG57" s="405"/>
      <c r="DH57" s="405"/>
      <c r="DI57" s="405"/>
      <c r="DJ57" s="405"/>
      <c r="DK57" s="405"/>
      <c r="DL57" s="405"/>
      <c r="DM57" s="405"/>
      <c r="DN57" s="405"/>
      <c r="DO57" s="405"/>
      <c r="DP57" s="405"/>
      <c r="DQ57" s="405"/>
      <c r="DR57" s="405"/>
      <c r="DS57" s="405"/>
      <c r="DT57" s="405"/>
      <c r="DU57" s="405"/>
      <c r="DV57" s="405"/>
      <c r="DW57" s="405"/>
      <c r="DX57" s="405"/>
      <c r="DY57" s="405"/>
      <c r="DZ57" s="405"/>
      <c r="EA57" s="405"/>
      <c r="EB57" s="405"/>
      <c r="EC57" s="405"/>
      <c r="ED57" s="405"/>
    </row>
    <row r="58" spans="1:134" s="404" customFormat="1" ht="16" x14ac:dyDescent="0.2">
      <c r="A58" s="402"/>
      <c r="B58" s="408"/>
      <c r="C58" s="405"/>
      <c r="D58" s="405"/>
      <c r="E58" s="405"/>
      <c r="F58" s="405"/>
      <c r="G58" s="405"/>
      <c r="H58" s="405"/>
      <c r="I58" s="405"/>
      <c r="J58" s="405"/>
      <c r="K58" s="405"/>
      <c r="L58" s="405"/>
      <c r="M58" s="405"/>
      <c r="N58" s="405"/>
      <c r="O58" s="405"/>
      <c r="P58" s="405"/>
      <c r="Q58" s="405"/>
      <c r="R58" s="405"/>
      <c r="S58" s="405"/>
      <c r="T58" s="405"/>
      <c r="U58" s="405"/>
      <c r="V58" s="405"/>
      <c r="W58" s="405"/>
      <c r="X58" s="405"/>
      <c r="Y58" s="405"/>
      <c r="Z58" s="405"/>
      <c r="AA58" s="405"/>
      <c r="AB58" s="405"/>
      <c r="AC58" s="405"/>
      <c r="AD58" s="405"/>
      <c r="AE58" s="405"/>
      <c r="AF58" s="405"/>
      <c r="AG58" s="405"/>
      <c r="AH58" s="405"/>
      <c r="AI58" s="405"/>
      <c r="AJ58" s="405"/>
      <c r="AK58" s="405"/>
      <c r="AL58" s="405"/>
      <c r="AM58" s="405"/>
      <c r="AN58" s="405"/>
      <c r="AO58" s="405"/>
      <c r="AP58" s="405"/>
      <c r="AQ58" s="405"/>
      <c r="AR58" s="405"/>
      <c r="AS58" s="405"/>
      <c r="AT58" s="405"/>
      <c r="AU58" s="405"/>
      <c r="AV58" s="405"/>
      <c r="AW58" s="405"/>
      <c r="AX58" s="405"/>
      <c r="AY58" s="405"/>
      <c r="AZ58" s="405"/>
      <c r="BA58" s="405"/>
      <c r="BB58" s="405"/>
      <c r="BC58" s="405"/>
      <c r="BD58" s="405"/>
      <c r="BE58" s="405"/>
      <c r="BF58" s="405"/>
      <c r="BG58" s="405"/>
      <c r="BH58" s="405"/>
      <c r="BI58" s="405"/>
      <c r="BJ58" s="405"/>
      <c r="BK58" s="405"/>
      <c r="BL58" s="405"/>
      <c r="BM58" s="405"/>
      <c r="BN58" s="405"/>
      <c r="BO58" s="405"/>
      <c r="BP58" s="405"/>
      <c r="BQ58" s="405"/>
      <c r="BR58" s="405"/>
      <c r="BS58" s="405"/>
      <c r="BT58" s="405"/>
      <c r="BU58" s="405"/>
      <c r="BV58" s="405"/>
      <c r="BW58" s="405"/>
      <c r="BX58" s="405"/>
      <c r="BY58" s="405"/>
      <c r="BZ58" s="405"/>
      <c r="CA58" s="405"/>
      <c r="CB58" s="405"/>
      <c r="CC58" s="405"/>
      <c r="CD58" s="405"/>
      <c r="CE58" s="405"/>
      <c r="CF58" s="405"/>
      <c r="CG58" s="405"/>
      <c r="CH58" s="405"/>
      <c r="CI58" s="405"/>
      <c r="CJ58" s="405"/>
      <c r="CK58" s="405"/>
      <c r="CL58" s="405"/>
      <c r="CM58" s="405"/>
      <c r="CN58" s="405"/>
      <c r="CO58" s="405"/>
      <c r="CP58" s="405"/>
      <c r="CQ58" s="405"/>
      <c r="CR58" s="405"/>
      <c r="CS58" s="405"/>
      <c r="CT58" s="405"/>
      <c r="CU58" s="405"/>
      <c r="CV58" s="405"/>
      <c r="CW58" s="405"/>
      <c r="CX58" s="405"/>
      <c r="CY58" s="405"/>
      <c r="CZ58" s="405"/>
      <c r="DA58" s="405"/>
      <c r="DB58" s="405"/>
      <c r="DC58" s="405"/>
      <c r="DD58" s="405"/>
      <c r="DE58" s="405"/>
      <c r="DF58" s="405"/>
      <c r="DG58" s="405"/>
      <c r="DH58" s="405"/>
      <c r="DI58" s="405"/>
      <c r="DJ58" s="405"/>
      <c r="DK58" s="405"/>
      <c r="DL58" s="405"/>
      <c r="DM58" s="405"/>
      <c r="DN58" s="405"/>
      <c r="DO58" s="405"/>
      <c r="DP58" s="405"/>
      <c r="DQ58" s="405"/>
      <c r="DR58" s="405"/>
      <c r="DS58" s="405"/>
      <c r="DT58" s="405"/>
      <c r="DU58" s="405"/>
      <c r="DV58" s="405"/>
      <c r="DW58" s="405"/>
      <c r="DX58" s="405"/>
      <c r="DY58" s="405"/>
      <c r="DZ58" s="405"/>
      <c r="EA58" s="405"/>
      <c r="EB58" s="405"/>
      <c r="EC58" s="405"/>
      <c r="ED58" s="405"/>
    </row>
    <row r="59" spans="1:134" s="153" customFormat="1" ht="16" x14ac:dyDescent="0.2">
      <c r="A59" s="316"/>
      <c r="G59" s="158"/>
    </row>
    <row r="60" spans="1:134" s="153" customFormat="1" ht="16" x14ac:dyDescent="0.2">
      <c r="A60" s="316"/>
      <c r="B60" s="1" t="s">
        <v>767</v>
      </c>
      <c r="C60" s="733"/>
      <c r="D60" s="733"/>
      <c r="E60" s="733"/>
      <c r="F60" s="733"/>
      <c r="G60" s="734"/>
      <c r="H60" s="733"/>
      <c r="I60" s="733"/>
      <c r="J60" s="733"/>
      <c r="K60" s="159"/>
      <c r="L60" s="157"/>
      <c r="M60" s="157"/>
      <c r="N60" s="157"/>
      <c r="O60" s="157"/>
      <c r="P60" s="157"/>
      <c r="Q60" s="157"/>
      <c r="R60" s="157"/>
      <c r="S60" s="157"/>
      <c r="T60" s="157"/>
      <c r="U60" s="157"/>
      <c r="V60" s="157"/>
      <c r="W60" s="157"/>
      <c r="X60" s="157"/>
      <c r="Y60" s="157"/>
      <c r="Z60" s="157"/>
      <c r="AA60" s="157"/>
      <c r="AB60" s="157"/>
      <c r="AC60" s="157"/>
      <c r="AD60" s="157"/>
      <c r="AE60" s="157"/>
      <c r="AF60" s="157"/>
      <c r="AG60" s="157"/>
      <c r="AH60" s="157"/>
      <c r="AI60" s="157"/>
      <c r="AJ60" s="157"/>
      <c r="AK60" s="157"/>
      <c r="AL60" s="157"/>
      <c r="AM60" s="157"/>
      <c r="AN60" s="157"/>
      <c r="AO60" s="157"/>
      <c r="AP60" s="157"/>
      <c r="AQ60" s="157"/>
      <c r="AR60" s="157"/>
      <c r="AS60" s="157"/>
      <c r="AT60" s="157"/>
      <c r="AU60" s="157"/>
      <c r="AV60" s="157"/>
      <c r="AW60" s="157"/>
      <c r="AX60" s="157"/>
      <c r="AY60" s="157"/>
      <c r="AZ60" s="157"/>
      <c r="BA60" s="157"/>
      <c r="BB60" s="157"/>
      <c r="BC60" s="157"/>
      <c r="BD60" s="157"/>
      <c r="BE60" s="157"/>
      <c r="BF60" s="157"/>
      <c r="BG60" s="157"/>
      <c r="BH60" s="157"/>
      <c r="BI60" s="157"/>
      <c r="BJ60" s="157"/>
      <c r="BK60" s="157"/>
      <c r="BL60" s="157"/>
      <c r="BM60" s="157"/>
      <c r="BN60" s="157"/>
      <c r="BO60" s="157"/>
      <c r="BP60" s="157"/>
      <c r="BQ60" s="157"/>
      <c r="BR60" s="157"/>
      <c r="BS60" s="157"/>
      <c r="BT60" s="157"/>
      <c r="BU60" s="157"/>
      <c r="BV60" s="157"/>
      <c r="BW60" s="157"/>
      <c r="BX60" s="157"/>
      <c r="BY60" s="157"/>
      <c r="BZ60" s="157"/>
      <c r="CA60" s="157"/>
      <c r="CB60" s="157"/>
      <c r="CC60" s="157"/>
      <c r="CD60" s="157"/>
      <c r="CE60" s="157"/>
      <c r="CF60" s="157"/>
      <c r="CG60" s="157"/>
      <c r="CH60" s="157"/>
      <c r="CI60" s="157"/>
      <c r="CJ60" s="157"/>
      <c r="CK60" s="157"/>
      <c r="CL60" s="157"/>
      <c r="CM60" s="157"/>
      <c r="CN60" s="157"/>
      <c r="CO60" s="157"/>
      <c r="CP60" s="157"/>
      <c r="CQ60" s="157"/>
      <c r="CR60" s="157"/>
      <c r="CS60" s="157"/>
      <c r="CT60" s="157"/>
      <c r="CU60" s="157"/>
      <c r="CV60" s="157"/>
      <c r="CW60" s="157"/>
      <c r="CX60" s="157"/>
      <c r="CY60" s="157"/>
      <c r="CZ60" s="157"/>
      <c r="DA60" s="157"/>
      <c r="DB60" s="157"/>
      <c r="DC60" s="157"/>
      <c r="DD60" s="157"/>
      <c r="DE60" s="157"/>
      <c r="DF60" s="157"/>
      <c r="DG60" s="157"/>
      <c r="DH60" s="157"/>
      <c r="DI60" s="157"/>
      <c r="DJ60" s="157"/>
      <c r="DK60" s="157"/>
      <c r="DL60" s="157"/>
      <c r="DM60" s="157"/>
      <c r="DN60" s="157"/>
      <c r="DO60" s="157"/>
      <c r="DP60" s="157"/>
      <c r="DQ60" s="157"/>
      <c r="DR60" s="157"/>
      <c r="DS60" s="157"/>
      <c r="DT60" s="157"/>
      <c r="DU60" s="157"/>
      <c r="DV60" s="157"/>
      <c r="DW60" s="157"/>
      <c r="DX60" s="157"/>
      <c r="DY60" s="157"/>
      <c r="DZ60" s="157"/>
      <c r="EA60" s="157"/>
      <c r="EB60" s="157"/>
      <c r="EC60" s="157"/>
      <c r="ED60" s="157"/>
    </row>
    <row r="61" spans="1:134" s="153" customFormat="1" ht="16" x14ac:dyDescent="0.2">
      <c r="A61" s="316"/>
      <c r="B61" s="151"/>
      <c r="C61" s="750">
        <f>C5</f>
        <v>1</v>
      </c>
      <c r="D61" s="750">
        <f t="shared" ref="D61:J61" si="55">C61+1</f>
        <v>2</v>
      </c>
      <c r="E61" s="750">
        <f t="shared" si="55"/>
        <v>3</v>
      </c>
      <c r="F61" s="750">
        <f t="shared" si="55"/>
        <v>4</v>
      </c>
      <c r="G61" s="750">
        <f t="shared" si="55"/>
        <v>5</v>
      </c>
      <c r="H61" s="750">
        <f t="shared" si="55"/>
        <v>6</v>
      </c>
      <c r="I61" s="750">
        <f t="shared" si="55"/>
        <v>7</v>
      </c>
      <c r="J61" s="750">
        <f t="shared" si="55"/>
        <v>8</v>
      </c>
    </row>
    <row r="62" spans="1:134" s="153" customFormat="1" ht="16" x14ac:dyDescent="0.2">
      <c r="A62" s="316"/>
      <c r="B62" s="294" t="s">
        <v>450</v>
      </c>
      <c r="C62" s="753">
        <f>'Proforma A+H'!H4</f>
        <v>46023</v>
      </c>
      <c r="D62" s="753">
        <f>'Proforma A+H'!I4</f>
        <v>46388</v>
      </c>
      <c r="E62" s="753">
        <f>'Proforma A+H'!J4</f>
        <v>46753</v>
      </c>
      <c r="F62" s="753">
        <f>'Proforma A+H'!K4</f>
        <v>47119</v>
      </c>
      <c r="G62" s="753">
        <f>'Proforma A+H'!L4</f>
        <v>47484</v>
      </c>
      <c r="H62" s="753">
        <f>'Proforma A+H'!M4</f>
        <v>47849</v>
      </c>
      <c r="I62" s="753">
        <f>'Proforma A+H'!N4</f>
        <v>48214</v>
      </c>
      <c r="J62" s="753">
        <f>'Proforma A+H'!O4</f>
        <v>48580</v>
      </c>
    </row>
    <row r="63" spans="1:134" s="153" customFormat="1" ht="16" x14ac:dyDescent="0.2">
      <c r="A63" s="316"/>
      <c r="B63" s="294" t="s">
        <v>736</v>
      </c>
      <c r="C63" s="403">
        <f t="shared" ref="C63:J65" si="56">SUMIF($5:$5,C$61,8:8)</f>
        <v>0</v>
      </c>
      <c r="D63" s="403">
        <f t="shared" si="56"/>
        <v>9248370</v>
      </c>
      <c r="E63" s="403">
        <f t="shared" si="56"/>
        <v>9551919.2399999984</v>
      </c>
      <c r="F63" s="403">
        <f t="shared" si="56"/>
        <v>39884535.500000007</v>
      </c>
      <c r="G63" s="403">
        <f t="shared" si="56"/>
        <v>62402147.707235016</v>
      </c>
      <c r="H63" s="403">
        <f t="shared" si="56"/>
        <v>64274212.138452068</v>
      </c>
      <c r="I63" s="403">
        <f t="shared" si="56"/>
        <v>66383815.046448357</v>
      </c>
      <c r="J63" s="403">
        <f t="shared" si="56"/>
        <v>68188511.657683805</v>
      </c>
    </row>
    <row r="64" spans="1:134" s="153" customFormat="1" ht="16" x14ac:dyDescent="0.2">
      <c r="A64" s="316"/>
      <c r="B64" s="294"/>
      <c r="C64" s="403">
        <f t="shared" si="56"/>
        <v>0</v>
      </c>
      <c r="D64" s="403">
        <f t="shared" si="56"/>
        <v>0</v>
      </c>
      <c r="E64" s="403">
        <f t="shared" si="56"/>
        <v>0</v>
      </c>
      <c r="F64" s="403">
        <f t="shared" si="56"/>
        <v>0</v>
      </c>
      <c r="G64" s="403">
        <f t="shared" si="56"/>
        <v>0</v>
      </c>
      <c r="H64" s="403">
        <f t="shared" si="56"/>
        <v>0</v>
      </c>
      <c r="I64" s="403">
        <f t="shared" si="56"/>
        <v>0</v>
      </c>
      <c r="J64" s="403">
        <f t="shared" si="56"/>
        <v>0</v>
      </c>
    </row>
    <row r="65" spans="1:10" s="153" customFormat="1" ht="16" x14ac:dyDescent="0.2">
      <c r="A65" s="316"/>
      <c r="B65" s="294"/>
      <c r="C65" s="403">
        <f t="shared" si="56"/>
        <v>0</v>
      </c>
      <c r="D65" s="403">
        <f t="shared" si="56"/>
        <v>0</v>
      </c>
      <c r="E65" s="403">
        <f t="shared" si="56"/>
        <v>0</v>
      </c>
      <c r="F65" s="403">
        <f t="shared" si="56"/>
        <v>0</v>
      </c>
      <c r="G65" s="403">
        <f t="shared" si="56"/>
        <v>0</v>
      </c>
      <c r="H65" s="403">
        <f t="shared" si="56"/>
        <v>0</v>
      </c>
      <c r="I65" s="403">
        <f t="shared" si="56"/>
        <v>0</v>
      </c>
      <c r="J65" s="403">
        <f t="shared" si="56"/>
        <v>0</v>
      </c>
    </row>
    <row r="66" spans="1:10" s="153" customFormat="1" ht="16" x14ac:dyDescent="0.2">
      <c r="A66" s="316"/>
      <c r="B66" s="294" t="s">
        <v>737</v>
      </c>
      <c r="C66" s="156">
        <f t="shared" ref="C66:J66" si="57">AVERAGEIF($5:$5,C$61,11:11)</f>
        <v>0.51</v>
      </c>
      <c r="D66" s="156">
        <f t="shared" si="57"/>
        <v>0.50416666666666665</v>
      </c>
      <c r="E66" s="156">
        <f t="shared" si="57"/>
        <v>0.50416666666666665</v>
      </c>
      <c r="F66" s="156">
        <f t="shared" si="57"/>
        <v>0.50416666666666665</v>
      </c>
      <c r="G66" s="156">
        <f t="shared" si="57"/>
        <v>0.50416666666666665</v>
      </c>
      <c r="H66" s="156">
        <f t="shared" si="57"/>
        <v>0.50416666666666665</v>
      </c>
      <c r="I66" s="156">
        <f t="shared" si="57"/>
        <v>0.50416666666666665</v>
      </c>
      <c r="J66" s="156">
        <f t="shared" si="57"/>
        <v>0.50416666666666665</v>
      </c>
    </row>
    <row r="67" spans="1:10" s="153" customFormat="1" ht="16" x14ac:dyDescent="0.2">
      <c r="A67" s="316"/>
      <c r="B67" s="408" t="s">
        <v>738</v>
      </c>
      <c r="C67" s="405">
        <f t="shared" ref="C67:J72" si="58">SUMIF($5:$5,C$61,12:12)</f>
        <v>0</v>
      </c>
      <c r="D67" s="405">
        <f t="shared" si="58"/>
        <v>4657124.4000000004</v>
      </c>
      <c r="E67" s="405">
        <f t="shared" si="58"/>
        <v>4813801.9230000004</v>
      </c>
      <c r="F67" s="405">
        <f t="shared" si="58"/>
        <v>20084322.260000002</v>
      </c>
      <c r="G67" s="405">
        <f t="shared" si="58"/>
        <v>31423328.0783282</v>
      </c>
      <c r="H67" s="405">
        <f t="shared" si="58"/>
        <v>32366027.920678053</v>
      </c>
      <c r="I67" s="405">
        <f t="shared" si="58"/>
        <v>33454903.51179618</v>
      </c>
      <c r="J67" s="405">
        <f t="shared" si="58"/>
        <v>34337119.021047339</v>
      </c>
    </row>
    <row r="68" spans="1:10" s="153" customFormat="1" ht="16" x14ac:dyDescent="0.2">
      <c r="A68" s="316"/>
      <c r="B68" s="409" t="s">
        <v>739</v>
      </c>
      <c r="C68" s="406">
        <f t="shared" si="58"/>
        <v>0</v>
      </c>
      <c r="D68" s="406">
        <f t="shared" si="58"/>
        <v>-1629993.5399999998</v>
      </c>
      <c r="E68" s="406">
        <f t="shared" si="58"/>
        <v>-1684830.6730500001</v>
      </c>
      <c r="F68" s="406">
        <f t="shared" si="58"/>
        <v>-7029512.7910000011</v>
      </c>
      <c r="G68" s="406">
        <f t="shared" si="58"/>
        <v>-10998164.82741487</v>
      </c>
      <c r="H68" s="406">
        <f t="shared" si="58"/>
        <v>-11328109.772237318</v>
      </c>
      <c r="I68" s="406">
        <f t="shared" si="58"/>
        <v>-11709216.229128664</v>
      </c>
      <c r="J68" s="406">
        <f t="shared" si="58"/>
        <v>-12017991.65736657</v>
      </c>
    </row>
    <row r="69" spans="1:10" s="153" customFormat="1" ht="16" x14ac:dyDescent="0.2">
      <c r="A69" s="316"/>
      <c r="B69" s="408" t="s">
        <v>740</v>
      </c>
      <c r="C69" s="405">
        <f t="shared" si="58"/>
        <v>0</v>
      </c>
      <c r="D69" s="405">
        <f t="shared" si="58"/>
        <v>3027130.8600000003</v>
      </c>
      <c r="E69" s="405">
        <f t="shared" si="58"/>
        <v>3128971.2499500001</v>
      </c>
      <c r="F69" s="405">
        <f t="shared" si="58"/>
        <v>13054809.469000002</v>
      </c>
      <c r="G69" s="405">
        <f t="shared" si="58"/>
        <v>20425163.250913333</v>
      </c>
      <c r="H69" s="405">
        <f t="shared" si="58"/>
        <v>21037918.148440734</v>
      </c>
      <c r="I69" s="405">
        <f t="shared" si="58"/>
        <v>21745687.282667521</v>
      </c>
      <c r="J69" s="405">
        <f t="shared" si="58"/>
        <v>22319127.363680776</v>
      </c>
    </row>
    <row r="70" spans="1:10" s="153" customFormat="1" ht="16" x14ac:dyDescent="0.2">
      <c r="A70" s="316"/>
      <c r="B70" s="294" t="s">
        <v>741</v>
      </c>
      <c r="C70" s="403">
        <f t="shared" si="58"/>
        <v>0</v>
      </c>
      <c r="D70" s="403">
        <f t="shared" si="58"/>
        <v>-911920.8</v>
      </c>
      <c r="E70" s="403">
        <f t="shared" si="58"/>
        <v>-942970.35600000026</v>
      </c>
      <c r="F70" s="403">
        <f t="shared" si="58"/>
        <v>-1934913.5534400002</v>
      </c>
      <c r="G70" s="403">
        <f t="shared" si="58"/>
        <v>-2989441.4400648009</v>
      </c>
      <c r="H70" s="403">
        <f t="shared" si="58"/>
        <v>-3079124.6832667449</v>
      </c>
      <c r="I70" s="403">
        <f t="shared" si="58"/>
        <v>-3183964.3297405108</v>
      </c>
      <c r="J70" s="403">
        <f t="shared" si="58"/>
        <v>-3266643.3764776913</v>
      </c>
    </row>
    <row r="71" spans="1:10" s="153" customFormat="1" ht="16" x14ac:dyDescent="0.2">
      <c r="A71" s="316"/>
      <c r="B71" s="409" t="s">
        <v>742</v>
      </c>
      <c r="C71" s="406">
        <f t="shared" si="58"/>
        <v>0</v>
      </c>
      <c r="D71" s="406">
        <f t="shared" si="58"/>
        <v>0</v>
      </c>
      <c r="E71" s="406">
        <f t="shared" si="58"/>
        <v>0</v>
      </c>
      <c r="F71" s="406">
        <f t="shared" si="58"/>
        <v>-3765810.4237500001</v>
      </c>
      <c r="G71" s="406">
        <f t="shared" si="58"/>
        <v>-7757569.4729249999</v>
      </c>
      <c r="H71" s="406">
        <f t="shared" si="58"/>
        <v>-7990296.5571127478</v>
      </c>
      <c r="I71" s="406">
        <f t="shared" si="58"/>
        <v>-8259110.4785540272</v>
      </c>
      <c r="J71" s="406">
        <f t="shared" si="58"/>
        <v>-8476905.6174409166</v>
      </c>
    </row>
    <row r="72" spans="1:10" s="153" customFormat="1" ht="16" x14ac:dyDescent="0.2">
      <c r="A72" s="316"/>
      <c r="B72" s="408" t="s">
        <v>743</v>
      </c>
      <c r="C72" s="405">
        <f t="shared" si="58"/>
        <v>0</v>
      </c>
      <c r="D72" s="405">
        <f t="shared" si="58"/>
        <v>2115210.06</v>
      </c>
      <c r="E72" s="405">
        <f t="shared" si="58"/>
        <v>2186000.8939499999</v>
      </c>
      <c r="F72" s="405">
        <f t="shared" si="58"/>
        <v>7354085.4918100024</v>
      </c>
      <c r="G72" s="405">
        <f t="shared" si="58"/>
        <v>9678152.3379235324</v>
      </c>
      <c r="H72" s="405">
        <f t="shared" si="58"/>
        <v>9968496.9080612399</v>
      </c>
      <c r="I72" s="405">
        <f t="shared" si="58"/>
        <v>10302612.474372981</v>
      </c>
      <c r="J72" s="405">
        <f t="shared" si="58"/>
        <v>10575578.369762167</v>
      </c>
    </row>
    <row r="73" spans="1:10" s="153" customFormat="1" ht="16" x14ac:dyDescent="0.2">
      <c r="A73" s="316"/>
      <c r="B73" s="294"/>
    </row>
    <row r="74" spans="1:10" s="153" customFormat="1" ht="16" x14ac:dyDescent="0.2">
      <c r="A74" s="316"/>
      <c r="B74" s="294" t="s">
        <v>744</v>
      </c>
      <c r="C74" s="403">
        <f t="shared" ref="C74:J76" si="59">SUMIF($5:$5,C$61,19:19)</f>
        <v>0</v>
      </c>
      <c r="D74" s="403">
        <f t="shared" si="59"/>
        <v>0</v>
      </c>
      <c r="E74" s="403">
        <f t="shared" si="59"/>
        <v>525616.53960000002</v>
      </c>
      <c r="F74" s="403">
        <f t="shared" si="59"/>
        <v>4016864.452000001</v>
      </c>
      <c r="G74" s="403">
        <f t="shared" si="59"/>
        <v>6284665.6156656407</v>
      </c>
      <c r="H74" s="403">
        <f t="shared" si="59"/>
        <v>6473205.5841356106</v>
      </c>
      <c r="I74" s="403">
        <f t="shared" si="59"/>
        <v>6690980.7023592358</v>
      </c>
      <c r="J74" s="403">
        <f t="shared" si="59"/>
        <v>6867423.804209468</v>
      </c>
    </row>
    <row r="75" spans="1:10" s="153" customFormat="1" ht="16" x14ac:dyDescent="0.2">
      <c r="A75" s="316"/>
      <c r="B75" s="409" t="s">
        <v>745</v>
      </c>
      <c r="C75" s="406">
        <f t="shared" si="59"/>
        <v>0</v>
      </c>
      <c r="D75" s="406">
        <f t="shared" si="59"/>
        <v>0</v>
      </c>
      <c r="E75" s="406">
        <f t="shared" si="59"/>
        <v>-394212.40470000001</v>
      </c>
      <c r="F75" s="406">
        <f t="shared" si="59"/>
        <v>-3012648.3390000006</v>
      </c>
      <c r="G75" s="406">
        <f t="shared" si="59"/>
        <v>-4713499.2117492305</v>
      </c>
      <c r="H75" s="406">
        <f t="shared" si="59"/>
        <v>-4854904.188101708</v>
      </c>
      <c r="I75" s="406">
        <f t="shared" si="59"/>
        <v>-5018235.5267694276</v>
      </c>
      <c r="J75" s="406">
        <f t="shared" si="59"/>
        <v>-5150567.8531571021</v>
      </c>
    </row>
    <row r="76" spans="1:10" s="153" customFormat="1" ht="16" x14ac:dyDescent="0.2">
      <c r="A76" s="316"/>
      <c r="B76" s="408" t="s">
        <v>746</v>
      </c>
      <c r="C76" s="405">
        <f t="shared" si="59"/>
        <v>0</v>
      </c>
      <c r="D76" s="405">
        <f t="shared" si="59"/>
        <v>0</v>
      </c>
      <c r="E76" s="405">
        <f t="shared" si="59"/>
        <v>131404.1349</v>
      </c>
      <c r="F76" s="405">
        <f t="shared" si="59"/>
        <v>1004216.1130000002</v>
      </c>
      <c r="G76" s="405">
        <f t="shared" si="59"/>
        <v>1571166.4039164102</v>
      </c>
      <c r="H76" s="405">
        <f t="shared" si="59"/>
        <v>1618301.3960339027</v>
      </c>
      <c r="I76" s="405">
        <f t="shared" si="59"/>
        <v>1672745.1755898092</v>
      </c>
      <c r="J76" s="405">
        <f t="shared" si="59"/>
        <v>1716855.9510523675</v>
      </c>
    </row>
    <row r="77" spans="1:10" s="153" customFormat="1" ht="16" x14ac:dyDescent="0.2">
      <c r="A77" s="316"/>
      <c r="B77" s="294"/>
    </row>
    <row r="78" spans="1:10" s="153" customFormat="1" ht="16" x14ac:dyDescent="0.2">
      <c r="A78" s="316"/>
      <c r="B78" s="294" t="s">
        <v>747</v>
      </c>
      <c r="C78" s="403">
        <f t="shared" ref="C78:J80" si="60">SUMIF($5:$5,C$61,23:23)</f>
        <v>0</v>
      </c>
      <c r="D78" s="403">
        <f t="shared" si="60"/>
        <v>0</v>
      </c>
      <c r="E78" s="403">
        <f t="shared" si="60"/>
        <v>131404.1349</v>
      </c>
      <c r="F78" s="403">
        <f t="shared" si="60"/>
        <v>1004216.1130000002</v>
      </c>
      <c r="G78" s="403">
        <f t="shared" si="60"/>
        <v>1571166.4039164102</v>
      </c>
      <c r="H78" s="403">
        <f t="shared" si="60"/>
        <v>1618301.3960339027</v>
      </c>
      <c r="I78" s="403">
        <f t="shared" si="60"/>
        <v>1672745.175589809</v>
      </c>
      <c r="J78" s="403">
        <f t="shared" si="60"/>
        <v>1716855.951052367</v>
      </c>
    </row>
    <row r="79" spans="1:10" s="153" customFormat="1" ht="16" x14ac:dyDescent="0.2">
      <c r="A79" s="316"/>
      <c r="B79" s="409" t="s">
        <v>748</v>
      </c>
      <c r="C79" s="406">
        <f t="shared" si="60"/>
        <v>0</v>
      </c>
      <c r="D79" s="406">
        <f t="shared" si="60"/>
        <v>0</v>
      </c>
      <c r="E79" s="406">
        <f t="shared" si="60"/>
        <v>-32851.033725000001</v>
      </c>
      <c r="F79" s="406">
        <f t="shared" si="60"/>
        <v>-251054.02825000006</v>
      </c>
      <c r="G79" s="406">
        <f t="shared" si="60"/>
        <v>-392791.60097910254</v>
      </c>
      <c r="H79" s="406">
        <f t="shared" si="60"/>
        <v>-404575.34900847566</v>
      </c>
      <c r="I79" s="406">
        <f t="shared" si="60"/>
        <v>-418186.29389745224</v>
      </c>
      <c r="J79" s="406">
        <f t="shared" si="60"/>
        <v>-429213.98776309175</v>
      </c>
    </row>
    <row r="80" spans="1:10" s="153" customFormat="1" ht="16" x14ac:dyDescent="0.2">
      <c r="A80" s="316"/>
      <c r="B80" s="408" t="s">
        <v>749</v>
      </c>
      <c r="C80" s="405">
        <f t="shared" si="60"/>
        <v>0</v>
      </c>
      <c r="D80" s="405">
        <f t="shared" si="60"/>
        <v>0</v>
      </c>
      <c r="E80" s="405">
        <f t="shared" si="60"/>
        <v>98553.101175000003</v>
      </c>
      <c r="F80" s="405">
        <f t="shared" si="60"/>
        <v>753162.08475000015</v>
      </c>
      <c r="G80" s="405">
        <f t="shared" si="60"/>
        <v>1178374.8029373076</v>
      </c>
      <c r="H80" s="405">
        <f t="shared" si="60"/>
        <v>1213726.047025427</v>
      </c>
      <c r="I80" s="405">
        <f t="shared" si="60"/>
        <v>1254558.8816923569</v>
      </c>
      <c r="J80" s="405">
        <f t="shared" si="60"/>
        <v>1287641.9632892755</v>
      </c>
    </row>
    <row r="81" spans="1:10" s="153" customFormat="1" ht="16" x14ac:dyDescent="0.2">
      <c r="A81" s="316"/>
      <c r="B81" s="294"/>
    </row>
    <row r="82" spans="1:10" s="153" customFormat="1" ht="16" x14ac:dyDescent="0.2">
      <c r="A82" s="316"/>
      <c r="B82" s="294" t="s">
        <v>750</v>
      </c>
      <c r="C82" s="403">
        <f t="shared" ref="C82:J82" si="61">SUMIF($5:$5,C$61,27:27)</f>
        <v>0</v>
      </c>
      <c r="D82" s="403">
        <f t="shared" si="61"/>
        <v>0</v>
      </c>
      <c r="E82" s="403">
        <f t="shared" ca="1" si="61"/>
        <v>2758340</v>
      </c>
      <c r="F82" s="403">
        <f t="shared" ca="1" si="61"/>
        <v>5682180.3999999994</v>
      </c>
      <c r="G82" s="403">
        <f t="shared" ca="1" si="61"/>
        <v>5852645.8119999999</v>
      </c>
      <c r="H82" s="403">
        <f t="shared" ca="1" si="61"/>
        <v>6028225.1863600006</v>
      </c>
      <c r="I82" s="403">
        <f t="shared" ca="1" si="61"/>
        <v>6209071.941950799</v>
      </c>
      <c r="J82" s="403">
        <f t="shared" ca="1" si="61"/>
        <v>6395344.1002093246</v>
      </c>
    </row>
    <row r="83" spans="1:10" s="153" customFormat="1" ht="16" x14ac:dyDescent="0.2">
      <c r="A83" s="316"/>
      <c r="B83" s="294" t="s">
        <v>768</v>
      </c>
      <c r="C83" s="401"/>
      <c r="D83" s="401"/>
      <c r="E83" s="401">
        <f t="shared" ref="E83:J83" si="62">AVERAGEIF($5:$5,E$61,28:28)</f>
        <v>0.5625</v>
      </c>
      <c r="F83" s="401">
        <f t="shared" si="62"/>
        <v>0.5625</v>
      </c>
      <c r="G83" s="401">
        <f t="shared" si="62"/>
        <v>0.5625</v>
      </c>
      <c r="H83" s="401">
        <f t="shared" si="62"/>
        <v>0.5625</v>
      </c>
      <c r="I83" s="401">
        <f t="shared" si="62"/>
        <v>0.5625</v>
      </c>
      <c r="J83" s="401">
        <f t="shared" si="62"/>
        <v>0.5625</v>
      </c>
    </row>
    <row r="84" spans="1:10" s="153" customFormat="1" ht="16" x14ac:dyDescent="0.2">
      <c r="A84" s="316"/>
      <c r="B84" s="294" t="s">
        <v>751</v>
      </c>
      <c r="C84" s="403">
        <f t="shared" ref="C84:J87" si="63">SUMIF($5:$5,C$61,29:29)</f>
        <v>0</v>
      </c>
      <c r="D84" s="403">
        <f t="shared" si="63"/>
        <v>0</v>
      </c>
      <c r="E84" s="403">
        <f t="shared" ca="1" si="63"/>
        <v>1379170</v>
      </c>
      <c r="F84" s="403">
        <f t="shared" ca="1" si="63"/>
        <v>3196226.4749999996</v>
      </c>
      <c r="G84" s="403">
        <f t="shared" ca="1" si="63"/>
        <v>3292113.2692499999</v>
      </c>
      <c r="H84" s="403">
        <f t="shared" ca="1" si="63"/>
        <v>3390876.6673275004</v>
      </c>
      <c r="I84" s="403">
        <f t="shared" ca="1" si="63"/>
        <v>3492602.9673473244</v>
      </c>
      <c r="J84" s="403">
        <f t="shared" ca="1" si="63"/>
        <v>3597381.0563677452</v>
      </c>
    </row>
    <row r="85" spans="1:10" s="153" customFormat="1" ht="16" x14ac:dyDescent="0.2">
      <c r="A85" s="316"/>
      <c r="B85" s="294" t="s">
        <v>752</v>
      </c>
      <c r="C85" s="735">
        <f t="shared" si="63"/>
        <v>0</v>
      </c>
      <c r="D85" s="735">
        <f t="shared" si="63"/>
        <v>0</v>
      </c>
      <c r="E85" s="735">
        <f t="shared" ca="1" si="63"/>
        <v>137917</v>
      </c>
      <c r="F85" s="735">
        <f t="shared" ca="1" si="63"/>
        <v>319622.64749999996</v>
      </c>
      <c r="G85" s="735">
        <f t="shared" ca="1" si="63"/>
        <v>329211.32692499994</v>
      </c>
      <c r="H85" s="735">
        <f t="shared" ca="1" si="63"/>
        <v>339087.66673274996</v>
      </c>
      <c r="I85" s="735">
        <f t="shared" ca="1" si="63"/>
        <v>349260.29673473252</v>
      </c>
      <c r="J85" s="735">
        <f t="shared" ca="1" si="63"/>
        <v>359738.1056367745</v>
      </c>
    </row>
    <row r="86" spans="1:10" s="153" customFormat="1" ht="16" x14ac:dyDescent="0.2">
      <c r="A86" s="316"/>
      <c r="B86" s="409" t="s">
        <v>112</v>
      </c>
      <c r="C86" s="406">
        <f t="shared" si="63"/>
        <v>0</v>
      </c>
      <c r="D86" s="406">
        <f t="shared" si="63"/>
        <v>0</v>
      </c>
      <c r="E86" s="406">
        <f t="shared" ca="1" si="63"/>
        <v>-20000</v>
      </c>
      <c r="F86" s="406">
        <f t="shared" ca="1" si="63"/>
        <v>-40000</v>
      </c>
      <c r="G86" s="406">
        <f t="shared" ca="1" si="63"/>
        <v>-40000</v>
      </c>
      <c r="H86" s="406">
        <f t="shared" ca="1" si="63"/>
        <v>-40000</v>
      </c>
      <c r="I86" s="406">
        <f t="shared" ca="1" si="63"/>
        <v>-40000</v>
      </c>
      <c r="J86" s="406">
        <f t="shared" ca="1" si="63"/>
        <v>-40000</v>
      </c>
    </row>
    <row r="87" spans="1:10" s="153" customFormat="1" ht="16" x14ac:dyDescent="0.2">
      <c r="A87" s="316"/>
      <c r="B87" s="408" t="s">
        <v>753</v>
      </c>
      <c r="C87" s="405">
        <f t="shared" si="63"/>
        <v>0</v>
      </c>
      <c r="D87" s="405">
        <f t="shared" si="63"/>
        <v>0</v>
      </c>
      <c r="E87" s="405">
        <f t="shared" ca="1" si="63"/>
        <v>1497087</v>
      </c>
      <c r="F87" s="405">
        <f t="shared" ca="1" si="63"/>
        <v>3475849.1224999996</v>
      </c>
      <c r="G87" s="405">
        <f t="shared" ca="1" si="63"/>
        <v>3581324.5961750001</v>
      </c>
      <c r="H87" s="405">
        <f t="shared" ca="1" si="63"/>
        <v>3689964.3340602494</v>
      </c>
      <c r="I87" s="405">
        <f t="shared" ca="1" si="63"/>
        <v>3801863.2640820569</v>
      </c>
      <c r="J87" s="405">
        <f t="shared" ca="1" si="63"/>
        <v>3917119.1620045183</v>
      </c>
    </row>
    <row r="88" spans="1:10" s="153" customFormat="1" ht="16" x14ac:dyDescent="0.2">
      <c r="A88" s="316"/>
      <c r="B88" s="294"/>
    </row>
    <row r="89" spans="1:10" s="153" customFormat="1" ht="16" x14ac:dyDescent="0.2">
      <c r="A89" s="316"/>
      <c r="B89" s="294" t="s">
        <v>754</v>
      </c>
      <c r="C89" s="403">
        <f t="shared" ref="C89:J91" si="64">SUMIF($5:$5,C$61,34:34)</f>
        <v>0</v>
      </c>
      <c r="D89" s="403">
        <f t="shared" si="64"/>
        <v>0</v>
      </c>
      <c r="E89" s="403">
        <f t="shared" si="64"/>
        <v>709582.32846000011</v>
      </c>
      <c r="F89" s="403">
        <f t="shared" si="64"/>
        <v>5422767.0102000004</v>
      </c>
      <c r="G89" s="403">
        <f t="shared" si="64"/>
        <v>8484298.5811486151</v>
      </c>
      <c r="H89" s="403">
        <f t="shared" si="64"/>
        <v>8738827.5385830756</v>
      </c>
      <c r="I89" s="403">
        <f t="shared" si="64"/>
        <v>9032823.9481849689</v>
      </c>
      <c r="J89" s="403">
        <f t="shared" si="64"/>
        <v>9271022.135682784</v>
      </c>
    </row>
    <row r="90" spans="1:10" s="153" customFormat="1" ht="16" x14ac:dyDescent="0.2">
      <c r="A90" s="316"/>
      <c r="B90" s="409" t="s">
        <v>745</v>
      </c>
      <c r="C90" s="406">
        <f t="shared" si="64"/>
        <v>0</v>
      </c>
      <c r="D90" s="406">
        <f t="shared" si="64"/>
        <v>0</v>
      </c>
      <c r="E90" s="406">
        <f t="shared" si="64"/>
        <v>-638624.09561399999</v>
      </c>
      <c r="F90" s="406">
        <f t="shared" si="64"/>
        <v>-4880490.3091800008</v>
      </c>
      <c r="G90" s="406">
        <f t="shared" si="64"/>
        <v>-7635868.7230337532</v>
      </c>
      <c r="H90" s="406">
        <f t="shared" si="64"/>
        <v>-7864944.7847247664</v>
      </c>
      <c r="I90" s="406">
        <f t="shared" si="64"/>
        <v>-8129541.553366472</v>
      </c>
      <c r="J90" s="406">
        <f t="shared" si="64"/>
        <v>-8343919.9221145064</v>
      </c>
    </row>
    <row r="91" spans="1:10" s="153" customFormat="1" ht="16" x14ac:dyDescent="0.2">
      <c r="A91" s="316"/>
      <c r="B91" s="408" t="s">
        <v>755</v>
      </c>
      <c r="C91" s="405">
        <f t="shared" si="64"/>
        <v>0</v>
      </c>
      <c r="D91" s="405">
        <f t="shared" si="64"/>
        <v>0</v>
      </c>
      <c r="E91" s="405">
        <f t="shared" si="64"/>
        <v>70958.232846000028</v>
      </c>
      <c r="F91" s="405">
        <f t="shared" si="64"/>
        <v>542276.70102000004</v>
      </c>
      <c r="G91" s="405">
        <f t="shared" si="64"/>
        <v>848429.8581148613</v>
      </c>
      <c r="H91" s="405">
        <f t="shared" si="64"/>
        <v>873882.75385830714</v>
      </c>
      <c r="I91" s="405">
        <f t="shared" si="64"/>
        <v>903282.39481849666</v>
      </c>
      <c r="J91" s="405">
        <f t="shared" si="64"/>
        <v>927102.21356827801</v>
      </c>
    </row>
    <row r="92" spans="1:10" s="153" customFormat="1" ht="16" x14ac:dyDescent="0.2">
      <c r="A92" s="316"/>
      <c r="B92" s="294"/>
      <c r="C92" s="404"/>
      <c r="D92" s="404"/>
      <c r="E92" s="404"/>
      <c r="F92" s="404"/>
      <c r="G92" s="404"/>
      <c r="H92" s="404"/>
      <c r="I92" s="404"/>
      <c r="J92" s="404"/>
    </row>
    <row r="93" spans="1:10" s="153" customFormat="1" ht="16" x14ac:dyDescent="0.2">
      <c r="A93" s="316"/>
      <c r="B93" s="408" t="s">
        <v>756</v>
      </c>
      <c r="C93" s="403">
        <f>SUMIF($5:$5,C$61,38:38)</f>
        <v>0</v>
      </c>
      <c r="D93" s="403">
        <f>SUMIF($5:$5,D$61,38:38)</f>
        <v>2115210.06</v>
      </c>
      <c r="E93" s="403">
        <f t="shared" ref="E93:J93" ca="1" si="65">SUMIF($5:$5,E$61,38:38)</f>
        <v>3984003.3628709996</v>
      </c>
      <c r="F93" s="403">
        <f t="shared" ca="1" si="65"/>
        <v>13129589.513080001</v>
      </c>
      <c r="G93" s="403">
        <f t="shared" ca="1" si="65"/>
        <v>16857447.999067113</v>
      </c>
      <c r="H93" s="403">
        <f t="shared" ca="1" si="65"/>
        <v>17364371.439039126</v>
      </c>
      <c r="I93" s="403">
        <f t="shared" ca="1" si="65"/>
        <v>17935062.190555699</v>
      </c>
      <c r="J93" s="403">
        <f t="shared" ca="1" si="65"/>
        <v>18424297.659676608</v>
      </c>
    </row>
    <row r="94" spans="1:10" s="153" customFormat="1" ht="16" x14ac:dyDescent="0.2">
      <c r="A94" s="316"/>
      <c r="B94" s="294"/>
      <c r="C94" s="404"/>
      <c r="D94" s="404"/>
      <c r="E94" s="404"/>
      <c r="F94" s="404"/>
      <c r="G94" s="404"/>
      <c r="H94" s="404"/>
      <c r="I94" s="404"/>
      <c r="J94" s="404"/>
    </row>
    <row r="95" spans="1:10" s="153" customFormat="1" ht="16" x14ac:dyDescent="0.2">
      <c r="A95" s="316"/>
      <c r="B95" s="780" t="s">
        <v>757</v>
      </c>
      <c r="C95" s="403">
        <f>SUMIF($5:$5,C$61,40:40)</f>
        <v>0</v>
      </c>
      <c r="D95" s="404">
        <f t="shared" ref="D95:J95" si="66">SUMIF($5:$5,D$61,40:40)</f>
        <v>3745203.6</v>
      </c>
      <c r="E95" s="404">
        <f t="shared" ca="1" si="66"/>
        <v>6754521.5699600009</v>
      </c>
      <c r="F95" s="404">
        <f t="shared" ca="1" si="66"/>
        <v>28343294.980510004</v>
      </c>
      <c r="G95" s="404">
        <f t="shared" ca="1" si="66"/>
        <v>40637772.362244062</v>
      </c>
      <c r="H95" s="404">
        <f t="shared" ca="1" si="66"/>
        <v>41856905.533111401</v>
      </c>
      <c r="I95" s="404">
        <f t="shared" ca="1" si="66"/>
        <v>43250241.793717712</v>
      </c>
      <c r="J95" s="404">
        <f t="shared" ca="1" si="66"/>
        <v>44405991.080077879</v>
      </c>
    </row>
    <row r="96" spans="1:10" s="153" customFormat="1" ht="16" x14ac:dyDescent="0.2">
      <c r="A96" s="316"/>
      <c r="B96" s="294" t="s">
        <v>119</v>
      </c>
      <c r="C96" s="403">
        <f t="shared" ref="C96:J96" si="67">SUMIF($5:$5,C$61,41:41)</f>
        <v>0</v>
      </c>
      <c r="D96" s="403">
        <f t="shared" si="67"/>
        <v>-337068.32400000002</v>
      </c>
      <c r="E96" s="403">
        <f t="shared" ca="1" si="67"/>
        <v>-607906.94129640004</v>
      </c>
      <c r="F96" s="403">
        <f t="shared" ca="1" si="67"/>
        <v>-2550896.5482459008</v>
      </c>
      <c r="G96" s="403">
        <f t="shared" ca="1" si="67"/>
        <v>-3657399.512601966</v>
      </c>
      <c r="H96" s="403">
        <f t="shared" ca="1" si="67"/>
        <v>-3767121.4979800256</v>
      </c>
      <c r="I96" s="403">
        <f t="shared" ca="1" si="67"/>
        <v>-3892521.7614345946</v>
      </c>
      <c r="J96" s="403">
        <f t="shared" ca="1" si="67"/>
        <v>-3996539.197207009</v>
      </c>
    </row>
    <row r="97" spans="1:10" s="153" customFormat="1" ht="16" x14ac:dyDescent="0.2">
      <c r="A97" s="316"/>
      <c r="B97" s="294" t="s">
        <v>120</v>
      </c>
      <c r="C97" s="407">
        <f t="shared" ref="C97:J97" si="68">SUMIF($5:$5,C$61,42:42)</f>
        <v>0</v>
      </c>
      <c r="D97" s="407">
        <f t="shared" si="68"/>
        <v>-187260.18000000002</v>
      </c>
      <c r="E97" s="407">
        <f t="shared" ca="1" si="68"/>
        <v>-337726.07849800005</v>
      </c>
      <c r="F97" s="407">
        <f t="shared" ca="1" si="68"/>
        <v>-1417164.7490255001</v>
      </c>
      <c r="G97" s="407">
        <f t="shared" ca="1" si="68"/>
        <v>-2031888.6181122037</v>
      </c>
      <c r="H97" s="407">
        <f t="shared" ca="1" si="68"/>
        <v>-2092845.2766555697</v>
      </c>
      <c r="I97" s="407">
        <f t="shared" ca="1" si="68"/>
        <v>-2162512.0896858862</v>
      </c>
      <c r="J97" s="407">
        <f t="shared" ca="1" si="68"/>
        <v>-2220299.5540038943</v>
      </c>
    </row>
    <row r="98" spans="1:10" s="153" customFormat="1" ht="16" x14ac:dyDescent="0.2">
      <c r="A98" s="316"/>
      <c r="B98" s="294" t="s">
        <v>121</v>
      </c>
      <c r="C98" s="403">
        <f t="shared" ref="C98:J98" si="69">SUMIF($5:$5,C$61,43:43)</f>
        <v>0</v>
      </c>
      <c r="D98" s="403">
        <f t="shared" si="69"/>
        <v>-299616.28800000006</v>
      </c>
      <c r="E98" s="403">
        <f t="shared" ca="1" si="69"/>
        <v>-540361.72559679998</v>
      </c>
      <c r="F98" s="403">
        <f t="shared" ca="1" si="69"/>
        <v>-2267463.5984408003</v>
      </c>
      <c r="G98" s="403">
        <f t="shared" ca="1" si="69"/>
        <v>-3251021.7889795257</v>
      </c>
      <c r="H98" s="403">
        <f t="shared" ca="1" si="69"/>
        <v>-3348552.4426489118</v>
      </c>
      <c r="I98" s="403">
        <f t="shared" ca="1" si="69"/>
        <v>-3460019.3434974179</v>
      </c>
      <c r="J98" s="403">
        <f t="shared" ca="1" si="69"/>
        <v>-3552479.2864062302</v>
      </c>
    </row>
    <row r="99" spans="1:10" s="153" customFormat="1" ht="16" x14ac:dyDescent="0.2">
      <c r="A99" s="316"/>
      <c r="B99" s="409" t="s">
        <v>758</v>
      </c>
      <c r="C99" s="785">
        <f t="shared" ref="C99:J99" si="70">SUMIF($5:$5,C$61,44:44)</f>
        <v>0</v>
      </c>
      <c r="D99" s="785">
        <f t="shared" si="70"/>
        <v>-93630.090000000011</v>
      </c>
      <c r="E99" s="785">
        <f t="shared" ca="1" si="70"/>
        <v>-168863.03924900002</v>
      </c>
      <c r="F99" s="785">
        <f t="shared" ca="1" si="70"/>
        <v>-708582.37451275007</v>
      </c>
      <c r="G99" s="785">
        <f t="shared" ca="1" si="70"/>
        <v>-1015944.3090561018</v>
      </c>
      <c r="H99" s="785">
        <f t="shared" ca="1" si="70"/>
        <v>-1046422.6383277848</v>
      </c>
      <c r="I99" s="785">
        <f t="shared" ca="1" si="70"/>
        <v>-1081256.0448429431</v>
      </c>
      <c r="J99" s="785">
        <f t="shared" ca="1" si="70"/>
        <v>-1110149.7770019472</v>
      </c>
    </row>
    <row r="100" spans="1:10" s="153" customFormat="1" ht="16" x14ac:dyDescent="0.2">
      <c r="A100" s="316"/>
      <c r="B100" s="408" t="s">
        <v>759</v>
      </c>
      <c r="C100" s="405">
        <f t="shared" ref="C100:J100" si="71">SUMIF($5:$5,C$61,45:45)</f>
        <v>0</v>
      </c>
      <c r="D100" s="405">
        <f t="shared" si="71"/>
        <v>-917574.88200000022</v>
      </c>
      <c r="E100" s="405">
        <f t="shared" ca="1" si="71"/>
        <v>-1654857.7846401997</v>
      </c>
      <c r="F100" s="405">
        <f t="shared" ca="1" si="71"/>
        <v>-6944107.2702249512</v>
      </c>
      <c r="G100" s="405">
        <f t="shared" ca="1" si="71"/>
        <v>-9956254.2287498005</v>
      </c>
      <c r="H100" s="405">
        <f t="shared" ca="1" si="71"/>
        <v>-10254941.855612293</v>
      </c>
      <c r="I100" s="405">
        <f t="shared" ca="1" si="71"/>
        <v>-10596309.239460839</v>
      </c>
      <c r="J100" s="405">
        <f t="shared" ca="1" si="71"/>
        <v>-10879467.814619079</v>
      </c>
    </row>
    <row r="101" spans="1:10" s="153" customFormat="1" ht="16" x14ac:dyDescent="0.2">
      <c r="A101" s="316"/>
      <c r="B101" s="294"/>
      <c r="C101" s="404">
        <f>-C100</f>
        <v>0</v>
      </c>
      <c r="D101" s="404">
        <f t="shared" ref="D101:J101" si="72">-D100</f>
        <v>917574.88200000022</v>
      </c>
      <c r="E101" s="404">
        <f t="shared" ca="1" si="72"/>
        <v>1654857.7846401997</v>
      </c>
      <c r="F101" s="404">
        <f t="shared" ca="1" si="72"/>
        <v>6944107.2702249512</v>
      </c>
      <c r="G101" s="404">
        <f t="shared" ca="1" si="72"/>
        <v>9956254.2287498005</v>
      </c>
      <c r="H101" s="404">
        <f t="shared" ca="1" si="72"/>
        <v>10254941.855612293</v>
      </c>
      <c r="I101" s="404">
        <f t="shared" ca="1" si="72"/>
        <v>10596309.239460839</v>
      </c>
      <c r="J101" s="404">
        <f t="shared" ca="1" si="72"/>
        <v>10879467.814619079</v>
      </c>
    </row>
    <row r="102" spans="1:10" s="153" customFormat="1" ht="16" x14ac:dyDescent="0.2">
      <c r="A102" s="316"/>
      <c r="B102" s="408" t="s">
        <v>760</v>
      </c>
      <c r="C102" s="405">
        <f t="shared" ref="C102:J102" si="73">SUMIF($5:$5,C$61,47:47)</f>
        <v>0</v>
      </c>
      <c r="D102" s="405">
        <f t="shared" si="73"/>
        <v>1197635.1780000003</v>
      </c>
      <c r="E102" s="405">
        <f t="shared" ca="1" si="73"/>
        <v>2329145.5782308001</v>
      </c>
      <c r="F102" s="405">
        <f t="shared" ca="1" si="73"/>
        <v>6185482.2428550506</v>
      </c>
      <c r="G102" s="405">
        <f t="shared" ca="1" si="73"/>
        <v>6901193.7703173123</v>
      </c>
      <c r="H102" s="405">
        <f t="shared" ca="1" si="73"/>
        <v>7109429.5834268332</v>
      </c>
      <c r="I102" s="405">
        <f t="shared" ca="1" si="73"/>
        <v>7338752.9510948593</v>
      </c>
      <c r="J102" s="405">
        <f t="shared" ca="1" si="73"/>
        <v>7544829.8450575266</v>
      </c>
    </row>
    <row r="103" spans="1:10" s="153" customFormat="1" ht="16" x14ac:dyDescent="0.2">
      <c r="A103" s="316"/>
      <c r="B103" s="408"/>
      <c r="C103" s="405"/>
      <c r="D103" s="405"/>
      <c r="E103" s="405"/>
      <c r="F103" s="405"/>
      <c r="G103" s="405"/>
      <c r="H103" s="405"/>
      <c r="I103" s="405"/>
      <c r="J103" s="405"/>
    </row>
    <row r="104" spans="1:10" s="153" customFormat="1" ht="16" x14ac:dyDescent="0.2">
      <c r="A104" s="316"/>
      <c r="B104" s="294" t="s">
        <v>761</v>
      </c>
      <c r="C104" s="403">
        <f t="shared" ref="C104:J104" si="74">SUMIF($5:$5,C$61,49:49)</f>
        <v>0</v>
      </c>
      <c r="D104" s="403">
        <f t="shared" si="74"/>
        <v>-93630.090000000011</v>
      </c>
      <c r="E104" s="403">
        <f t="shared" ca="1" si="74"/>
        <v>-168863.03924900002</v>
      </c>
      <c r="F104" s="403">
        <f t="shared" ca="1" si="74"/>
        <v>-708582.37451275007</v>
      </c>
      <c r="G104" s="403">
        <f t="shared" ca="1" si="74"/>
        <v>-1015944.3090561018</v>
      </c>
      <c r="H104" s="403">
        <f t="shared" ca="1" si="74"/>
        <v>-1046422.6383277848</v>
      </c>
      <c r="I104" s="403">
        <f t="shared" ca="1" si="74"/>
        <v>-1081256.0448429431</v>
      </c>
      <c r="J104" s="403">
        <f t="shared" ca="1" si="74"/>
        <v>-1110149.7770019472</v>
      </c>
    </row>
    <row r="105" spans="1:10" s="153" customFormat="1" ht="16" x14ac:dyDescent="0.2">
      <c r="A105" s="316"/>
      <c r="B105" s="409" t="s">
        <v>762</v>
      </c>
      <c r="C105" s="406">
        <f t="shared" ref="C105:J105" si="75">SUMIF($5:$5,C$61,50:50)</f>
        <v>0</v>
      </c>
      <c r="D105" s="406">
        <f t="shared" si="75"/>
        <v>-37452.036000000007</v>
      </c>
      <c r="E105" s="406">
        <f t="shared" ca="1" si="75"/>
        <v>-67545.215699599998</v>
      </c>
      <c r="F105" s="406">
        <f t="shared" ca="1" si="75"/>
        <v>-283432.94980510004</v>
      </c>
      <c r="G105" s="406">
        <f t="shared" ca="1" si="75"/>
        <v>-406377.72362244071</v>
      </c>
      <c r="H105" s="406">
        <f t="shared" ca="1" si="75"/>
        <v>-418569.05533111398</v>
      </c>
      <c r="I105" s="406">
        <f t="shared" ca="1" si="75"/>
        <v>-432502.41793717723</v>
      </c>
      <c r="J105" s="406">
        <f t="shared" ca="1" si="75"/>
        <v>-444059.91080077877</v>
      </c>
    </row>
    <row r="106" spans="1:10" s="153" customFormat="1" ht="16" x14ac:dyDescent="0.2">
      <c r="A106" s="316"/>
      <c r="B106" s="408" t="s">
        <v>763</v>
      </c>
      <c r="C106" s="405">
        <f t="shared" ref="C106:J106" si="76">SUMIF($5:$5,C$61,51:51)</f>
        <v>0</v>
      </c>
      <c r="D106" s="405">
        <f t="shared" si="76"/>
        <v>1066553.0520000001</v>
      </c>
      <c r="E106" s="405">
        <f t="shared" ca="1" si="76"/>
        <v>2092737.3232821997</v>
      </c>
      <c r="F106" s="405">
        <f t="shared" ca="1" si="76"/>
        <v>5193466.9185371995</v>
      </c>
      <c r="G106" s="405">
        <f t="shared" ca="1" si="76"/>
        <v>5478871.7376387697</v>
      </c>
      <c r="H106" s="405">
        <f t="shared" ca="1" si="76"/>
        <v>5644437.8897679355</v>
      </c>
      <c r="I106" s="405">
        <f t="shared" ca="1" si="76"/>
        <v>5824994.4883147385</v>
      </c>
      <c r="J106" s="405">
        <f t="shared" ca="1" si="76"/>
        <v>5990620.1572548002</v>
      </c>
    </row>
    <row r="107" spans="1:10" s="153" customFormat="1" ht="16" x14ac:dyDescent="0.2">
      <c r="A107" s="316"/>
      <c r="B107" s="294"/>
      <c r="C107" s="405"/>
      <c r="D107" s="786"/>
      <c r="E107" s="786"/>
      <c r="F107" s="786"/>
      <c r="G107" s="786"/>
      <c r="H107" s="786"/>
      <c r="I107" s="786"/>
      <c r="J107" s="786"/>
    </row>
    <row r="108" spans="1:10" s="153" customFormat="1" ht="16" x14ac:dyDescent="0.2">
      <c r="A108" s="316"/>
      <c r="B108" s="294" t="s">
        <v>764</v>
      </c>
      <c r="C108" s="405">
        <f t="shared" ref="C108:J108" si="77">SUMIF($5:$5,C$61,53:53)</f>
        <v>0</v>
      </c>
      <c r="D108" s="405">
        <f t="shared" si="77"/>
        <v>-24999.999999999996</v>
      </c>
      <c r="E108" s="405">
        <f t="shared" si="77"/>
        <v>-24999.999999999996</v>
      </c>
      <c r="F108" s="405">
        <f t="shared" si="77"/>
        <v>-24999.999999999996</v>
      </c>
      <c r="G108" s="405">
        <f t="shared" si="77"/>
        <v>-24999.999999999996</v>
      </c>
      <c r="H108" s="405">
        <f t="shared" si="77"/>
        <v>-24999.999999999996</v>
      </c>
      <c r="I108" s="405">
        <f t="shared" si="77"/>
        <v>-24999.999999999996</v>
      </c>
      <c r="J108" s="405">
        <f t="shared" si="77"/>
        <v>-24999.999999999996</v>
      </c>
    </row>
    <row r="109" spans="1:10" s="153" customFormat="1" ht="16" x14ac:dyDescent="0.2">
      <c r="A109" s="316"/>
      <c r="B109" s="409" t="s">
        <v>127</v>
      </c>
      <c r="C109" s="785">
        <f t="shared" ref="C109:J109" si="78">SUMIF($5:$5,C$61,54:54)</f>
        <v>0</v>
      </c>
      <c r="D109" s="785">
        <f t="shared" si="78"/>
        <v>-37452.036000000007</v>
      </c>
      <c r="E109" s="785">
        <f t="shared" ca="1" si="78"/>
        <v>-67545.215699599998</v>
      </c>
      <c r="F109" s="785">
        <f t="shared" ca="1" si="78"/>
        <v>-283432.94980510004</v>
      </c>
      <c r="G109" s="785">
        <f t="shared" ca="1" si="78"/>
        <v>-406377.72362244071</v>
      </c>
      <c r="H109" s="785">
        <f t="shared" ca="1" si="78"/>
        <v>-418569.05533111398</v>
      </c>
      <c r="I109" s="785">
        <f t="shared" ca="1" si="78"/>
        <v>-432502.41793717723</v>
      </c>
      <c r="J109" s="785">
        <f t="shared" ca="1" si="78"/>
        <v>-444059.91080077877</v>
      </c>
    </row>
    <row r="110" spans="1:10" s="153" customFormat="1" ht="16" x14ac:dyDescent="0.2">
      <c r="A110" s="316"/>
      <c r="B110" s="408" t="s">
        <v>765</v>
      </c>
      <c r="C110" s="405">
        <f t="shared" ref="C110:J110" si="79">SUMIF($5:$5,C$61,55:55)</f>
        <v>0</v>
      </c>
      <c r="D110" s="405">
        <f t="shared" si="79"/>
        <v>-62452.036</v>
      </c>
      <c r="E110" s="405">
        <f t="shared" ca="1" si="79"/>
        <v>-92545.215699599998</v>
      </c>
      <c r="F110" s="405">
        <f t="shared" ca="1" si="79"/>
        <v>-308432.94980510004</v>
      </c>
      <c r="G110" s="405">
        <f t="shared" ca="1" si="79"/>
        <v>-431377.72362244065</v>
      </c>
      <c r="H110" s="405">
        <f t="shared" ca="1" si="79"/>
        <v>-443569.05533111404</v>
      </c>
      <c r="I110" s="405">
        <f t="shared" ca="1" si="79"/>
        <v>-457502.41793717718</v>
      </c>
      <c r="J110" s="405">
        <f t="shared" ca="1" si="79"/>
        <v>-469059.91080077871</v>
      </c>
    </row>
    <row r="111" spans="1:10" s="153" customFormat="1" ht="16" x14ac:dyDescent="0.2">
      <c r="A111" s="316"/>
      <c r="B111" s="294"/>
      <c r="C111" s="404"/>
      <c r="D111" s="404"/>
      <c r="E111" s="787"/>
      <c r="F111" s="404"/>
      <c r="G111" s="404"/>
      <c r="H111" s="404"/>
      <c r="I111" s="404"/>
      <c r="J111" s="404"/>
    </row>
    <row r="112" spans="1:10" s="153" customFormat="1" ht="16" x14ac:dyDescent="0.2">
      <c r="A112" s="316"/>
      <c r="B112" s="408" t="s">
        <v>766</v>
      </c>
      <c r="C112" s="405">
        <f t="shared" ref="C112:J112" si="80">SUMIF($5:$5,C$61,57:57)</f>
        <v>0</v>
      </c>
      <c r="D112" s="405">
        <f t="shared" si="80"/>
        <v>1004101.0160000001</v>
      </c>
      <c r="E112" s="405">
        <f t="shared" ca="1" si="80"/>
        <v>2000192.1075825999</v>
      </c>
      <c r="F112" s="405">
        <f t="shared" ca="1" si="80"/>
        <v>4885033.9687321</v>
      </c>
      <c r="G112" s="405">
        <f t="shared" ca="1" si="80"/>
        <v>5047494.0140163293</v>
      </c>
      <c r="H112" s="405">
        <f t="shared" ca="1" si="80"/>
        <v>5200868.8344368208</v>
      </c>
      <c r="I112" s="405">
        <f t="shared" ca="1" si="80"/>
        <v>5367492.0703775631</v>
      </c>
      <c r="J112" s="405">
        <f t="shared" ca="1" si="80"/>
        <v>5521560.2464540228</v>
      </c>
    </row>
    <row r="113" spans="1:10" s="789" customFormat="1" ht="16" x14ac:dyDescent="0.2">
      <c r="A113" s="788"/>
      <c r="B113" s="789" t="s">
        <v>447</v>
      </c>
      <c r="C113" s="790">
        <f>C72+C76+C80+C87+C91+C100+C104+C105+C110</f>
        <v>0</v>
      </c>
      <c r="D113" s="790">
        <f t="shared" ref="D113:J113" si="81">D72+D76+D80+D87+D91+D100+D104+D105+D110</f>
        <v>1004101.0159999997</v>
      </c>
      <c r="E113" s="790">
        <f t="shared" ca="1" si="81"/>
        <v>2000192.1075825999</v>
      </c>
      <c r="F113" s="790">
        <f t="shared" ca="1" si="81"/>
        <v>4885033.9687321009</v>
      </c>
      <c r="G113" s="790">
        <f t="shared" ca="1" si="81"/>
        <v>5047494.0140163302</v>
      </c>
      <c r="H113" s="790">
        <f t="shared" ca="1" si="81"/>
        <v>5200868.8344368208</v>
      </c>
      <c r="I113" s="790">
        <f t="shared" ca="1" si="81"/>
        <v>5367492.0703775622</v>
      </c>
      <c r="J113" s="790">
        <f t="shared" ca="1" si="81"/>
        <v>5521560.2464540238</v>
      </c>
    </row>
    <row r="114" spans="1:10" s="153" customFormat="1" ht="16" x14ac:dyDescent="0.2">
      <c r="A114" s="316"/>
    </row>
  </sheetData>
  <pageMargins left="0.7" right="0.7" top="0.75" bottom="0.75" header="0.3" footer="0.3"/>
  <pageSetup orientation="landscape" r:id="rId1"/>
  <headerFooter>
    <oddHeader>&amp;L&amp;"Calibri"&amp;11&amp;K000000 PERSONAL/NONWORK // EXTERNAL&amp;1#_x000D_</oddHeader>
  </headerFooter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92738-D6CE-47B7-9296-7D4280D0FE87}">
  <sheetPr>
    <tabColor theme="5" tint="0.59999389629810485"/>
    <pageSetUpPr fitToPage="1"/>
  </sheetPr>
  <dimension ref="A1:AA60"/>
  <sheetViews>
    <sheetView showGridLines="0" zoomScaleNormal="100" zoomScalePageLayoutView="130" workbookViewId="0">
      <pane ySplit="6" topLeftCell="A25" activePane="bottomLeft" state="frozen"/>
      <selection pane="bottomLeft" activeCell="L11" sqref="L11"/>
    </sheetView>
  </sheetViews>
  <sheetFormatPr baseColWidth="10" defaultColWidth="9.1640625" defaultRowHeight="14" x14ac:dyDescent="0.2"/>
  <cols>
    <col min="1" max="1" width="27" style="695" customWidth="1"/>
    <col min="2" max="2" width="4" style="695" customWidth="1"/>
    <col min="3" max="3" width="11.1640625" style="695" hidden="1" customWidth="1"/>
    <col min="4" max="4" width="6.6640625" style="695" hidden="1" customWidth="1"/>
    <col min="5" max="5" width="3.1640625" style="695" hidden="1" customWidth="1"/>
    <col min="6" max="6" width="9.1640625" style="695" hidden="1" customWidth="1"/>
    <col min="7" max="7" width="6.1640625" style="695" hidden="1" customWidth="1"/>
    <col min="8" max="8" width="3.1640625" style="695" hidden="1" customWidth="1"/>
    <col min="9" max="9" width="10.83203125" style="695" bestFit="1" customWidth="1"/>
    <col min="10" max="10" width="6.1640625" style="695" customWidth="1"/>
    <col min="11" max="11" width="3.1640625" style="695" customWidth="1"/>
    <col min="12" max="12" width="9.1640625" style="695" bestFit="1" customWidth="1"/>
    <col min="13" max="13" width="6.1640625" style="695" customWidth="1"/>
    <col min="14" max="14" width="3.1640625" style="695" customWidth="1"/>
    <col min="15" max="15" width="9.1640625" style="695" customWidth="1"/>
    <col min="16" max="16" width="6.1640625" style="695" customWidth="1"/>
    <col min="17" max="17" width="3.1640625" style="695" customWidth="1"/>
    <col min="18" max="18" width="9.1640625" style="695"/>
    <col min="19" max="19" width="6.1640625" style="695" customWidth="1"/>
    <col min="20" max="20" width="2.1640625" style="695" customWidth="1"/>
    <col min="21" max="21" width="9.1640625" style="695"/>
    <col min="22" max="22" width="6.1640625" style="695" customWidth="1"/>
    <col min="23" max="23" width="2.1640625" style="695" customWidth="1"/>
    <col min="24" max="24" width="9.1640625" style="695"/>
    <col min="25" max="25" width="6.1640625" style="695" customWidth="1"/>
    <col min="26" max="16384" width="9.1640625" style="695"/>
  </cols>
  <sheetData>
    <row r="1" spans="1:27" ht="21" x14ac:dyDescent="0.25">
      <c r="A1" s="313" t="s">
        <v>606</v>
      </c>
      <c r="B1" s="732"/>
      <c r="O1" s="731"/>
      <c r="R1" s="731"/>
      <c r="S1" s="730"/>
    </row>
    <row r="2" spans="1:27" ht="16" x14ac:dyDescent="0.2">
      <c r="A2" s="1" t="s">
        <v>769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7" x14ac:dyDescent="0.2">
      <c r="A3" s="710"/>
      <c r="B3" s="710"/>
      <c r="C3" s="723"/>
      <c r="F3" s="723"/>
      <c r="O3" s="729"/>
      <c r="P3" s="729"/>
      <c r="Q3" s="729"/>
      <c r="R3" s="729"/>
      <c r="S3" s="729"/>
      <c r="T3" s="729"/>
      <c r="U3" s="729"/>
      <c r="V3" s="729"/>
      <c r="W3" s="729"/>
      <c r="X3" s="729"/>
      <c r="Y3" s="729"/>
    </row>
    <row r="4" spans="1:27" x14ac:dyDescent="0.2">
      <c r="A4" s="704" t="s">
        <v>770</v>
      </c>
      <c r="B4" s="704"/>
      <c r="C4" s="746">
        <f>'Proforma A+H'!H3</f>
        <v>1</v>
      </c>
      <c r="D4" s="746"/>
      <c r="E4" s="746"/>
      <c r="F4" s="746">
        <f>C4+1</f>
        <v>2</v>
      </c>
      <c r="G4" s="746"/>
      <c r="H4" s="746"/>
      <c r="I4" s="746">
        <f>F4+1</f>
        <v>3</v>
      </c>
      <c r="J4" s="746"/>
      <c r="K4" s="746"/>
      <c r="L4" s="746">
        <f>I4+1</f>
        <v>4</v>
      </c>
      <c r="M4" s="746"/>
      <c r="N4" s="746"/>
      <c r="O4" s="746">
        <f>L4+1</f>
        <v>5</v>
      </c>
      <c r="P4" s="751"/>
      <c r="Q4" s="746"/>
      <c r="R4" s="746">
        <f>O4+1</f>
        <v>6</v>
      </c>
      <c r="S4" s="751"/>
      <c r="T4" s="746"/>
      <c r="U4" s="746">
        <f>R4+1</f>
        <v>7</v>
      </c>
      <c r="V4" s="751"/>
      <c r="W4" s="746"/>
      <c r="X4" s="746">
        <f>U4+1</f>
        <v>8</v>
      </c>
    </row>
    <row r="5" spans="1:27" s="698" customFormat="1" x14ac:dyDescent="0.2">
      <c r="A5" s="698" t="s">
        <v>450</v>
      </c>
      <c r="C5" s="752">
        <f>'Proforma A+H'!H4</f>
        <v>46023</v>
      </c>
      <c r="D5" s="752"/>
      <c r="E5" s="752"/>
      <c r="F5" s="752">
        <f>EDATE(C5,12)</f>
        <v>46388</v>
      </c>
      <c r="G5" s="752"/>
      <c r="H5" s="752"/>
      <c r="I5" s="752">
        <f>EDATE(F5,12)</f>
        <v>46753</v>
      </c>
      <c r="J5" s="752"/>
      <c r="K5" s="752"/>
      <c r="L5" s="752">
        <f>EDATE(I5,12)</f>
        <v>47119</v>
      </c>
      <c r="M5" s="752"/>
      <c r="N5" s="752"/>
      <c r="O5" s="752">
        <f>EDATE(L5,12)</f>
        <v>47484</v>
      </c>
      <c r="P5" s="752"/>
      <c r="Q5" s="752"/>
      <c r="R5" s="752">
        <f>EDATE(O5,12)</f>
        <v>47849</v>
      </c>
      <c r="S5" s="752"/>
      <c r="T5" s="752"/>
      <c r="U5" s="752">
        <f>EDATE(R5,12)</f>
        <v>48214</v>
      </c>
      <c r="V5" s="752"/>
      <c r="W5" s="752"/>
      <c r="X5" s="752">
        <f>EDATE(U5,12)</f>
        <v>48580</v>
      </c>
    </row>
    <row r="6" spans="1:27" x14ac:dyDescent="0.2">
      <c r="A6" s="728" t="s">
        <v>771</v>
      </c>
      <c r="B6" s="728"/>
      <c r="C6" s="727">
        <v>0.03</v>
      </c>
      <c r="D6" s="728"/>
      <c r="E6" s="728"/>
      <c r="F6" s="727">
        <v>0.03</v>
      </c>
      <c r="G6" s="728"/>
      <c r="H6" s="728"/>
      <c r="I6" s="727">
        <v>0.03</v>
      </c>
      <c r="J6" s="728"/>
      <c r="K6" s="728"/>
      <c r="L6" s="727">
        <v>0.03</v>
      </c>
      <c r="M6" s="728"/>
      <c r="N6" s="728"/>
      <c r="O6" s="727">
        <v>0.03</v>
      </c>
      <c r="P6" s="726"/>
      <c r="Q6" s="728"/>
      <c r="R6" s="727">
        <v>0.03</v>
      </c>
      <c r="S6" s="726"/>
      <c r="T6" s="728"/>
      <c r="U6" s="727">
        <v>0.03</v>
      </c>
      <c r="V6" s="726"/>
      <c r="W6" s="728"/>
      <c r="X6" s="727">
        <v>0.03</v>
      </c>
      <c r="Y6" s="726"/>
    </row>
    <row r="7" spans="1:27" x14ac:dyDescent="0.2">
      <c r="A7" s="725" t="s">
        <v>772</v>
      </c>
      <c r="B7" s="725"/>
      <c r="C7" s="696">
        <f ca="1">OFFSET(Assumptions!$F$60,0,C4-1)</f>
        <v>0</v>
      </c>
      <c r="F7" s="696">
        <f ca="1">OFFSET(Assumptions!$F$60,0,F4-1)</f>
        <v>20</v>
      </c>
      <c r="I7" s="696">
        <f ca="1">OFFSET(Assumptions!$F$60,0,I4-1)</f>
        <v>20</v>
      </c>
      <c r="L7" s="696">
        <f ca="1">OFFSET(Assumptions!$F$60,0,L4-1)</f>
        <v>60</v>
      </c>
      <c r="O7" s="696">
        <f ca="1">OFFSET(Assumptions!$F$60,0,O4-1)</f>
        <v>80</v>
      </c>
      <c r="R7" s="696">
        <f ca="1">OFFSET(Assumptions!$F$60,0,R4-1)</f>
        <v>80</v>
      </c>
      <c r="U7" s="696">
        <f ca="1">OFFSET(Assumptions!$F$60,0,U4-1)</f>
        <v>80</v>
      </c>
      <c r="X7" s="696">
        <f ca="1">OFFSET(Assumptions!$F$60,0,X4-1)</f>
        <v>80</v>
      </c>
    </row>
    <row r="8" spans="1:27" x14ac:dyDescent="0.2">
      <c r="A8" s="725" t="s">
        <v>773</v>
      </c>
      <c r="B8" s="725"/>
      <c r="C8" s="696">
        <f ca="1">C7*365</f>
        <v>0</v>
      </c>
      <c r="F8" s="696">
        <f ca="1">F7*365</f>
        <v>7300</v>
      </c>
      <c r="I8" s="696">
        <f ca="1">I7*365</f>
        <v>7300</v>
      </c>
      <c r="L8" s="696">
        <f ca="1">L7*365</f>
        <v>21900</v>
      </c>
      <c r="O8" s="696">
        <f ca="1">O7*365</f>
        <v>29200</v>
      </c>
      <c r="R8" s="696">
        <f ca="1">R7*365</f>
        <v>29200</v>
      </c>
      <c r="U8" s="696">
        <f ca="1">U7*366</f>
        <v>29280</v>
      </c>
      <c r="X8" s="696">
        <f ca="1">X7*366</f>
        <v>29280</v>
      </c>
    </row>
    <row r="9" spans="1:27" x14ac:dyDescent="0.2">
      <c r="A9" s="725" t="s">
        <v>774</v>
      </c>
      <c r="B9" s="725"/>
      <c r="C9" s="696">
        <f ca="1">C8*C11</f>
        <v>0</v>
      </c>
      <c r="F9" s="696">
        <f ca="1">F8*F11</f>
        <v>3680.4166666666665</v>
      </c>
      <c r="I9" s="696">
        <f ca="1">I8*I11</f>
        <v>3680.4166666666665</v>
      </c>
      <c r="L9" s="696">
        <f ca="1">L8*L11</f>
        <v>11041.25</v>
      </c>
      <c r="O9" s="696">
        <f ca="1">O8*O11</f>
        <v>14721.666666666666</v>
      </c>
      <c r="R9" s="696">
        <f ca="1">R8*R11</f>
        <v>14721.666666666666</v>
      </c>
      <c r="U9" s="696">
        <f ca="1">U8*U11</f>
        <v>14762</v>
      </c>
      <c r="X9" s="696">
        <f ca="1">X8*X11</f>
        <v>14762</v>
      </c>
    </row>
    <row r="11" spans="1:27" x14ac:dyDescent="0.2">
      <c r="A11" s="710" t="s">
        <v>775</v>
      </c>
      <c r="B11" s="710"/>
      <c r="C11" s="701">
        <f ca="1">OFFSET('A+H Monthly CF'!$C$66,,C4-1)</f>
        <v>0.51</v>
      </c>
      <c r="D11" s="724"/>
      <c r="E11" s="701"/>
      <c r="F11" s="701">
        <f ca="1">OFFSET('A+H Monthly CF'!$C$66,,F4-1)</f>
        <v>0.50416666666666665</v>
      </c>
      <c r="G11" s="724"/>
      <c r="H11" s="724"/>
      <c r="I11" s="701">
        <f ca="1">OFFSET('A+H Monthly CF'!$C$66,,I4-1)</f>
        <v>0.50416666666666665</v>
      </c>
      <c r="J11" s="724"/>
      <c r="K11" s="724"/>
      <c r="L11" s="701">
        <f ca="1">OFFSET('A+H Monthly CF'!$C$66,,L4-1)</f>
        <v>0.50416666666666665</v>
      </c>
      <c r="M11" s="724"/>
      <c r="N11" s="724"/>
      <c r="O11" s="701">
        <f ca="1">OFFSET('A+H Monthly CF'!$C$66,,O4-1)</f>
        <v>0.50416666666666665</v>
      </c>
      <c r="Q11" s="724"/>
      <c r="R11" s="701">
        <f ca="1">OFFSET('A+H Monthly CF'!$C$66,,R4-1)</f>
        <v>0.50416666666666665</v>
      </c>
      <c r="T11" s="724"/>
      <c r="U11" s="701">
        <f ca="1">OFFSET('A+H Monthly CF'!$C$66,,U4-1)</f>
        <v>0.50416666666666665</v>
      </c>
      <c r="W11" s="724"/>
      <c r="X11" s="701">
        <f ca="1">OFFSET('A+H Monthly CF'!$C$66,,X4-1)</f>
        <v>0.50416666666666665</v>
      </c>
    </row>
    <row r="12" spans="1:27" x14ac:dyDescent="0.2">
      <c r="A12" s="710" t="s">
        <v>67</v>
      </c>
      <c r="B12" s="710"/>
      <c r="C12" s="722">
        <f ca="1">IFERROR(OFFSET(Assumptions!$F$51,0,C4-1)/C7,0)</f>
        <v>0</v>
      </c>
      <c r="D12" s="723"/>
      <c r="E12" s="722"/>
      <c r="F12" s="722">
        <f ca="1">OFFSET(Assumptions!$F$51,0,F4-1)/F7</f>
        <v>1266.9000000000001</v>
      </c>
      <c r="G12" s="723"/>
      <c r="H12" s="723"/>
      <c r="I12" s="722">
        <f ca="1">OFFSET(Assumptions!$F$51,0,I4-1)/I7</f>
        <v>1304.9069999999999</v>
      </c>
      <c r="J12" s="723"/>
      <c r="K12" s="723"/>
      <c r="L12" s="722">
        <f ca="1">OFFSET(Assumptions!$F$51,0,L4-1)/L7</f>
        <v>1821.2116666666668</v>
      </c>
      <c r="M12" s="723"/>
      <c r="N12" s="723"/>
      <c r="O12" s="722">
        <f ca="1">OFFSET(Assumptions!$F$51,0,O4-1)/O7</f>
        <v>2137.0598529875001</v>
      </c>
      <c r="P12" s="723"/>
      <c r="Q12" s="723"/>
      <c r="R12" s="722">
        <f ca="1">OFFSET(Assumptions!$F$51,0,R4-1)/R7</f>
        <v>2201.1716485771253</v>
      </c>
      <c r="S12" s="723"/>
      <c r="T12" s="722"/>
      <c r="U12" s="722">
        <f ca="1">OFFSET(Assumptions!$F$51,0,U4-1)/U7</f>
        <v>2267.2067980344391</v>
      </c>
      <c r="W12" s="722"/>
      <c r="X12" s="722">
        <f ca="1">OFFSET(Assumptions!$F$51,0,X4-1)/X7</f>
        <v>2335.2230019754725</v>
      </c>
    </row>
    <row r="13" spans="1:27" x14ac:dyDescent="0.2">
      <c r="A13" s="710" t="s">
        <v>776</v>
      </c>
      <c r="B13" s="710"/>
      <c r="C13" s="722">
        <f ca="1">C12*C11</f>
        <v>0</v>
      </c>
      <c r="D13" s="723"/>
      <c r="E13" s="722"/>
      <c r="F13" s="722">
        <f ca="1">F12*F11</f>
        <v>638.72874999999999</v>
      </c>
      <c r="G13" s="723"/>
      <c r="H13" s="723"/>
      <c r="I13" s="722">
        <f ca="1">I12*I11</f>
        <v>657.89061249999997</v>
      </c>
      <c r="J13" s="723"/>
      <c r="K13" s="723"/>
      <c r="L13" s="722">
        <f ca="1">L12*L11</f>
        <v>918.19421527777786</v>
      </c>
      <c r="M13" s="723"/>
      <c r="N13" s="723"/>
      <c r="O13" s="722">
        <f ca="1">O12*O11</f>
        <v>1077.4343425478646</v>
      </c>
      <c r="P13" s="723"/>
      <c r="Q13" s="723"/>
      <c r="R13" s="722">
        <f ca="1">R12*R11</f>
        <v>1109.7573728243005</v>
      </c>
      <c r="S13" s="723"/>
      <c r="T13" s="723"/>
      <c r="U13" s="722">
        <f ca="1">U12*U11</f>
        <v>1143.0500940090296</v>
      </c>
      <c r="W13" s="723"/>
      <c r="X13" s="722">
        <f ca="1">X12*X11</f>
        <v>1177.3415968293007</v>
      </c>
    </row>
    <row r="14" spans="1:27" x14ac:dyDescent="0.2">
      <c r="A14" s="710"/>
      <c r="B14" s="710"/>
      <c r="C14" s="720"/>
      <c r="D14" s="720"/>
      <c r="E14" s="720" t="s">
        <v>777</v>
      </c>
      <c r="F14" s="721"/>
      <c r="G14" s="720"/>
      <c r="I14" s="721"/>
      <c r="J14" s="720"/>
      <c r="L14" s="721"/>
      <c r="M14" s="720"/>
      <c r="O14" s="721"/>
      <c r="P14" s="720"/>
      <c r="R14" s="721"/>
      <c r="S14" s="720"/>
      <c r="U14" s="721"/>
      <c r="V14" s="720"/>
      <c r="X14" s="721"/>
      <c r="Y14" s="720"/>
      <c r="AA14" s="718"/>
    </row>
    <row r="15" spans="1:27" x14ac:dyDescent="0.2">
      <c r="A15" s="710" t="s">
        <v>778</v>
      </c>
      <c r="B15" s="710"/>
      <c r="C15" s="719"/>
      <c r="AA15" s="718"/>
    </row>
    <row r="16" spans="1:27" x14ac:dyDescent="0.2">
      <c r="A16" s="709" t="s">
        <v>779</v>
      </c>
      <c r="B16" s="709"/>
      <c r="C16" s="696">
        <f ca="1">OFFSET('A+H Monthly CF'!$C$67,0,C4-1)</f>
        <v>0</v>
      </c>
      <c r="D16" s="705">
        <f t="shared" ref="D16:D22" ca="1" si="0">C16/C$22</f>
        <v>0</v>
      </c>
      <c r="E16" s="701"/>
      <c r="F16" s="696">
        <f ca="1">OFFSET('A+H Monthly CF'!$C$67,0,F4-1)</f>
        <v>4657124.4000000004</v>
      </c>
      <c r="G16" s="705">
        <f t="shared" ref="G16:G22" ca="1" si="1">F16/F$22</f>
        <v>1</v>
      </c>
      <c r="I16" s="696">
        <f ca="1">OFFSET('A+H Monthly CF'!$C$67,0,I4-1)</f>
        <v>4813801.9230000004</v>
      </c>
      <c r="J16" s="705">
        <f t="shared" ref="J16:J22" ca="1" si="2">I16/I$22</f>
        <v>0.62537277977068384</v>
      </c>
      <c r="L16" s="696">
        <f ca="1">OFFSET('A+H Monthly CF'!$C$67,0,L4-1)</f>
        <v>20084322.260000002</v>
      </c>
      <c r="M16" s="705">
        <f t="shared" ref="M16:M22" ca="1" si="3">L16/L$22</f>
        <v>0.5899515649123257</v>
      </c>
      <c r="O16" s="696">
        <f ca="1">OFFSET('A+H Monthly CF'!$C$67,0,O4-1)</f>
        <v>31423328.0783282</v>
      </c>
      <c r="P16" s="705">
        <f t="shared" ref="P16:P22" ca="1" si="4">O16/O$22</f>
        <v>0.61152983578843711</v>
      </c>
      <c r="R16" s="696">
        <f ca="1">OFFSET('A+H Monthly CF'!$C$67,0,R4-1)</f>
        <v>32366027.920678053</v>
      </c>
      <c r="S16" s="705">
        <f t="shared" ref="S16:S22" ca="1" si="5">R16/R$22</f>
        <v>0.61152983578843711</v>
      </c>
      <c r="U16" s="696">
        <f ca="1">OFFSET('A+H Monthly CF'!$C$67,0,U4-1)</f>
        <v>33454903.51179618</v>
      </c>
      <c r="V16" s="705">
        <f t="shared" ref="V16:V22" ca="1" si="6">U16/U$22</f>
        <v>0.61168174816016407</v>
      </c>
      <c r="X16" s="696">
        <f ca="1">OFFSET('A+H Monthly CF'!$C$67,0,X4-1)</f>
        <v>34337119.021047339</v>
      </c>
      <c r="Y16" s="705">
        <f t="shared" ref="Y16:Y22" ca="1" si="7">X16/X$22</f>
        <v>0.61152983578843711</v>
      </c>
      <c r="AA16" s="697"/>
    </row>
    <row r="17" spans="1:27" x14ac:dyDescent="0.2">
      <c r="A17" s="709" t="s">
        <v>780</v>
      </c>
      <c r="B17" s="709"/>
      <c r="C17" s="696">
        <f ca="1">OFFSET('A+H Monthly CF'!$C$89,0,C4-1)</f>
        <v>0</v>
      </c>
      <c r="D17" s="705">
        <f t="shared" ca="1" si="0"/>
        <v>0</v>
      </c>
      <c r="E17" s="701"/>
      <c r="F17" s="696">
        <f ca="1">OFFSET('A+H Monthly CF'!$C$89,0,F4-1)</f>
        <v>0</v>
      </c>
      <c r="G17" s="705">
        <f t="shared" ca="1" si="1"/>
        <v>0</v>
      </c>
      <c r="I17" s="696">
        <f ca="1">OFFSET('A+H Monthly CF'!$C$89,0,I4-1)</f>
        <v>709582.32846000011</v>
      </c>
      <c r="J17" s="705">
        <f t="shared" ca="1" si="2"/>
        <v>9.2183575544511384E-2</v>
      </c>
      <c r="L17" s="696">
        <f ca="1">OFFSET('A+H Monthly CF'!$C$89,0,L4-1)</f>
        <v>5422767.0102000004</v>
      </c>
      <c r="M17" s="705">
        <f t="shared" ca="1" si="3"/>
        <v>0.15928692252632792</v>
      </c>
      <c r="O17" s="696">
        <f ca="1">OFFSET('A+H Monthly CF'!$C$89,0,O4-1)</f>
        <v>8484298.5811486151</v>
      </c>
      <c r="P17" s="705">
        <f t="shared" ca="1" si="4"/>
        <v>0.16511305566287804</v>
      </c>
      <c r="R17" s="696">
        <f ca="1">OFFSET('A+H Monthly CF'!$C$89,0,R4-1)</f>
        <v>8738827.5385830756</v>
      </c>
      <c r="S17" s="705">
        <f t="shared" ca="1" si="5"/>
        <v>0.16511305566287804</v>
      </c>
      <c r="U17" s="696">
        <f ca="1">OFFSET('A+H Monthly CF'!$C$89,0,U4-1)</f>
        <v>9032823.9481849689</v>
      </c>
      <c r="V17" s="705">
        <f t="shared" ca="1" si="6"/>
        <v>0.16515407200324431</v>
      </c>
      <c r="X17" s="696">
        <f ca="1">OFFSET('A+H Monthly CF'!$C$89,0,X4-1)</f>
        <v>9271022.135682784</v>
      </c>
      <c r="Y17" s="705">
        <f t="shared" ca="1" si="7"/>
        <v>0.16511305566287807</v>
      </c>
      <c r="AA17" s="697"/>
    </row>
    <row r="18" spans="1:27" x14ac:dyDescent="0.2">
      <c r="A18" s="709" t="s">
        <v>781</v>
      </c>
      <c r="B18" s="709"/>
      <c r="C18" s="696">
        <f ca="1">OFFSET('A+H Monthly CF'!$C$74,0,C4-1)</f>
        <v>0</v>
      </c>
      <c r="D18" s="705">
        <f t="shared" ca="1" si="0"/>
        <v>0</v>
      </c>
      <c r="E18" s="701"/>
      <c r="F18" s="696">
        <f ca="1">OFFSET('A+H Monthly CF'!$C$74,0,F4-1)</f>
        <v>0</v>
      </c>
      <c r="G18" s="705">
        <f t="shared" ca="1" si="1"/>
        <v>0</v>
      </c>
      <c r="I18" s="696">
        <f ca="1">OFFSET('A+H Monthly CF'!$C$74,0,I4-1)</f>
        <v>525616.53960000002</v>
      </c>
      <c r="J18" s="705">
        <f t="shared" ca="1" si="2"/>
        <v>6.8284130032971388E-2</v>
      </c>
      <c r="L18" s="696">
        <f ca="1">OFFSET('A+H Monthly CF'!$C$74,0,L4-1)</f>
        <v>4016864.452000001</v>
      </c>
      <c r="M18" s="705">
        <f t="shared" ca="1" si="3"/>
        <v>0.11799031298246515</v>
      </c>
      <c r="O18" s="696">
        <f ca="1">OFFSET('A+H Monthly CF'!$C$74,0,O4-1)</f>
        <v>6284665.6156656407</v>
      </c>
      <c r="P18" s="705">
        <f t="shared" ca="1" si="4"/>
        <v>0.12230596715768743</v>
      </c>
      <c r="R18" s="696">
        <f ca="1">OFFSET('A+H Monthly CF'!$C$74,0,R4-1)</f>
        <v>6473205.5841356106</v>
      </c>
      <c r="S18" s="705">
        <f t="shared" ca="1" si="5"/>
        <v>0.12230596715768743</v>
      </c>
      <c r="U18" s="696">
        <f ca="1">OFFSET('A+H Monthly CF'!$C$74,0,U4-1)</f>
        <v>6690980.7023592358</v>
      </c>
      <c r="V18" s="705">
        <f t="shared" ca="1" si="6"/>
        <v>0.12233634963203281</v>
      </c>
      <c r="X18" s="696">
        <f ca="1">OFFSET('A+H Monthly CF'!$C$74,0,X4-1)</f>
        <v>6867423.804209468</v>
      </c>
      <c r="Y18" s="705">
        <f t="shared" ca="1" si="7"/>
        <v>0.12230596715768742</v>
      </c>
      <c r="AA18" s="697"/>
    </row>
    <row r="19" spans="1:27" x14ac:dyDescent="0.2">
      <c r="A19" s="709" t="s">
        <v>782</v>
      </c>
      <c r="B19" s="709"/>
      <c r="C19" s="696">
        <f ca="1">OFFSET('A+H Monthly CF'!$C$78,0,C4-1)</f>
        <v>0</v>
      </c>
      <c r="D19" s="705">
        <f t="shared" ca="1" si="0"/>
        <v>0</v>
      </c>
      <c r="E19" s="701"/>
      <c r="F19" s="696">
        <f ca="1">OFFSET('A+H Monthly CF'!$C$78,0,F4-1)</f>
        <v>0</v>
      </c>
      <c r="G19" s="705">
        <f t="shared" ca="1" si="1"/>
        <v>0</v>
      </c>
      <c r="I19" s="696">
        <f ca="1">OFFSET('A+H Monthly CF'!$C$78,0,I4-1)</f>
        <v>131404.1349</v>
      </c>
      <c r="J19" s="705">
        <f t="shared" ca="1" si="2"/>
        <v>1.7071032508242847E-2</v>
      </c>
      <c r="L19" s="696">
        <f ca="1">OFFSET('A+H Monthly CF'!$C$78,0,L4-1)</f>
        <v>1004216.1130000002</v>
      </c>
      <c r="M19" s="705">
        <f t="shared" ca="1" si="3"/>
        <v>2.9497578245616288E-2</v>
      </c>
      <c r="O19" s="696">
        <f ca="1">OFFSET('A+H Monthly CF'!$C$78,0,O4-1)</f>
        <v>1571166.4039164102</v>
      </c>
      <c r="P19" s="705">
        <f t="shared" ca="1" si="4"/>
        <v>3.0576491789421859E-2</v>
      </c>
      <c r="R19" s="696">
        <f ca="1">OFFSET('A+H Monthly CF'!$C$78,0,R4-1)</f>
        <v>1618301.3960339027</v>
      </c>
      <c r="S19" s="705">
        <f t="shared" ca="1" si="5"/>
        <v>3.0576491789421859E-2</v>
      </c>
      <c r="U19" s="696">
        <f ca="1">OFFSET('A+H Monthly CF'!$C$78,0,U4-1)</f>
        <v>1672745.175589809</v>
      </c>
      <c r="V19" s="705">
        <f t="shared" ca="1" si="6"/>
        <v>3.0584087408008203E-2</v>
      </c>
      <c r="X19" s="696">
        <f ca="1">OFFSET('A+H Monthly CF'!$C$78,0,X4-1)</f>
        <v>1716855.951052367</v>
      </c>
      <c r="Y19" s="705">
        <f t="shared" ca="1" si="7"/>
        <v>3.0576491789421855E-2</v>
      </c>
      <c r="AA19" s="697"/>
    </row>
    <row r="20" spans="1:27" x14ac:dyDescent="0.2">
      <c r="A20" s="709" t="s">
        <v>650</v>
      </c>
      <c r="B20" s="709"/>
      <c r="C20" s="696">
        <f ca="1">OFFSET('A+H Monthly CF'!$C$84,0,C4-1)+OFFSET('A+H Monthly CF'!$C$85,0,C4-1)</f>
        <v>0</v>
      </c>
      <c r="D20" s="705">
        <f t="shared" ca="1" si="0"/>
        <v>0</v>
      </c>
      <c r="E20" s="701"/>
      <c r="F20" s="696">
        <f ca="1">OFFSET('A+H Monthly CF'!$C$84,0,F4-1)+OFFSET('A+H Monthly CF'!$C$85,0,F4-1)</f>
        <v>0</v>
      </c>
      <c r="G20" s="705">
        <f t="shared" ca="1" si="1"/>
        <v>0</v>
      </c>
      <c r="I20" s="696">
        <f ca="1">OFFSET('A+H Monthly CF'!$C$84,0,I4-1)+OFFSET('A+H Monthly CF'!$C$85,0,I4-1)</f>
        <v>1517087</v>
      </c>
      <c r="J20" s="705">
        <f t="shared" ca="1" si="2"/>
        <v>0.19708848214359054</v>
      </c>
      <c r="L20" s="696">
        <f ca="1">OFFSET('A+H Monthly CF'!$C$84,0,L4-1)+OFFSET('A+H Monthly CF'!$C$85,0,L4-1)</f>
        <v>3515849.1224999996</v>
      </c>
      <c r="M20" s="705">
        <f t="shared" ca="1" si="3"/>
        <v>0.10327362133326483</v>
      </c>
      <c r="O20" s="696">
        <f ca="1">OFFSET('A+H Monthly CF'!$C$84,0,O4-1)+OFFSET('A+H Monthly CF'!$C$85,0,O4-1)</f>
        <v>3621324.5961750001</v>
      </c>
      <c r="P20" s="705">
        <f t="shared" ca="1" si="4"/>
        <v>7.0474649601575415E-2</v>
      </c>
      <c r="R20" s="696">
        <f ca="1">OFFSET('A+H Monthly CF'!$C$84,0,R4-1)+OFFSET('A+H Monthly CF'!$C$85,0,R4-1)</f>
        <v>3729964.3340602503</v>
      </c>
      <c r="S20" s="705">
        <f t="shared" ca="1" si="5"/>
        <v>7.0474649601575415E-2</v>
      </c>
      <c r="U20" s="696">
        <f ca="1">OFFSET('A+H Monthly CF'!$C$84,0,U4-1)+OFFSET('A+H Monthly CF'!$C$85,0,U4-1)</f>
        <v>3841863.2640820569</v>
      </c>
      <c r="V20" s="705">
        <f t="shared" ca="1" si="6"/>
        <v>7.0243742796550546E-2</v>
      </c>
      <c r="X20" s="696">
        <f ca="1">OFFSET('A+H Monthly CF'!$C$84,0,X4-1)+OFFSET('A+H Monthly CF'!$C$85,0,X4-1)</f>
        <v>3957119.1620045197</v>
      </c>
      <c r="Y20" s="705">
        <f t="shared" ca="1" si="7"/>
        <v>7.0474649601575429E-2</v>
      </c>
      <c r="AA20" s="697"/>
    </row>
    <row r="21" spans="1:27" x14ac:dyDescent="0.2">
      <c r="A21" s="709" t="s">
        <v>783</v>
      </c>
      <c r="B21" s="709"/>
      <c r="C21" s="696">
        <v>0</v>
      </c>
      <c r="D21" s="705">
        <f t="shared" ca="1" si="0"/>
        <v>0</v>
      </c>
      <c r="E21" s="701"/>
      <c r="F21" s="696">
        <v>0</v>
      </c>
      <c r="G21" s="705">
        <f t="shared" ca="1" si="1"/>
        <v>0</v>
      </c>
      <c r="I21" s="696">
        <v>0</v>
      </c>
      <c r="J21" s="705">
        <f t="shared" ca="1" si="2"/>
        <v>0</v>
      </c>
      <c r="L21" s="696">
        <v>0</v>
      </c>
      <c r="M21" s="705">
        <f t="shared" ca="1" si="3"/>
        <v>0</v>
      </c>
      <c r="O21" s="696">
        <v>0</v>
      </c>
      <c r="P21" s="705">
        <f t="shared" ca="1" si="4"/>
        <v>0</v>
      </c>
      <c r="R21" s="696">
        <f>O21*(1+R$6)</f>
        <v>0</v>
      </c>
      <c r="S21" s="705">
        <f t="shared" ca="1" si="5"/>
        <v>0</v>
      </c>
      <c r="U21" s="696">
        <f>R21*(1+U$6)</f>
        <v>0</v>
      </c>
      <c r="V21" s="705">
        <f t="shared" ca="1" si="6"/>
        <v>0</v>
      </c>
      <c r="X21" s="696">
        <f>U21*(1+X$6)</f>
        <v>0</v>
      </c>
      <c r="Y21" s="705">
        <f t="shared" ca="1" si="7"/>
        <v>0</v>
      </c>
      <c r="AA21" s="697"/>
    </row>
    <row r="22" spans="1:27" x14ac:dyDescent="0.2">
      <c r="A22" s="706" t="s">
        <v>757</v>
      </c>
      <c r="B22" s="706"/>
      <c r="C22" s="708">
        <f ca="1">SUM(C16:C21)+0.000000001</f>
        <v>1.0000000000000001E-9</v>
      </c>
      <c r="D22" s="707">
        <f t="shared" ca="1" si="0"/>
        <v>1</v>
      </c>
      <c r="E22" s="701"/>
      <c r="F22" s="708">
        <f ca="1">SUM(F16:F21)</f>
        <v>4657124.4000000004</v>
      </c>
      <c r="G22" s="707">
        <f t="shared" ca="1" si="1"/>
        <v>1</v>
      </c>
      <c r="I22" s="708">
        <f ca="1">SUM(I16:I21)</f>
        <v>7697491.9259600006</v>
      </c>
      <c r="J22" s="707">
        <f t="shared" ca="1" si="2"/>
        <v>1</v>
      </c>
      <c r="L22" s="708">
        <f ca="1">SUM(L16:L21)</f>
        <v>34044018.957700007</v>
      </c>
      <c r="M22" s="707">
        <f t="shared" ca="1" si="3"/>
        <v>1</v>
      </c>
      <c r="O22" s="708">
        <f ca="1">SUM(O16:O21)</f>
        <v>51384783.275233872</v>
      </c>
      <c r="P22" s="707">
        <f t="shared" ca="1" si="4"/>
        <v>1</v>
      </c>
      <c r="R22" s="708">
        <f ca="1">SUM(R16:R21)</f>
        <v>52926326.773490898</v>
      </c>
      <c r="S22" s="707">
        <f t="shared" ca="1" si="5"/>
        <v>1</v>
      </c>
      <c r="U22" s="708">
        <f ca="1">SUM(U16:U21)</f>
        <v>54693316.602012254</v>
      </c>
      <c r="V22" s="707">
        <f t="shared" ca="1" si="6"/>
        <v>1</v>
      </c>
      <c r="X22" s="708">
        <f ca="1">SUM(X16:X21)</f>
        <v>56149540.073996484</v>
      </c>
      <c r="Y22" s="707">
        <f t="shared" ca="1" si="7"/>
        <v>1</v>
      </c>
      <c r="AA22" s="697"/>
    </row>
    <row r="23" spans="1:27" x14ac:dyDescent="0.2">
      <c r="A23" s="710"/>
      <c r="B23" s="710"/>
      <c r="C23" s="696"/>
      <c r="D23" s="705"/>
      <c r="E23" s="701"/>
      <c r="F23" s="696"/>
      <c r="G23" s="705"/>
      <c r="I23" s="696"/>
      <c r="J23" s="705"/>
      <c r="L23" s="696"/>
      <c r="M23" s="705"/>
      <c r="O23" s="696"/>
      <c r="P23" s="705"/>
      <c r="R23" s="696"/>
      <c r="S23" s="705"/>
      <c r="U23" s="696"/>
      <c r="V23" s="705"/>
      <c r="X23" s="696"/>
      <c r="Y23" s="705"/>
      <c r="AA23" s="697"/>
    </row>
    <row r="24" spans="1:27" x14ac:dyDescent="0.2">
      <c r="A24" s="710" t="s">
        <v>784</v>
      </c>
      <c r="B24" s="710"/>
      <c r="C24" s="697"/>
      <c r="D24" s="703"/>
      <c r="F24" s="697"/>
      <c r="G24" s="703"/>
      <c r="I24" s="697"/>
      <c r="J24" s="703"/>
      <c r="L24" s="697"/>
      <c r="M24" s="703"/>
      <c r="O24" s="697"/>
      <c r="P24" s="703"/>
      <c r="R24" s="697"/>
      <c r="S24" s="703"/>
      <c r="U24" s="697"/>
      <c r="V24" s="703"/>
      <c r="X24" s="697"/>
      <c r="Y24" s="703"/>
      <c r="AA24" s="697"/>
    </row>
    <row r="25" spans="1:27" x14ac:dyDescent="0.2">
      <c r="A25" s="709" t="s">
        <v>779</v>
      </c>
      <c r="B25" s="709"/>
      <c r="C25" s="696">
        <f ca="1">-OFFSET('A+H Monthly CF'!$C$68,0,C4-1)</f>
        <v>0</v>
      </c>
      <c r="D25" s="705">
        <f ca="1">IF(ISERROR(C25/C16),0,C25/C16)</f>
        <v>0</v>
      </c>
      <c r="E25" s="701"/>
      <c r="F25" s="696">
        <f ca="1">-OFFSET('A+H Monthly CF'!$C$68,0,F4-1)</f>
        <v>1629993.5399999998</v>
      </c>
      <c r="G25" s="705">
        <f ca="1">IF(ISERROR(F25/F16),0,F25/F16)</f>
        <v>0.34999999999999992</v>
      </c>
      <c r="I25" s="696">
        <f ca="1">-OFFSET('A+H Monthly CF'!$C$68,0,I4-1)</f>
        <v>1684830.6730500001</v>
      </c>
      <c r="J25" s="705">
        <f ca="1">IF(ISERROR(I25/I16),0,I25/I16)</f>
        <v>0.35</v>
      </c>
      <c r="L25" s="696">
        <f ca="1">-OFFSET('A+H Monthly CF'!$C$68,0,L4-1)</f>
        <v>7029512.7910000011</v>
      </c>
      <c r="M25" s="705">
        <f ca="1">IF(ISERROR(L25/L16),0,L25/L16)</f>
        <v>0.35000000000000003</v>
      </c>
      <c r="O25" s="696">
        <f ca="1">-OFFSET('A+H Monthly CF'!$C$68,0,O4-1)</f>
        <v>10998164.82741487</v>
      </c>
      <c r="P25" s="705">
        <f ca="1">IF(ISERROR(O25/O16),0,O25/O16)</f>
        <v>0.35000000000000003</v>
      </c>
      <c r="R25" s="696">
        <f ca="1">-OFFSET('A+H Monthly CF'!$C$68,0,R4-1)</f>
        <v>11328109.772237318</v>
      </c>
      <c r="S25" s="705">
        <f ca="1">IF(ISERROR(R25/R16),0,R25/R16)</f>
        <v>0.35</v>
      </c>
      <c r="U25" s="696">
        <f ca="1">-OFFSET('A+H Monthly CF'!$C$68,0,U4-1)</f>
        <v>11709216.229128664</v>
      </c>
      <c r="V25" s="705">
        <f ca="1">IF(ISERROR(U25/U16),0,U25/U16)</f>
        <v>0.35000000000000003</v>
      </c>
      <c r="X25" s="696">
        <f ca="1">-OFFSET('A+H Monthly CF'!$C$68,0,X4-1)</f>
        <v>12017991.65736657</v>
      </c>
      <c r="Y25" s="705">
        <f ca="1">IF(ISERROR(X25/X16),0,X25/X16)</f>
        <v>0.35000000000000003</v>
      </c>
      <c r="AA25" s="697"/>
    </row>
    <row r="26" spans="1:27" x14ac:dyDescent="0.2">
      <c r="A26" s="709" t="s">
        <v>785</v>
      </c>
      <c r="B26" s="709"/>
      <c r="C26" s="696">
        <f ca="1">-OFFSET('A+H Monthly CF'!$C$70,0,C4-1)-OFFSET('A+H Monthly CF'!$C$71,0,C4-1)</f>
        <v>0</v>
      </c>
      <c r="D26" s="705">
        <f ca="1">IF(ISERROR(C26/C16),0,C26/C16)</f>
        <v>0</v>
      </c>
      <c r="E26" s="701"/>
      <c r="F26" s="696">
        <f ca="1">-OFFSET('A+H Monthly CF'!$C$70,0,F4-1)-OFFSET('A+H Monthly CF'!$C$71,0,F4-1)</f>
        <v>911920.8</v>
      </c>
      <c r="G26" s="705">
        <f ca="1">IF(ISERROR(F26/F16),0,F26/F16)</f>
        <v>0.19581199076408609</v>
      </c>
      <c r="I26" s="696">
        <f ca="1">-OFFSET('A+H Monthly CF'!$C$70,0,I4-1)-OFFSET('A+H Monthly CF'!$C$71,0,I4-1)</f>
        <v>942970.35600000026</v>
      </c>
      <c r="J26" s="705">
        <f ca="1">IF(ISERROR(I26/I16),0,I26/I16)</f>
        <v>0.19588889843899798</v>
      </c>
      <c r="L26" s="696">
        <f ca="1">-OFFSET('A+H Monthly CF'!$C$70,0,L4-1)-OFFSET('A+H Monthly CF'!$C$71,0,L4-1)</f>
        <v>5700723.97719</v>
      </c>
      <c r="M26" s="705">
        <f ca="1">IF(ISERROR(L26/L16),0,L26/L16)</f>
        <v>0.28383949945593034</v>
      </c>
      <c r="O26" s="696">
        <f ca="1">-OFFSET('A+H Monthly CF'!$C$70,0,O4-1)-OFFSET('A+H Monthly CF'!$C$71,0,O4-1)</f>
        <v>10747010.912989801</v>
      </c>
      <c r="P26" s="705">
        <f ca="1">IF(ISERROR(O26/O16),0,O26/O16)</f>
        <v>0.3420074056510175</v>
      </c>
      <c r="R26" s="696">
        <f ca="1">-OFFSET('A+H Monthly CF'!$C$70,0,R4-1)-OFFSET('A+H Monthly CF'!$C$71,0,R4-1)</f>
        <v>11069421.240379494</v>
      </c>
      <c r="S26" s="705">
        <f ca="1">IF(ISERROR(R26/R16),0,R26/R16)</f>
        <v>0.34200740565101739</v>
      </c>
      <c r="U26" s="696">
        <f ca="1">-OFFSET('A+H Monthly CF'!$C$70,0,U4-1)-OFFSET('A+H Monthly CF'!$C$71,0,U4-1)</f>
        <v>11443074.808294538</v>
      </c>
      <c r="V26" s="705">
        <f ca="1">IF(ISERROR(U26/U16),0,U26/U16)</f>
        <v>0.34204477093349611</v>
      </c>
      <c r="X26" s="696">
        <f ca="1">-OFFSET('A+H Monthly CF'!$C$70,0,X4-1)-OFFSET('A+H Monthly CF'!$C$71,0,X4-1)</f>
        <v>11743548.993918609</v>
      </c>
      <c r="Y26" s="705">
        <f ca="1">IF(ISERROR(X26/X16),0,X26/X16)</f>
        <v>0.34200740565101756</v>
      </c>
      <c r="AA26" s="697"/>
    </row>
    <row r="27" spans="1:27" x14ac:dyDescent="0.2">
      <c r="A27" s="709" t="s">
        <v>780</v>
      </c>
      <c r="B27" s="709"/>
      <c r="C27" s="696">
        <f ca="1">-OFFSET('A+H Monthly CF'!$C$90,0,C4-1)</f>
        <v>0</v>
      </c>
      <c r="D27" s="705">
        <f ca="1">IF(ISERROR(C27/C17),0,C27/C17)</f>
        <v>0</v>
      </c>
      <c r="E27" s="701"/>
      <c r="F27" s="696">
        <f ca="1">-OFFSET('A+H Monthly CF'!$C$90,0,F4-1)</f>
        <v>0</v>
      </c>
      <c r="G27" s="705">
        <f ca="1">IF(ISERROR(F27/F17),0,F27/F17)</f>
        <v>0</v>
      </c>
      <c r="I27" s="696">
        <f ca="1">-OFFSET('A+H Monthly CF'!$C$90,0,I4-1)</f>
        <v>638624.09561399999</v>
      </c>
      <c r="J27" s="705">
        <f ca="1">IF(ISERROR(I27/I17),0,I27/I17)</f>
        <v>0.8999999999999998</v>
      </c>
      <c r="L27" s="696">
        <f ca="1">-OFFSET('A+H Monthly CF'!$C$90,0,L4-1)</f>
        <v>4880490.3091800008</v>
      </c>
      <c r="M27" s="705">
        <f ca="1">IF(ISERROR(L27/L17),0,L27/L17)</f>
        <v>0.90000000000000013</v>
      </c>
      <c r="O27" s="696">
        <f ca="1">-OFFSET('A+H Monthly CF'!$C$90,0,O4-1)</f>
        <v>7635868.7230337532</v>
      </c>
      <c r="P27" s="705">
        <f ca="1">IF(ISERROR(O27/O17),0,O27/O17)</f>
        <v>0.89999999999999991</v>
      </c>
      <c r="R27" s="696">
        <f ca="1">-OFFSET('A+H Monthly CF'!$C$90,0,R4-1)</f>
        <v>7864944.7847247664</v>
      </c>
      <c r="S27" s="705">
        <f ca="1">IF(ISERROR(R27/R17),0,R27/R17)</f>
        <v>0.8999999999999998</v>
      </c>
      <c r="U27" s="696">
        <f ca="1">-OFFSET('A+H Monthly CF'!$C$90,0,U4-1)</f>
        <v>8129541.553366472</v>
      </c>
      <c r="V27" s="705">
        <f ca="1">IF(ISERROR(U27/U17),0,U27/U17)</f>
        <v>0.9</v>
      </c>
      <c r="X27" s="696">
        <f ca="1">-OFFSET('A+H Monthly CF'!$C$90,0,X4-1)</f>
        <v>8343919.9221145064</v>
      </c>
      <c r="Y27" s="705">
        <f ca="1">IF(ISERROR(X27/X17),0,X27/X17)</f>
        <v>0.90000000000000013</v>
      </c>
      <c r="AA27" s="697"/>
    </row>
    <row r="28" spans="1:27" x14ac:dyDescent="0.2">
      <c r="A28" s="709" t="s">
        <v>781</v>
      </c>
      <c r="B28" s="709"/>
      <c r="C28" s="696">
        <f ca="1">-OFFSET('A+H Monthly CF'!$C$75,0,C4-1)</f>
        <v>0</v>
      </c>
      <c r="D28" s="705">
        <f ca="1">IF(ISERROR(C28/C18),0,C28/C18)</f>
        <v>0</v>
      </c>
      <c r="E28" s="701"/>
      <c r="F28" s="696">
        <f ca="1">-OFFSET('A+H Monthly CF'!$C$75,0,F4-1)</f>
        <v>0</v>
      </c>
      <c r="G28" s="705">
        <f ca="1">IF(ISERROR(F28/F18),0,F28/F18)</f>
        <v>0</v>
      </c>
      <c r="I28" s="696">
        <f ca="1">-OFFSET('A+H Monthly CF'!$C$75,0,I4-1)</f>
        <v>394212.40470000001</v>
      </c>
      <c r="J28" s="705">
        <f ca="1">IF(ISERROR(I28/I18),0,I28/I18)</f>
        <v>0.75</v>
      </c>
      <c r="L28" s="696">
        <f ca="1">-OFFSET('A+H Monthly CF'!$C$75,0,L4-1)</f>
        <v>3012648.3390000006</v>
      </c>
      <c r="M28" s="705">
        <f ca="1">IF(ISERROR(L28/L18),0,L28/L18)</f>
        <v>0.75</v>
      </c>
      <c r="O28" s="696">
        <f ca="1">-OFFSET('A+H Monthly CF'!$C$75,0,O4-1)</f>
        <v>4713499.2117492305</v>
      </c>
      <c r="P28" s="705">
        <f ca="1">IF(ISERROR(O28/O18),0,O28/O18)</f>
        <v>0.75</v>
      </c>
      <c r="R28" s="696">
        <f ca="1">-OFFSET('A+H Monthly CF'!$C$75,0,R4-1)</f>
        <v>4854904.188101708</v>
      </c>
      <c r="S28" s="705">
        <f ca="1">IF(ISERROR(R28/R18),0,R28/R18)</f>
        <v>0.75</v>
      </c>
      <c r="U28" s="696">
        <f ca="1">-OFFSET('A+H Monthly CF'!$C$75,0,U4-1)</f>
        <v>5018235.5267694276</v>
      </c>
      <c r="V28" s="705">
        <f ca="1">IF(ISERROR(U28/U18),0,U28/U18)</f>
        <v>0.75000000000000011</v>
      </c>
      <c r="X28" s="696">
        <f ca="1">-OFFSET('A+H Monthly CF'!$C$75,0,X4-1)</f>
        <v>5150567.8531571021</v>
      </c>
      <c r="Y28" s="705">
        <f ca="1">IF(ISERROR(X28/X18),0,X28/X18)</f>
        <v>0.75000000000000022</v>
      </c>
      <c r="AA28" s="697"/>
    </row>
    <row r="29" spans="1:27" x14ac:dyDescent="0.2">
      <c r="A29" s="709" t="s">
        <v>782</v>
      </c>
      <c r="B29" s="717"/>
      <c r="C29" s="714">
        <f ca="1">-OFFSET('A+H Monthly CF'!$C$79,0,C4-1)</f>
        <v>0</v>
      </c>
      <c r="D29" s="713">
        <f ca="1">IF(ISERROR(C29/C19),0,C29/C19)</f>
        <v>0</v>
      </c>
      <c r="E29" s="716"/>
      <c r="F29" s="714">
        <f ca="1">-OFFSET('A+H Monthly CF'!$C$79,0,F4-1)</f>
        <v>0</v>
      </c>
      <c r="G29" s="705">
        <f ca="1">IF(ISERROR(F29/F19),0,F29/F19)</f>
        <v>0</v>
      </c>
      <c r="H29" s="715"/>
      <c r="I29" s="714">
        <f ca="1">-OFFSET('A+H Monthly CF'!$C$79,0,I4-1)</f>
        <v>32851.033725000001</v>
      </c>
      <c r="J29" s="705">
        <f ca="1">IF(ISERROR(I29/I19),0,I29/I19)</f>
        <v>0.25</v>
      </c>
      <c r="K29" s="715"/>
      <c r="L29" s="714">
        <f ca="1">-OFFSET('A+H Monthly CF'!$C$79,0,L4-1)</f>
        <v>251054.02825000006</v>
      </c>
      <c r="M29" s="713">
        <f ca="1">IF(ISERROR(L29/L19),0,L29/L19)</f>
        <v>0.25</v>
      </c>
      <c r="N29" s="715"/>
      <c r="O29" s="714">
        <f ca="1">-OFFSET('A+H Monthly CF'!$C$79,0,O4-1)</f>
        <v>392791.60097910254</v>
      </c>
      <c r="P29" s="713">
        <f ca="1">IF(ISERROR(O29/O19),0,O29/O19)</f>
        <v>0.25</v>
      </c>
      <c r="Q29" s="715"/>
      <c r="R29" s="714">
        <f ca="1">-OFFSET('A+H Monthly CF'!$C$79,0,R4-1)</f>
        <v>404575.34900847566</v>
      </c>
      <c r="S29" s="713">
        <f ca="1">IF(ISERROR(R29/R19),0,R29/R19)</f>
        <v>0.25</v>
      </c>
      <c r="T29" s="715"/>
      <c r="U29" s="714">
        <f ca="1">-OFFSET('A+H Monthly CF'!$C$79,0,U4-1)</f>
        <v>418186.29389745224</v>
      </c>
      <c r="V29" s="713">
        <f ca="1">IF(ISERROR(U29/U19),0,U29/U19)</f>
        <v>0.25</v>
      </c>
      <c r="W29" s="715"/>
      <c r="X29" s="714">
        <f ca="1">-OFFSET('A+H Monthly CF'!$C$79,0,X4-1)</f>
        <v>429213.98776309175</v>
      </c>
      <c r="Y29" s="713">
        <f ca="1">IF(ISERROR(X29/X19),0,X29/X19)</f>
        <v>0.25</v>
      </c>
      <c r="AA29" s="697"/>
    </row>
    <row r="30" spans="1:27" x14ac:dyDescent="0.2">
      <c r="A30" s="709" t="s">
        <v>650</v>
      </c>
      <c r="B30" s="709"/>
      <c r="C30" s="696">
        <f ca="1">-OFFSET('A+H Monthly CF'!$C$86,0,C4-1)</f>
        <v>0</v>
      </c>
      <c r="D30" s="705">
        <f ca="1">IF(ISERROR(C30/C20),0,C30/C20)</f>
        <v>0</v>
      </c>
      <c r="E30" s="701"/>
      <c r="F30" s="696">
        <f ca="1">-OFFSET('A+H Monthly CF'!$C$86,0,F4-1)</f>
        <v>0</v>
      </c>
      <c r="G30" s="705">
        <f ca="1">IF(ISERROR(F30/F20),0,F30/F20)</f>
        <v>0</v>
      </c>
      <c r="I30" s="696">
        <f ca="1">-OFFSET('A+H Monthly CF'!$C$86,0,I4-1)</f>
        <v>20000</v>
      </c>
      <c r="J30" s="705">
        <f ca="1">IF(ISERROR(I30/I20),0,I30/I20)</f>
        <v>1.3183159568304256E-2</v>
      </c>
      <c r="L30" s="696">
        <f ca="1">-OFFSET('A+H Monthly CF'!$C$86,0,L4-1)</f>
        <v>40000</v>
      </c>
      <c r="M30" s="705">
        <f ca="1">IF(ISERROR(L30/L20),0,L30/L20)</f>
        <v>1.1377052486130967E-2</v>
      </c>
      <c r="O30" s="696">
        <f ca="1">-OFFSET('A+H Monthly CF'!$C$86,0,O4-1)</f>
        <v>40000</v>
      </c>
      <c r="P30" s="705">
        <f ca="1">IF(ISERROR(O30/O20),0,O30/O20)</f>
        <v>1.1045682025369869E-2</v>
      </c>
      <c r="R30" s="696">
        <f ca="1">-OFFSET('A+H Monthly CF'!$C$86,0,R4-1)</f>
        <v>40000</v>
      </c>
      <c r="S30" s="705">
        <f ca="1">IF(ISERROR(R30/R20),0,R30/R20)</f>
        <v>1.0723963131427058E-2</v>
      </c>
      <c r="U30" s="696">
        <f ca="1">-OFFSET('A+H Monthly CF'!$C$86,0,U4-1)</f>
        <v>40000</v>
      </c>
      <c r="V30" s="705">
        <f ca="1">IF(ISERROR(U30/U20),0,U30/U20)</f>
        <v>1.0411614690705883E-2</v>
      </c>
      <c r="X30" s="696">
        <f ca="1">-OFFSET('A+H Monthly CF'!$C$86,0,X4-1)</f>
        <v>40000</v>
      </c>
      <c r="Y30" s="705">
        <f ca="1">IF(ISERROR(X30/X20),0,X30/X20)</f>
        <v>1.010836377738435E-2</v>
      </c>
      <c r="AA30" s="697"/>
    </row>
    <row r="31" spans="1:27" hidden="1" x14ac:dyDescent="0.2">
      <c r="A31" s="709" t="s">
        <v>786</v>
      </c>
      <c r="B31" s="709"/>
      <c r="C31" s="696">
        <v>0</v>
      </c>
      <c r="D31" s="705">
        <f>IF(ISERROR(C31/#REF!),0,C31/#REF!)</f>
        <v>0</v>
      </c>
      <c r="E31" s="701"/>
      <c r="F31" s="696">
        <v>0</v>
      </c>
      <c r="G31" s="705">
        <f>IF(ISERROR(F31/#REF!),0,F31/#REF!)</f>
        <v>0</v>
      </c>
      <c r="I31" s="696">
        <v>0</v>
      </c>
      <c r="J31" s="705">
        <f>IF(ISERROR(I31/#REF!),0,I31/#REF!)</f>
        <v>0</v>
      </c>
      <c r="L31" s="696">
        <v>0</v>
      </c>
      <c r="M31" s="705">
        <f>IF(ISERROR(L31/#REF!),0,L31/#REF!)</f>
        <v>0</v>
      </c>
      <c r="O31" s="696">
        <v>0</v>
      </c>
      <c r="P31" s="705">
        <f>IF(ISERROR(O31/#REF!),0,O31/#REF!)</f>
        <v>0</v>
      </c>
      <c r="R31" s="696">
        <f>O31*(1+R$6)</f>
        <v>0</v>
      </c>
      <c r="S31" s="705">
        <f>IF(ISERROR(R31/#REF!),0,R31/#REF!)</f>
        <v>0</v>
      </c>
      <c r="U31" s="696">
        <f>R31*(1+U$6)</f>
        <v>0</v>
      </c>
      <c r="V31" s="705">
        <f>IF(ISERROR(U31/#REF!),0,U31/#REF!)</f>
        <v>0</v>
      </c>
      <c r="X31" s="696">
        <f>U31*(1+X$6)</f>
        <v>0</v>
      </c>
      <c r="Y31" s="705">
        <f>IF(ISERROR(X31/#REF!),0,X31/#REF!)</f>
        <v>0</v>
      </c>
      <c r="AA31" s="697"/>
    </row>
    <row r="32" spans="1:27" hidden="1" x14ac:dyDescent="0.2">
      <c r="A32" s="709" t="s">
        <v>787</v>
      </c>
      <c r="B32" s="709"/>
      <c r="C32" s="696">
        <v>0</v>
      </c>
      <c r="D32" s="705">
        <f t="shared" ref="D32" si="8">IF(ISERROR(C32/C21),0,C32/C21)</f>
        <v>0</v>
      </c>
      <c r="E32" s="701"/>
      <c r="F32" s="696">
        <v>0</v>
      </c>
      <c r="G32" s="705">
        <f t="shared" ref="G32" si="9">IF(ISERROR(F32/F21),0,F32/F21)</f>
        <v>0</v>
      </c>
      <c r="I32" s="696">
        <v>0</v>
      </c>
      <c r="J32" s="705">
        <f t="shared" ref="J32" si="10">IF(ISERROR(I32/I21),0,I32/I21)</f>
        <v>0</v>
      </c>
      <c r="L32" s="696">
        <v>0</v>
      </c>
      <c r="M32" s="705">
        <f t="shared" ref="M32" si="11">IF(ISERROR(L32/L21),0,L32/L21)</f>
        <v>0</v>
      </c>
      <c r="O32" s="696">
        <v>0</v>
      </c>
      <c r="P32" s="705">
        <f t="shared" ref="P32" si="12">IF(ISERROR(O32/O21),0,O32/O21)</f>
        <v>0</v>
      </c>
      <c r="R32" s="696">
        <f>O32*(1+R$6)</f>
        <v>0</v>
      </c>
      <c r="S32" s="705">
        <f t="shared" ref="S32" si="13">IF(ISERROR(R32/R21),0,R32/R21)</f>
        <v>0</v>
      </c>
      <c r="U32" s="696">
        <f>R32*(1+U$6)</f>
        <v>0</v>
      </c>
      <c r="V32" s="705">
        <f t="shared" ref="V32" si="14">IF(ISERROR(U32/U21),0,U32/U21)</f>
        <v>0</v>
      </c>
      <c r="X32" s="696">
        <f>U32*(1+X$6)</f>
        <v>0</v>
      </c>
      <c r="Y32" s="705">
        <f t="shared" ref="Y32" si="15">IF(ISERROR(X32/X21),0,X32/X21)</f>
        <v>0</v>
      </c>
      <c r="AA32" s="697"/>
    </row>
    <row r="33" spans="1:27" x14ac:dyDescent="0.2">
      <c r="A33" s="706" t="s">
        <v>788</v>
      </c>
      <c r="B33" s="706"/>
      <c r="C33" s="708">
        <f ca="1">SUM(C25:C32)</f>
        <v>0</v>
      </c>
      <c r="D33" s="707">
        <f ca="1">C33/C$22</f>
        <v>0</v>
      </c>
      <c r="E33" s="701"/>
      <c r="F33" s="708">
        <f ca="1">SUM(F25:F32)</f>
        <v>2541914.34</v>
      </c>
      <c r="G33" s="707">
        <f ca="1">F33/F$22</f>
        <v>0.54581199076408604</v>
      </c>
      <c r="I33" s="708">
        <f ca="1">SUM(I25:I32)</f>
        <v>3713488.5630890001</v>
      </c>
      <c r="J33" s="707">
        <f ca="1">I33/I$22</f>
        <v>0.48242838041377595</v>
      </c>
      <c r="L33" s="708">
        <f ca="1">SUM(L25:L32)</f>
        <v>20914429.444620006</v>
      </c>
      <c r="M33" s="707">
        <f ca="1">L33/L$22</f>
        <v>0.61433491358956083</v>
      </c>
      <c r="O33" s="708">
        <f ca="1">SUM(O25:O32)</f>
        <v>34527335.276166759</v>
      </c>
      <c r="P33" s="707">
        <f ca="1">O33/O$22</f>
        <v>0.67193696412470882</v>
      </c>
      <c r="R33" s="708">
        <f ca="1">SUM(R25:R32)</f>
        <v>35561955.334451765</v>
      </c>
      <c r="S33" s="707">
        <f ca="1">R33/R$22</f>
        <v>0.67191429109838785</v>
      </c>
      <c r="U33" s="708">
        <f ca="1">SUM(U25:U32)</f>
        <v>36758254.411456548</v>
      </c>
      <c r="V33" s="707">
        <f ca="1">U33/U$22</f>
        <v>0.67207945495307841</v>
      </c>
      <c r="X33" s="708">
        <f ca="1">SUM(X25:X32)</f>
        <v>37725242.41431988</v>
      </c>
      <c r="Y33" s="707">
        <f ca="1">X33/X$22</f>
        <v>0.67187090694961693</v>
      </c>
      <c r="AA33" s="697"/>
    </row>
    <row r="34" spans="1:27" x14ac:dyDescent="0.2">
      <c r="A34" s="710" t="s">
        <v>756</v>
      </c>
      <c r="B34" s="710"/>
      <c r="C34" s="708">
        <f ca="1">C22-C33</f>
        <v>1.0000000000000001E-9</v>
      </c>
      <c r="D34" s="707">
        <f ca="1">C34/C$22</f>
        <v>1</v>
      </c>
      <c r="E34" s="701"/>
      <c r="F34" s="708">
        <f ca="1">F22-F33</f>
        <v>2115210.0600000005</v>
      </c>
      <c r="G34" s="707">
        <f ca="1">F34/F$22</f>
        <v>0.45418800923591396</v>
      </c>
      <c r="I34" s="708">
        <f ca="1">I22-I33</f>
        <v>3984003.3628710005</v>
      </c>
      <c r="J34" s="707">
        <f ca="1">I34/I$22</f>
        <v>0.517571619586224</v>
      </c>
      <c r="L34" s="708">
        <f ca="1">L22-L33</f>
        <v>13129589.513080001</v>
      </c>
      <c r="M34" s="707">
        <f ca="1">L34/L$22</f>
        <v>0.38566508641043912</v>
      </c>
      <c r="O34" s="708">
        <f ca="1">O22-O33</f>
        <v>16857447.999067113</v>
      </c>
      <c r="P34" s="707">
        <f ca="1">O34/O$22</f>
        <v>0.32806303587529118</v>
      </c>
      <c r="R34" s="708">
        <f ca="1">R22-R33</f>
        <v>17364371.439039133</v>
      </c>
      <c r="S34" s="707">
        <f ca="1">R34/R$22</f>
        <v>0.32808570890161209</v>
      </c>
      <c r="U34" s="708">
        <f ca="1">U22-U33</f>
        <v>17935062.190555707</v>
      </c>
      <c r="V34" s="707">
        <f ca="1">U34/U$22</f>
        <v>0.32792054504692164</v>
      </c>
      <c r="X34" s="708">
        <f ca="1">X22-X33</f>
        <v>18424297.659676604</v>
      </c>
      <c r="Y34" s="707">
        <f ca="1">X34/X$22</f>
        <v>0.32812909305038307</v>
      </c>
      <c r="AA34" s="697"/>
    </row>
    <row r="35" spans="1:27" x14ac:dyDescent="0.2">
      <c r="A35" s="710"/>
      <c r="B35" s="710"/>
      <c r="C35" s="696"/>
      <c r="D35" s="705"/>
      <c r="E35" s="701"/>
      <c r="F35" s="696"/>
      <c r="G35" s="705"/>
      <c r="I35" s="696"/>
      <c r="J35" s="705"/>
      <c r="L35" s="696"/>
      <c r="M35" s="705"/>
      <c r="O35" s="696"/>
      <c r="P35" s="705"/>
      <c r="R35" s="696"/>
      <c r="S35" s="705"/>
      <c r="U35" s="696"/>
      <c r="V35" s="705"/>
      <c r="X35" s="696"/>
      <c r="Y35" s="705"/>
      <c r="AA35" s="697"/>
    </row>
    <row r="36" spans="1:27" x14ac:dyDescent="0.2">
      <c r="A36" s="710" t="s">
        <v>759</v>
      </c>
      <c r="B36" s="710"/>
      <c r="C36" s="697"/>
      <c r="D36" s="703"/>
      <c r="F36" s="697"/>
      <c r="G36" s="703"/>
      <c r="I36" s="697"/>
      <c r="J36" s="703"/>
      <c r="L36" s="697"/>
      <c r="M36" s="703"/>
      <c r="O36" s="697"/>
      <c r="P36" s="703"/>
      <c r="R36" s="697"/>
      <c r="S36" s="703"/>
      <c r="U36" s="697"/>
      <c r="V36" s="703"/>
      <c r="X36" s="697"/>
      <c r="Y36" s="703"/>
      <c r="AA36" s="697"/>
    </row>
    <row r="37" spans="1:27" x14ac:dyDescent="0.2">
      <c r="A37" s="709" t="s">
        <v>789</v>
      </c>
      <c r="B37" s="709"/>
      <c r="C37" s="696">
        <f ca="1">-OFFSET('A+H Monthly CF'!$C96,0,C$4-1)</f>
        <v>0</v>
      </c>
      <c r="D37" s="705">
        <f t="shared" ref="D37:D41" ca="1" si="16">C37/C$22</f>
        <v>0</v>
      </c>
      <c r="E37" s="701" t="s">
        <v>790</v>
      </c>
      <c r="F37" s="696">
        <f ca="1">-OFFSET('A+H Monthly CF'!$C96,0,F$4-1)</f>
        <v>337068.32400000002</v>
      </c>
      <c r="G37" s="705">
        <f t="shared" ref="G37:G41" ca="1" si="17">F37/F$22</f>
        <v>7.2376920831232247E-2</v>
      </c>
      <c r="H37" s="712"/>
      <c r="I37" s="696">
        <f ca="1">-OFFSET('A+H Monthly CF'!$C96,0,I$4-1)</f>
        <v>607906.94129640004</v>
      </c>
      <c r="J37" s="705">
        <f t="shared" ref="J37:J41" ca="1" si="18">I37/I$22</f>
        <v>7.8974677355128794E-2</v>
      </c>
      <c r="K37" s="712"/>
      <c r="L37" s="696">
        <f ca="1">-OFFSET('A+H Monthly CF'!$C96,0,L$4-1)</f>
        <v>2550896.5482459008</v>
      </c>
      <c r="M37" s="705">
        <f t="shared" ref="M37:M41" ca="1" si="19">L37/L$22</f>
        <v>7.492935988008384E-2</v>
      </c>
      <c r="O37" s="696">
        <f ca="1">-OFFSET('A+H Monthly CF'!$C96,0,O$4-1)</f>
        <v>3657399.512601966</v>
      </c>
      <c r="P37" s="705">
        <f t="shared" ref="P37:P41" ca="1" si="20">O37/O$22</f>
        <v>7.1176704064542337E-2</v>
      </c>
      <c r="R37" s="696">
        <f ca="1">-OFFSET('A+H Monthly CF'!$C96,0,R$4-1)</f>
        <v>3767121.4979800256</v>
      </c>
      <c r="S37" s="705">
        <f t="shared" ref="S37:S41" ca="1" si="21">R37/R$22</f>
        <v>7.1176704064542337E-2</v>
      </c>
      <c r="U37" s="696">
        <f ca="1">-OFFSET('A+H Monthly CF'!$C96,0,U$4-1)</f>
        <v>3892521.7614345946</v>
      </c>
      <c r="V37" s="705">
        <f t="shared" ref="V37:V41" ca="1" si="22">U37/U$22</f>
        <v>7.1169971090972062E-2</v>
      </c>
      <c r="X37" s="696">
        <f ca="1">-OFFSET('A+H Monthly CF'!$C96,0,X$4-1)</f>
        <v>3996539.197207009</v>
      </c>
      <c r="Y37" s="705">
        <f t="shared" ref="Y37:Y41" ca="1" si="23">X37/X$22</f>
        <v>7.1176704064542351E-2</v>
      </c>
      <c r="AA37" s="697"/>
    </row>
    <row r="38" spans="1:27" x14ac:dyDescent="0.2">
      <c r="A38" s="709" t="s">
        <v>120</v>
      </c>
      <c r="B38" s="709"/>
      <c r="C38" s="696">
        <f ca="1">-OFFSET('A+H Monthly CF'!$C97,0,C$4-1)</f>
        <v>0</v>
      </c>
      <c r="D38" s="705">
        <f t="shared" ca="1" si="16"/>
        <v>0</v>
      </c>
      <c r="E38" s="701"/>
      <c r="F38" s="696">
        <f ca="1">-OFFSET('A+H Monthly CF'!$C97,0,F$4-1)</f>
        <v>187260.18000000002</v>
      </c>
      <c r="G38" s="705">
        <f t="shared" ca="1" si="17"/>
        <v>4.0209400461795698E-2</v>
      </c>
      <c r="H38" s="712"/>
      <c r="I38" s="696">
        <f ca="1">-OFFSET('A+H Monthly CF'!$C97,0,I$4-1)</f>
        <v>337726.07849800005</v>
      </c>
      <c r="J38" s="705">
        <f t="shared" ca="1" si="18"/>
        <v>4.387482075284934E-2</v>
      </c>
      <c r="K38" s="712"/>
      <c r="L38" s="696">
        <f ca="1">-OFFSET('A+H Monthly CF'!$C97,0,L$4-1)</f>
        <v>1417164.7490255001</v>
      </c>
      <c r="M38" s="705">
        <f t="shared" ca="1" si="19"/>
        <v>4.1627422155602126E-2</v>
      </c>
      <c r="O38" s="696">
        <f ca="1">-OFFSET('A+H Monthly CF'!$C97,0,O$4-1)</f>
        <v>2031888.6181122037</v>
      </c>
      <c r="P38" s="705">
        <f t="shared" ca="1" si="20"/>
        <v>3.9542613369190197E-2</v>
      </c>
      <c r="R38" s="696">
        <f ca="1">-OFFSET('A+H Monthly CF'!$C97,0,R$4-1)</f>
        <v>2092845.2766555697</v>
      </c>
      <c r="S38" s="705">
        <f t="shared" ca="1" si="21"/>
        <v>3.9542613369190183E-2</v>
      </c>
      <c r="U38" s="696">
        <f ca="1">-OFFSET('A+H Monthly CF'!$C97,0,U$4-1)</f>
        <v>2162512.0896858862</v>
      </c>
      <c r="V38" s="705">
        <f t="shared" ca="1" si="22"/>
        <v>3.953887282831782E-2</v>
      </c>
      <c r="X38" s="696">
        <f ca="1">-OFFSET('A+H Monthly CF'!$C97,0,X$4-1)</f>
        <v>2220299.5540038943</v>
      </c>
      <c r="Y38" s="705">
        <f t="shared" ca="1" si="23"/>
        <v>3.9542613369190203E-2</v>
      </c>
      <c r="AA38" s="697"/>
    </row>
    <row r="39" spans="1:27" x14ac:dyDescent="0.2">
      <c r="A39" s="709" t="s">
        <v>791</v>
      </c>
      <c r="B39" s="709"/>
      <c r="C39" s="696">
        <f ca="1">-OFFSET('A+H Monthly CF'!$C98,0,C$4-1)</f>
        <v>0</v>
      </c>
      <c r="D39" s="705">
        <f t="shared" ca="1" si="16"/>
        <v>0</v>
      </c>
      <c r="E39" s="701"/>
      <c r="F39" s="696">
        <f ca="1">-OFFSET('A+H Monthly CF'!$C98,0,F$4-1)</f>
        <v>299616.28800000006</v>
      </c>
      <c r="G39" s="705">
        <f t="shared" ca="1" si="17"/>
        <v>6.4335040738873125E-2</v>
      </c>
      <c r="H39" s="712"/>
      <c r="I39" s="696">
        <f ca="1">-OFFSET('A+H Monthly CF'!$C98,0,I$4-1)</f>
        <v>540361.72559679998</v>
      </c>
      <c r="J39" s="705">
        <f t="shared" ca="1" si="18"/>
        <v>7.0199713204558922E-2</v>
      </c>
      <c r="K39" s="712"/>
      <c r="L39" s="696">
        <f ca="1">-OFFSET('A+H Monthly CF'!$C98,0,L$4-1)</f>
        <v>2267463.5984408003</v>
      </c>
      <c r="M39" s="705">
        <f t="shared" ca="1" si="19"/>
        <v>6.6603875448963415E-2</v>
      </c>
      <c r="O39" s="696">
        <f ca="1">-OFFSET('A+H Monthly CF'!$C98,0,O$4-1)</f>
        <v>3251021.7889795257</v>
      </c>
      <c r="P39" s="705">
        <f t="shared" ca="1" si="20"/>
        <v>6.3268181390704309E-2</v>
      </c>
      <c r="R39" s="696">
        <f ca="1">-OFFSET('A+H Monthly CF'!$C98,0,R$4-1)</f>
        <v>3348552.4426489118</v>
      </c>
      <c r="S39" s="705">
        <f t="shared" ca="1" si="21"/>
        <v>6.3268181390704309E-2</v>
      </c>
      <c r="U39" s="696">
        <f ca="1">-OFFSET('A+H Monthly CF'!$C98,0,U$4-1)</f>
        <v>3460019.3434974179</v>
      </c>
      <c r="V39" s="705">
        <f t="shared" ca="1" si="22"/>
        <v>6.3262196525308512E-2</v>
      </c>
      <c r="X39" s="696">
        <f ca="1">-OFFSET('A+H Monthly CF'!$C98,0,X$4-1)</f>
        <v>3552479.2864062302</v>
      </c>
      <c r="Y39" s="705">
        <f t="shared" ca="1" si="23"/>
        <v>6.3268181390704309E-2</v>
      </c>
      <c r="AA39" s="697"/>
    </row>
    <row r="40" spans="1:27" x14ac:dyDescent="0.2">
      <c r="A40" s="709" t="s">
        <v>758</v>
      </c>
      <c r="B40" s="709"/>
      <c r="C40" s="696">
        <f ca="1">-OFFSET('A+H Monthly CF'!$C99,0,C$4-1)</f>
        <v>0</v>
      </c>
      <c r="D40" s="705">
        <f t="shared" ca="1" si="16"/>
        <v>0</v>
      </c>
      <c r="E40" s="701"/>
      <c r="F40" s="696">
        <f ca="1">-OFFSET('A+H Monthly CF'!$C99,0,F$4-1)</f>
        <v>93630.090000000011</v>
      </c>
      <c r="G40" s="705">
        <f t="shared" ca="1" si="17"/>
        <v>2.0104700230897849E-2</v>
      </c>
      <c r="H40" s="712"/>
      <c r="I40" s="696">
        <f ca="1">-OFFSET('A+H Monthly CF'!$C99,0,I$4-1)</f>
        <v>168863.03924900002</v>
      </c>
      <c r="J40" s="705">
        <f t="shared" ca="1" si="18"/>
        <v>2.193741037642467E-2</v>
      </c>
      <c r="K40" s="712"/>
      <c r="L40" s="696">
        <f ca="1">-OFFSET('A+H Monthly CF'!$C99,0,L$4-1)</f>
        <v>708582.37451275007</v>
      </c>
      <c r="M40" s="705">
        <f t="shared" ca="1" si="19"/>
        <v>2.0813711077801063E-2</v>
      </c>
      <c r="O40" s="696">
        <f ca="1">-OFFSET('A+H Monthly CF'!$C99,0,O$4-1)</f>
        <v>1015944.3090561018</v>
      </c>
      <c r="P40" s="705">
        <f t="shared" ca="1" si="20"/>
        <v>1.9771306684595098E-2</v>
      </c>
      <c r="R40" s="696">
        <f ca="1">-OFFSET('A+H Monthly CF'!$C99,0,R$4-1)</f>
        <v>1046422.6383277848</v>
      </c>
      <c r="S40" s="705">
        <f t="shared" ca="1" si="21"/>
        <v>1.9771306684595091E-2</v>
      </c>
      <c r="U40" s="696">
        <f ca="1">-OFFSET('A+H Monthly CF'!$C99,0,U$4-1)</f>
        <v>1081256.0448429431</v>
      </c>
      <c r="V40" s="705">
        <f t="shared" ca="1" si="22"/>
        <v>1.976943641415891E-2</v>
      </c>
      <c r="X40" s="696">
        <f ca="1">-OFFSET('A+H Monthly CF'!$C99,0,X$4-1)</f>
        <v>1110149.7770019472</v>
      </c>
      <c r="Y40" s="705">
        <f t="shared" ca="1" si="23"/>
        <v>1.9771306684595102E-2</v>
      </c>
      <c r="AA40" s="697"/>
    </row>
    <row r="41" spans="1:27" x14ac:dyDescent="0.2">
      <c r="A41" s="710" t="s">
        <v>792</v>
      </c>
      <c r="B41" s="710"/>
      <c r="C41" s="708">
        <f ca="1">-OFFSET('A+H Monthly CF'!$C100,0,C$4-1)</f>
        <v>0</v>
      </c>
      <c r="D41" s="707">
        <f t="shared" ca="1" si="16"/>
        <v>0</v>
      </c>
      <c r="E41" s="701"/>
      <c r="F41" s="708">
        <f ca="1">-OFFSET('A+H Monthly CF'!$C100,0,F$4-1)</f>
        <v>917574.88200000022</v>
      </c>
      <c r="G41" s="707">
        <f t="shared" ca="1" si="17"/>
        <v>0.19702606226279892</v>
      </c>
      <c r="H41" s="711"/>
      <c r="I41" s="708">
        <f ca="1">-OFFSET('A+H Monthly CF'!$C100,0,I$4-1)</f>
        <v>1654857.7846401997</v>
      </c>
      <c r="J41" s="707">
        <f t="shared" ca="1" si="18"/>
        <v>0.21498662168896168</v>
      </c>
      <c r="L41" s="708">
        <f ca="1">-OFFSET('A+H Monthly CF'!$C100,0,L$4-1)</f>
        <v>6944107.2702249512</v>
      </c>
      <c r="M41" s="707">
        <f t="shared" ca="1" si="19"/>
        <v>0.20397436856245044</v>
      </c>
      <c r="O41" s="708">
        <f ca="1">-OFFSET('A+H Monthly CF'!$C100,0,O$4-1)</f>
        <v>9956254.2287498005</v>
      </c>
      <c r="P41" s="707">
        <f t="shared" ca="1" si="20"/>
        <v>0.19375880550903202</v>
      </c>
      <c r="R41" s="708">
        <f ca="1">-OFFSET('A+H Monthly CF'!$C100,0,R$4-1)</f>
        <v>10254941.855612293</v>
      </c>
      <c r="S41" s="707">
        <f t="shared" ca="1" si="21"/>
        <v>0.19375880550903193</v>
      </c>
      <c r="U41" s="708">
        <f ca="1">-OFFSET('A+H Monthly CF'!$C100,0,U$4-1)</f>
        <v>10596309.239460839</v>
      </c>
      <c r="V41" s="707">
        <f t="shared" ca="1" si="22"/>
        <v>0.19374047685875725</v>
      </c>
      <c r="X41" s="708">
        <f ca="1">-OFFSET('A+H Monthly CF'!$C100,0,X$4-1)</f>
        <v>10879467.814619079</v>
      </c>
      <c r="Y41" s="707">
        <f t="shared" ca="1" si="23"/>
        <v>0.19375880550903193</v>
      </c>
      <c r="AA41" s="697"/>
    </row>
    <row r="42" spans="1:27" x14ac:dyDescent="0.2">
      <c r="A42" s="710"/>
      <c r="B42" s="710"/>
      <c r="C42" s="696"/>
      <c r="D42" s="705"/>
      <c r="E42" s="701"/>
      <c r="F42" s="696"/>
      <c r="G42" s="705"/>
      <c r="I42" s="696"/>
      <c r="J42" s="705"/>
      <c r="L42" s="696"/>
      <c r="M42" s="705"/>
      <c r="O42" s="696"/>
      <c r="P42" s="705"/>
      <c r="R42" s="696"/>
      <c r="S42" s="705"/>
      <c r="U42" s="696"/>
      <c r="V42" s="705"/>
      <c r="X42" s="696"/>
      <c r="Y42" s="705"/>
      <c r="AA42" s="697"/>
    </row>
    <row r="43" spans="1:27" x14ac:dyDescent="0.2">
      <c r="A43" s="710" t="s">
        <v>760</v>
      </c>
      <c r="B43" s="710"/>
      <c r="C43" s="696">
        <f ca="1">C34-C41</f>
        <v>1.0000000000000001E-9</v>
      </c>
      <c r="D43" s="705">
        <f ca="1">C43/C$22</f>
        <v>1</v>
      </c>
      <c r="E43" s="701"/>
      <c r="F43" s="696">
        <f ca="1">F34-F41</f>
        <v>1197635.1780000003</v>
      </c>
      <c r="G43" s="705">
        <f ca="1">F43/F$22</f>
        <v>0.25716194697311506</v>
      </c>
      <c r="I43" s="696">
        <f ca="1">I34-I41</f>
        <v>2329145.578230801</v>
      </c>
      <c r="J43" s="705">
        <f ca="1">I43/I$22</f>
        <v>0.3025849978972624</v>
      </c>
      <c r="L43" s="696">
        <f ca="1">L34-L41</f>
        <v>6185482.2428550497</v>
      </c>
      <c r="M43" s="705">
        <f ca="1">L43/L$22</f>
        <v>0.18169071784798868</v>
      </c>
      <c r="O43" s="696">
        <f ca="1">O34-O41</f>
        <v>6901193.7703173123</v>
      </c>
      <c r="P43" s="705">
        <f ca="1">O43/O$22</f>
        <v>0.13430423036625919</v>
      </c>
      <c r="R43" s="696">
        <f ca="1">R34-R41</f>
        <v>7109429.5834268406</v>
      </c>
      <c r="S43" s="705">
        <f ca="1">R43/R$22</f>
        <v>0.13432690339258016</v>
      </c>
      <c r="U43" s="696">
        <f ca="1">U34-U41</f>
        <v>7338752.9510948677</v>
      </c>
      <c r="V43" s="705">
        <f ca="1">U43/U$22</f>
        <v>0.13418006818816439</v>
      </c>
      <c r="X43" s="696">
        <f ca="1">X34-X41</f>
        <v>7544829.8450575247</v>
      </c>
      <c r="Y43" s="705">
        <f ca="1">X43/X$22</f>
        <v>0.13437028754135111</v>
      </c>
      <c r="AA43" s="697"/>
    </row>
    <row r="44" spans="1:27" hidden="1" x14ac:dyDescent="0.2">
      <c r="A44" s="710"/>
      <c r="B44" s="710"/>
      <c r="C44" s="696"/>
      <c r="D44" s="705"/>
      <c r="E44" s="701"/>
      <c r="F44" s="696"/>
      <c r="G44" s="705"/>
      <c r="I44" s="696"/>
      <c r="J44" s="705"/>
      <c r="L44" s="696"/>
      <c r="M44" s="705"/>
      <c r="O44" s="696"/>
      <c r="P44" s="705"/>
      <c r="R44" s="696"/>
      <c r="S44" s="705"/>
      <c r="U44" s="696"/>
      <c r="V44" s="705"/>
      <c r="X44" s="696"/>
      <c r="Y44" s="705"/>
      <c r="AA44" s="697"/>
    </row>
    <row r="45" spans="1:27" x14ac:dyDescent="0.2">
      <c r="A45" s="709" t="s">
        <v>761</v>
      </c>
      <c r="B45" s="709"/>
      <c r="C45" s="696">
        <f ca="1">-OFFSET('A+H Monthly CF'!$C104,0,C$4-1)</f>
        <v>0</v>
      </c>
      <c r="D45" s="705">
        <f t="shared" ref="D45:D47" ca="1" si="24">C45/C$22</f>
        <v>0</v>
      </c>
      <c r="E45" s="701"/>
      <c r="F45" s="696">
        <f ca="1">-OFFSET('A+H Monthly CF'!$C104,0,F$4-1)</f>
        <v>93630.090000000011</v>
      </c>
      <c r="G45" s="705">
        <f t="shared" ref="G45:G47" ca="1" si="25">F45/F$22</f>
        <v>2.0104700230897849E-2</v>
      </c>
      <c r="I45" s="696">
        <f ca="1">-OFFSET('A+H Monthly CF'!$C104,0,I$4-1)</f>
        <v>168863.03924900002</v>
      </c>
      <c r="J45" s="705">
        <f t="shared" ref="J45:J47" ca="1" si="26">I45/I$22</f>
        <v>2.193741037642467E-2</v>
      </c>
      <c r="L45" s="696">
        <f ca="1">-OFFSET('A+H Monthly CF'!$C104,0,L$4-1)</f>
        <v>708582.37451275007</v>
      </c>
      <c r="M45" s="705">
        <f t="shared" ref="M45:M47" ca="1" si="27">L45/L$22</f>
        <v>2.0813711077801063E-2</v>
      </c>
      <c r="O45" s="696">
        <f ca="1">-OFFSET('A+H Monthly CF'!$C104,0,O$4-1)</f>
        <v>1015944.3090561018</v>
      </c>
      <c r="P45" s="705">
        <f t="shared" ref="P45:P47" ca="1" si="28">O45/O$22</f>
        <v>1.9771306684595098E-2</v>
      </c>
      <c r="R45" s="696">
        <f ca="1">-OFFSET('A+H Monthly CF'!$C104,0,R$4-1)</f>
        <v>1046422.6383277848</v>
      </c>
      <c r="S45" s="705">
        <f t="shared" ref="S45:S47" ca="1" si="29">R45/R$22</f>
        <v>1.9771306684595091E-2</v>
      </c>
      <c r="U45" s="696">
        <f ca="1">-OFFSET('A+H Monthly CF'!$C104,0,U$4-1)</f>
        <v>1081256.0448429431</v>
      </c>
      <c r="V45" s="705">
        <f t="shared" ref="V45:V47" ca="1" si="30">U45/U$22</f>
        <v>1.976943641415891E-2</v>
      </c>
      <c r="X45" s="696">
        <f ca="1">-OFFSET('A+H Monthly CF'!$C104,0,X$4-1)</f>
        <v>1110149.7770019472</v>
      </c>
      <c r="Y45" s="705">
        <f t="shared" ref="Y45:Y47" ca="1" si="31">X45/X$22</f>
        <v>1.9771306684595102E-2</v>
      </c>
      <c r="AA45" s="697"/>
    </row>
    <row r="46" spans="1:27" x14ac:dyDescent="0.2">
      <c r="A46" s="709" t="s">
        <v>762</v>
      </c>
      <c r="B46" s="709"/>
      <c r="C46" s="696">
        <f ca="1">-OFFSET('A+H Monthly CF'!$C105,0,C$4-1)</f>
        <v>0</v>
      </c>
      <c r="D46" s="705">
        <f t="shared" ca="1" si="24"/>
        <v>0</v>
      </c>
      <c r="E46" s="701"/>
      <c r="F46" s="696">
        <f ca="1">-OFFSET('A+H Monthly CF'!$C105,0,F$4-1)</f>
        <v>37452.036000000007</v>
      </c>
      <c r="G46" s="705">
        <f t="shared" ca="1" si="25"/>
        <v>8.0418800923591407E-3</v>
      </c>
      <c r="I46" s="696">
        <f ca="1">-OFFSET('A+H Monthly CF'!$C105,0,I$4-1)</f>
        <v>67545.215699599998</v>
      </c>
      <c r="J46" s="705">
        <f t="shared" ca="1" si="26"/>
        <v>8.7749641505698653E-3</v>
      </c>
      <c r="L46" s="696">
        <f ca="1">-OFFSET('A+H Monthly CF'!$C105,0,L$4-1)</f>
        <v>283432.94980510004</v>
      </c>
      <c r="M46" s="705">
        <f t="shared" ca="1" si="27"/>
        <v>8.3254844311204269E-3</v>
      </c>
      <c r="O46" s="696">
        <f ca="1">-OFFSET('A+H Monthly CF'!$C105,0,O$4-1)</f>
        <v>406377.72362244071</v>
      </c>
      <c r="P46" s="705">
        <f t="shared" ca="1" si="28"/>
        <v>7.9085226738380386E-3</v>
      </c>
      <c r="R46" s="696">
        <f ca="1">-OFFSET('A+H Monthly CF'!$C105,0,R$4-1)</f>
        <v>418569.05533111398</v>
      </c>
      <c r="S46" s="705">
        <f t="shared" ca="1" si="29"/>
        <v>7.9085226738380386E-3</v>
      </c>
      <c r="U46" s="696">
        <f ca="1">-OFFSET('A+H Monthly CF'!$C105,0,U$4-1)</f>
        <v>432502.41793717723</v>
      </c>
      <c r="V46" s="705">
        <f t="shared" ca="1" si="30"/>
        <v>7.907774565663564E-3</v>
      </c>
      <c r="X46" s="696">
        <f ca="1">-OFFSET('A+H Monthly CF'!$C105,0,X$4-1)</f>
        <v>444059.91080077877</v>
      </c>
      <c r="Y46" s="705">
        <f t="shared" ca="1" si="31"/>
        <v>7.9085226738380386E-3</v>
      </c>
      <c r="AA46" s="697"/>
    </row>
    <row r="47" spans="1:27" x14ac:dyDescent="0.2">
      <c r="A47" s="710" t="s">
        <v>763</v>
      </c>
      <c r="B47" s="710"/>
      <c r="C47" s="708">
        <f ca="1">-OFFSET('A+H Monthly CF'!$C106,0,C$4-1)</f>
        <v>0</v>
      </c>
      <c r="D47" s="707">
        <f t="shared" ca="1" si="24"/>
        <v>0</v>
      </c>
      <c r="E47" s="701"/>
      <c r="F47" s="708">
        <f ca="1">OFFSET('A+H Monthly CF'!$C106,0,F$4-1)</f>
        <v>1066553.0520000001</v>
      </c>
      <c r="G47" s="707">
        <f t="shared" ca="1" si="25"/>
        <v>0.22901536664985803</v>
      </c>
      <c r="I47" s="708">
        <f ca="1">OFFSET('A+H Monthly CF'!$C106,0,I$4-1)</f>
        <v>2092737.3232821997</v>
      </c>
      <c r="J47" s="707">
        <f t="shared" ca="1" si="26"/>
        <v>0.27187262337026769</v>
      </c>
      <c r="L47" s="708">
        <f ca="1">OFFSET('A+H Monthly CF'!$C106,0,L$4-1)</f>
        <v>5193466.9185371995</v>
      </c>
      <c r="M47" s="707">
        <f t="shared" ca="1" si="27"/>
        <v>0.15255152233906719</v>
      </c>
      <c r="O47" s="708">
        <f ca="1">OFFSET('A+H Monthly CF'!$C106,0,O$4-1)</f>
        <v>5478871.7376387697</v>
      </c>
      <c r="P47" s="707">
        <f t="shared" ca="1" si="28"/>
        <v>0.10662440100782605</v>
      </c>
      <c r="R47" s="708">
        <f ca="1">OFFSET('A+H Monthly CF'!$C106,0,R$4-1)</f>
        <v>5644437.8897679355</v>
      </c>
      <c r="S47" s="707">
        <f t="shared" ca="1" si="29"/>
        <v>0.1066470740341469</v>
      </c>
      <c r="U47" s="708">
        <f ca="1">OFFSET('A+H Monthly CF'!$C106,0,U$4-1)</f>
        <v>5824994.4883147385</v>
      </c>
      <c r="V47" s="707">
        <f t="shared" ca="1" si="30"/>
        <v>0.10650285720834175</v>
      </c>
      <c r="X47" s="708">
        <f ca="1">OFFSET('A+H Monthly CF'!$C106,0,X$4-1)</f>
        <v>5990620.1572548002</v>
      </c>
      <c r="Y47" s="707">
        <f t="shared" ca="1" si="31"/>
        <v>0.106690458182918</v>
      </c>
      <c r="AA47" s="697"/>
    </row>
    <row r="48" spans="1:27" x14ac:dyDescent="0.2">
      <c r="C48" s="696"/>
      <c r="D48" s="705"/>
      <c r="E48" s="701"/>
      <c r="F48" s="696"/>
      <c r="G48" s="705"/>
      <c r="I48" s="696"/>
      <c r="J48" s="705"/>
      <c r="L48" s="696"/>
      <c r="M48" s="705"/>
      <c r="O48" s="696"/>
      <c r="P48" s="705"/>
      <c r="R48" s="696"/>
      <c r="S48" s="705"/>
      <c r="U48" s="696"/>
      <c r="V48" s="705"/>
      <c r="X48" s="696"/>
      <c r="Y48" s="705"/>
      <c r="AA48" s="697"/>
    </row>
    <row r="49" spans="1:27" x14ac:dyDescent="0.2">
      <c r="A49" s="704" t="s">
        <v>793</v>
      </c>
      <c r="B49" s="704"/>
      <c r="C49" s="697"/>
      <c r="F49" s="697"/>
      <c r="I49" s="697"/>
      <c r="L49" s="697"/>
      <c r="O49" s="697"/>
      <c r="R49" s="697"/>
      <c r="U49" s="697"/>
      <c r="X49" s="697"/>
      <c r="AA49" s="697"/>
    </row>
    <row r="50" spans="1:27" x14ac:dyDescent="0.2">
      <c r="A50" s="709" t="s">
        <v>764</v>
      </c>
      <c r="B50" s="709"/>
      <c r="C50" s="696">
        <f ca="1">-OFFSET('A+H Monthly CF'!$C108,0,C$4-1)</f>
        <v>0</v>
      </c>
      <c r="D50" s="703">
        <f ca="1">C50/C$22</f>
        <v>0</v>
      </c>
      <c r="F50" s="696">
        <f ca="1">-OFFSET('A+H Monthly CF'!$C108,0,F$4-1)</f>
        <v>24999.999999999996</v>
      </c>
      <c r="G50" s="703">
        <f ca="1">F50/F$22</f>
        <v>5.3681194343874507E-3</v>
      </c>
      <c r="I50" s="696">
        <f ca="1">-OFFSET('A+H Monthly CF'!$C108,0,I$4-1)</f>
        <v>24999.999999999996</v>
      </c>
      <c r="J50" s="703">
        <f ca="1">I50/I$22</f>
        <v>3.2478111364672977E-3</v>
      </c>
      <c r="L50" s="696">
        <f ca="1">-OFFSET('A+H Monthly CF'!$C108,0,L$4-1)</f>
        <v>24999.999999999996</v>
      </c>
      <c r="M50" s="703">
        <f ca="1">L50/L$22</f>
        <v>7.343433814633553E-4</v>
      </c>
      <c r="O50" s="696">
        <f ca="1">-OFFSET('A+H Monthly CF'!$C108,0,O$4-1)</f>
        <v>24999.999999999996</v>
      </c>
      <c r="P50" s="703">
        <f ca="1">O50/O$22</f>
        <v>4.8652535646772586E-4</v>
      </c>
      <c r="R50" s="696">
        <f ca="1">-OFFSET('A+H Monthly CF'!$C108,0,R$4-1)</f>
        <v>24999.999999999996</v>
      </c>
      <c r="S50" s="703">
        <f ca="1">R50/R$22</f>
        <v>4.7235471501720947E-4</v>
      </c>
      <c r="U50" s="696">
        <f ca="1">-OFFSET('A+H Monthly CF'!$C108,0,U$4-1)</f>
        <v>24999.999999999996</v>
      </c>
      <c r="V50" s="703">
        <f ca="1">U50/U$22</f>
        <v>4.5709424026920699E-4</v>
      </c>
      <c r="X50" s="696">
        <f ca="1">-OFFSET('A+H Monthly CF'!$C108,0,X$4-1)</f>
        <v>24999.999999999996</v>
      </c>
      <c r="Y50" s="703">
        <f ca="1">X50/X$22</f>
        <v>4.4523962203526205E-4</v>
      </c>
      <c r="AA50" s="697"/>
    </row>
    <row r="51" spans="1:27" x14ac:dyDescent="0.2">
      <c r="A51" s="709" t="s">
        <v>127</v>
      </c>
      <c r="B51" s="709"/>
      <c r="C51" s="696">
        <f ca="1">-OFFSET('A+H Monthly CF'!$C109,0,C$4-1)</f>
        <v>0</v>
      </c>
      <c r="D51" s="703">
        <f ca="1">C51/C$22</f>
        <v>0</v>
      </c>
      <c r="F51" s="696">
        <f ca="1">-OFFSET('A+H Monthly CF'!$C109,0,F$4-1)</f>
        <v>37452.036000000007</v>
      </c>
      <c r="G51" s="703">
        <f ca="1">F51/F$22</f>
        <v>8.0418800923591407E-3</v>
      </c>
      <c r="I51" s="696">
        <f ca="1">-OFFSET('A+H Monthly CF'!$C109,0,I$4-1)</f>
        <v>67545.215699599998</v>
      </c>
      <c r="J51" s="703">
        <f ca="1">I51/I$22</f>
        <v>8.7749641505698653E-3</v>
      </c>
      <c r="L51" s="696">
        <f ca="1">-OFFSET('A+H Monthly CF'!$C109,0,L$4-1)</f>
        <v>283432.94980510004</v>
      </c>
      <c r="M51" s="703">
        <f ca="1">L51/L$22</f>
        <v>8.3254844311204269E-3</v>
      </c>
      <c r="O51" s="696">
        <f ca="1">-OFFSET('A+H Monthly CF'!$C109,0,O$4-1)</f>
        <v>406377.72362244071</v>
      </c>
      <c r="P51" s="703">
        <f ca="1">O51/O$22</f>
        <v>7.9085226738380386E-3</v>
      </c>
      <c r="R51" s="696">
        <f ca="1">-OFFSET('A+H Monthly CF'!$C109,0,R$4-1)</f>
        <v>418569.05533111398</v>
      </c>
      <c r="S51" s="703">
        <f ca="1">R51/R$22</f>
        <v>7.9085226738380386E-3</v>
      </c>
      <c r="U51" s="696">
        <f ca="1">-OFFSET('A+H Monthly CF'!$C109,0,U$4-1)</f>
        <v>432502.41793717723</v>
      </c>
      <c r="V51" s="703">
        <f ca="1">U51/U$22</f>
        <v>7.907774565663564E-3</v>
      </c>
      <c r="X51" s="696">
        <f ca="1">-OFFSET('A+H Monthly CF'!$C109,0,X$4-1)</f>
        <v>444059.91080077877</v>
      </c>
      <c r="Y51" s="703">
        <f ca="1">X51/X$22</f>
        <v>7.9085226738380386E-3</v>
      </c>
      <c r="AA51" s="697"/>
    </row>
    <row r="52" spans="1:27" x14ac:dyDescent="0.2">
      <c r="A52" s="706" t="s">
        <v>765</v>
      </c>
      <c r="B52" s="706"/>
      <c r="C52" s="708">
        <f ca="1">-OFFSET('A+H Monthly CF'!$C110,0,C$4-1)</f>
        <v>0</v>
      </c>
      <c r="D52" s="707">
        <f ca="1">C52/C$22</f>
        <v>0</v>
      </c>
      <c r="E52" s="701"/>
      <c r="F52" s="708">
        <f ca="1">-OFFSET('A+H Monthly CF'!$C110,0,F$4-1)</f>
        <v>62452.036</v>
      </c>
      <c r="G52" s="707">
        <f ca="1">F52/F$22</f>
        <v>1.340999952674659E-2</v>
      </c>
      <c r="I52" s="708">
        <f ca="1">-OFFSET('A+H Monthly CF'!$C110,0,I$4-1)</f>
        <v>92545.215699599998</v>
      </c>
      <c r="J52" s="707">
        <f ca="1">I52/I$22</f>
        <v>1.2022775287037164E-2</v>
      </c>
      <c r="L52" s="708">
        <f ca="1">-OFFSET('A+H Monthly CF'!$C110,0,L$4-1)</f>
        <v>308432.94980510004</v>
      </c>
      <c r="M52" s="707">
        <f ca="1">L52/L$22</f>
        <v>9.059827812583781E-3</v>
      </c>
      <c r="O52" s="708">
        <f ca="1">-OFFSET('A+H Monthly CF'!$C110,0,O$4-1)</f>
        <v>431377.72362244065</v>
      </c>
      <c r="P52" s="707">
        <f ca="1">O52/O$22</f>
        <v>8.3950480303057635E-3</v>
      </c>
      <c r="R52" s="708">
        <f ca="1">-OFFSET('A+H Monthly CF'!$C110,0,R$4-1)</f>
        <v>443569.05533111404</v>
      </c>
      <c r="S52" s="707">
        <f ca="1">R52/R$22</f>
        <v>8.3808773888552485E-3</v>
      </c>
      <c r="U52" s="708">
        <f ca="1">-OFFSET('A+H Monthly CF'!$C110,0,U$4-1)</f>
        <v>457502.41793717718</v>
      </c>
      <c r="V52" s="707">
        <f ca="1">U52/U$22</f>
        <v>8.3648688059327694E-3</v>
      </c>
      <c r="X52" s="708">
        <f ca="1">-OFFSET('A+H Monthly CF'!$C110,0,X$4-1)</f>
        <v>469059.91080077871</v>
      </c>
      <c r="Y52" s="707">
        <f ca="1">X52/X$22</f>
        <v>8.3537622958733005E-3</v>
      </c>
      <c r="AA52" s="697"/>
    </row>
    <row r="53" spans="1:27" x14ac:dyDescent="0.2">
      <c r="A53" s="706"/>
      <c r="B53" s="706"/>
      <c r="C53" s="696"/>
      <c r="D53" s="705"/>
      <c r="E53" s="701"/>
      <c r="F53" s="696"/>
      <c r="G53" s="705"/>
      <c r="I53" s="696"/>
      <c r="J53" s="705"/>
      <c r="L53" s="696"/>
      <c r="M53" s="705"/>
      <c r="O53" s="696"/>
      <c r="P53" s="705"/>
      <c r="R53" s="696"/>
      <c r="S53" s="705"/>
      <c r="U53" s="696"/>
      <c r="V53" s="705"/>
      <c r="X53" s="696"/>
      <c r="Y53" s="705"/>
      <c r="AA53" s="697"/>
    </row>
    <row r="54" spans="1:27" x14ac:dyDescent="0.2">
      <c r="A54" s="704" t="s">
        <v>766</v>
      </c>
      <c r="B54" s="704"/>
      <c r="C54" s="700">
        <f ca="1">OFFSET('A+H Monthly CF'!$C112,0,C$4-1)</f>
        <v>0</v>
      </c>
      <c r="D54" s="703">
        <f ca="1">C54/C22</f>
        <v>0</v>
      </c>
      <c r="F54" s="700">
        <f ca="1">OFFSET('A+H Monthly CF'!$C112,0,F$4-1)</f>
        <v>1004101.0160000001</v>
      </c>
      <c r="G54" s="703">
        <f ca="1">F54/F22</f>
        <v>0.21560536712311143</v>
      </c>
      <c r="I54" s="700">
        <f ca="1">OFFSET('A+H Monthly CF'!$C112,0,I$4-1)</f>
        <v>2000192.1075825999</v>
      </c>
      <c r="J54" s="703">
        <f ca="1">I54/I22</f>
        <v>0.25984984808323053</v>
      </c>
      <c r="L54" s="700">
        <f ca="1">OFFSET('A+H Monthly CF'!$C112,0,L$4-1)</f>
        <v>4885033.9687321</v>
      </c>
      <c r="M54" s="703">
        <f ca="1">L54/L22</f>
        <v>0.14349169452648342</v>
      </c>
      <c r="O54" s="700">
        <f ca="1">OFFSET('A+H Monthly CF'!$C112,0,O$4-1)</f>
        <v>5047494.0140163293</v>
      </c>
      <c r="P54" s="703">
        <f ca="1">O54/O22</f>
        <v>9.8229352977520293E-2</v>
      </c>
      <c r="R54" s="807">
        <f ca="1">OFFSET('A+H Monthly CF'!$C112,0,R$4-1)</f>
        <v>5200868.8344368208</v>
      </c>
      <c r="S54" s="703">
        <f ca="1">R54/R22</f>
        <v>9.8266196645291654E-2</v>
      </c>
      <c r="U54" s="700">
        <f ca="1">OFFSET('A+H Monthly CF'!$C112,0,U$4-1)</f>
        <v>5367492.0703775631</v>
      </c>
      <c r="V54" s="703">
        <f ca="1">U54/U22</f>
        <v>9.8137988402409018E-2</v>
      </c>
      <c r="X54" s="700">
        <f ca="1">OFFSET('A+H Monthly CF'!$C112,0,X$4-1)</f>
        <v>5521560.2464540228</v>
      </c>
      <c r="Y54" s="703">
        <f ca="1">X54/X22</f>
        <v>9.8336695887044717E-2</v>
      </c>
      <c r="AA54" s="697"/>
    </row>
    <row r="55" spans="1:27" x14ac:dyDescent="0.2">
      <c r="A55" s="704" t="s">
        <v>794</v>
      </c>
      <c r="B55" s="704"/>
      <c r="C55" s="696">
        <f ca="1">D55*C22</f>
        <v>2.0000000000000002E-11</v>
      </c>
      <c r="D55" s="703">
        <v>0.02</v>
      </c>
      <c r="F55" s="696">
        <f ca="1">G55*F22</f>
        <v>139713.73200000002</v>
      </c>
      <c r="G55" s="703">
        <v>0.03</v>
      </c>
      <c r="I55" s="696">
        <f ca="1">J55*I22</f>
        <v>307899.67703840003</v>
      </c>
      <c r="J55" s="703">
        <v>0.04</v>
      </c>
      <c r="L55" s="696">
        <f ca="1">M55*L22</f>
        <v>1361760.7583080004</v>
      </c>
      <c r="M55" s="703">
        <v>0.04</v>
      </c>
      <c r="O55" s="696">
        <f ca="1">P55*O22</f>
        <v>2055391.3310093549</v>
      </c>
      <c r="P55" s="703">
        <v>0.04</v>
      </c>
      <c r="R55" s="696">
        <f ca="1">S55*R22</f>
        <v>2117053.0709396359</v>
      </c>
      <c r="S55" s="703">
        <v>0.04</v>
      </c>
      <c r="U55" s="696">
        <f ca="1">V55*U22</f>
        <v>2187732.6640804904</v>
      </c>
      <c r="V55" s="703">
        <v>0.04</v>
      </c>
      <c r="X55" s="696">
        <f ca="1">Y55*X22</f>
        <v>2245981.6029598597</v>
      </c>
      <c r="Y55" s="703">
        <v>0.04</v>
      </c>
      <c r="AA55" s="697"/>
    </row>
    <row r="56" spans="1:27" x14ac:dyDescent="0.2">
      <c r="A56" s="702" t="s">
        <v>795</v>
      </c>
      <c r="B56" s="702"/>
      <c r="C56" s="700">
        <f ca="1">C54-C55</f>
        <v>-2.0000000000000002E-11</v>
      </c>
      <c r="D56" s="699">
        <f ca="1">C56/C$22</f>
        <v>-0.02</v>
      </c>
      <c r="E56" s="701"/>
      <c r="F56" s="700">
        <f ca="1">F54-F55</f>
        <v>864387.28399999999</v>
      </c>
      <c r="G56" s="699">
        <f ca="1">F56/F$22</f>
        <v>0.1856053671231114</v>
      </c>
      <c r="I56" s="700">
        <f ca="1">I54-I55</f>
        <v>1692292.4305441999</v>
      </c>
      <c r="J56" s="699">
        <f ca="1">I56/I$22</f>
        <v>0.21984984808323055</v>
      </c>
      <c r="L56" s="700">
        <f ca="1">L54-L55</f>
        <v>3523273.2104240996</v>
      </c>
      <c r="M56" s="699">
        <f ca="1">L56/L$22</f>
        <v>0.10349169452648342</v>
      </c>
      <c r="O56" s="700">
        <f ca="1">O54-O55</f>
        <v>2992102.6830069744</v>
      </c>
      <c r="P56" s="699">
        <f ca="1">O56/O$22</f>
        <v>5.8229352977520292E-2</v>
      </c>
      <c r="R56" s="700">
        <f ca="1">R54-R55</f>
        <v>3083815.763497185</v>
      </c>
      <c r="S56" s="699">
        <f ca="1">R56/R$22</f>
        <v>5.8266196645291646E-2</v>
      </c>
      <c r="U56" s="700">
        <f ca="1">U54-U55</f>
        <v>3179759.4062970728</v>
      </c>
      <c r="V56" s="699">
        <f ca="1">U56/U$22</f>
        <v>5.813798840240901E-2</v>
      </c>
      <c r="X56" s="700">
        <f ca="1">X54-X55</f>
        <v>3275578.6434941632</v>
      </c>
      <c r="Y56" s="699">
        <f ca="1">X56/X$22</f>
        <v>5.8336695887044716E-2</v>
      </c>
      <c r="AA56" s="697"/>
    </row>
    <row r="57" spans="1:27" x14ac:dyDescent="0.2">
      <c r="A57" s="698"/>
      <c r="B57" s="698"/>
      <c r="C57" s="697"/>
      <c r="F57" s="697"/>
      <c r="I57" s="697"/>
      <c r="L57" s="697"/>
      <c r="O57" s="697"/>
      <c r="R57" s="697"/>
      <c r="U57" s="697"/>
      <c r="X57" s="697"/>
    </row>
    <row r="58" spans="1:27" s="777" customFormat="1" hidden="1" x14ac:dyDescent="0.2">
      <c r="A58" s="774" t="s">
        <v>796</v>
      </c>
      <c r="B58" s="774"/>
      <c r="C58" s="775">
        <v>1.0000000000000001E-9</v>
      </c>
      <c r="D58" s="776">
        <v>1</v>
      </c>
      <c r="F58" s="775">
        <v>966609.88599999994</v>
      </c>
      <c r="G58" s="776">
        <v>0.25331503225632301</v>
      </c>
      <c r="I58" s="775">
        <v>1827395.85482556</v>
      </c>
      <c r="J58" s="776">
        <v>0.31355518757991407</v>
      </c>
      <c r="L58" s="775">
        <v>6039575.0644248631</v>
      </c>
      <c r="M58" s="776">
        <v>0.20964022145226366</v>
      </c>
      <c r="O58" s="775">
        <v>7224027.5463183736</v>
      </c>
      <c r="P58" s="776">
        <v>0.16353958010991151</v>
      </c>
      <c r="R58" s="775">
        <v>7441756.3727079267</v>
      </c>
      <c r="S58" s="776">
        <v>0.1635617348567856</v>
      </c>
      <c r="U58" s="775">
        <v>7687698.9507486308</v>
      </c>
      <c r="V58" s="776">
        <v>0.16346281531032478</v>
      </c>
      <c r="X58" s="775">
        <v>7897005.5758058373</v>
      </c>
      <c r="Y58" s="776">
        <v>0.16360412729354146</v>
      </c>
      <c r="AA58" s="778"/>
    </row>
    <row r="59" spans="1:27" x14ac:dyDescent="0.2">
      <c r="F59" s="795"/>
      <c r="G59" s="795"/>
      <c r="H59" s="795"/>
      <c r="I59" s="795"/>
      <c r="J59" s="795"/>
      <c r="K59" s="795"/>
      <c r="L59" s="795"/>
      <c r="M59" s="795"/>
      <c r="N59" s="795"/>
      <c r="O59" s="795"/>
      <c r="P59" s="795"/>
      <c r="Q59" s="795"/>
      <c r="R59" s="795"/>
      <c r="S59" s="795"/>
      <c r="T59" s="795"/>
      <c r="U59" s="795"/>
      <c r="V59" s="795"/>
      <c r="W59" s="795"/>
      <c r="X59" s="795"/>
      <c r="Y59" s="795"/>
      <c r="Z59" s="795"/>
    </row>
    <row r="60" spans="1:27" x14ac:dyDescent="0.2">
      <c r="B60" s="802"/>
      <c r="I60" s="803"/>
    </row>
  </sheetData>
  <pageMargins left="0.25" right="0.25" top="0.75" bottom="0.75" header="0.3" footer="0.3"/>
  <pageSetup scale="58" orientation="landscape" r:id="rId1"/>
  <ignoredErrors>
    <ignoredError sqref="I7:S57" unlocked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BE0F-5419-4A81-BF4E-E5AF5F861803}">
  <sheetPr codeName="Sheet3">
    <tabColor theme="5" tint="0.59999389629810485"/>
  </sheetPr>
  <dimension ref="A1:AK86"/>
  <sheetViews>
    <sheetView showGridLines="0" zoomScale="90" zoomScaleNormal="90" workbookViewId="0">
      <selection activeCell="K77" sqref="K77"/>
    </sheetView>
  </sheetViews>
  <sheetFormatPr baseColWidth="10" defaultColWidth="11" defaultRowHeight="16" outlineLevelCol="1" x14ac:dyDescent="0.2"/>
  <cols>
    <col min="1" max="1" width="1.6640625" style="2" customWidth="1"/>
    <col min="2" max="2" width="37.1640625" bestFit="1" customWidth="1"/>
    <col min="3" max="3" width="11.1640625" bestFit="1" customWidth="1"/>
    <col min="4" max="4" width="13.6640625" bestFit="1" customWidth="1"/>
    <col min="5" max="5" width="11.1640625" customWidth="1"/>
    <col min="6" max="9" width="14.1640625" customWidth="1"/>
    <col min="10" max="10" width="12" customWidth="1"/>
    <col min="11" max="11" width="13.5" customWidth="1"/>
    <col min="12" max="12" width="14.1640625" customWidth="1"/>
    <col min="13" max="13" width="13.6640625" customWidth="1"/>
    <col min="14" max="19" width="12.1640625" customWidth="1" outlineLevel="1"/>
    <col min="20" max="20" width="3.6640625" style="515" customWidth="1"/>
    <col min="21" max="21" width="14" style="515" bestFit="1" customWidth="1"/>
    <col min="22" max="22" width="13.1640625" style="515" bestFit="1" customWidth="1"/>
    <col min="23" max="16384" width="11" style="515"/>
  </cols>
  <sheetData>
    <row r="1" spans="1:20" ht="21" x14ac:dyDescent="0.25">
      <c r="A1" s="75"/>
      <c r="B1" s="313" t="s">
        <v>797</v>
      </c>
      <c r="C1" s="314"/>
      <c r="D1" s="314"/>
      <c r="E1" s="31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0" x14ac:dyDescent="0.2">
      <c r="A2" s="257"/>
      <c r="B2" s="1" t="s">
        <v>156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96"/>
      <c r="T2" s="657"/>
    </row>
    <row r="3" spans="1:20" x14ac:dyDescent="0.2">
      <c r="A3" s="257"/>
      <c r="H3" s="137"/>
    </row>
    <row r="4" spans="1:20" hidden="1" x14ac:dyDescent="0.2">
      <c r="A4" s="257"/>
      <c r="B4" s="191" t="s">
        <v>157</v>
      </c>
      <c r="C4" s="191"/>
      <c r="D4" s="191"/>
      <c r="E4" s="3"/>
      <c r="F4" s="191" t="s">
        <v>170</v>
      </c>
      <c r="G4" s="191"/>
      <c r="H4" s="191"/>
      <c r="J4" s="191" t="s">
        <v>417</v>
      </c>
      <c r="K4" s="191"/>
      <c r="L4" s="191"/>
      <c r="M4" s="271"/>
      <c r="N4" s="271"/>
      <c r="O4" s="271"/>
      <c r="P4" s="271"/>
      <c r="Q4" s="2"/>
      <c r="R4" s="2"/>
    </row>
    <row r="5" spans="1:20" hidden="1" x14ac:dyDescent="0.2">
      <c r="A5" s="257"/>
      <c r="B5" s="239" t="s">
        <v>418</v>
      </c>
      <c r="D5" s="335" t="e">
        <f ca="1">'Proforma A+H'!#REF!+'Proforma A+H'!T43</f>
        <v>#REF!</v>
      </c>
      <c r="F5" t="s">
        <v>419</v>
      </c>
      <c r="H5" s="302">
        <f ca="1">D23+D41</f>
        <v>71873747.24582842</v>
      </c>
      <c r="Q5" s="2"/>
      <c r="R5" s="2"/>
    </row>
    <row r="6" spans="1:20" hidden="1" x14ac:dyDescent="0.2">
      <c r="A6" s="257"/>
      <c r="B6" s="239" t="s">
        <v>420</v>
      </c>
      <c r="D6" s="335">
        <f ca="1">'Proforma A+H'!T60+'Proforma A+H'!T60+'Proforma A+H'!T65</f>
        <v>388556897.23657787</v>
      </c>
      <c r="F6" t="s">
        <v>421</v>
      </c>
      <c r="H6" s="272" t="e">
        <f>#REF!+D24</f>
        <v>#REF!</v>
      </c>
      <c r="J6" s="273" t="s">
        <v>422</v>
      </c>
      <c r="K6" s="274" t="s">
        <v>188</v>
      </c>
      <c r="L6" s="817" t="s">
        <v>66</v>
      </c>
      <c r="M6" s="817"/>
      <c r="N6" s="817"/>
      <c r="O6" s="817"/>
      <c r="P6" s="818"/>
    </row>
    <row r="7" spans="1:20" hidden="1" x14ac:dyDescent="0.2">
      <c r="A7" s="257"/>
      <c r="B7" s="239" t="s">
        <v>423</v>
      </c>
      <c r="D7" s="394" t="s">
        <v>27</v>
      </c>
      <c r="F7" s="239" t="s">
        <v>147</v>
      </c>
      <c r="H7" s="303" t="e">
        <f ca="1">H5-H6</f>
        <v>#REF!</v>
      </c>
      <c r="J7" s="815" t="s">
        <v>424</v>
      </c>
      <c r="K7" s="275" t="e">
        <f ca="1">SUMIF(F5:F10,K6,H5:H10)</f>
        <v>#NUM!</v>
      </c>
      <c r="L7" s="441">
        <f>M7-1</f>
        <v>5</v>
      </c>
      <c r="M7" s="441">
        <f>N7-1</f>
        <v>6</v>
      </c>
      <c r="N7" s="442">
        <v>7</v>
      </c>
      <c r="O7" s="441">
        <f>N7+1</f>
        <v>8</v>
      </c>
      <c r="P7" s="443">
        <f>O7+1</f>
        <v>9</v>
      </c>
    </row>
    <row r="8" spans="1:20" ht="15.5" hidden="1" customHeight="1" x14ac:dyDescent="0.2">
      <c r="A8" s="257"/>
      <c r="B8" s="239" t="s">
        <v>425</v>
      </c>
      <c r="D8" s="394" t="s">
        <v>27</v>
      </c>
      <c r="F8" s="239" t="s">
        <v>426</v>
      </c>
      <c r="H8" s="304" t="e">
        <f ca="1">H5/H6</f>
        <v>#REF!</v>
      </c>
      <c r="J8" s="815"/>
      <c r="K8" s="287">
        <f>K9-10%</f>
        <v>0.8</v>
      </c>
      <c r="L8" s="279" t="e">
        <f t="dataTable" ref="L8:P12" dt2D="1" dtr="1" r1="L15" r2="L14" ca="1"/>
        <v>#NUM!</v>
      </c>
      <c r="M8" s="280" t="e">
        <v>#NUM!</v>
      </c>
      <c r="N8" s="280" t="e">
        <v>#NUM!</v>
      </c>
      <c r="O8" s="444" t="e">
        <v>#NUM!</v>
      </c>
      <c r="P8" s="445" t="e">
        <v>#NUM!</v>
      </c>
    </row>
    <row r="9" spans="1:20" hidden="1" x14ac:dyDescent="0.2">
      <c r="A9" s="257"/>
      <c r="B9" s="239" t="s">
        <v>427</v>
      </c>
      <c r="D9" s="260" t="e">
        <f ca="1">'Proforma A+H'!T43/('Proforma A+H'!#REF!+'Proforma A+H'!T43)</f>
        <v>#REF!</v>
      </c>
      <c r="F9" s="239" t="s">
        <v>428</v>
      </c>
      <c r="H9" s="305" t="e">
        <f ca="1">H7/H6</f>
        <v>#REF!</v>
      </c>
      <c r="I9" s="11"/>
      <c r="J9" s="815"/>
      <c r="K9" s="287">
        <f>K10-10%</f>
        <v>0.9</v>
      </c>
      <c r="L9" s="279" t="e">
        <v>#NUM!</v>
      </c>
      <c r="M9" s="282" t="e">
        <v>#NUM!</v>
      </c>
      <c r="N9" s="282" t="e">
        <v>#NUM!</v>
      </c>
      <c r="O9" s="446" t="e">
        <v>#NUM!</v>
      </c>
      <c r="P9" s="445" t="e">
        <v>#NUM!</v>
      </c>
    </row>
    <row r="10" spans="1:20" hidden="1" x14ac:dyDescent="0.2">
      <c r="A10" s="257"/>
      <c r="B10" s="239" t="s">
        <v>429</v>
      </c>
      <c r="D10" s="260">
        <f ca="1">'Proforma A+H'!T43/('Proforma A+H'!T60+'Proforma A+H'!T65)</f>
        <v>0.31730108810319535</v>
      </c>
      <c r="F10" s="239" t="s">
        <v>188</v>
      </c>
      <c r="H10" s="305" t="e">
        <f ca="1">XIRR(F47:R47,F19:R19)</f>
        <v>#NUM!</v>
      </c>
      <c r="J10" s="815"/>
      <c r="K10" s="288">
        <v>1</v>
      </c>
      <c r="L10" s="279" t="e">
        <v>#NUM!</v>
      </c>
      <c r="M10" s="282" t="e">
        <v>#NUM!</v>
      </c>
      <c r="N10" s="283" t="e">
        <v>#NUM!</v>
      </c>
      <c r="O10" s="446" t="e">
        <v>#NUM!</v>
      </c>
      <c r="P10" s="445" t="e">
        <v>#NUM!</v>
      </c>
    </row>
    <row r="11" spans="1:20" hidden="1" x14ac:dyDescent="0.2">
      <c r="A11" s="257"/>
      <c r="B11" s="128"/>
      <c r="C11" s="63"/>
      <c r="D11" s="11"/>
      <c r="F11" t="s">
        <v>798</v>
      </c>
      <c r="H11" s="492">
        <f ca="1">'Proforma A+H'!L53/'Proforma A+H'!L189</f>
        <v>0.79809046749126056</v>
      </c>
      <c r="I11" s="306"/>
      <c r="J11" s="815"/>
      <c r="K11" s="287">
        <f>K10+10%</f>
        <v>1.1000000000000001</v>
      </c>
      <c r="L11" s="279" t="e">
        <v>#NUM!</v>
      </c>
      <c r="M11" s="282" t="e">
        <v>#NUM!</v>
      </c>
      <c r="N11" s="282" t="e">
        <v>#NUM!</v>
      </c>
      <c r="O11" s="446" t="e">
        <v>#NUM!</v>
      </c>
      <c r="P11" s="445" t="e">
        <v>#NUM!</v>
      </c>
    </row>
    <row r="12" spans="1:20" hidden="1" x14ac:dyDescent="0.2">
      <c r="A12" s="257"/>
      <c r="B12" s="3" t="s">
        <v>158</v>
      </c>
      <c r="C12" s="3"/>
      <c r="D12" s="3"/>
      <c r="F12" t="s">
        <v>799</v>
      </c>
      <c r="H12" s="493" t="e">
        <f ca="1">'Proforma A+H'!L53/'Returns A+H'!H6</f>
        <v>#REF!</v>
      </c>
      <c r="I12" s="306"/>
      <c r="J12" s="816"/>
      <c r="K12" s="289">
        <f>K11+10%</f>
        <v>1.2000000000000002</v>
      </c>
      <c r="L12" s="284" t="e">
        <v>#NUM!</v>
      </c>
      <c r="M12" s="285" t="e">
        <v>#NUM!</v>
      </c>
      <c r="N12" s="285" t="e">
        <v>#NUM!</v>
      </c>
      <c r="O12" s="447" t="e">
        <v>#NUM!</v>
      </c>
      <c r="P12" s="448" t="e">
        <v>#NUM!</v>
      </c>
    </row>
    <row r="13" spans="1:20" hidden="1" x14ac:dyDescent="0.2">
      <c r="A13" s="257"/>
      <c r="B13" s="239" t="s">
        <v>160</v>
      </c>
      <c r="D13" s="302">
        <f ca="1">'Proforma A+H'!T53+'Proforma A+H'!T60+'Proforma A+H'!T65-'Proforma A+H'!T168</f>
        <v>271882232.72599876</v>
      </c>
      <c r="F13" t="s">
        <v>800</v>
      </c>
      <c r="H13" s="493">
        <f>Assumptions!C31</f>
        <v>6.5000000000000002E-2</v>
      </c>
      <c r="I13" s="306"/>
      <c r="J13" s="293" t="s">
        <v>430</v>
      </c>
    </row>
    <row r="14" spans="1:20" hidden="1" x14ac:dyDescent="0.2">
      <c r="A14" s="257"/>
      <c r="B14" s="307" t="s">
        <v>431</v>
      </c>
      <c r="D14" s="308">
        <f ca="1">'Proforma A+H'!T184-'Proforma A+H'!T163+'Proforma A+H'!T189+'Proforma A+H'!T190</f>
        <v>192776939.89745069</v>
      </c>
      <c r="F14" t="s">
        <v>801</v>
      </c>
      <c r="H14" s="272">
        <f>'Proforma A+H'!R65</f>
        <v>0</v>
      </c>
      <c r="I14" s="306"/>
      <c r="J14" s="290" t="s">
        <v>424</v>
      </c>
      <c r="K14" s="291"/>
      <c r="L14" s="292">
        <v>1</v>
      </c>
    </row>
    <row r="15" spans="1:20" hidden="1" x14ac:dyDescent="0.2">
      <c r="A15" s="257"/>
      <c r="B15" s="307" t="s">
        <v>164</v>
      </c>
      <c r="D15" s="302">
        <f ca="1">D13-D14</f>
        <v>79105292.828548074</v>
      </c>
      <c r="E15" s="144"/>
      <c r="I15" s="306"/>
      <c r="J15" s="290" t="s">
        <v>66</v>
      </c>
      <c r="L15" s="333">
        <v>7</v>
      </c>
      <c r="M15" s="11"/>
      <c r="N15" s="11"/>
    </row>
    <row r="16" spans="1:20" hidden="1" x14ac:dyDescent="0.2">
      <c r="A16" s="257"/>
      <c r="B16" s="239" t="s">
        <v>166</v>
      </c>
      <c r="D16" s="260">
        <f ca="1">D15/D13</f>
        <v>0.2909542563168146</v>
      </c>
      <c r="I16" s="246"/>
      <c r="J16" s="11"/>
      <c r="K16" s="11"/>
      <c r="L16" s="11"/>
      <c r="M16" s="11"/>
      <c r="N16" s="11"/>
    </row>
    <row r="17" spans="1:37" hidden="1" x14ac:dyDescent="0.2">
      <c r="A17" s="257"/>
      <c r="B17" s="239" t="s">
        <v>168</v>
      </c>
      <c r="D17" s="309" t="e">
        <f ca="1">D15/H6</f>
        <v>#REF!</v>
      </c>
      <c r="I17" s="246"/>
      <c r="J17" s="11"/>
      <c r="K17" s="11"/>
      <c r="L17" s="11"/>
      <c r="M17" s="11"/>
      <c r="N17" s="11"/>
    </row>
    <row r="18" spans="1:37" s="3" customFormat="1" x14ac:dyDescent="0.2">
      <c r="A18" s="261"/>
      <c r="F18" s="755">
        <f>'Proforma A+H'!G3</f>
        <v>0</v>
      </c>
      <c r="G18" s="755">
        <f>'Proforma A+H'!H3</f>
        <v>1</v>
      </c>
      <c r="H18" s="755">
        <f>'Proforma A+H'!I3</f>
        <v>2</v>
      </c>
      <c r="I18" s="755">
        <f>'Proforma A+H'!J3</f>
        <v>3</v>
      </c>
      <c r="J18" s="755">
        <f>'Proforma A+H'!K3</f>
        <v>4</v>
      </c>
      <c r="K18" s="755">
        <f>'Proforma A+H'!L3</f>
        <v>5</v>
      </c>
      <c r="L18" s="755">
        <f>'Proforma A+H'!M3</f>
        <v>6</v>
      </c>
      <c r="M18" s="755">
        <f>'Proforma A+H'!N3</f>
        <v>7</v>
      </c>
      <c r="N18" s="755">
        <f>'Proforma A+H'!O3</f>
        <v>8</v>
      </c>
      <c r="O18" s="755">
        <f>'Proforma A+H'!P3</f>
        <v>9</v>
      </c>
      <c r="P18" s="755">
        <f>'Proforma A+H'!Q3</f>
        <v>10</v>
      </c>
      <c r="Q18" s="755">
        <f>'Proforma A+H'!R3</f>
        <v>11</v>
      </c>
      <c r="R18" s="755">
        <f>'Proforma A+H'!S3</f>
        <v>12</v>
      </c>
      <c r="S18"/>
      <c r="T18"/>
      <c r="U18"/>
      <c r="V18"/>
      <c r="W18"/>
      <c r="X18"/>
      <c r="Y18"/>
      <c r="Z18"/>
    </row>
    <row r="19" spans="1:37" customFormat="1" x14ac:dyDescent="0.2">
      <c r="A19" s="261"/>
      <c r="B19" s="3" t="s">
        <v>175</v>
      </c>
      <c r="F19" s="20">
        <f>'Proforma A+H'!G4</f>
        <v>45658</v>
      </c>
      <c r="G19" s="20">
        <f>'Proforma A+H'!H4</f>
        <v>46023</v>
      </c>
      <c r="H19" s="20">
        <f>'Proforma A+H'!I4</f>
        <v>46388</v>
      </c>
      <c r="I19" s="20">
        <f>'Proforma A+H'!J4</f>
        <v>46753</v>
      </c>
      <c r="J19" s="20">
        <f>'Proforma A+H'!K4</f>
        <v>47119</v>
      </c>
      <c r="K19" s="20">
        <f>'Proforma A+H'!L4</f>
        <v>47484</v>
      </c>
      <c r="L19" s="20">
        <f>'Proforma A+H'!M4</f>
        <v>47849</v>
      </c>
      <c r="M19" s="20">
        <f>'Proforma A+H'!N4</f>
        <v>48214</v>
      </c>
      <c r="N19" s="20">
        <f>'Proforma A+H'!O4</f>
        <v>48580</v>
      </c>
      <c r="O19" s="20">
        <f>'Proforma A+H'!P4</f>
        <v>48945</v>
      </c>
      <c r="P19" s="20">
        <f>'Proforma A+H'!Q4</f>
        <v>49310</v>
      </c>
      <c r="Q19" s="20">
        <f>'Proforma A+H'!R4</f>
        <v>49675</v>
      </c>
      <c r="R19" s="20">
        <f>'Proforma A+H'!S4</f>
        <v>50041</v>
      </c>
      <c r="T19" s="262"/>
      <c r="U19" s="262"/>
      <c r="V19" s="262"/>
      <c r="W19" s="262"/>
      <c r="X19" s="262"/>
      <c r="Y19" s="262"/>
      <c r="Z19" s="262"/>
      <c r="AA19" s="262"/>
      <c r="AB19" s="262"/>
      <c r="AC19" s="262"/>
      <c r="AD19" s="262"/>
      <c r="AE19" s="262"/>
      <c r="AF19" s="262"/>
      <c r="AG19" s="262"/>
      <c r="AH19" s="262"/>
      <c r="AI19" s="262"/>
      <c r="AJ19" s="262"/>
      <c r="AK19" s="262"/>
    </row>
    <row r="20" spans="1:37" hidden="1" x14ac:dyDescent="0.2">
      <c r="A20" s="257"/>
      <c r="B20" s="34" t="s">
        <v>176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262"/>
      <c r="T20" s="608"/>
      <c r="U20" s="608"/>
      <c r="V20" s="608"/>
      <c r="W20" s="608"/>
      <c r="X20" s="608"/>
      <c r="Y20" s="608"/>
      <c r="Z20" s="608"/>
      <c r="AA20" s="608"/>
      <c r="AB20" s="608"/>
      <c r="AC20" s="608"/>
      <c r="AD20" s="608"/>
      <c r="AE20" s="608"/>
      <c r="AF20" s="608"/>
      <c r="AG20" s="608"/>
      <c r="AH20" s="608"/>
      <c r="AI20" s="608"/>
      <c r="AJ20" s="608"/>
      <c r="AK20" s="608"/>
    </row>
    <row r="21" spans="1:37" hidden="1" x14ac:dyDescent="0.2">
      <c r="A21" s="261"/>
      <c r="B21" s="170" t="s">
        <v>32</v>
      </c>
      <c r="D21" s="147">
        <f t="shared" ref="D21:D22" si="0">SUM(F21:R21)</f>
        <v>0</v>
      </c>
      <c r="F21" s="92">
        <f>'Proforma A+H'!G219</f>
        <v>0</v>
      </c>
      <c r="G21" s="92">
        <f>'Proforma A+H'!H219</f>
        <v>0</v>
      </c>
      <c r="H21" s="92">
        <f>'Proforma A+H'!I219</f>
        <v>0</v>
      </c>
      <c r="I21" s="92">
        <f>'Proforma A+H'!J219</f>
        <v>0</v>
      </c>
      <c r="J21" s="92">
        <f>'Proforma A+H'!K219</f>
        <v>0</v>
      </c>
      <c r="K21" s="92">
        <f>'Proforma A+H'!L219</f>
        <v>0</v>
      </c>
      <c r="L21" s="92">
        <f>'Proforma A+H'!M219</f>
        <v>0</v>
      </c>
      <c r="M21" s="92">
        <f>'Proforma A+H'!N219</f>
        <v>0</v>
      </c>
      <c r="N21" s="92">
        <f>'Proforma A+H'!O219</f>
        <v>0</v>
      </c>
      <c r="O21" s="92">
        <f>'Proforma A+H'!P219</f>
        <v>0</v>
      </c>
      <c r="P21" s="92">
        <f>'Proforma A+H'!Q219</f>
        <v>0</v>
      </c>
      <c r="Q21" s="92">
        <f>'Proforma A+H'!R219</f>
        <v>0</v>
      </c>
      <c r="R21" s="92">
        <f>'Proforma A+H'!S219</f>
        <v>0</v>
      </c>
      <c r="S21" s="262"/>
      <c r="T21" s="608"/>
      <c r="U21" s="608"/>
      <c r="V21" s="608"/>
    </row>
    <row r="22" spans="1:37" hidden="1" x14ac:dyDescent="0.2">
      <c r="A22" s="261"/>
      <c r="B22" s="268" t="s">
        <v>177</v>
      </c>
      <c r="C22" s="222"/>
      <c r="D22" s="267">
        <f t="shared" si="0"/>
        <v>0</v>
      </c>
      <c r="E22" s="222"/>
      <c r="F22" s="77">
        <f>'Proforma A+H'!G245-F21</f>
        <v>0</v>
      </c>
      <c r="G22" s="77">
        <f>'Proforma A+H'!H245-G21</f>
        <v>0</v>
      </c>
      <c r="H22" s="77">
        <f>'Proforma A+H'!I245-H21</f>
        <v>0</v>
      </c>
      <c r="I22" s="77">
        <f>'Proforma A+H'!J245-I21</f>
        <v>0</v>
      </c>
      <c r="J22" s="77">
        <f>'Proforma A+H'!K245-J21</f>
        <v>0</v>
      </c>
      <c r="K22" s="77">
        <f>'Proforma A+H'!L245-K21</f>
        <v>0</v>
      </c>
      <c r="L22" s="77">
        <f>'Proforma A+H'!M245-L21</f>
        <v>0</v>
      </c>
      <c r="M22" s="77">
        <f>'Proforma A+H'!N245-M21</f>
        <v>0</v>
      </c>
      <c r="N22" s="77">
        <f>'Proforma A+H'!O245-N21</f>
        <v>0</v>
      </c>
      <c r="O22" s="77">
        <f>'Proforma A+H'!P245-O21</f>
        <v>0</v>
      </c>
      <c r="P22" s="77">
        <f>'Proforma A+H'!Q245-P21</f>
        <v>0</v>
      </c>
      <c r="Q22" s="77">
        <f>'Proforma A+H'!R245-Q21</f>
        <v>0</v>
      </c>
      <c r="R22" s="77">
        <f>'Proforma A+H'!S245-R21</f>
        <v>0</v>
      </c>
      <c r="S22" s="262"/>
      <c r="T22" s="608"/>
      <c r="U22" s="608"/>
      <c r="V22" s="608"/>
    </row>
    <row r="23" spans="1:37" hidden="1" x14ac:dyDescent="0.2">
      <c r="A23" s="261"/>
      <c r="B23" s="132" t="s">
        <v>178</v>
      </c>
      <c r="D23" s="109">
        <f>SUM(F23:R23)</f>
        <v>0</v>
      </c>
      <c r="F23" s="92">
        <f>F21+F22</f>
        <v>0</v>
      </c>
      <c r="G23" s="92">
        <f t="shared" ref="G23:R23" si="1">G21+G22</f>
        <v>0</v>
      </c>
      <c r="H23" s="92">
        <f t="shared" si="1"/>
        <v>0</v>
      </c>
      <c r="I23" s="92">
        <f t="shared" si="1"/>
        <v>0</v>
      </c>
      <c r="J23" s="92">
        <f t="shared" si="1"/>
        <v>0</v>
      </c>
      <c r="K23" s="92">
        <f t="shared" si="1"/>
        <v>0</v>
      </c>
      <c r="L23" s="92">
        <f t="shared" si="1"/>
        <v>0</v>
      </c>
      <c r="M23" s="92">
        <f t="shared" si="1"/>
        <v>0</v>
      </c>
      <c r="N23" s="92">
        <f t="shared" si="1"/>
        <v>0</v>
      </c>
      <c r="O23" s="92">
        <f t="shared" si="1"/>
        <v>0</v>
      </c>
      <c r="P23" s="92">
        <f t="shared" si="1"/>
        <v>0</v>
      </c>
      <c r="Q23" s="92">
        <f t="shared" si="1"/>
        <v>0</v>
      </c>
      <c r="R23" s="92">
        <f t="shared" si="1"/>
        <v>0</v>
      </c>
      <c r="S23" s="262"/>
      <c r="T23" s="608"/>
      <c r="U23" s="608"/>
      <c r="V23" s="608"/>
    </row>
    <row r="24" spans="1:37" hidden="1" x14ac:dyDescent="0.2">
      <c r="A24" s="261"/>
      <c r="B24" s="599" t="s">
        <v>179</v>
      </c>
      <c r="C24" s="2"/>
      <c r="D24" s="606">
        <f>SUM(F24:R24)</f>
        <v>0</v>
      </c>
      <c r="E24" s="2"/>
      <c r="F24" s="542">
        <f>'Proforma A+H'!H220</f>
        <v>0</v>
      </c>
      <c r="G24" s="542"/>
      <c r="H24" s="542"/>
      <c r="I24" s="542"/>
      <c r="J24" s="542"/>
      <c r="K24" s="542"/>
      <c r="L24" s="542"/>
      <c r="M24" s="542"/>
      <c r="N24" s="542"/>
      <c r="O24" s="542"/>
      <c r="P24" s="542"/>
      <c r="Q24" s="542"/>
      <c r="R24" s="542"/>
      <c r="S24" s="262"/>
      <c r="T24" s="608"/>
      <c r="U24" s="608"/>
      <c r="V24" s="608"/>
      <c r="W24" s="608"/>
      <c r="X24" s="608"/>
      <c r="Y24" s="608"/>
      <c r="Z24" s="608"/>
      <c r="AA24" s="608"/>
      <c r="AB24" s="608"/>
      <c r="AC24" s="608"/>
      <c r="AD24" s="608"/>
      <c r="AE24" s="608"/>
      <c r="AF24" s="608"/>
      <c r="AG24" s="608"/>
      <c r="AH24" s="608"/>
      <c r="AI24" s="608"/>
      <c r="AJ24" s="608"/>
      <c r="AK24" s="608"/>
    </row>
    <row r="25" spans="1:37" ht="17" hidden="1" thickBot="1" x14ac:dyDescent="0.25">
      <c r="A25" s="261"/>
      <c r="B25" s="599" t="s">
        <v>180</v>
      </c>
      <c r="C25" s="2"/>
      <c r="D25" s="609">
        <f>SUM(F25:R25)</f>
        <v>0</v>
      </c>
      <c r="E25" s="2"/>
      <c r="F25" s="542">
        <f>F23-F24</f>
        <v>0</v>
      </c>
      <c r="G25" s="542">
        <f t="shared" ref="G25:R25" si="2">G23-G24</f>
        <v>0</v>
      </c>
      <c r="H25" s="542">
        <f t="shared" si="2"/>
        <v>0</v>
      </c>
      <c r="I25" s="542">
        <f t="shared" si="2"/>
        <v>0</v>
      </c>
      <c r="J25" s="542">
        <f t="shared" si="2"/>
        <v>0</v>
      </c>
      <c r="K25" s="542">
        <f t="shared" si="2"/>
        <v>0</v>
      </c>
      <c r="L25" s="542">
        <f t="shared" si="2"/>
        <v>0</v>
      </c>
      <c r="M25" s="542">
        <f t="shared" si="2"/>
        <v>0</v>
      </c>
      <c r="N25" s="542">
        <f t="shared" si="2"/>
        <v>0</v>
      </c>
      <c r="O25" s="542">
        <f t="shared" si="2"/>
        <v>0</v>
      </c>
      <c r="P25" s="542">
        <f t="shared" si="2"/>
        <v>0</v>
      </c>
      <c r="Q25" s="542">
        <f t="shared" si="2"/>
        <v>0</v>
      </c>
      <c r="R25" s="542">
        <f t="shared" si="2"/>
        <v>0</v>
      </c>
      <c r="S25" s="262"/>
      <c r="T25" s="608"/>
      <c r="U25" s="608"/>
      <c r="V25" s="608"/>
      <c r="W25" s="608"/>
      <c r="X25" s="608"/>
      <c r="Y25" s="608"/>
      <c r="Z25" s="608"/>
      <c r="AA25" s="608"/>
      <c r="AB25" s="608"/>
      <c r="AC25" s="608"/>
      <c r="AD25" s="608"/>
      <c r="AE25" s="608"/>
      <c r="AF25" s="608"/>
      <c r="AG25" s="608"/>
      <c r="AH25" s="608"/>
      <c r="AI25" s="608"/>
      <c r="AJ25" s="608"/>
      <c r="AK25" s="608"/>
    </row>
    <row r="26" spans="1:37" ht="17" hidden="1" thickTop="1" x14ac:dyDescent="0.2">
      <c r="A26" s="261"/>
      <c r="B26" s="599" t="s">
        <v>181</v>
      </c>
      <c r="C26" s="2"/>
      <c r="D26" s="2"/>
      <c r="E26" s="2"/>
      <c r="F26" s="598" t="e">
        <f>XIRR(F25:R25,F19:R19)</f>
        <v>#NUM!</v>
      </c>
    </row>
    <row r="27" spans="1:37" hidden="1" x14ac:dyDescent="0.2">
      <c r="A27" s="261"/>
      <c r="B27" s="599" t="s">
        <v>182</v>
      </c>
      <c r="C27" s="2"/>
      <c r="D27" s="2"/>
      <c r="E27" s="2"/>
      <c r="F27" s="603" t="e">
        <f>SUMIF(F25:R25,"&gt;0")/-SUMIF(F25:R25,"&lt;0")</f>
        <v>#DIV/0!</v>
      </c>
    </row>
    <row r="28" spans="1:37" hidden="1" x14ac:dyDescent="0.2">
      <c r="A28" s="261"/>
      <c r="B28" s="599" t="s">
        <v>183</v>
      </c>
      <c r="C28" s="2"/>
      <c r="D28" s="2"/>
      <c r="E28" s="2"/>
      <c r="F28" s="542">
        <f t="shared" ref="F28:R28" si="3">F25+E28</f>
        <v>0</v>
      </c>
      <c r="G28" s="542">
        <f t="shared" si="3"/>
        <v>0</v>
      </c>
      <c r="H28" s="542">
        <f t="shared" si="3"/>
        <v>0</v>
      </c>
      <c r="I28" s="542">
        <f t="shared" si="3"/>
        <v>0</v>
      </c>
      <c r="J28" s="542">
        <f t="shared" si="3"/>
        <v>0</v>
      </c>
      <c r="K28" s="542">
        <f t="shared" si="3"/>
        <v>0</v>
      </c>
      <c r="L28" s="542">
        <f t="shared" si="3"/>
        <v>0</v>
      </c>
      <c r="M28" s="542">
        <f t="shared" si="3"/>
        <v>0</v>
      </c>
      <c r="N28" s="542">
        <f t="shared" si="3"/>
        <v>0</v>
      </c>
      <c r="O28" s="542">
        <f t="shared" si="3"/>
        <v>0</v>
      </c>
      <c r="P28" s="542">
        <f t="shared" si="3"/>
        <v>0</v>
      </c>
      <c r="Q28" s="542">
        <f t="shared" si="3"/>
        <v>0</v>
      </c>
      <c r="R28" s="542">
        <f t="shared" si="3"/>
        <v>0</v>
      </c>
    </row>
    <row r="29" spans="1:37" hidden="1" x14ac:dyDescent="0.2">
      <c r="A29" s="261"/>
      <c r="B29" s="599"/>
      <c r="C29" s="2"/>
      <c r="D29" s="2"/>
      <c r="E29" s="2"/>
      <c r="F29" s="542"/>
      <c r="G29" s="542"/>
      <c r="H29" s="542"/>
      <c r="I29" s="542"/>
      <c r="J29" s="542"/>
      <c r="K29" s="542"/>
      <c r="L29" s="542"/>
      <c r="M29" s="542"/>
      <c r="N29" s="542"/>
      <c r="O29" s="542"/>
      <c r="P29" s="542"/>
      <c r="Q29" s="542"/>
      <c r="R29" s="542"/>
    </row>
    <row r="30" spans="1:37" hidden="1" x14ac:dyDescent="0.2">
      <c r="A30" s="257"/>
      <c r="B30" s="34" t="s">
        <v>184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</row>
    <row r="31" spans="1:37" hidden="1" x14ac:dyDescent="0.2">
      <c r="A31" s="257"/>
      <c r="B31" s="170" t="s">
        <v>185</v>
      </c>
      <c r="D31" s="147"/>
      <c r="F31" s="92">
        <f>'Proforma A+H'!G225</f>
        <v>0</v>
      </c>
      <c r="G31" s="92">
        <f>'Proforma A+H'!H225</f>
        <v>0</v>
      </c>
      <c r="H31" s="92">
        <f>'Proforma A+H'!I225</f>
        <v>0</v>
      </c>
      <c r="I31" s="92">
        <f>'Proforma A+H'!J225</f>
        <v>0</v>
      </c>
      <c r="J31" s="92">
        <f ca="1">'Proforma A+H'!K225</f>
        <v>0</v>
      </c>
      <c r="K31" s="92">
        <f ca="1">'Proforma A+H'!L225</f>
        <v>0</v>
      </c>
      <c r="L31" s="92">
        <f ca="1">'Proforma A+H'!M225</f>
        <v>0</v>
      </c>
      <c r="M31" s="92">
        <f ca="1">'Proforma A+H'!N225</f>
        <v>0</v>
      </c>
      <c r="N31" s="92">
        <f>'Proforma A+H'!O225</f>
        <v>0</v>
      </c>
      <c r="O31" s="92">
        <f>'Proforma A+H'!P225</f>
        <v>0</v>
      </c>
      <c r="P31" s="92">
        <f>'Proforma A+H'!Q225</f>
        <v>0</v>
      </c>
      <c r="Q31" s="92">
        <f>'Proforma A+H'!R225</f>
        <v>0</v>
      </c>
      <c r="R31" s="92">
        <f>'Proforma A+H'!S225</f>
        <v>0</v>
      </c>
      <c r="S31" s="262"/>
      <c r="T31" s="608"/>
      <c r="U31" s="608"/>
      <c r="V31" s="608"/>
    </row>
    <row r="32" spans="1:37" hidden="1" x14ac:dyDescent="0.2">
      <c r="A32" s="257"/>
      <c r="B32" s="268" t="s">
        <v>177</v>
      </c>
      <c r="C32" s="222"/>
      <c r="D32" s="267"/>
      <c r="E32" s="222"/>
      <c r="F32" s="77">
        <f>'Proforma A+H'!G246-F31</f>
        <v>0</v>
      </c>
      <c r="G32" s="77">
        <f>'Proforma A+H'!H246-G31</f>
        <v>0</v>
      </c>
      <c r="H32" s="77">
        <f>'Proforma A+H'!I246-H31</f>
        <v>0</v>
      </c>
      <c r="I32" s="77">
        <f>'Proforma A+H'!J246-I31</f>
        <v>0</v>
      </c>
      <c r="J32" s="77">
        <f ca="1">'Proforma A+H'!K246-J31</f>
        <v>0</v>
      </c>
      <c r="K32" s="77">
        <f ca="1">'Proforma A+H'!L246-K31</f>
        <v>0</v>
      </c>
      <c r="L32" s="77">
        <f ca="1">'Proforma A+H'!M246-L31</f>
        <v>0</v>
      </c>
      <c r="M32" s="77">
        <f ca="1">'Proforma A+H'!N246-M31</f>
        <v>0</v>
      </c>
      <c r="N32" s="77">
        <f>'Proforma A+H'!O246-N31</f>
        <v>0</v>
      </c>
      <c r="O32" s="77">
        <f>'Proforma A+H'!P246-O31</f>
        <v>0</v>
      </c>
      <c r="P32" s="77">
        <f>'Proforma A+H'!Q246-P31</f>
        <v>0</v>
      </c>
      <c r="Q32" s="77">
        <f>'Proforma A+H'!R246-Q31</f>
        <v>0</v>
      </c>
      <c r="R32" s="77">
        <f>'Proforma A+H'!S246-R31</f>
        <v>0</v>
      </c>
      <c r="S32" s="262"/>
      <c r="T32" s="608"/>
      <c r="U32" s="608"/>
      <c r="V32" s="608"/>
    </row>
    <row r="33" spans="1:37" hidden="1" x14ac:dyDescent="0.2">
      <c r="A33" s="261"/>
      <c r="B33" s="599" t="s">
        <v>186</v>
      </c>
      <c r="C33" s="2"/>
      <c r="D33" s="606">
        <f t="shared" ref="D33:D34" ca="1" si="4">SUM(F33:R33)</f>
        <v>0</v>
      </c>
      <c r="E33" s="2"/>
      <c r="F33" s="542">
        <f>SUM(F31:F32)</f>
        <v>0</v>
      </c>
      <c r="G33" s="542">
        <f t="shared" ref="G33:R33" si="5">SUM(G31:G32)</f>
        <v>0</v>
      </c>
      <c r="H33" s="542">
        <f t="shared" si="5"/>
        <v>0</v>
      </c>
      <c r="I33" s="542">
        <f t="shared" si="5"/>
        <v>0</v>
      </c>
      <c r="J33" s="542">
        <f t="shared" ca="1" si="5"/>
        <v>0</v>
      </c>
      <c r="K33" s="542">
        <f t="shared" ca="1" si="5"/>
        <v>0</v>
      </c>
      <c r="L33" s="542">
        <f t="shared" ca="1" si="5"/>
        <v>0</v>
      </c>
      <c r="M33" s="542">
        <f t="shared" ca="1" si="5"/>
        <v>0</v>
      </c>
      <c r="N33" s="542">
        <f t="shared" si="5"/>
        <v>0</v>
      </c>
      <c r="O33" s="542">
        <f t="shared" si="5"/>
        <v>0</v>
      </c>
      <c r="P33" s="542">
        <f t="shared" si="5"/>
        <v>0</v>
      </c>
      <c r="Q33" s="542">
        <f t="shared" si="5"/>
        <v>0</v>
      </c>
      <c r="R33" s="542">
        <f t="shared" si="5"/>
        <v>0</v>
      </c>
    </row>
    <row r="34" spans="1:37" hidden="1" x14ac:dyDescent="0.2">
      <c r="A34" s="261"/>
      <c r="B34" s="599" t="s">
        <v>179</v>
      </c>
      <c r="C34" s="2"/>
      <c r="D34" s="606">
        <f t="shared" si="4"/>
        <v>0</v>
      </c>
      <c r="E34" s="2"/>
      <c r="F34" s="542"/>
      <c r="G34" s="542">
        <f>'Proforma A+H'!H226</f>
        <v>0</v>
      </c>
      <c r="H34" s="542"/>
      <c r="I34" s="542"/>
      <c r="J34" s="542"/>
      <c r="K34" s="542"/>
      <c r="L34" s="542"/>
      <c r="M34" s="542"/>
      <c r="N34" s="542"/>
      <c r="O34" s="542"/>
      <c r="P34" s="542"/>
      <c r="Q34" s="542"/>
      <c r="R34" s="542"/>
      <c r="S34" s="262"/>
      <c r="T34" s="608"/>
      <c r="U34" s="608"/>
      <c r="V34" s="608"/>
      <c r="W34" s="608"/>
      <c r="X34" s="608"/>
      <c r="Y34" s="608"/>
      <c r="Z34" s="608"/>
      <c r="AA34" s="608"/>
      <c r="AB34" s="608"/>
      <c r="AC34" s="608"/>
      <c r="AD34" s="608"/>
      <c r="AE34" s="608"/>
      <c r="AF34" s="608"/>
      <c r="AG34" s="608"/>
      <c r="AH34" s="608"/>
      <c r="AI34" s="608"/>
      <c r="AJ34" s="608"/>
      <c r="AK34" s="608"/>
    </row>
    <row r="35" spans="1:37" ht="17" hidden="1" thickBot="1" x14ac:dyDescent="0.25">
      <c r="A35" s="261"/>
      <c r="B35" s="599" t="s">
        <v>187</v>
      </c>
      <c r="C35" s="2"/>
      <c r="D35" s="609">
        <f ca="1">SUM(F35:R35)</f>
        <v>0</v>
      </c>
      <c r="E35" s="2"/>
      <c r="F35" s="542">
        <f>F33-F34</f>
        <v>0</v>
      </c>
      <c r="G35" s="542">
        <f t="shared" ref="G35:R35" si="6">G33-G34</f>
        <v>0</v>
      </c>
      <c r="H35" s="542">
        <f t="shared" si="6"/>
        <v>0</v>
      </c>
      <c r="I35" s="542">
        <f t="shared" si="6"/>
        <v>0</v>
      </c>
      <c r="J35" s="542">
        <f t="shared" ca="1" si="6"/>
        <v>0</v>
      </c>
      <c r="K35" s="542">
        <f t="shared" ca="1" si="6"/>
        <v>0</v>
      </c>
      <c r="L35" s="542">
        <f t="shared" ca="1" si="6"/>
        <v>0</v>
      </c>
      <c r="M35" s="542">
        <f t="shared" ca="1" si="6"/>
        <v>0</v>
      </c>
      <c r="N35" s="542">
        <f t="shared" si="6"/>
        <v>0</v>
      </c>
      <c r="O35" s="542">
        <f t="shared" si="6"/>
        <v>0</v>
      </c>
      <c r="P35" s="542">
        <f t="shared" si="6"/>
        <v>0</v>
      </c>
      <c r="Q35" s="542">
        <f t="shared" si="6"/>
        <v>0</v>
      </c>
      <c r="R35" s="542">
        <f t="shared" si="6"/>
        <v>0</v>
      </c>
      <c r="S35" s="262"/>
      <c r="T35" s="608"/>
      <c r="U35" s="608"/>
      <c r="V35" s="608"/>
      <c r="W35" s="608"/>
      <c r="X35" s="608"/>
      <c r="Y35" s="608"/>
      <c r="Z35" s="608"/>
      <c r="AA35" s="608"/>
      <c r="AB35" s="608"/>
      <c r="AC35" s="608"/>
      <c r="AD35" s="608"/>
      <c r="AE35" s="608"/>
      <c r="AF35" s="608"/>
      <c r="AG35" s="608"/>
      <c r="AH35" s="608"/>
      <c r="AI35" s="608"/>
      <c r="AJ35" s="608"/>
      <c r="AK35" s="608"/>
    </row>
    <row r="36" spans="1:37" ht="17" hidden="1" thickTop="1" x14ac:dyDescent="0.2">
      <c r="A36" s="261"/>
      <c r="B36" s="599" t="s">
        <v>188</v>
      </c>
      <c r="C36" s="2"/>
      <c r="D36" s="2"/>
      <c r="E36" s="2"/>
      <c r="F36" s="598" t="e">
        <f ca="1">XIRR(G35:R35,G19:R19)</f>
        <v>#NUM!</v>
      </c>
    </row>
    <row r="37" spans="1:37" hidden="1" x14ac:dyDescent="0.2">
      <c r="A37" s="261"/>
      <c r="B37" s="599" t="s">
        <v>189</v>
      </c>
      <c r="C37" s="2"/>
      <c r="D37" s="2"/>
      <c r="E37" s="2"/>
      <c r="F37" s="603" t="e">
        <f ca="1">SUMIF(F35:R35,"&gt;0")/-SUMIF(F35:R35,"&lt;0")</f>
        <v>#DIV/0!</v>
      </c>
    </row>
    <row r="38" spans="1:37" hidden="1" x14ac:dyDescent="0.2">
      <c r="A38" s="261"/>
      <c r="B38" s="599" t="s">
        <v>183</v>
      </c>
      <c r="C38" s="2"/>
      <c r="D38" s="2"/>
      <c r="E38" s="2"/>
      <c r="F38" s="542">
        <f t="shared" ref="F38:R38" si="7">F35+E38</f>
        <v>0</v>
      </c>
      <c r="G38" s="542">
        <f t="shared" si="7"/>
        <v>0</v>
      </c>
      <c r="H38" s="542">
        <f t="shared" si="7"/>
        <v>0</v>
      </c>
      <c r="I38" s="542">
        <f t="shared" si="7"/>
        <v>0</v>
      </c>
      <c r="J38" s="542">
        <f t="shared" ca="1" si="7"/>
        <v>0</v>
      </c>
      <c r="K38" s="542">
        <f t="shared" ca="1" si="7"/>
        <v>0</v>
      </c>
      <c r="L38" s="542">
        <f t="shared" ca="1" si="7"/>
        <v>0</v>
      </c>
      <c r="M38" s="542">
        <f t="shared" ca="1" si="7"/>
        <v>0</v>
      </c>
      <c r="N38" s="542">
        <f t="shared" ca="1" si="7"/>
        <v>0</v>
      </c>
      <c r="O38" s="542">
        <f t="shared" ca="1" si="7"/>
        <v>0</v>
      </c>
      <c r="P38" s="542">
        <f t="shared" ca="1" si="7"/>
        <v>0</v>
      </c>
      <c r="Q38" s="542">
        <f t="shared" ca="1" si="7"/>
        <v>0</v>
      </c>
      <c r="R38" s="542">
        <f t="shared" ca="1" si="7"/>
        <v>0</v>
      </c>
    </row>
    <row r="39" spans="1:37" hidden="1" x14ac:dyDescent="0.2">
      <c r="A39" s="261"/>
      <c r="B39" s="132"/>
      <c r="F39" s="489"/>
      <c r="H39" s="61"/>
      <c r="I39" s="61"/>
      <c r="J39" s="61"/>
      <c r="K39" s="61"/>
      <c r="L39" s="61"/>
      <c r="M39" s="61"/>
      <c r="N39" s="61"/>
    </row>
    <row r="40" spans="1:37" x14ac:dyDescent="0.2">
      <c r="A40" s="257"/>
      <c r="B40" s="34" t="s">
        <v>190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</row>
    <row r="41" spans="1:37" customFormat="1" x14ac:dyDescent="0.2">
      <c r="A41" s="261"/>
      <c r="B41" s="132" t="s">
        <v>178</v>
      </c>
      <c r="D41" s="109">
        <f t="shared" ref="D41" ca="1" si="8">SUM(F41:R41)</f>
        <v>71873747.24582842</v>
      </c>
      <c r="F41" s="92">
        <f>'Proforma A+H'!G247</f>
        <v>0</v>
      </c>
      <c r="G41" s="92">
        <f ca="1">'Proforma A+H'!H247</f>
        <v>7262.0859474292956</v>
      </c>
      <c r="H41" s="92">
        <f ca="1">'Proforma A+H'!I247</f>
        <v>0</v>
      </c>
      <c r="I41" s="92">
        <f ca="1">'Proforma A+H'!J247</f>
        <v>0</v>
      </c>
      <c r="J41" s="92">
        <f ca="1">'Proforma A+H'!K247</f>
        <v>0</v>
      </c>
      <c r="K41" s="92">
        <f ca="1">'Proforma A+H'!L247</f>
        <v>33139281.594136097</v>
      </c>
      <c r="L41" s="92">
        <f ca="1">'Proforma A+H'!M247</f>
        <v>0</v>
      </c>
      <c r="M41" s="92">
        <f ca="1">'Proforma A+H'!N247</f>
        <v>38727203.565744892</v>
      </c>
      <c r="N41" s="92">
        <f ca="1">'Proforma A+H'!O247</f>
        <v>0</v>
      </c>
      <c r="O41" s="92">
        <f>'Proforma A+H'!P247</f>
        <v>0</v>
      </c>
      <c r="P41" s="92">
        <f>'Proforma A+H'!Q247</f>
        <v>0</v>
      </c>
      <c r="Q41" s="92">
        <f>'Proforma A+H'!R247</f>
        <v>0</v>
      </c>
      <c r="R41" s="92">
        <f>'Proforma A+H'!S247</f>
        <v>0</v>
      </c>
    </row>
    <row r="42" spans="1:37" customFormat="1" x14ac:dyDescent="0.2">
      <c r="A42" s="261"/>
      <c r="B42" s="676" t="s">
        <v>187</v>
      </c>
      <c r="C42" s="222"/>
      <c r="D42" s="677">
        <f ca="1">SUM(F42:R42)</f>
        <v>71873747.24582842</v>
      </c>
      <c r="E42" s="222"/>
      <c r="F42" s="77">
        <f t="shared" ref="F42:R42" si="9">SUM(F41:F41)</f>
        <v>0</v>
      </c>
      <c r="G42" s="77">
        <f t="shared" ca="1" si="9"/>
        <v>7262.0859474292956</v>
      </c>
      <c r="H42" s="77">
        <f t="shared" ca="1" si="9"/>
        <v>0</v>
      </c>
      <c r="I42" s="77">
        <f t="shared" ca="1" si="9"/>
        <v>0</v>
      </c>
      <c r="J42" s="77">
        <f t="shared" ca="1" si="9"/>
        <v>0</v>
      </c>
      <c r="K42" s="77">
        <f t="shared" ca="1" si="9"/>
        <v>33139281.594136097</v>
      </c>
      <c r="L42" s="77">
        <f t="shared" ca="1" si="9"/>
        <v>0</v>
      </c>
      <c r="M42" s="77">
        <f t="shared" ca="1" si="9"/>
        <v>38727203.565744892</v>
      </c>
      <c r="N42" s="77">
        <f t="shared" ca="1" si="9"/>
        <v>0</v>
      </c>
      <c r="O42" s="77">
        <f t="shared" si="9"/>
        <v>0</v>
      </c>
      <c r="P42" s="77">
        <f t="shared" si="9"/>
        <v>0</v>
      </c>
      <c r="Q42" s="77">
        <f t="shared" si="9"/>
        <v>0</v>
      </c>
      <c r="R42" s="77">
        <f t="shared" si="9"/>
        <v>0</v>
      </c>
      <c r="S42" s="262"/>
      <c r="T42" s="262"/>
      <c r="U42" s="262"/>
      <c r="V42" s="262"/>
      <c r="W42" s="262"/>
      <c r="X42" s="262"/>
      <c r="Y42" s="262"/>
      <c r="Z42" s="262"/>
      <c r="AA42" s="262"/>
      <c r="AB42" s="262"/>
      <c r="AC42" s="262"/>
      <c r="AD42" s="262"/>
      <c r="AE42" s="262"/>
      <c r="AF42" s="262"/>
      <c r="AG42" s="262"/>
      <c r="AH42" s="262"/>
      <c r="AI42" s="262"/>
      <c r="AJ42" s="262"/>
      <c r="AK42" s="262"/>
    </row>
    <row r="43" spans="1:37" x14ac:dyDescent="0.2">
      <c r="A43" s="257"/>
      <c r="B43" s="599" t="s">
        <v>191</v>
      </c>
      <c r="C43" s="671">
        <f>Assumptions!L11</f>
        <v>0.4</v>
      </c>
      <c r="D43" s="606">
        <f t="shared" ref="D43:D44" ca="1" si="10">SUM(F43:R43)</f>
        <v>28749498.898331366</v>
      </c>
      <c r="E43" s="2"/>
      <c r="F43" s="542">
        <f>F42*$C$43</f>
        <v>0</v>
      </c>
      <c r="G43" s="542">
        <f t="shared" ref="G43:R43" ca="1" si="11">G42*$C$43</f>
        <v>2904.8343789717183</v>
      </c>
      <c r="H43" s="542">
        <f t="shared" ca="1" si="11"/>
        <v>0</v>
      </c>
      <c r="I43" s="542">
        <f t="shared" ca="1" si="11"/>
        <v>0</v>
      </c>
      <c r="J43" s="542">
        <f t="shared" ca="1" si="11"/>
        <v>0</v>
      </c>
      <c r="K43" s="542">
        <f t="shared" ca="1" si="11"/>
        <v>13255712.637654439</v>
      </c>
      <c r="L43" s="542">
        <f t="shared" ca="1" si="11"/>
        <v>0</v>
      </c>
      <c r="M43" s="542">
        <f t="shared" ca="1" si="11"/>
        <v>15490881.426297957</v>
      </c>
      <c r="N43" s="542">
        <f t="shared" ca="1" si="11"/>
        <v>0</v>
      </c>
      <c r="O43" s="542">
        <f t="shared" si="11"/>
        <v>0</v>
      </c>
      <c r="P43" s="542">
        <f t="shared" si="11"/>
        <v>0</v>
      </c>
      <c r="Q43" s="542">
        <f t="shared" si="11"/>
        <v>0</v>
      </c>
      <c r="R43" s="542">
        <f t="shared" si="11"/>
        <v>0</v>
      </c>
      <c r="S43" s="262"/>
      <c r="T43" s="608"/>
      <c r="U43" s="608"/>
      <c r="V43" s="608"/>
      <c r="W43" s="608"/>
      <c r="X43" s="608"/>
      <c r="Y43" s="608"/>
      <c r="Z43" s="608"/>
      <c r="AA43" s="608"/>
      <c r="AB43" s="608"/>
      <c r="AC43" s="608"/>
      <c r="AD43" s="608"/>
      <c r="AE43" s="608"/>
      <c r="AF43" s="608"/>
      <c r="AG43" s="608"/>
      <c r="AH43" s="608"/>
      <c r="AI43" s="608"/>
      <c r="AJ43" s="608"/>
      <c r="AK43" s="608"/>
    </row>
    <row r="44" spans="1:37" ht="16.25" customHeight="1" x14ac:dyDescent="0.2">
      <c r="A44" s="257"/>
      <c r="B44" s="599" t="s">
        <v>192</v>
      </c>
      <c r="C44" s="671">
        <f>1-C43</f>
        <v>0.6</v>
      </c>
      <c r="D44" s="606">
        <f t="shared" ca="1" si="10"/>
        <v>43124248.347497046</v>
      </c>
      <c r="E44" s="2"/>
      <c r="F44" s="542">
        <f>F42*$C$44</f>
        <v>0</v>
      </c>
      <c r="G44" s="542">
        <f t="shared" ref="G44:R44" ca="1" si="12">G42*$C$44</f>
        <v>4357.2515684575774</v>
      </c>
      <c r="H44" s="542">
        <f t="shared" ca="1" si="12"/>
        <v>0</v>
      </c>
      <c r="I44" s="542">
        <f t="shared" ca="1" si="12"/>
        <v>0</v>
      </c>
      <c r="J44" s="542">
        <f t="shared" ca="1" si="12"/>
        <v>0</v>
      </c>
      <c r="K44" s="542">
        <f t="shared" ca="1" si="12"/>
        <v>19883568.956481658</v>
      </c>
      <c r="L44" s="542">
        <f t="shared" ca="1" si="12"/>
        <v>0</v>
      </c>
      <c r="M44" s="542">
        <f t="shared" ca="1" si="12"/>
        <v>23236322.139446933</v>
      </c>
      <c r="N44" s="542">
        <f t="shared" ca="1" si="12"/>
        <v>0</v>
      </c>
      <c r="O44" s="542">
        <f t="shared" si="12"/>
        <v>0</v>
      </c>
      <c r="P44" s="542">
        <f t="shared" si="12"/>
        <v>0</v>
      </c>
      <c r="Q44" s="542">
        <f t="shared" si="12"/>
        <v>0</v>
      </c>
      <c r="R44" s="542">
        <f t="shared" si="12"/>
        <v>0</v>
      </c>
    </row>
    <row r="45" spans="1:37" customFormat="1" x14ac:dyDescent="0.2">
      <c r="A45" s="261"/>
      <c r="B45" s="132"/>
      <c r="F45" s="489"/>
      <c r="H45" s="61"/>
      <c r="I45" s="61"/>
      <c r="J45" s="61"/>
      <c r="K45" s="61"/>
      <c r="L45" s="61"/>
      <c r="M45" s="61"/>
      <c r="N45" s="61"/>
    </row>
    <row r="46" spans="1:37" x14ac:dyDescent="0.2">
      <c r="A46" s="257"/>
      <c r="B46" s="34" t="s">
        <v>193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266"/>
    </row>
    <row r="47" spans="1:37" x14ac:dyDescent="0.2">
      <c r="A47" s="261"/>
      <c r="B47" s="261" t="s">
        <v>194</v>
      </c>
      <c r="D47" s="147">
        <f t="shared" ref="D47" ca="1" si="13">SUM(F47:R47)</f>
        <v>71873747.24582842</v>
      </c>
      <c r="F47" s="61">
        <f>'Proforma A+H'!G255</f>
        <v>0</v>
      </c>
      <c r="G47" s="61">
        <f ca="1">'Proforma A+H'!H255</f>
        <v>7262.0859474292956</v>
      </c>
      <c r="H47" s="61">
        <f ca="1">'Proforma A+H'!I255</f>
        <v>0</v>
      </c>
      <c r="I47" s="61">
        <f ca="1">'Proforma A+H'!J255</f>
        <v>2165625</v>
      </c>
      <c r="J47" s="61">
        <f ca="1">'Proforma A+H'!K255</f>
        <v>8569687.5</v>
      </c>
      <c r="K47" s="61">
        <f ca="1">'Proforma A+H'!L255</f>
        <v>22403969.094136097</v>
      </c>
      <c r="L47" s="61">
        <f ca="1">'Proforma A+H'!M255</f>
        <v>0</v>
      </c>
      <c r="M47" s="61">
        <f ca="1">'Proforma A+H'!N255</f>
        <v>38727203.565744892</v>
      </c>
      <c r="N47" s="61">
        <f ca="1">'Proforma A+H'!O255</f>
        <v>0</v>
      </c>
      <c r="O47" s="61">
        <f>'Proforma A+H'!P255</f>
        <v>0</v>
      </c>
      <c r="P47" s="61">
        <f>'Proforma A+H'!Q255</f>
        <v>0</v>
      </c>
      <c r="Q47" s="61">
        <f>'Proforma A+H'!R255</f>
        <v>0</v>
      </c>
      <c r="R47" s="61">
        <f>'Proforma A+H'!S255</f>
        <v>0</v>
      </c>
    </row>
    <row r="48" spans="1:37" x14ac:dyDescent="0.2">
      <c r="A48" s="261"/>
      <c r="B48" s="132" t="s">
        <v>195</v>
      </c>
      <c r="G48" s="105"/>
      <c r="H48" s="61"/>
      <c r="I48" s="61"/>
      <c r="J48" s="61"/>
      <c r="K48" s="61"/>
      <c r="L48" s="61"/>
      <c r="M48" s="61"/>
      <c r="N48" s="61"/>
    </row>
    <row r="49" spans="1:20" x14ac:dyDescent="0.2">
      <c r="A49" s="261"/>
      <c r="B49" s="132" t="s">
        <v>189</v>
      </c>
      <c r="M49" s="111"/>
    </row>
    <row r="50" spans="1:20" x14ac:dyDescent="0.2">
      <c r="A50" s="2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</row>
    <row r="51" spans="1:20" hidden="1" x14ac:dyDescent="0.2">
      <c r="A51" s="257"/>
      <c r="B51" s="34" t="s">
        <v>196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</row>
    <row r="52" spans="1:20" hidden="1" x14ac:dyDescent="0.2">
      <c r="A52" s="257"/>
      <c r="B52" s="257" t="s">
        <v>194</v>
      </c>
      <c r="F52" s="61">
        <f t="shared" ref="F52:M52" si="14">F47</f>
        <v>0</v>
      </c>
      <c r="G52" s="61">
        <f t="shared" ca="1" si="14"/>
        <v>7262.0859474292956</v>
      </c>
      <c r="H52" s="61">
        <f t="shared" ca="1" si="14"/>
        <v>0</v>
      </c>
      <c r="I52" s="61">
        <f t="shared" ca="1" si="14"/>
        <v>2165625</v>
      </c>
      <c r="J52" s="61">
        <f t="shared" ca="1" si="14"/>
        <v>8569687.5</v>
      </c>
      <c r="K52" s="61">
        <f t="shared" ca="1" si="14"/>
        <v>22403969.094136097</v>
      </c>
      <c r="L52" s="61">
        <f t="shared" ca="1" si="14"/>
        <v>0</v>
      </c>
      <c r="M52" s="61">
        <f t="shared" ca="1" si="14"/>
        <v>38727203.565744892</v>
      </c>
      <c r="N52" s="12">
        <f>'Proforma L+H'!M221</f>
        <v>0</v>
      </c>
      <c r="O52" s="12">
        <f>'Proforma L+H'!N221</f>
        <v>0</v>
      </c>
      <c r="P52" s="12">
        <f>'Proforma L+H'!O221</f>
        <v>0</v>
      </c>
      <c r="Q52" s="12">
        <f>'Proforma L+H'!P221</f>
        <v>0</v>
      </c>
      <c r="R52" s="12">
        <f>'Proforma L+H'!Q221</f>
        <v>0</v>
      </c>
    </row>
    <row r="53" spans="1:20" hidden="1" x14ac:dyDescent="0.2">
      <c r="A53" s="257"/>
      <c r="B53" s="132" t="s">
        <v>197</v>
      </c>
      <c r="F53" s="61">
        <f>F52</f>
        <v>0</v>
      </c>
      <c r="G53" s="12">
        <f ca="1">G52</f>
        <v>7262.0859474292956</v>
      </c>
      <c r="H53" s="12">
        <f ca="1">H52</f>
        <v>0</v>
      </c>
      <c r="I53" s="12">
        <f ca="1">I52</f>
        <v>2165625</v>
      </c>
      <c r="J53" s="12">
        <f ca="1">J52</f>
        <v>8569687.5</v>
      </c>
      <c r="K53" s="601"/>
      <c r="L53" s="601">
        <f ca="1">L52</f>
        <v>0</v>
      </c>
      <c r="M53" s="12">
        <v>27400000</v>
      </c>
      <c r="N53" s="12">
        <f>N52</f>
        <v>0</v>
      </c>
      <c r="O53" s="12">
        <f>O52</f>
        <v>0</v>
      </c>
      <c r="P53" s="12">
        <f>P52</f>
        <v>0</v>
      </c>
      <c r="Q53" s="12">
        <f>Q52</f>
        <v>0</v>
      </c>
      <c r="R53" s="12">
        <f>R52</f>
        <v>0</v>
      </c>
      <c r="T53" s="519">
        <f ca="1">SUM(F53:S53)</f>
        <v>38142574.585947432</v>
      </c>
    </row>
    <row r="54" spans="1:20" hidden="1" x14ac:dyDescent="0.2">
      <c r="A54" s="257"/>
      <c r="B54" s="599" t="s">
        <v>198</v>
      </c>
      <c r="E54" s="137"/>
      <c r="F54" s="598" t="e">
        <f>XIRR(F53:R53,#REF!)</f>
        <v>#REF!</v>
      </c>
      <c r="T54" s="597">
        <f>U76</f>
        <v>0</v>
      </c>
    </row>
    <row r="55" spans="1:20" hidden="1" x14ac:dyDescent="0.2">
      <c r="A55" s="257"/>
      <c r="B55" t="s">
        <v>199</v>
      </c>
      <c r="F55" s="12">
        <f t="shared" ref="F55:R55" si="15">F52-F53</f>
        <v>0</v>
      </c>
      <c r="G55" s="12">
        <f t="shared" ca="1" si="15"/>
        <v>0</v>
      </c>
      <c r="H55" s="12">
        <f t="shared" ca="1" si="15"/>
        <v>0</v>
      </c>
      <c r="I55" s="12">
        <f t="shared" ca="1" si="15"/>
        <v>0</v>
      </c>
      <c r="J55" s="12">
        <f t="shared" ca="1" si="15"/>
        <v>0</v>
      </c>
      <c r="K55" s="12">
        <f t="shared" ca="1" si="15"/>
        <v>22403969.094136097</v>
      </c>
      <c r="L55" s="12">
        <f t="shared" ca="1" si="15"/>
        <v>0</v>
      </c>
      <c r="M55" s="12">
        <f t="shared" ca="1" si="15"/>
        <v>11327203.565744892</v>
      </c>
      <c r="N55" s="12">
        <f t="shared" si="15"/>
        <v>0</v>
      </c>
      <c r="O55" s="12">
        <f t="shared" si="15"/>
        <v>0</v>
      </c>
      <c r="P55" s="12">
        <f t="shared" si="15"/>
        <v>0</v>
      </c>
      <c r="Q55" s="12">
        <f t="shared" si="15"/>
        <v>0</v>
      </c>
      <c r="R55" s="12">
        <f t="shared" si="15"/>
        <v>0</v>
      </c>
    </row>
    <row r="56" spans="1:20" hidden="1" x14ac:dyDescent="0.2">
      <c r="A56" s="257"/>
      <c r="B56" s="596">
        <f>T79</f>
        <v>0</v>
      </c>
      <c r="C56" s="595">
        <f>U79</f>
        <v>0</v>
      </c>
      <c r="D56" s="595"/>
      <c r="E56" s="595"/>
      <c r="F56" s="57">
        <f t="shared" ref="F56:R57" si="16">F$51*$C56</f>
        <v>0</v>
      </c>
      <c r="G56" s="57">
        <f t="shared" si="16"/>
        <v>0</v>
      </c>
      <c r="H56" s="57">
        <f t="shared" si="16"/>
        <v>0</v>
      </c>
      <c r="I56" s="57">
        <f t="shared" si="16"/>
        <v>0</v>
      </c>
      <c r="J56" s="57">
        <f t="shared" si="16"/>
        <v>0</v>
      </c>
      <c r="K56" s="57">
        <f t="shared" si="16"/>
        <v>0</v>
      </c>
      <c r="L56" s="57">
        <f t="shared" si="16"/>
        <v>0</v>
      </c>
      <c r="M56" s="57">
        <f t="shared" si="16"/>
        <v>0</v>
      </c>
      <c r="N56" s="57">
        <f t="shared" si="16"/>
        <v>0</v>
      </c>
      <c r="O56" s="57">
        <f t="shared" si="16"/>
        <v>0</v>
      </c>
      <c r="P56" s="57">
        <f t="shared" si="16"/>
        <v>0</v>
      </c>
      <c r="Q56" s="57">
        <f t="shared" si="16"/>
        <v>0</v>
      </c>
      <c r="R56" s="57">
        <f t="shared" si="16"/>
        <v>0</v>
      </c>
      <c r="T56" s="519">
        <f>SUM(F56:S56)</f>
        <v>0</v>
      </c>
    </row>
    <row r="57" spans="1:20" hidden="1" x14ac:dyDescent="0.2">
      <c r="A57" s="257"/>
      <c r="B57" s="257">
        <f>T80</f>
        <v>0</v>
      </c>
      <c r="C57" s="425">
        <f>U80</f>
        <v>0</v>
      </c>
      <c r="D57" s="425"/>
      <c r="E57" s="425"/>
      <c r="F57" s="12">
        <f t="shared" si="16"/>
        <v>0</v>
      </c>
      <c r="G57" s="12">
        <f t="shared" si="16"/>
        <v>0</v>
      </c>
      <c r="H57" s="12">
        <f t="shared" si="16"/>
        <v>0</v>
      </c>
      <c r="I57" s="12">
        <f t="shared" si="16"/>
        <v>0</v>
      </c>
      <c r="J57" s="12">
        <f t="shared" si="16"/>
        <v>0</v>
      </c>
      <c r="K57" s="12">
        <f t="shared" si="16"/>
        <v>0</v>
      </c>
      <c r="L57" s="12">
        <f t="shared" si="16"/>
        <v>0</v>
      </c>
      <c r="M57" s="12">
        <f t="shared" si="16"/>
        <v>0</v>
      </c>
      <c r="N57" s="12">
        <f t="shared" si="16"/>
        <v>0</v>
      </c>
      <c r="O57" s="12">
        <f t="shared" si="16"/>
        <v>0</v>
      </c>
      <c r="P57" s="12">
        <f t="shared" si="16"/>
        <v>0</v>
      </c>
      <c r="Q57" s="12">
        <f t="shared" si="16"/>
        <v>0</v>
      </c>
      <c r="R57" s="12">
        <f t="shared" si="16"/>
        <v>0</v>
      </c>
      <c r="T57" s="519">
        <f>SUM(F57:S57)</f>
        <v>0</v>
      </c>
    </row>
    <row r="58" spans="1:20" hidden="1" x14ac:dyDescent="0.2">
      <c r="A58" s="257"/>
      <c r="B58" s="257"/>
      <c r="C58" s="425"/>
      <c r="D58" s="425"/>
      <c r="E58" s="425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</row>
    <row r="59" spans="1:20" hidden="1" x14ac:dyDescent="0.2">
      <c r="A59" s="515"/>
      <c r="B59" s="34" t="s">
        <v>200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</row>
    <row r="60" spans="1:20" hidden="1" x14ac:dyDescent="0.2">
      <c r="A60" s="515"/>
      <c r="B60" s="257" t="s">
        <v>194</v>
      </c>
      <c r="F60" s="12" t="e">
        <f>-#REF!</f>
        <v>#REF!</v>
      </c>
      <c r="G60" s="12" t="e">
        <f>-#REF!</f>
        <v>#REF!</v>
      </c>
      <c r="H60" s="12" t="e">
        <f>-#REF!</f>
        <v>#REF!</v>
      </c>
      <c r="I60" s="12">
        <f t="shared" ref="I60:R60" si="17">I57</f>
        <v>0</v>
      </c>
      <c r="J60" s="12">
        <f t="shared" si="17"/>
        <v>0</v>
      </c>
      <c r="K60" s="12">
        <f t="shared" si="17"/>
        <v>0</v>
      </c>
      <c r="L60" s="12">
        <f t="shared" si="17"/>
        <v>0</v>
      </c>
      <c r="M60" s="12">
        <f t="shared" si="17"/>
        <v>0</v>
      </c>
      <c r="N60" s="12">
        <f t="shared" si="17"/>
        <v>0</v>
      </c>
      <c r="O60" s="12">
        <f t="shared" si="17"/>
        <v>0</v>
      </c>
      <c r="P60" s="12">
        <f t="shared" si="17"/>
        <v>0</v>
      </c>
      <c r="Q60" s="12">
        <f t="shared" si="17"/>
        <v>0</v>
      </c>
      <c r="R60" s="12">
        <f t="shared" si="17"/>
        <v>0</v>
      </c>
    </row>
    <row r="61" spans="1:20" hidden="1" x14ac:dyDescent="0.2">
      <c r="A61" s="515"/>
      <c r="B61" s="132" t="s">
        <v>197</v>
      </c>
      <c r="F61" s="12" t="e">
        <f>F60</f>
        <v>#REF!</v>
      </c>
      <c r="G61" s="12" t="e">
        <f>G60</f>
        <v>#REF!</v>
      </c>
      <c r="H61" s="12"/>
      <c r="I61" s="12"/>
      <c r="J61" s="12"/>
      <c r="K61" s="600"/>
      <c r="L61" s="12"/>
      <c r="M61" s="12"/>
      <c r="N61" s="12"/>
      <c r="O61" s="12"/>
      <c r="P61" s="12"/>
      <c r="Q61" s="12"/>
      <c r="R61" s="12"/>
    </row>
    <row r="62" spans="1:20" hidden="1" x14ac:dyDescent="0.2">
      <c r="A62" s="515"/>
      <c r="B62" s="599" t="s">
        <v>198</v>
      </c>
      <c r="F62" s="598" t="e">
        <f>XIRR(F61:R61,#REF!)</f>
        <v>#REF!</v>
      </c>
      <c r="T62" s="597">
        <v>0.1</v>
      </c>
    </row>
    <row r="63" spans="1:20" hidden="1" x14ac:dyDescent="0.2">
      <c r="A63" s="515"/>
      <c r="B63" t="s">
        <v>199</v>
      </c>
      <c r="F63" s="12" t="e">
        <f t="shared" ref="F63:R63" si="18">F60-F61</f>
        <v>#REF!</v>
      </c>
      <c r="G63" s="12" t="e">
        <f t="shared" si="18"/>
        <v>#REF!</v>
      </c>
      <c r="H63" s="12" t="e">
        <f t="shared" si="18"/>
        <v>#REF!</v>
      </c>
      <c r="I63" s="12">
        <f t="shared" si="18"/>
        <v>0</v>
      </c>
      <c r="J63" s="12">
        <f t="shared" si="18"/>
        <v>0</v>
      </c>
      <c r="K63" s="12">
        <f t="shared" si="18"/>
        <v>0</v>
      </c>
      <c r="L63" s="12">
        <f t="shared" si="18"/>
        <v>0</v>
      </c>
      <c r="M63" s="12">
        <f t="shared" si="18"/>
        <v>0</v>
      </c>
      <c r="N63" s="12">
        <f t="shared" si="18"/>
        <v>0</v>
      </c>
      <c r="O63" s="12">
        <f t="shared" si="18"/>
        <v>0</v>
      </c>
      <c r="P63" s="12">
        <f t="shared" si="18"/>
        <v>0</v>
      </c>
      <c r="Q63" s="12">
        <f t="shared" si="18"/>
        <v>0</v>
      </c>
      <c r="R63" s="12">
        <f t="shared" si="18"/>
        <v>0</v>
      </c>
    </row>
    <row r="64" spans="1:20" hidden="1" x14ac:dyDescent="0.2">
      <c r="A64" s="515"/>
      <c r="B64" s="596" t="s">
        <v>201</v>
      </c>
      <c r="C64" s="595">
        <v>0</v>
      </c>
      <c r="D64" s="595"/>
      <c r="E64" s="595"/>
      <c r="F64" s="57">
        <f t="shared" ref="F64:R65" si="19">F$59*$C64</f>
        <v>0</v>
      </c>
      <c r="G64" s="57">
        <f t="shared" si="19"/>
        <v>0</v>
      </c>
      <c r="H64" s="57">
        <f t="shared" si="19"/>
        <v>0</v>
      </c>
      <c r="I64" s="57">
        <f t="shared" si="19"/>
        <v>0</v>
      </c>
      <c r="J64" s="57">
        <f t="shared" si="19"/>
        <v>0</v>
      </c>
      <c r="K64" s="57">
        <f t="shared" si="19"/>
        <v>0</v>
      </c>
      <c r="L64" s="57">
        <f t="shared" si="19"/>
        <v>0</v>
      </c>
      <c r="M64" s="57">
        <f t="shared" si="19"/>
        <v>0</v>
      </c>
      <c r="N64" s="57">
        <f t="shared" si="19"/>
        <v>0</v>
      </c>
      <c r="O64" s="57">
        <f t="shared" si="19"/>
        <v>0</v>
      </c>
      <c r="P64" s="57">
        <f t="shared" si="19"/>
        <v>0</v>
      </c>
      <c r="Q64" s="57">
        <f t="shared" si="19"/>
        <v>0</v>
      </c>
      <c r="R64" s="57">
        <f t="shared" si="19"/>
        <v>0</v>
      </c>
    </row>
    <row r="65" spans="1:30" hidden="1" x14ac:dyDescent="0.2">
      <c r="A65" s="515"/>
      <c r="B65" s="257" t="s">
        <v>202</v>
      </c>
      <c r="C65" s="425">
        <f>1-C64</f>
        <v>1</v>
      </c>
      <c r="D65" s="425"/>
      <c r="E65" s="425"/>
      <c r="F65" s="12">
        <f t="shared" si="19"/>
        <v>0</v>
      </c>
      <c r="G65" s="12">
        <f t="shared" si="19"/>
        <v>0</v>
      </c>
      <c r="H65" s="12">
        <f t="shared" si="19"/>
        <v>0</v>
      </c>
      <c r="I65" s="12">
        <f t="shared" si="19"/>
        <v>0</v>
      </c>
      <c r="J65" s="12">
        <f t="shared" si="19"/>
        <v>0</v>
      </c>
      <c r="K65" s="12">
        <f t="shared" si="19"/>
        <v>0</v>
      </c>
      <c r="L65" s="12">
        <f t="shared" si="19"/>
        <v>0</v>
      </c>
      <c r="M65" s="12">
        <f t="shared" si="19"/>
        <v>0</v>
      </c>
      <c r="N65" s="12">
        <f t="shared" si="19"/>
        <v>0</v>
      </c>
      <c r="O65" s="12">
        <f t="shared" si="19"/>
        <v>0</v>
      </c>
      <c r="P65" s="12">
        <f t="shared" si="19"/>
        <v>0</v>
      </c>
      <c r="Q65" s="12">
        <f t="shared" si="19"/>
        <v>0</v>
      </c>
      <c r="R65" s="12">
        <f t="shared" si="19"/>
        <v>0</v>
      </c>
      <c r="T65" s="519">
        <f>SUM(D65:S65)</f>
        <v>0</v>
      </c>
    </row>
    <row r="66" spans="1:30" hidden="1" x14ac:dyDescent="0.2">
      <c r="A66" s="515"/>
      <c r="B66" s="515"/>
      <c r="C66" s="515"/>
      <c r="D66" s="515"/>
      <c r="E66" s="515"/>
      <c r="F66" s="515"/>
      <c r="G66" s="515"/>
      <c r="H66" s="515"/>
      <c r="I66" s="515"/>
      <c r="J66" s="515"/>
      <c r="K66" s="515"/>
      <c r="L66" s="515"/>
      <c r="M66" s="515"/>
      <c r="N66" s="515"/>
      <c r="O66" s="515"/>
      <c r="P66" s="515"/>
      <c r="Q66" s="515"/>
      <c r="R66" s="515"/>
      <c r="S66" s="515"/>
      <c r="V66" s="592" t="s">
        <v>203</v>
      </c>
      <c r="W66" s="594" t="s">
        <v>204</v>
      </c>
      <c r="AA66" s="588" t="s">
        <v>205</v>
      </c>
      <c r="AB66" s="588" t="s">
        <v>206</v>
      </c>
      <c r="AC66" s="588" t="s">
        <v>207</v>
      </c>
      <c r="AD66" s="588" t="s">
        <v>208</v>
      </c>
    </row>
    <row r="67" spans="1:30" hidden="1" x14ac:dyDescent="0.2">
      <c r="A67" s="515"/>
      <c r="B67" s="593" t="s">
        <v>209</v>
      </c>
      <c r="O67" s="515"/>
      <c r="P67" s="515"/>
      <c r="Q67" s="515"/>
      <c r="R67" s="515"/>
    </row>
    <row r="68" spans="1:30" hidden="1" x14ac:dyDescent="0.2">
      <c r="A68" s="515"/>
      <c r="B68" s="261" t="s">
        <v>210</v>
      </c>
      <c r="O68" s="515"/>
      <c r="P68" s="515"/>
      <c r="Q68" s="515"/>
      <c r="R68" s="515"/>
    </row>
    <row r="69" spans="1:30" hidden="1" x14ac:dyDescent="0.2">
      <c r="A69" s="515"/>
      <c r="B69" s="261" t="s">
        <v>211</v>
      </c>
      <c r="O69" s="515"/>
      <c r="P69" s="515"/>
      <c r="Q69" s="515"/>
      <c r="R69" s="515"/>
    </row>
    <row r="70" spans="1:30" hidden="1" x14ac:dyDescent="0.2">
      <c r="A70" s="515"/>
      <c r="B70" s="261" t="s">
        <v>212</v>
      </c>
      <c r="O70" s="515"/>
      <c r="P70" s="515"/>
      <c r="Q70" s="515"/>
      <c r="R70" s="515"/>
    </row>
    <row r="71" spans="1:30" hidden="1" x14ac:dyDescent="0.2">
      <c r="A71" s="515"/>
      <c r="B71" s="515"/>
      <c r="C71" s="515"/>
      <c r="D71" s="515"/>
      <c r="E71" s="515"/>
      <c r="F71" s="515"/>
      <c r="G71" s="515"/>
      <c r="H71" s="515"/>
      <c r="I71" s="515"/>
      <c r="J71" s="515"/>
      <c r="K71" s="515"/>
      <c r="L71" s="515"/>
      <c r="M71" s="515"/>
      <c r="N71" s="515"/>
      <c r="O71" s="515"/>
      <c r="P71" s="515"/>
      <c r="Q71" s="515"/>
      <c r="R71" s="515"/>
      <c r="S71" s="515"/>
      <c r="T71" s="592" t="s">
        <v>213</v>
      </c>
      <c r="U71" s="591">
        <f>AA75</f>
        <v>0</v>
      </c>
      <c r="V71" s="519">
        <f ca="1">$T$53*U71</f>
        <v>0</v>
      </c>
      <c r="W71" s="519" t="e">
        <f>(5000000/$D$20)*$T$52+5000000</f>
        <v>#DIV/0!</v>
      </c>
      <c r="Y71" s="515" t="s">
        <v>214</v>
      </c>
      <c r="Z71" s="590">
        <v>0.33333000000000002</v>
      </c>
      <c r="AA71" s="590">
        <f>1/3</f>
        <v>0.33333333333333331</v>
      </c>
      <c r="AB71" s="590">
        <f>1/3</f>
        <v>0.33333333333333331</v>
      </c>
      <c r="AC71" s="590">
        <f>1/3</f>
        <v>0.33333333333333331</v>
      </c>
      <c r="AD71" s="590">
        <f>SUM(AA71:AC71)</f>
        <v>1</v>
      </c>
    </row>
    <row r="72" spans="1:30" x14ac:dyDescent="0.2">
      <c r="A72" s="515"/>
      <c r="B72" s="515"/>
      <c r="C72" s="515"/>
      <c r="D72" s="515"/>
      <c r="E72" s="515"/>
      <c r="F72" s="515"/>
      <c r="G72" s="515"/>
      <c r="H72" s="515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592"/>
      <c r="U72" s="665"/>
      <c r="V72" s="519"/>
      <c r="W72" s="519"/>
      <c r="Z72" s="666"/>
      <c r="AA72" s="666"/>
      <c r="AB72" s="666"/>
      <c r="AC72" s="666"/>
      <c r="AD72" s="666"/>
    </row>
    <row r="73" spans="1:30" x14ac:dyDescent="0.2">
      <c r="A73" s="515"/>
      <c r="B73" s="515"/>
      <c r="C73" s="515"/>
      <c r="D73" s="515"/>
      <c r="E73" s="515"/>
      <c r="F73" s="515"/>
      <c r="G73" s="515"/>
      <c r="H73" s="515"/>
      <c r="I73" s="515"/>
      <c r="J73" s="515"/>
      <c r="K73" s="515"/>
      <c r="L73" s="515"/>
      <c r="M73" s="515"/>
      <c r="N73" s="515"/>
      <c r="O73" s="515"/>
      <c r="P73" s="515"/>
      <c r="Q73" s="515"/>
      <c r="R73" s="515"/>
      <c r="S73" s="515"/>
      <c r="T73" s="592"/>
      <c r="U73" s="665"/>
      <c r="V73" s="519"/>
      <c r="W73" s="519"/>
      <c r="Z73" s="666"/>
      <c r="AA73" s="666"/>
      <c r="AB73" s="666"/>
      <c r="AC73" s="666"/>
      <c r="AD73" s="666"/>
    </row>
    <row r="74" spans="1:30" x14ac:dyDescent="0.2">
      <c r="A74" s="515"/>
      <c r="B74" s="515"/>
      <c r="C74" s="515"/>
      <c r="D74" s="515"/>
      <c r="E74" s="515"/>
      <c r="F74" s="515"/>
      <c r="G74" s="515"/>
      <c r="H74" s="515"/>
      <c r="I74" s="515"/>
      <c r="J74" s="515"/>
      <c r="K74" s="515"/>
      <c r="L74" s="515"/>
      <c r="M74" s="515"/>
      <c r="N74" s="515"/>
      <c r="O74" s="515"/>
      <c r="P74" s="515"/>
      <c r="Q74" s="515"/>
      <c r="R74" s="515"/>
      <c r="S74" s="515"/>
      <c r="Z74" s="666"/>
      <c r="AA74" s="666"/>
      <c r="AB74" s="666"/>
      <c r="AC74" s="665"/>
      <c r="AD74" s="666"/>
    </row>
    <row r="75" spans="1:30" x14ac:dyDescent="0.2">
      <c r="A75" s="515"/>
      <c r="B75" s="515"/>
      <c r="C75" s="515"/>
      <c r="D75" s="515"/>
      <c r="E75" s="515"/>
      <c r="F75" s="515"/>
      <c r="G75" s="515"/>
      <c r="H75" s="515"/>
      <c r="I75" s="515"/>
      <c r="J75" s="515"/>
      <c r="K75" s="515"/>
      <c r="L75" s="515"/>
      <c r="M75" s="515"/>
      <c r="N75" s="515"/>
      <c r="O75" s="515"/>
      <c r="P75" s="515"/>
      <c r="Q75" s="515"/>
      <c r="R75" s="515"/>
      <c r="S75" s="515"/>
      <c r="T75" s="624"/>
      <c r="AA75" s="667"/>
      <c r="AB75" s="667"/>
      <c r="AC75" s="667"/>
      <c r="AD75" s="667"/>
    </row>
    <row r="76" spans="1:30" x14ac:dyDescent="0.2">
      <c r="A76" s="515"/>
      <c r="B76" s="515"/>
      <c r="C76" s="515"/>
      <c r="D76" s="515"/>
      <c r="E76" s="515"/>
      <c r="F76" s="515"/>
      <c r="G76" s="515"/>
      <c r="H76" s="515"/>
      <c r="I76" s="515"/>
      <c r="J76" s="515"/>
      <c r="K76" s="515"/>
      <c r="L76" s="515"/>
      <c r="M76" s="515"/>
      <c r="N76" s="515"/>
      <c r="O76" s="515"/>
      <c r="P76" s="515"/>
      <c r="Q76" s="515"/>
      <c r="R76" s="515"/>
      <c r="S76" s="515"/>
      <c r="U76" s="668"/>
    </row>
    <row r="77" spans="1:30" x14ac:dyDescent="0.2">
      <c r="A77" s="515"/>
      <c r="B77" s="515"/>
      <c r="C77" s="515"/>
      <c r="D77" s="515"/>
      <c r="E77" s="515"/>
      <c r="F77" s="515"/>
      <c r="G77" s="515"/>
      <c r="H77" s="515"/>
      <c r="I77" s="515"/>
      <c r="J77" s="515"/>
      <c r="K77" s="515"/>
      <c r="L77" s="515"/>
      <c r="M77" s="515"/>
      <c r="N77" s="515"/>
      <c r="O77" s="515"/>
      <c r="P77" s="515"/>
      <c r="Q77" s="515"/>
      <c r="R77" s="515"/>
      <c r="S77" s="515"/>
      <c r="U77" s="665"/>
    </row>
    <row r="78" spans="1:30" x14ac:dyDescent="0.2">
      <c r="A78" s="515"/>
      <c r="B78" s="515"/>
      <c r="C78" s="515"/>
      <c r="D78" s="515"/>
      <c r="E78" s="515"/>
      <c r="F78" s="515"/>
      <c r="G78" s="515"/>
      <c r="H78" s="515"/>
      <c r="I78" s="515"/>
      <c r="J78" s="515"/>
      <c r="K78" s="515"/>
      <c r="L78" s="515"/>
      <c r="M78" s="515"/>
      <c r="N78" s="515"/>
      <c r="O78" s="515"/>
      <c r="P78" s="515"/>
      <c r="Q78" s="515"/>
      <c r="R78" s="515"/>
      <c r="S78" s="515"/>
      <c r="T78" s="624"/>
      <c r="U78" s="665"/>
      <c r="V78" s="519"/>
    </row>
    <row r="79" spans="1:30" x14ac:dyDescent="0.2">
      <c r="A79" s="515"/>
      <c r="B79" s="515"/>
      <c r="C79" s="515"/>
      <c r="D79" s="515"/>
      <c r="E79" s="515"/>
      <c r="F79" s="515"/>
      <c r="G79" s="515"/>
      <c r="H79" s="515"/>
      <c r="I79" s="515"/>
      <c r="J79" s="515"/>
      <c r="K79" s="515"/>
      <c r="L79" s="515"/>
      <c r="M79" s="515"/>
      <c r="N79" s="515"/>
      <c r="O79" s="515"/>
      <c r="P79" s="515"/>
      <c r="Q79" s="515"/>
      <c r="R79" s="515"/>
      <c r="S79" s="515"/>
      <c r="T79" s="669"/>
      <c r="U79" s="670"/>
      <c r="V79" s="519"/>
    </row>
    <row r="80" spans="1:30" x14ac:dyDescent="0.2">
      <c r="A80" s="515"/>
      <c r="B80" s="515"/>
      <c r="C80" s="515"/>
      <c r="D80" s="515"/>
      <c r="E80" s="515"/>
      <c r="F80" s="515"/>
      <c r="G80" s="515"/>
      <c r="H80" s="515"/>
      <c r="I80" s="515"/>
      <c r="J80" s="515"/>
      <c r="K80" s="515"/>
      <c r="L80" s="515"/>
      <c r="M80" s="515"/>
      <c r="N80" s="515"/>
      <c r="O80" s="515"/>
      <c r="P80" s="515"/>
      <c r="Q80" s="515"/>
      <c r="R80" s="515"/>
      <c r="S80" s="515"/>
      <c r="T80" s="669"/>
      <c r="U80" s="670"/>
      <c r="V80" s="519"/>
    </row>
    <row r="81" s="515" customFormat="1" x14ac:dyDescent="0.2"/>
    <row r="82" s="515" customFormat="1" x14ac:dyDescent="0.2"/>
    <row r="83" s="515" customFormat="1" x14ac:dyDescent="0.2"/>
    <row r="84" s="515" customFormat="1" x14ac:dyDescent="0.2"/>
    <row r="85" s="515" customFormat="1" x14ac:dyDescent="0.2"/>
    <row r="86" s="515" customFormat="1" x14ac:dyDescent="0.2"/>
  </sheetData>
  <mergeCells count="2">
    <mergeCell ref="L6:P6"/>
    <mergeCell ref="J7:J12"/>
  </mergeCells>
  <conditionalFormatting sqref="D5:D6 D13:D15">
    <cfRule type="cellIs" dxfId="6" priority="8" operator="lessThan">
      <formula>$C$152</formula>
    </cfRule>
  </conditionalFormatting>
  <conditionalFormatting sqref="H5">
    <cfRule type="cellIs" dxfId="5" priority="2" operator="lessThan">
      <formula>$C$211</formula>
    </cfRule>
  </conditionalFormatting>
  <conditionalFormatting sqref="H7">
    <cfRule type="cellIs" dxfId="4" priority="1" operator="lessThan">
      <formula>$C$211</formula>
    </cfRule>
  </conditionalFormatting>
  <conditionalFormatting sqref="K7 L8:P12">
    <cfRule type="expression" dxfId="3" priority="5">
      <formula>$K$6="Equity Multiple"</formula>
    </cfRule>
    <cfRule type="expression" dxfId="2" priority="6">
      <formula>OR($K$6="IRR",$K$6="ROI")</formula>
    </cfRule>
    <cfRule type="expression" dxfId="1" priority="7">
      <formula>OR($K$6="Total Return",$K$6="Invested Capital", $K$6="Net Profit")</formula>
    </cfRule>
  </conditionalFormatting>
  <conditionalFormatting sqref="K7">
    <cfRule type="expression" dxfId="0" priority="4">
      <formula>K7&lt;&gt;N10</formula>
    </cfRule>
  </conditionalFormatting>
  <dataValidations disablePrompts="1" count="1">
    <dataValidation type="list" allowBlank="1" showInputMessage="1" showErrorMessage="1" sqref="K6" xr:uid="{B2CE751C-5698-4A73-872E-8515A5C6A81C}">
      <formula1>$F$5:$F$10</formula1>
    </dataValidation>
  </dataValidations>
  <pageMargins left="0.7" right="0.7" top="0.5" bottom="0.5" header="0.3" footer="0.3"/>
  <pageSetup scale="61" fitToHeight="2" orientation="landscape" r:id="rId1"/>
  <headerFooter>
    <oddHeader>&amp;L&amp;"Calibri"&amp;11&amp;K000000 PERSONAL/NONWORK // EXTERNAL&amp;1#_x000D_</oddHeader>
    <oddFooter>&amp;L&amp;"Calibri,Regular"&amp;16&amp;K000000&amp;D&amp;R&amp;"Calibri,Regular"&amp;16&amp;K000000Page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9" r:id="rId4" name="Button 3">
              <controlPr defaultSize="0" print="0" autoFill="0" autoPict="0" macro="[0]!IRRY4">
                <anchor moveWithCells="1" sizeWithCells="1">
                  <from>
                    <xdr:col>20</xdr:col>
                    <xdr:colOff>571500</xdr:colOff>
                    <xdr:row>46</xdr:row>
                    <xdr:rowOff>114300</xdr:rowOff>
                  </from>
                  <to>
                    <xdr:col>21</xdr:col>
                    <xdr:colOff>685800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5" name="Button 4">
              <controlPr defaultSize="0" print="0" autoFill="0" autoPict="0" macro="[0]!IRRY5">
                <anchor moveWithCells="1" sizeWithCells="1">
                  <from>
                    <xdr:col>22</xdr:col>
                    <xdr:colOff>190500</xdr:colOff>
                    <xdr:row>46</xdr:row>
                    <xdr:rowOff>114300</xdr:rowOff>
                  </from>
                  <to>
                    <xdr:col>23</xdr:col>
                    <xdr:colOff>304800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6" name="Button 5">
              <controlPr defaultSize="0" print="0" autoFill="0" autoPict="0" macro="[0]!IRRY3">
                <anchor moveWithCells="1" sizeWithCells="1">
                  <from>
                    <xdr:col>19</xdr:col>
                    <xdr:colOff>152400</xdr:colOff>
                    <xdr:row>46</xdr:row>
                    <xdr:rowOff>114300</xdr:rowOff>
                  </from>
                  <to>
                    <xdr:col>20</xdr:col>
                    <xdr:colOff>228600</xdr:colOff>
                    <xdr:row>49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7" name="Button 6">
              <controlPr defaultSize="0" print="0" autoFill="0" autoPict="0" macro="[0]!IRRY6">
                <anchor moveWithCells="1" sizeWithCells="1">
                  <from>
                    <xdr:col>23</xdr:col>
                    <xdr:colOff>838200</xdr:colOff>
                    <xdr:row>46</xdr:row>
                    <xdr:rowOff>114300</xdr:rowOff>
                  </from>
                  <to>
                    <xdr:col>24</xdr:col>
                    <xdr:colOff>952500</xdr:colOff>
                    <xdr:row>49</xdr:row>
                    <xdr:rowOff>152400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87F68-5633-4F6A-B6B7-6C3ABC506361}">
  <dimension ref="A1:AJ15"/>
  <sheetViews>
    <sheetView workbookViewId="0">
      <selection activeCell="G7" sqref="G7"/>
    </sheetView>
  </sheetViews>
  <sheetFormatPr baseColWidth="10" defaultColWidth="8.83203125" defaultRowHeight="16" outlineLevelRow="1" x14ac:dyDescent="0.2"/>
  <cols>
    <col min="2" max="2" width="26.5" bestFit="1" customWidth="1"/>
    <col min="4" max="4" width="14" bestFit="1" customWidth="1"/>
    <col min="5" max="5" width="9.1640625" bestFit="1" customWidth="1"/>
    <col min="6" max="6" width="12.1640625" bestFit="1" customWidth="1"/>
    <col min="7" max="7" width="13.6640625" bestFit="1" customWidth="1"/>
    <col min="8" max="9" width="14.6640625" bestFit="1" customWidth="1"/>
    <col min="10" max="10" width="15.33203125" bestFit="1" customWidth="1"/>
    <col min="11" max="17" width="11.1640625" bestFit="1" customWidth="1"/>
    <col min="18" max="18" width="9.1640625" bestFit="1" customWidth="1"/>
    <col min="26" max="26" width="6.6640625" bestFit="1" customWidth="1"/>
    <col min="27" max="27" width="4.6640625" bestFit="1" customWidth="1"/>
  </cols>
  <sheetData>
    <row r="1" spans="1:36" ht="21" x14ac:dyDescent="0.25">
      <c r="A1" s="2"/>
      <c r="B1" s="582" t="s">
        <v>802</v>
      </c>
      <c r="C1" s="582"/>
      <c r="D1" s="58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96"/>
      <c r="AB1" s="515"/>
      <c r="AC1" s="515"/>
      <c r="AD1" s="515"/>
      <c r="AE1" s="515"/>
      <c r="AF1" s="515"/>
      <c r="AG1" s="515"/>
      <c r="AH1" s="515"/>
      <c r="AI1" s="515"/>
      <c r="AJ1" s="515"/>
    </row>
    <row r="2" spans="1:36" s="515" customFormat="1" x14ac:dyDescent="0.2">
      <c r="A2" s="2"/>
      <c r="B2" s="191"/>
      <c r="C2" s="191"/>
      <c r="D2" s="191"/>
      <c r="E2" s="247">
        <v>0</v>
      </c>
      <c r="F2" s="247">
        <f>E2+1</f>
        <v>1</v>
      </c>
      <c r="G2" s="247">
        <f t="shared" ref="G2:Q2" si="0">F2+1</f>
        <v>2</v>
      </c>
      <c r="H2" s="247">
        <f t="shared" si="0"/>
        <v>3</v>
      </c>
      <c r="I2" s="247">
        <f t="shared" si="0"/>
        <v>4</v>
      </c>
      <c r="J2" s="247">
        <f t="shared" si="0"/>
        <v>5</v>
      </c>
      <c r="K2" s="247">
        <f t="shared" si="0"/>
        <v>6</v>
      </c>
      <c r="L2" s="247">
        <f t="shared" si="0"/>
        <v>7</v>
      </c>
      <c r="M2" s="247">
        <f t="shared" si="0"/>
        <v>8</v>
      </c>
      <c r="N2" s="247">
        <f t="shared" si="0"/>
        <v>9</v>
      </c>
      <c r="O2" s="247">
        <f t="shared" si="0"/>
        <v>10</v>
      </c>
      <c r="P2" s="247">
        <f t="shared" si="0"/>
        <v>11</v>
      </c>
      <c r="Q2" s="247">
        <f t="shared" si="0"/>
        <v>12</v>
      </c>
      <c r="R2" s="191"/>
      <c r="S2" s="3"/>
      <c r="T2"/>
      <c r="U2"/>
      <c r="V2" s="3"/>
      <c r="W2"/>
      <c r="X2"/>
      <c r="Y2"/>
      <c r="Z2" s="131" t="s">
        <v>449</v>
      </c>
      <c r="AA2" s="581">
        <f>SUM(AA3:AA222)</f>
        <v>0</v>
      </c>
    </row>
    <row r="3" spans="1:36" s="457" customFormat="1" ht="15.5" customHeight="1" outlineLevel="1" x14ac:dyDescent="0.2">
      <c r="A3" s="529"/>
      <c r="D3" s="254" t="s">
        <v>450</v>
      </c>
      <c r="E3" s="738">
        <f>Assumptions!C5</f>
        <v>45658</v>
      </c>
      <c r="F3" s="738">
        <f>EDATE(E3,12)</f>
        <v>46023</v>
      </c>
      <c r="G3" s="738">
        <f t="shared" ref="G3:Q3" si="1">EDATE(F3,12)</f>
        <v>46388</v>
      </c>
      <c r="H3" s="738">
        <f t="shared" si="1"/>
        <v>46753</v>
      </c>
      <c r="I3" s="738">
        <f t="shared" si="1"/>
        <v>47119</v>
      </c>
      <c r="J3" s="738">
        <f t="shared" si="1"/>
        <v>47484</v>
      </c>
      <c r="K3" s="738">
        <f t="shared" si="1"/>
        <v>47849</v>
      </c>
      <c r="L3" s="738">
        <f t="shared" si="1"/>
        <v>48214</v>
      </c>
      <c r="M3" s="738">
        <f t="shared" si="1"/>
        <v>48580</v>
      </c>
      <c r="N3" s="738">
        <f t="shared" si="1"/>
        <v>48945</v>
      </c>
      <c r="O3" s="738">
        <f t="shared" si="1"/>
        <v>49310</v>
      </c>
      <c r="P3" s="738">
        <f t="shared" si="1"/>
        <v>49675</v>
      </c>
      <c r="Q3" s="738">
        <f t="shared" si="1"/>
        <v>50041</v>
      </c>
      <c r="R3" s="739"/>
      <c r="S3"/>
    </row>
    <row r="5" spans="1:36" x14ac:dyDescent="0.2">
      <c r="B5" t="s">
        <v>803</v>
      </c>
    </row>
    <row r="6" spans="1:36" x14ac:dyDescent="0.2">
      <c r="B6" t="s">
        <v>554</v>
      </c>
      <c r="C6" s="14">
        <f>'Proforma L+H'!C178</f>
        <v>0.16</v>
      </c>
      <c r="F6" s="805">
        <f>'Proforma L+H'!F178</f>
        <v>891800</v>
      </c>
      <c r="G6" s="805">
        <f>'Proforma L+H'!G178</f>
        <v>6161190</v>
      </c>
      <c r="H6" s="805">
        <f>'Proforma L+H'!H178</f>
        <v>12032310.000000002</v>
      </c>
      <c r="I6" s="805">
        <f>'Proforma L+H'!I178</f>
        <v>19796920.000000004</v>
      </c>
      <c r="J6" s="805">
        <f>'Proforma L+H'!J178</f>
        <v>-38882220</v>
      </c>
      <c r="K6" s="805"/>
      <c r="L6" s="805"/>
      <c r="M6" s="805"/>
      <c r="N6" s="805"/>
      <c r="O6" s="805"/>
      <c r="P6" s="805"/>
      <c r="Q6" s="805"/>
      <c r="R6" s="805"/>
    </row>
    <row r="7" spans="1:36" x14ac:dyDescent="0.2">
      <c r="B7" t="s">
        <v>555</v>
      </c>
      <c r="F7" s="805">
        <f>'Proforma L+H'!F179</f>
        <v>891800</v>
      </c>
      <c r="G7" s="805">
        <f>'Proforma L+H'!G179</f>
        <v>7052990</v>
      </c>
      <c r="H7" s="805">
        <f>'Proforma L+H'!H179</f>
        <v>19085300</v>
      </c>
      <c r="I7" s="805">
        <f>'Proforma L+H'!I179</f>
        <v>38882220</v>
      </c>
      <c r="J7" s="805">
        <f>'Proforma L+H'!J179</f>
        <v>0</v>
      </c>
      <c r="K7" s="805"/>
      <c r="L7" s="805"/>
      <c r="M7" s="805"/>
      <c r="N7" s="805"/>
      <c r="O7" s="805"/>
      <c r="P7" s="805"/>
      <c r="Q7" s="805"/>
      <c r="R7" s="805"/>
    </row>
    <row r="9" spans="1:36" x14ac:dyDescent="0.2">
      <c r="B9" t="s">
        <v>804</v>
      </c>
    </row>
    <row r="10" spans="1:36" x14ac:dyDescent="0.2">
      <c r="A10" s="2"/>
      <c r="B10" s="166" t="s">
        <v>554</v>
      </c>
      <c r="C10" s="14">
        <f>'Proforma A+H'!C214</f>
        <v>0.15</v>
      </c>
      <c r="D10" s="128"/>
      <c r="E10" s="128"/>
      <c r="F10" s="128"/>
      <c r="G10" s="92"/>
      <c r="H10" s="92">
        <f>'Proforma A+H'!J214</f>
        <v>2165625</v>
      </c>
      <c r="I10" s="92">
        <f>'Proforma A+H'!K214</f>
        <v>8569687.5</v>
      </c>
      <c r="J10" s="92">
        <f>'Proforma A+H'!L214</f>
        <v>-10735312.5</v>
      </c>
      <c r="M10" s="92"/>
      <c r="N10" s="92"/>
      <c r="O10" s="92"/>
      <c r="P10" s="92"/>
      <c r="Q10" s="92"/>
      <c r="R10" s="92"/>
      <c r="S10" s="92"/>
      <c r="T10" s="32">
        <v>0</v>
      </c>
    </row>
    <row r="11" spans="1:36" x14ac:dyDescent="0.2">
      <c r="A11" s="2"/>
      <c r="B11" s="806" t="s">
        <v>555</v>
      </c>
      <c r="C11" s="327"/>
      <c r="D11" s="621"/>
      <c r="E11" s="621"/>
      <c r="F11" s="621"/>
      <c r="G11" s="77"/>
      <c r="H11" s="77">
        <f>'Proforma A+H'!J215</f>
        <v>2165625</v>
      </c>
      <c r="I11" s="77">
        <f>'Proforma A+H'!K215</f>
        <v>10735312.5</v>
      </c>
      <c r="J11" s="77">
        <f>'Proforma A+H'!L215</f>
        <v>0</v>
      </c>
      <c r="M11" s="92">
        <v>0</v>
      </c>
      <c r="N11" s="92"/>
      <c r="O11" s="92"/>
      <c r="P11" s="92"/>
      <c r="Q11" s="92"/>
      <c r="R11" s="92"/>
      <c r="S11" s="92"/>
      <c r="T11" s="32"/>
    </row>
    <row r="13" spans="1:36" x14ac:dyDescent="0.2">
      <c r="B13" s="3" t="s">
        <v>805</v>
      </c>
      <c r="C13" s="3"/>
      <c r="D13" s="3"/>
      <c r="E13" s="3"/>
      <c r="F13" s="514">
        <f>F6+F10</f>
        <v>891800</v>
      </c>
      <c r="G13" s="514">
        <f t="shared" ref="G13:J13" si="2">G6+G10</f>
        <v>6161190</v>
      </c>
      <c r="H13" s="514">
        <f t="shared" si="2"/>
        <v>14197935.000000002</v>
      </c>
      <c r="I13" s="514">
        <f t="shared" si="2"/>
        <v>28366607.500000004</v>
      </c>
      <c r="J13" s="514">
        <f t="shared" si="2"/>
        <v>-49617532.5</v>
      </c>
    </row>
    <row r="14" spans="1:36" x14ac:dyDescent="0.2">
      <c r="B14" s="3" t="s">
        <v>806</v>
      </c>
      <c r="C14" s="3"/>
      <c r="D14" s="3"/>
      <c r="E14" s="3"/>
      <c r="F14" s="514"/>
      <c r="G14" s="514"/>
      <c r="H14" s="514"/>
      <c r="I14" s="514"/>
      <c r="J14" s="514"/>
    </row>
    <row r="15" spans="1:36" x14ac:dyDescent="0.2">
      <c r="B15" s="3"/>
      <c r="C15" s="3"/>
      <c r="D15" s="3"/>
      <c r="E15" s="3"/>
      <c r="F15" s="3"/>
      <c r="G15" s="3"/>
      <c r="H15" s="3"/>
      <c r="I15" s="3"/>
      <c r="J15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252D7E75271943BB8A4607D6E892BE" ma:contentTypeVersion="15" ma:contentTypeDescription="Create a new document." ma:contentTypeScope="" ma:versionID="48df3c9536e503b7501cea1a91ed012e">
  <xsd:schema xmlns:xsd="http://www.w3.org/2001/XMLSchema" xmlns:xs="http://www.w3.org/2001/XMLSchema" xmlns:p="http://schemas.microsoft.com/office/2006/metadata/properties" xmlns:ns2="05a5ab23-7fc8-4cc3-938f-ad22d069fa30" xmlns:ns3="4789bdcd-11ea-4db7-b08b-7436f76fa1ae" targetNamespace="http://schemas.microsoft.com/office/2006/metadata/properties" ma:root="true" ma:fieldsID="6c1ec6253e5b77f0e1219b6ee67d1d12" ns2:_="" ns3:_="">
    <xsd:import namespace="05a5ab23-7fc8-4cc3-938f-ad22d069fa30"/>
    <xsd:import namespace="4789bdcd-11ea-4db7-b08b-7436f76fa1a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a5ab23-7fc8-4cc3-938f-ad22d069fa30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600597d-47fc-434b-9f46-07f6642aa0d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9bdcd-11ea-4db7-b08b-7436f76fa1a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ffca2aac-8c98-4806-a0e7-88288e39c14a}" ma:internalName="TaxCatchAll" ma:showField="CatchAllData" ma:web="4789bdcd-11ea-4db7-b08b-7436f76fa1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a5ab23-7fc8-4cc3-938f-ad22d069fa30">
      <Terms xmlns="http://schemas.microsoft.com/office/infopath/2007/PartnerControls"/>
    </lcf76f155ced4ddcb4097134ff3c332f>
    <TaxCatchAll xmlns="4789bdcd-11ea-4db7-b08b-7436f76fa1ae" xsi:nil="true"/>
  </documentManagement>
</p:properties>
</file>

<file path=customXml/itemProps1.xml><?xml version="1.0" encoding="utf-8"?>
<ds:datastoreItem xmlns:ds="http://schemas.openxmlformats.org/officeDocument/2006/customXml" ds:itemID="{1AA5F92A-3DFB-4137-9557-3773F16EAE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a5ab23-7fc8-4cc3-938f-ad22d069fa30"/>
    <ds:schemaRef ds:uri="4789bdcd-11ea-4db7-b08b-7436f76fa1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7102AD-BCEB-42FC-BC30-5B0B9C62A7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327966-9C2D-428D-932D-006576FDF4DA}">
  <ds:schemaRefs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dcmitype/"/>
    <ds:schemaRef ds:uri="4789bdcd-11ea-4db7-b08b-7436f76fa1ae"/>
    <ds:schemaRef ds:uri="05a5ab23-7fc8-4cc3-938f-ad22d069fa30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16</vt:i4>
      </vt:variant>
    </vt:vector>
  </HeadingPairs>
  <TitlesOfParts>
    <vt:vector size="30" baseType="lpstr">
      <vt:lpstr>Assumptions</vt:lpstr>
      <vt:lpstr>Exhibits</vt:lpstr>
      <vt:lpstr>COMB CASH FLOWS</vt:lpstr>
      <vt:lpstr>Combined Returns</vt:lpstr>
      <vt:lpstr>Proforma Resi</vt:lpstr>
      <vt:lpstr>Returns Resi</vt:lpstr>
      <vt:lpstr>Proforma L+H</vt:lpstr>
      <vt:lpstr>L+H Monthly CF</vt:lpstr>
      <vt:lpstr>Returns L+H</vt:lpstr>
      <vt:lpstr>Proforma A+H</vt:lpstr>
      <vt:lpstr>A+H Monthly CF</vt:lpstr>
      <vt:lpstr>A+H Annual CF</vt:lpstr>
      <vt:lpstr>Returns A+H</vt:lpstr>
      <vt:lpstr>Sinking Fund</vt:lpstr>
      <vt:lpstr>'Combined Returns'!Print_Area</vt:lpstr>
      <vt:lpstr>'L+H Monthly CF'!Print_Area</vt:lpstr>
      <vt:lpstr>'Proforma A+H'!Print_Area</vt:lpstr>
      <vt:lpstr>'Proforma L+H'!Print_Area</vt:lpstr>
      <vt:lpstr>'Proforma Resi'!Print_Area</vt:lpstr>
      <vt:lpstr>'Returns A+H'!Print_Area</vt:lpstr>
      <vt:lpstr>'Returns L+H'!Print_Area</vt:lpstr>
      <vt:lpstr>'Returns Resi'!Print_Area</vt:lpstr>
      <vt:lpstr>'Combined Returns'!Print_Titles</vt:lpstr>
      <vt:lpstr>'L+H Monthly CF'!Print_Titles</vt:lpstr>
      <vt:lpstr>'Proforma A+H'!Print_Titles</vt:lpstr>
      <vt:lpstr>'Proforma L+H'!Print_Titles</vt:lpstr>
      <vt:lpstr>'Proforma Resi'!Print_Titles</vt:lpstr>
      <vt:lpstr>'Returns A+H'!Print_Titles</vt:lpstr>
      <vt:lpstr>'Returns L+H'!Print_Titles</vt:lpstr>
      <vt:lpstr>'Returns Resi'!Print_Titles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rdavis@mcdonough.com</dc:creator>
  <cp:keywords/>
  <dc:description/>
  <cp:lastModifiedBy>Layne Thompson</cp:lastModifiedBy>
  <cp:revision/>
  <dcterms:created xsi:type="dcterms:W3CDTF">2018-09-25T10:16:16Z</dcterms:created>
  <dcterms:modified xsi:type="dcterms:W3CDTF">2025-01-28T19:47:38Z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0x010100D0252D7E75271943BB8A4607D6E892BE</vt:lpwstr>
  </property>
  <property fmtid="{D5CDD505-2E9C-101B-9397-08002B2CF9AE}" pid="3" name="MSIP_Label_d7ea93e3-e39d-47c1-8196-dda37fa8a38c_Enabled">
    <vt:lpwstr>true</vt:lpwstr>
  </property>
  <property fmtid="{D5CDD505-2E9C-101B-9397-08002B2CF9AE}" pid="4" name="MSIP_Label_d7ea93e3-e39d-47c1-8196-dda37fa8a38c_SetDate">
    <vt:lpwstr>2023-10-14T04:13:54Z</vt:lpwstr>
  </property>
  <property fmtid="{D5CDD505-2E9C-101B-9397-08002B2CF9AE}" pid="5" name="MSIP_Label_d7ea93e3-e39d-47c1-8196-dda37fa8a38c_Method">
    <vt:lpwstr>Privileged</vt:lpwstr>
  </property>
  <property fmtid="{D5CDD505-2E9C-101B-9397-08002B2CF9AE}" pid="6" name="MSIP_Label_d7ea93e3-e39d-47c1-8196-dda37fa8a38c_Name">
    <vt:lpwstr>d7ea93e3-e39d-47c1-8196-dda37fa8a38c</vt:lpwstr>
  </property>
  <property fmtid="{D5CDD505-2E9C-101B-9397-08002B2CF9AE}" pid="7" name="MSIP_Label_d7ea93e3-e39d-47c1-8196-dda37fa8a38c_SiteId">
    <vt:lpwstr>b397c653-5b19-463f-b9fc-af658ded9128</vt:lpwstr>
  </property>
  <property fmtid="{D5CDD505-2E9C-101B-9397-08002B2CF9AE}" pid="8" name="MSIP_Label_d7ea93e3-e39d-47c1-8196-dda37fa8a38c_ActionId">
    <vt:lpwstr>3324833b-c4de-4c0c-a1cb-94b80e8e688d</vt:lpwstr>
  </property>
  <property fmtid="{D5CDD505-2E9C-101B-9397-08002B2CF9AE}" pid="9" name="MSIP_Label_d7ea93e3-e39d-47c1-8196-dda37fa8a38c_ContentBits">
    <vt:lpwstr>1</vt:lpwstr>
  </property>
  <property fmtid="{D5CDD505-2E9C-101B-9397-08002B2CF9AE}" pid="10" name="Order">
    <vt:r8>5206400</vt:r8>
  </property>
  <property fmtid="{D5CDD505-2E9C-101B-9397-08002B2CF9AE}" pid="11" name="ComplianceAssetId">
    <vt:lpwstr/>
  </property>
  <property fmtid="{D5CDD505-2E9C-101B-9397-08002B2CF9AE}" pid="12" name="_activity">
    <vt:lpwstr>{"FileActivityType":"6","FileActivityTimeStamp":"2023-11-10T16:19:17.653Z","FileActivityUsersOnPage":[{"DisplayName":"Layne Thompson","Id":"layne@mtnorigins.com"}],"FileActivityNavigationId":null}</vt:lpwstr>
  </property>
  <property fmtid="{D5CDD505-2E9C-101B-9397-08002B2CF9AE}" pid="13" name="_ExtendedDescription">
    <vt:lpwstr/>
  </property>
  <property fmtid="{D5CDD505-2E9C-101B-9397-08002B2CF9AE}" pid="14" name="TriggerFlowInfo">
    <vt:lpwstr/>
  </property>
  <property fmtid="{D5CDD505-2E9C-101B-9397-08002B2CF9AE}" pid="15" name="MediaServiceImageTags">
    <vt:lpwstr/>
  </property>
</Properties>
</file>