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5150east/landscape/"/>
    </mc:Choice>
  </mc:AlternateContent>
  <xr:revisionPtr revIDLastSave="0" documentId="13_ncr:1_{6B151A6B-E123-6A41-902F-BF976CD9FA28}" xr6:coauthVersionLast="47" xr6:coauthVersionMax="47" xr10:uidLastSave="{00000000-0000-0000-0000-000000000000}"/>
  <bookViews>
    <workbookView xWindow="35840" yWindow="1120" windowWidth="32240" windowHeight="23980" xr2:uid="{0C3A5EA2-F016-5340-87C4-350D4DD529F1}"/>
  </bookViews>
  <sheets>
    <sheet name="Partnership Returns - Monthly" sheetId="1" r:id="rId1"/>
  </sheets>
  <externalReferences>
    <externalReference r:id="rId2"/>
    <externalReference r:id="rId3"/>
  </externalReferences>
  <definedNames>
    <definedName name="_Order1" hidden="1">0</definedName>
    <definedName name="_xlcn.WorksheetConnection_T9A2C161" hidden="1">#REF!</definedName>
    <definedName name="c_dateSOFR">#REF!</definedName>
    <definedName name="c_equitypctLP">1-#REF!</definedName>
    <definedName name="c_gpshareH1">#REF!</definedName>
    <definedName name="c_gpshareH2">#REF!</definedName>
    <definedName name="c_gpshareH3">#REF!</definedName>
    <definedName name="c_gpshareResid">#REF!</definedName>
    <definedName name="c_lotsTotal">SUM(_xlfn.ANCHORARRAY(#REF!))</definedName>
    <definedName name="c_lpshareHurdle1">1-c_gpshareH1</definedName>
    <definedName name="c_lpshareHurdle2">1-c_gpshareH2</definedName>
    <definedName name="c_lpshareHurdle3">1-c_gpshareH3</definedName>
    <definedName name="c_lpshareHurdle4">1-#REF!</definedName>
    <definedName name="c_periodFinalMo">MAX([1]Tables!$H$56:$L$56)+1</definedName>
    <definedName name="c_periodFinalYear">INT(c_periodFinalMo+1/12)</definedName>
    <definedName name="c_rate.Hurdle2Mo">(1+i_rateHurdle2)^(1/12)-1</definedName>
    <definedName name="c_Rate.Hurdle3Mo">(1+i_rateHurdle3)^(1/12)-1</definedName>
    <definedName name="c_rateHurdle1Mo">(1+i_rateHurdle1)^(1/12)-1</definedName>
    <definedName name="c_rateHurdle4Mo">(1+i_rateHurdle4)^(1/12)-1</definedName>
    <definedName name="c_ratePrefMo">(1+i_ratePref)^(1/12)-1</definedName>
    <definedName name="c_rateSOFR">#REF!/100</definedName>
    <definedName name="c_revTotal">[1]CALCS!$AE$10</definedName>
    <definedName name="CU?" localSheetId="0">'Partnership Returns - Monthly'!$A$6</definedName>
    <definedName name="CU?">'[2]Partnership Returns - Annual'!$A$6</definedName>
    <definedName name="cv_cellsFormula">_xlfn.LAMBDA(_xlpm.s, _xlfn.LET(_xlpm.rng, INDIRECT("'"&amp;_xlpm.s&amp;"'!A1:NZ400"), _xlpm.addr, IF(_xlfn.ISFORMULA(_xlpm.rng), ADDRESS(ROW(_xlpm.rng), COLUMN(_xlpm.rng)), ""), _xlfn._xlws.FILTER(_xlfn.TEXTSPLIT(_xlfn.TEXTJOIN(",",,_xlpm.addr),","), _xlfn.TEXTSPLIT(_xlfn.TEXTJOIN(",",,_xlpm.addr),",")&lt;&gt;"")))</definedName>
    <definedName name="cv_datesPortfolio">_xlfn.SEQUENCE(c_periodFinalMo, 1, i_dateStart, 30)</definedName>
    <definedName name="cv_listSheets">OFFSET(#REF!, 0, 0, COUNTA(#REF!), 1)</definedName>
    <definedName name="cv_periodsMo">_xlfn.ANCHORARRAY([1]Tables!$E$7)</definedName>
    <definedName name="cv_periodsQtr">_xlfn.ANCHORARRAY([1]Tables!$D$7)</definedName>
    <definedName name="cv_periodsYr">ROUNDUP(_xlfn.SEQUENCE(_xlfn.ANCHORARRAY([1]Tables!$C$7),,1,1)/12,0)</definedName>
    <definedName name="Equity_Share_GP" localSheetId="0">'Partnership Returns - Monthly'!$C$9</definedName>
    <definedName name="Equity_Share_GP">'[2]Partnership Returns - Annual'!$C$9</definedName>
    <definedName name="Equity_Share_LP" localSheetId="0">'Partnership Returns - Monthly'!$C$10</definedName>
    <definedName name="Equity_Share_LP">'[2]Partnership Returns - Annual'!$C$10</definedName>
    <definedName name="i_dateStart">#REF!</definedName>
    <definedName name="i_equitypctGP">#REF!</definedName>
    <definedName name="i_promoteHurdle1">#REF!</definedName>
    <definedName name="i_promoteHurdle2">#REF!</definedName>
    <definedName name="i_promoteHurdle3">#REF!</definedName>
    <definedName name="i_promoteHurdle4">#REF!</definedName>
    <definedName name="i_rateHurdle1">#REF!</definedName>
    <definedName name="i_rateHurdle2">#REF!</definedName>
    <definedName name="i_rateHurdle3">#REF!</definedName>
    <definedName name="i_rateHurdle4">#REF!</definedName>
    <definedName name="i_ratePref">#REF!</definedName>
    <definedName name="i_rateSeniorIndex">#REF!</definedName>
    <definedName name="i_seniorAccel">#REF!</definedName>
    <definedName name="i_seniorLTC">#REF!</definedName>
    <definedName name="i_seniorSpread">#REF!</definedName>
    <definedName name="IntroPrintArea" hidden="1">#REF!</definedName>
    <definedName name="Preferred_Return" localSheetId="0">'Partnership Returns - Monthly'!$E$15</definedName>
    <definedName name="Preferred_Return">'[2]Partnership Returns - Annual'!$E$15</definedName>
    <definedName name="_xlnm.Print_Area" localSheetId="0">'Partnership Returns - Monthly'!$B$2:$DY$53</definedName>
    <definedName name="Promote_Structure" localSheetId="0">'Partnership Returns - Monthly'!$B$14:$I$19</definedName>
    <definedName name="Total_Equity" localSheetId="0">'Partnership Returns - Monthly'!$D$11</definedName>
    <definedName name="Total_Equity">'[2]Partnership Returns - Annual'!$D$11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H46" i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BG46" i="1" s="1"/>
  <c r="BH46" i="1" s="1"/>
  <c r="BI46" i="1" s="1"/>
  <c r="BJ46" i="1" s="1"/>
  <c r="BK46" i="1" s="1"/>
  <c r="BL46" i="1" s="1"/>
  <c r="BM46" i="1" s="1"/>
  <c r="BN46" i="1" s="1"/>
  <c r="BO46" i="1" s="1"/>
  <c r="BP46" i="1" s="1"/>
  <c r="BQ46" i="1" s="1"/>
  <c r="BR46" i="1" s="1"/>
  <c r="BS46" i="1" s="1"/>
  <c r="BT46" i="1" s="1"/>
  <c r="BU46" i="1" s="1"/>
  <c r="BV46" i="1" s="1"/>
  <c r="BW46" i="1" s="1"/>
  <c r="BX46" i="1" s="1"/>
  <c r="BY46" i="1" s="1"/>
  <c r="BZ46" i="1" s="1"/>
  <c r="CA46" i="1" s="1"/>
  <c r="CB46" i="1" s="1"/>
  <c r="CC46" i="1" s="1"/>
  <c r="CD46" i="1" s="1"/>
  <c r="CE46" i="1" s="1"/>
  <c r="CF46" i="1" s="1"/>
  <c r="CG46" i="1" s="1"/>
  <c r="CH46" i="1" s="1"/>
  <c r="CI46" i="1" s="1"/>
  <c r="CJ46" i="1" s="1"/>
  <c r="CK46" i="1" s="1"/>
  <c r="CL46" i="1" s="1"/>
  <c r="CM46" i="1" s="1"/>
  <c r="CN46" i="1" s="1"/>
  <c r="CO46" i="1" s="1"/>
  <c r="CP46" i="1" s="1"/>
  <c r="CQ46" i="1" s="1"/>
  <c r="CR46" i="1" s="1"/>
  <c r="CS46" i="1" s="1"/>
  <c r="CT46" i="1" s="1"/>
  <c r="CU46" i="1" s="1"/>
  <c r="CV46" i="1" s="1"/>
  <c r="CW46" i="1" s="1"/>
  <c r="G46" i="1"/>
  <c r="F47" i="1" a="1"/>
  <c r="F47" i="1" s="1"/>
  <c r="B277" i="1"/>
  <c r="E63" i="1" s="1"/>
  <c r="C143" i="1" s="1"/>
  <c r="B269" i="1"/>
  <c r="F265" i="1"/>
  <c r="B262" i="1"/>
  <c r="B256" i="1"/>
  <c r="F250" i="1"/>
  <c r="B247" i="1"/>
  <c r="B241" i="1"/>
  <c r="F235" i="1"/>
  <c r="B232" i="1"/>
  <c r="B226" i="1"/>
  <c r="F220" i="1"/>
  <c r="B217" i="1"/>
  <c r="B215" i="1"/>
  <c r="B207" i="1"/>
  <c r="F200" i="1"/>
  <c r="F210" i="1" s="1"/>
  <c r="DV194" i="1"/>
  <c r="DU194" i="1"/>
  <c r="DT194" i="1"/>
  <c r="DS194" i="1"/>
  <c r="DR194" i="1"/>
  <c r="DQ194" i="1"/>
  <c r="DP194" i="1"/>
  <c r="DO194" i="1"/>
  <c r="DN194" i="1"/>
  <c r="DM194" i="1"/>
  <c r="DL194" i="1"/>
  <c r="DK194" i="1"/>
  <c r="DJ194" i="1"/>
  <c r="DI194" i="1"/>
  <c r="DH194" i="1"/>
  <c r="DG194" i="1"/>
  <c r="DF194" i="1"/>
  <c r="DE194" i="1"/>
  <c r="DD194" i="1"/>
  <c r="DC194" i="1"/>
  <c r="DB194" i="1"/>
  <c r="DA194" i="1"/>
  <c r="CZ194" i="1"/>
  <c r="CY194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B194" i="1"/>
  <c r="DV193" i="1"/>
  <c r="F193" i="1"/>
  <c r="B193" i="1"/>
  <c r="F191" i="1"/>
  <c r="F190" i="1"/>
  <c r="F174" i="1"/>
  <c r="C172" i="1"/>
  <c r="E171" i="1"/>
  <c r="C251" i="1" s="1"/>
  <c r="C171" i="1"/>
  <c r="C170" i="1"/>
  <c r="C169" i="1"/>
  <c r="E168" i="1" s="1"/>
  <c r="C200" i="1" s="1"/>
  <c r="F203" i="1" s="1"/>
  <c r="B169" i="1"/>
  <c r="B168" i="1"/>
  <c r="B167" i="1"/>
  <c r="B161" i="1"/>
  <c r="F157" i="1"/>
  <c r="B154" i="1"/>
  <c r="B148" i="1"/>
  <c r="F142" i="1"/>
  <c r="B139" i="1"/>
  <c r="B133" i="1"/>
  <c r="F127" i="1"/>
  <c r="F129" i="1" s="1"/>
  <c r="B124" i="1"/>
  <c r="B118" i="1"/>
  <c r="F112" i="1"/>
  <c r="F114" i="1" s="1"/>
  <c r="B109" i="1"/>
  <c r="B107" i="1"/>
  <c r="B99" i="1"/>
  <c r="F92" i="1"/>
  <c r="DV86" i="1"/>
  <c r="DU86" i="1"/>
  <c r="DT86" i="1"/>
  <c r="DS86" i="1"/>
  <c r="DR86" i="1"/>
  <c r="DQ86" i="1"/>
  <c r="DP86" i="1"/>
  <c r="DO86" i="1"/>
  <c r="DN86" i="1"/>
  <c r="DM86" i="1"/>
  <c r="DL86" i="1"/>
  <c r="DK86" i="1"/>
  <c r="DJ86" i="1"/>
  <c r="DI86" i="1"/>
  <c r="DH86" i="1"/>
  <c r="DG86" i="1"/>
  <c r="DF86" i="1"/>
  <c r="DE86" i="1"/>
  <c r="DD86" i="1"/>
  <c r="DC86" i="1"/>
  <c r="DB86" i="1"/>
  <c r="DA86" i="1"/>
  <c r="CZ86" i="1"/>
  <c r="CY86" i="1"/>
  <c r="CX86" i="1"/>
  <c r="CW86" i="1"/>
  <c r="CV86" i="1"/>
  <c r="CU86" i="1"/>
  <c r="CT86" i="1"/>
  <c r="CS86" i="1"/>
  <c r="CR86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X86" i="1"/>
  <c r="AW86" i="1"/>
  <c r="AV86" i="1"/>
  <c r="AU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B86" i="1"/>
  <c r="DV85" i="1"/>
  <c r="AJ85" i="1"/>
  <c r="AF85" i="1"/>
  <c r="F85" i="1"/>
  <c r="B85" i="1"/>
  <c r="F83" i="1"/>
  <c r="F82" i="1"/>
  <c r="F66" i="1"/>
  <c r="F64" i="1"/>
  <c r="D64" i="1"/>
  <c r="F63" i="1"/>
  <c r="D63" i="1"/>
  <c r="F62" i="1"/>
  <c r="D62" i="1"/>
  <c r="F61" i="1"/>
  <c r="D61" i="1"/>
  <c r="E60" i="1" s="1"/>
  <c r="C92" i="1" s="1"/>
  <c r="B61" i="1"/>
  <c r="B60" i="1"/>
  <c r="B59" i="1"/>
  <c r="F194" i="1"/>
  <c r="DT193" i="1"/>
  <c r="DS193" i="1"/>
  <c r="DR193" i="1"/>
  <c r="DQ193" i="1"/>
  <c r="DP193" i="1"/>
  <c r="DL193" i="1"/>
  <c r="DK193" i="1"/>
  <c r="DJ193" i="1"/>
  <c r="DH193" i="1"/>
  <c r="DG193" i="1"/>
  <c r="DF193" i="1"/>
  <c r="DE193" i="1"/>
  <c r="DD193" i="1"/>
  <c r="CZ193" i="1"/>
  <c r="CY193" i="1"/>
  <c r="CV193" i="1"/>
  <c r="CU193" i="1"/>
  <c r="CT193" i="1"/>
  <c r="CS193" i="1"/>
  <c r="CR193" i="1"/>
  <c r="CN193" i="1"/>
  <c r="CM193" i="1"/>
  <c r="CJ193" i="1"/>
  <c r="CI193" i="1"/>
  <c r="CH193" i="1"/>
  <c r="CG193" i="1"/>
  <c r="CF193" i="1"/>
  <c r="CB193" i="1"/>
  <c r="CA193" i="1"/>
  <c r="BX193" i="1"/>
  <c r="BW193" i="1"/>
  <c r="BV193" i="1"/>
  <c r="BU193" i="1"/>
  <c r="BT193" i="1"/>
  <c r="BP193" i="1"/>
  <c r="BO193" i="1"/>
  <c r="BN193" i="1"/>
  <c r="BL193" i="1"/>
  <c r="BK193" i="1"/>
  <c r="BJ193" i="1"/>
  <c r="BI193" i="1"/>
  <c r="BH193" i="1"/>
  <c r="BD193" i="1"/>
  <c r="BC193" i="1"/>
  <c r="AZ193" i="1"/>
  <c r="AY193" i="1"/>
  <c r="AX193" i="1"/>
  <c r="AW193" i="1"/>
  <c r="AV193" i="1"/>
  <c r="AR193" i="1"/>
  <c r="AQ193" i="1"/>
  <c r="AN193" i="1"/>
  <c r="AM193" i="1"/>
  <c r="AL193" i="1"/>
  <c r="AK193" i="1"/>
  <c r="AJ193" i="1"/>
  <c r="AF193" i="1"/>
  <c r="AE193" i="1"/>
  <c r="AB193" i="1"/>
  <c r="AA193" i="1"/>
  <c r="Z193" i="1"/>
  <c r="Y193" i="1"/>
  <c r="X193" i="1"/>
  <c r="R193" i="1"/>
  <c r="P193" i="1"/>
  <c r="O193" i="1"/>
  <c r="N193" i="1"/>
  <c r="M193" i="1"/>
  <c r="L193" i="1"/>
  <c r="F45" i="1"/>
  <c r="F39" i="1"/>
  <c r="E18" i="1"/>
  <c r="H15" i="1"/>
  <c r="E15" i="1"/>
  <c r="B14" i="1"/>
  <c r="C10" i="1"/>
  <c r="H18" i="1" s="1"/>
  <c r="I18" i="1" s="1"/>
  <c r="H19" i="1" l="1"/>
  <c r="I19" i="1" s="1"/>
  <c r="E47" i="1"/>
  <c r="E62" i="1"/>
  <c r="C128" i="1" s="1"/>
  <c r="B135" i="1" s="1"/>
  <c r="E17" i="1"/>
  <c r="E16" i="1"/>
  <c r="E61" i="1"/>
  <c r="C113" i="1" s="1"/>
  <c r="B120" i="1" s="1"/>
  <c r="E169" i="1"/>
  <c r="C221" i="1" s="1"/>
  <c r="B228" i="1" s="1"/>
  <c r="B18" i="1"/>
  <c r="B63" i="1" s="1"/>
  <c r="E170" i="1"/>
  <c r="C236" i="1" s="1"/>
  <c r="B243" i="1" s="1"/>
  <c r="B19" i="1"/>
  <c r="B172" i="1" s="1"/>
  <c r="G192" i="1"/>
  <c r="H16" i="1"/>
  <c r="H169" i="1" s="1"/>
  <c r="I169" i="1" s="1"/>
  <c r="F84" i="1"/>
  <c r="F192" i="1"/>
  <c r="F195" i="1" s="1"/>
  <c r="N85" i="1"/>
  <c r="CT85" i="1"/>
  <c r="F184" i="1"/>
  <c r="AL85" i="1"/>
  <c r="DF85" i="1"/>
  <c r="CU85" i="1"/>
  <c r="DR85" i="1"/>
  <c r="CI85" i="1"/>
  <c r="AM85" i="1"/>
  <c r="CH85" i="1"/>
  <c r="Z85" i="1"/>
  <c r="AX85" i="1"/>
  <c r="AY85" i="1"/>
  <c r="F201" i="1"/>
  <c r="BJ85" i="1"/>
  <c r="BV85" i="1"/>
  <c r="CB85" i="1"/>
  <c r="G21" i="1"/>
  <c r="G127" i="1" s="1"/>
  <c r="CF85" i="1"/>
  <c r="H168" i="1"/>
  <c r="H60" i="1"/>
  <c r="D6" i="1"/>
  <c r="I15" i="1"/>
  <c r="J15" i="1" s="1"/>
  <c r="Q193" i="1"/>
  <c r="Q85" i="1"/>
  <c r="AC193" i="1"/>
  <c r="AC85" i="1"/>
  <c r="AO193" i="1"/>
  <c r="AO85" i="1"/>
  <c r="BA193" i="1"/>
  <c r="BA85" i="1"/>
  <c r="BM193" i="1"/>
  <c r="BM85" i="1"/>
  <c r="BY193" i="1"/>
  <c r="BY85" i="1"/>
  <c r="CK193" i="1"/>
  <c r="CK85" i="1"/>
  <c r="CW193" i="1"/>
  <c r="CW85" i="1"/>
  <c r="DI193" i="1"/>
  <c r="DI85" i="1"/>
  <c r="DU193" i="1"/>
  <c r="DU85" i="1"/>
  <c r="B170" i="1"/>
  <c r="B62" i="1"/>
  <c r="H172" i="1"/>
  <c r="I172" i="1" s="1"/>
  <c r="H64" i="1"/>
  <c r="I64" i="1" s="1"/>
  <c r="A6" i="1"/>
  <c r="H171" i="1"/>
  <c r="I171" i="1" s="1"/>
  <c r="H63" i="1"/>
  <c r="I63" i="1" s="1"/>
  <c r="J19" i="1"/>
  <c r="H17" i="1"/>
  <c r="DV192" i="1"/>
  <c r="DV84" i="1"/>
  <c r="AD193" i="1"/>
  <c r="AD85" i="1"/>
  <c r="AP193" i="1"/>
  <c r="AP85" i="1"/>
  <c r="BB193" i="1"/>
  <c r="BB85" i="1"/>
  <c r="BZ193" i="1"/>
  <c r="BZ85" i="1"/>
  <c r="CL193" i="1"/>
  <c r="CL85" i="1"/>
  <c r="CX193" i="1"/>
  <c r="CX85" i="1"/>
  <c r="G193" i="1"/>
  <c r="G85" i="1"/>
  <c r="S193" i="1"/>
  <c r="S85" i="1"/>
  <c r="H193" i="1"/>
  <c r="H85" i="1"/>
  <c r="T193" i="1"/>
  <c r="T85" i="1"/>
  <c r="I193" i="1"/>
  <c r="I85" i="1"/>
  <c r="U193" i="1"/>
  <c r="U85" i="1"/>
  <c r="AG193" i="1"/>
  <c r="AG85" i="1"/>
  <c r="AS193" i="1"/>
  <c r="AS85" i="1"/>
  <c r="BE193" i="1"/>
  <c r="BE85" i="1"/>
  <c r="BQ193" i="1"/>
  <c r="BQ85" i="1"/>
  <c r="CC193" i="1"/>
  <c r="CC85" i="1"/>
  <c r="CO193" i="1"/>
  <c r="CO85" i="1"/>
  <c r="DA193" i="1"/>
  <c r="DA85" i="1"/>
  <c r="DM193" i="1"/>
  <c r="DM85" i="1"/>
  <c r="DJ85" i="1"/>
  <c r="G191" i="1"/>
  <c r="G83" i="1"/>
  <c r="BN85" i="1"/>
  <c r="F51" i="1"/>
  <c r="F131" i="1" s="1"/>
  <c r="R85" i="1"/>
  <c r="F86" i="1"/>
  <c r="F76" i="1" s="1"/>
  <c r="AK85" i="1"/>
  <c r="AZ85" i="1"/>
  <c r="BO85" i="1"/>
  <c r="CG85" i="1"/>
  <c r="CV85" i="1"/>
  <c r="DK85" i="1"/>
  <c r="C158" i="1"/>
  <c r="B150" i="1"/>
  <c r="BP85" i="1"/>
  <c r="DL85" i="1"/>
  <c r="X85" i="1"/>
  <c r="BT85" i="1"/>
  <c r="DP85" i="1"/>
  <c r="J193" i="1"/>
  <c r="J85" i="1"/>
  <c r="V193" i="1"/>
  <c r="V85" i="1"/>
  <c r="AH193" i="1"/>
  <c r="AH85" i="1"/>
  <c r="AT193" i="1"/>
  <c r="AT85" i="1"/>
  <c r="BF193" i="1"/>
  <c r="BF85" i="1"/>
  <c r="BR193" i="1"/>
  <c r="BR85" i="1"/>
  <c r="CD193" i="1"/>
  <c r="CD85" i="1"/>
  <c r="CP193" i="1"/>
  <c r="CP85" i="1"/>
  <c r="DB193" i="1"/>
  <c r="DB85" i="1"/>
  <c r="DN193" i="1"/>
  <c r="DN85" i="1"/>
  <c r="Y85" i="1"/>
  <c r="AN85" i="1"/>
  <c r="BC85" i="1"/>
  <c r="BU85" i="1"/>
  <c r="CJ85" i="1"/>
  <c r="CY85" i="1"/>
  <c r="DQ85" i="1"/>
  <c r="K193" i="1"/>
  <c r="K85" i="1"/>
  <c r="W193" i="1"/>
  <c r="W85" i="1"/>
  <c r="AI193" i="1"/>
  <c r="AI85" i="1"/>
  <c r="AU193" i="1"/>
  <c r="AU85" i="1"/>
  <c r="BG193" i="1"/>
  <c r="BG85" i="1"/>
  <c r="BS193" i="1"/>
  <c r="BS85" i="1"/>
  <c r="CE193" i="1"/>
  <c r="CE85" i="1"/>
  <c r="CQ193" i="1"/>
  <c r="CQ85" i="1"/>
  <c r="DC193" i="1"/>
  <c r="DC85" i="1"/>
  <c r="DO193" i="1"/>
  <c r="DO85" i="1"/>
  <c r="BD85" i="1"/>
  <c r="CZ85" i="1"/>
  <c r="L85" i="1"/>
  <c r="AA85" i="1"/>
  <c r="BH85" i="1"/>
  <c r="BW85" i="1"/>
  <c r="DD85" i="1"/>
  <c r="DS85" i="1"/>
  <c r="M85" i="1"/>
  <c r="AB85" i="1"/>
  <c r="AQ85" i="1"/>
  <c r="BI85" i="1"/>
  <c r="BX85" i="1"/>
  <c r="CM85" i="1"/>
  <c r="DE85" i="1"/>
  <c r="DT85" i="1"/>
  <c r="G84" i="1"/>
  <c r="AR85" i="1"/>
  <c r="CN85" i="1"/>
  <c r="O85" i="1"/>
  <c r="AV85" i="1"/>
  <c r="BK85" i="1"/>
  <c r="CR85" i="1"/>
  <c r="DG85" i="1"/>
  <c r="F102" i="1"/>
  <c r="P85" i="1"/>
  <c r="AE85" i="1"/>
  <c r="AW85" i="1"/>
  <c r="BL85" i="1"/>
  <c r="CA85" i="1"/>
  <c r="CS85" i="1"/>
  <c r="DH85" i="1"/>
  <c r="F93" i="1"/>
  <c r="C266" i="1"/>
  <c r="B258" i="1"/>
  <c r="F144" i="1"/>
  <c r="F211" i="1"/>
  <c r="F222" i="1"/>
  <c r="F237" i="1"/>
  <c r="F253" i="1"/>
  <c r="F252" i="1"/>
  <c r="I16" i="1" l="1"/>
  <c r="J16" i="1" s="1"/>
  <c r="H61" i="1"/>
  <c r="I61" i="1" s="1"/>
  <c r="F208" i="1"/>
  <c r="F87" i="1"/>
  <c r="F104" i="1" s="1"/>
  <c r="B171" i="1"/>
  <c r="F238" i="1"/>
  <c r="F223" i="1"/>
  <c r="B64" i="1"/>
  <c r="G39" i="1"/>
  <c r="G66" i="1"/>
  <c r="G76" i="1" s="1"/>
  <c r="G142" i="1"/>
  <c r="G190" i="1"/>
  <c r="G195" i="1" s="1"/>
  <c r="G200" i="1"/>
  <c r="G174" i="1"/>
  <c r="G184" i="1" s="1"/>
  <c r="G157" i="1"/>
  <c r="F97" i="1"/>
  <c r="F105" i="1" s="1"/>
  <c r="F239" i="1"/>
  <c r="F224" i="1"/>
  <c r="G220" i="1"/>
  <c r="G235" i="1"/>
  <c r="F146" i="1"/>
  <c r="F100" i="1"/>
  <c r="G45" i="1"/>
  <c r="G51" i="1" s="1"/>
  <c r="G146" i="1" s="1"/>
  <c r="G250" i="1"/>
  <c r="F205" i="1"/>
  <c r="F213" i="1" s="1"/>
  <c r="G82" i="1"/>
  <c r="G87" i="1" s="1"/>
  <c r="G265" i="1"/>
  <c r="G92" i="1"/>
  <c r="J64" i="1"/>
  <c r="G112" i="1"/>
  <c r="J172" i="1"/>
  <c r="F40" i="1"/>
  <c r="H192" i="1"/>
  <c r="H84" i="1"/>
  <c r="H21" i="1"/>
  <c r="H191" i="1"/>
  <c r="H83" i="1"/>
  <c r="H170" i="1"/>
  <c r="I170" i="1" s="1"/>
  <c r="J171" i="1" s="1"/>
  <c r="H62" i="1"/>
  <c r="I62" i="1" s="1"/>
  <c r="J63" i="1" s="1"/>
  <c r="I17" i="1"/>
  <c r="J18" i="1" s="1"/>
  <c r="J61" i="1"/>
  <c r="I60" i="1"/>
  <c r="J60" i="1" s="1"/>
  <c r="F225" i="1"/>
  <c r="F212" i="1"/>
  <c r="F204" i="1"/>
  <c r="F185" i="1" s="1"/>
  <c r="F96" i="1"/>
  <c r="F77" i="1" s="1"/>
  <c r="F116" i="1"/>
  <c r="F254" i="1"/>
  <c r="I168" i="1"/>
  <c r="J168" i="1" s="1"/>
  <c r="J169" i="1"/>
  <c r="F217" i="1" l="1"/>
  <c r="G212" i="1"/>
  <c r="G203" i="1"/>
  <c r="G238" i="1"/>
  <c r="G254" i="1"/>
  <c r="G211" i="1"/>
  <c r="G204" i="1"/>
  <c r="G177" i="1" s="1"/>
  <c r="G223" i="1"/>
  <c r="G131" i="1"/>
  <c r="F106" i="1"/>
  <c r="G102" i="1" s="1"/>
  <c r="G103" i="1" s="1"/>
  <c r="F107" i="1"/>
  <c r="F109" i="1"/>
  <c r="F110" i="1" s="1"/>
  <c r="G224" i="1"/>
  <c r="G116" i="1"/>
  <c r="G239" i="1"/>
  <c r="F117" i="1"/>
  <c r="G253" i="1"/>
  <c r="G104" i="1"/>
  <c r="G40" i="1" s="1"/>
  <c r="G96" i="1"/>
  <c r="G28" i="1" s="1"/>
  <c r="G185" i="1"/>
  <c r="I192" i="1"/>
  <c r="I84" i="1"/>
  <c r="I21" i="1"/>
  <c r="F69" i="1"/>
  <c r="F28" i="1"/>
  <c r="F98" i="1"/>
  <c r="G93" i="1" s="1"/>
  <c r="F99" i="1"/>
  <c r="J17" i="1"/>
  <c r="H265" i="1"/>
  <c r="H250" i="1"/>
  <c r="H220" i="1"/>
  <c r="H235" i="1"/>
  <c r="H190" i="1"/>
  <c r="H195" i="1" s="1"/>
  <c r="H200" i="1"/>
  <c r="H157" i="1"/>
  <c r="H174" i="1"/>
  <c r="H142" i="1"/>
  <c r="H127" i="1"/>
  <c r="H112" i="1"/>
  <c r="H45" i="1"/>
  <c r="H51" i="1" s="1"/>
  <c r="H82" i="1"/>
  <c r="H87" i="1" s="1"/>
  <c r="H66" i="1"/>
  <c r="H39" i="1"/>
  <c r="H92" i="1"/>
  <c r="F177" i="1"/>
  <c r="F207" i="1"/>
  <c r="F206" i="1"/>
  <c r="G201" i="1" s="1"/>
  <c r="F214" i="1"/>
  <c r="G210" i="1" s="1"/>
  <c r="F215" i="1"/>
  <c r="J170" i="1"/>
  <c r="J62" i="1"/>
  <c r="F218" i="1"/>
  <c r="F226" i="1" s="1"/>
  <c r="F230" i="1" s="1"/>
  <c r="I191" i="1"/>
  <c r="I83" i="1"/>
  <c r="G77" i="1" l="1"/>
  <c r="G69" i="1"/>
  <c r="F118" i="1"/>
  <c r="F122" i="1" s="1"/>
  <c r="F132" i="1" s="1"/>
  <c r="H146" i="1"/>
  <c r="J191" i="1"/>
  <c r="J83" i="1"/>
  <c r="H131" i="1"/>
  <c r="J192" i="1"/>
  <c r="J21" i="1"/>
  <c r="J84" i="1"/>
  <c r="H212" i="1"/>
  <c r="H211" i="1"/>
  <c r="H203" i="1"/>
  <c r="H204" i="1"/>
  <c r="H177" i="1" s="1"/>
  <c r="F227" i="1"/>
  <c r="G222" i="1" s="1"/>
  <c r="H116" i="1"/>
  <c r="F240" i="1"/>
  <c r="F231" i="1"/>
  <c r="F232" i="1" s="1"/>
  <c r="H184" i="1"/>
  <c r="I265" i="1"/>
  <c r="I250" i="1"/>
  <c r="I220" i="1"/>
  <c r="I235" i="1"/>
  <c r="I190" i="1"/>
  <c r="I195" i="1" s="1"/>
  <c r="I200" i="1"/>
  <c r="I157" i="1"/>
  <c r="I174" i="1"/>
  <c r="I142" i="1"/>
  <c r="I127" i="1"/>
  <c r="I66" i="1"/>
  <c r="I112" i="1"/>
  <c r="I45" i="1"/>
  <c r="I51" i="1" s="1"/>
  <c r="I82" i="1"/>
  <c r="I87" i="1" s="1"/>
  <c r="I39" i="1"/>
  <c r="I92" i="1"/>
  <c r="G205" i="1"/>
  <c r="G208" i="1"/>
  <c r="F228" i="1"/>
  <c r="H76" i="1"/>
  <c r="H238" i="1"/>
  <c r="H239" i="1"/>
  <c r="H224" i="1"/>
  <c r="H223" i="1"/>
  <c r="H253" i="1"/>
  <c r="H254" i="1"/>
  <c r="G95" i="1"/>
  <c r="G100" i="1" s="1"/>
  <c r="H104" i="1"/>
  <c r="H40" i="1" s="1"/>
  <c r="H96" i="1"/>
  <c r="F120" i="1" l="1"/>
  <c r="F119" i="1"/>
  <c r="G114" i="1" s="1"/>
  <c r="G115" i="1" s="1"/>
  <c r="F123" i="1"/>
  <c r="F124" i="1" s="1"/>
  <c r="G97" i="1"/>
  <c r="G98" i="1" s="1"/>
  <c r="H93" i="1" s="1"/>
  <c r="F233" i="1"/>
  <c r="F241" i="1" s="1"/>
  <c r="F245" i="1" s="1"/>
  <c r="G225" i="1"/>
  <c r="G202" i="1"/>
  <c r="G213" i="1"/>
  <c r="G207" i="1"/>
  <c r="I211" i="1"/>
  <c r="I212" i="1"/>
  <c r="I203" i="1"/>
  <c r="I204" i="1"/>
  <c r="I177" i="1" s="1"/>
  <c r="G206" i="1"/>
  <c r="H201" i="1" s="1"/>
  <c r="K192" i="1"/>
  <c r="K84" i="1"/>
  <c r="K21" i="1"/>
  <c r="G117" i="1"/>
  <c r="G94" i="1"/>
  <c r="I116" i="1"/>
  <c r="I104" i="1"/>
  <c r="I40" i="1" s="1"/>
  <c r="I96" i="1"/>
  <c r="I77" i="1" s="1"/>
  <c r="J265" i="1"/>
  <c r="J250" i="1"/>
  <c r="J220" i="1"/>
  <c r="J235" i="1"/>
  <c r="J174" i="1"/>
  <c r="J190" i="1"/>
  <c r="J195" i="1" s="1"/>
  <c r="J200" i="1"/>
  <c r="J157" i="1"/>
  <c r="J142" i="1"/>
  <c r="J127" i="1"/>
  <c r="J66" i="1"/>
  <c r="J112" i="1"/>
  <c r="J45" i="1"/>
  <c r="J51" i="1" s="1"/>
  <c r="J82" i="1"/>
  <c r="J87" i="1" s="1"/>
  <c r="J92" i="1"/>
  <c r="J39" i="1"/>
  <c r="H69" i="1"/>
  <c r="H28" i="1"/>
  <c r="I146" i="1"/>
  <c r="I238" i="1"/>
  <c r="I239" i="1"/>
  <c r="I223" i="1"/>
  <c r="I224" i="1"/>
  <c r="I76" i="1"/>
  <c r="I131" i="1"/>
  <c r="I184" i="1"/>
  <c r="I253" i="1"/>
  <c r="I254" i="1"/>
  <c r="K191" i="1"/>
  <c r="K83" i="1"/>
  <c r="F125" i="1"/>
  <c r="F133" i="1" s="1"/>
  <c r="H77" i="1"/>
  <c r="H185" i="1"/>
  <c r="G105" i="1" l="1"/>
  <c r="G99" i="1"/>
  <c r="F242" i="1"/>
  <c r="G237" i="1" s="1"/>
  <c r="H205" i="1"/>
  <c r="H206" i="1" s="1"/>
  <c r="I201" i="1" s="1"/>
  <c r="H208" i="1"/>
  <c r="J116" i="1"/>
  <c r="F246" i="1"/>
  <c r="F255" i="1"/>
  <c r="G217" i="1"/>
  <c r="G215" i="1"/>
  <c r="G214" i="1"/>
  <c r="H210" i="1" s="1"/>
  <c r="L192" i="1"/>
  <c r="L84" i="1"/>
  <c r="L21" i="1"/>
  <c r="J104" i="1"/>
  <c r="J40" i="1" s="1"/>
  <c r="J96" i="1"/>
  <c r="J184" i="1"/>
  <c r="J254" i="1"/>
  <c r="J253" i="1"/>
  <c r="I185" i="1"/>
  <c r="F243" i="1"/>
  <c r="F137" i="1"/>
  <c r="F135" i="1"/>
  <c r="F134" i="1"/>
  <c r="G129" i="1" s="1"/>
  <c r="K265" i="1"/>
  <c r="K250" i="1"/>
  <c r="K235" i="1"/>
  <c r="K220" i="1"/>
  <c r="K200" i="1"/>
  <c r="K190" i="1"/>
  <c r="K195" i="1" s="1"/>
  <c r="K174" i="1"/>
  <c r="K142" i="1"/>
  <c r="K157" i="1"/>
  <c r="K127" i="1"/>
  <c r="K112" i="1"/>
  <c r="K82" i="1"/>
  <c r="K87" i="1" s="1"/>
  <c r="K92" i="1"/>
  <c r="K66" i="1"/>
  <c r="K45" i="1"/>
  <c r="K51" i="1" s="1"/>
  <c r="K39" i="1"/>
  <c r="J238" i="1"/>
  <c r="J239" i="1"/>
  <c r="G109" i="1"/>
  <c r="G106" i="1"/>
  <c r="H102" i="1" s="1"/>
  <c r="G107" i="1"/>
  <c r="J76" i="1"/>
  <c r="J77" i="1"/>
  <c r="J131" i="1"/>
  <c r="J146" i="1"/>
  <c r="J212" i="1"/>
  <c r="J203" i="1"/>
  <c r="J211" i="1"/>
  <c r="J204" i="1"/>
  <c r="J177" i="1" s="1"/>
  <c r="I69" i="1"/>
  <c r="I28" i="1"/>
  <c r="L191" i="1"/>
  <c r="L83" i="1"/>
  <c r="J223" i="1"/>
  <c r="J224" i="1"/>
  <c r="H95" i="1"/>
  <c r="H100" i="1" s="1"/>
  <c r="H117" i="1" l="1"/>
  <c r="H94" i="1"/>
  <c r="I208" i="1"/>
  <c r="I205" i="1"/>
  <c r="H225" i="1"/>
  <c r="H202" i="1"/>
  <c r="K116" i="1"/>
  <c r="K104" i="1"/>
  <c r="K40" i="1" s="1"/>
  <c r="K96" i="1"/>
  <c r="K223" i="1"/>
  <c r="K224" i="1"/>
  <c r="H207" i="1"/>
  <c r="H213" i="1"/>
  <c r="L265" i="1"/>
  <c r="L250" i="1"/>
  <c r="L235" i="1"/>
  <c r="L200" i="1"/>
  <c r="L220" i="1"/>
  <c r="L190" i="1"/>
  <c r="L195" i="1" s="1"/>
  <c r="L174" i="1"/>
  <c r="L142" i="1"/>
  <c r="L157" i="1"/>
  <c r="L112" i="1"/>
  <c r="L127" i="1"/>
  <c r="L92" i="1"/>
  <c r="L66" i="1"/>
  <c r="L82" i="1"/>
  <c r="L87" i="1" s="1"/>
  <c r="L39" i="1"/>
  <c r="L45" i="1"/>
  <c r="L51" i="1" s="1"/>
  <c r="K131" i="1"/>
  <c r="F138" i="1"/>
  <c r="F139" i="1" s="1"/>
  <c r="F147" i="1"/>
  <c r="K184" i="1"/>
  <c r="J185" i="1"/>
  <c r="F247" i="1"/>
  <c r="K146" i="1"/>
  <c r="H97" i="1"/>
  <c r="H103" i="1"/>
  <c r="K76" i="1"/>
  <c r="K239" i="1"/>
  <c r="K238" i="1"/>
  <c r="K253" i="1"/>
  <c r="K254" i="1"/>
  <c r="G130" i="1"/>
  <c r="M192" i="1"/>
  <c r="M84" i="1"/>
  <c r="M21" i="1"/>
  <c r="J69" i="1"/>
  <c r="J28" i="1"/>
  <c r="M191" i="1"/>
  <c r="M83" i="1"/>
  <c r="G110" i="1"/>
  <c r="G118" i="1" s="1"/>
  <c r="K212" i="1"/>
  <c r="K203" i="1"/>
  <c r="K211" i="1"/>
  <c r="K204" i="1"/>
  <c r="K177" i="1" s="1"/>
  <c r="G218" i="1"/>
  <c r="G226" i="1" s="1"/>
  <c r="K185" i="1" l="1"/>
  <c r="L146" i="1"/>
  <c r="N192" i="1"/>
  <c r="N84" i="1"/>
  <c r="N21" i="1"/>
  <c r="G230" i="1"/>
  <c r="G227" i="1"/>
  <c r="H222" i="1" s="1"/>
  <c r="G228" i="1"/>
  <c r="H215" i="1"/>
  <c r="H217" i="1"/>
  <c r="H99" i="1"/>
  <c r="H105" i="1"/>
  <c r="L131" i="1"/>
  <c r="H214" i="1"/>
  <c r="I210" i="1" s="1"/>
  <c r="K69" i="1"/>
  <c r="K28" i="1"/>
  <c r="L184" i="1"/>
  <c r="F248" i="1"/>
  <c r="F256" i="1" s="1"/>
  <c r="F140" i="1"/>
  <c r="F148" i="1" s="1"/>
  <c r="L204" i="1"/>
  <c r="L177" i="1" s="1"/>
  <c r="L203" i="1"/>
  <c r="L211" i="1"/>
  <c r="L212" i="1"/>
  <c r="G122" i="1"/>
  <c r="G120" i="1"/>
  <c r="G119" i="1"/>
  <c r="H114" i="1" s="1"/>
  <c r="L76" i="1"/>
  <c r="L239" i="1"/>
  <c r="L238" i="1"/>
  <c r="N191" i="1"/>
  <c r="N83" i="1"/>
  <c r="I213" i="1"/>
  <c r="I207" i="1"/>
  <c r="I206" i="1"/>
  <c r="J201" i="1" s="1"/>
  <c r="L116" i="1"/>
  <c r="I225" i="1"/>
  <c r="I202" i="1"/>
  <c r="H98" i="1"/>
  <c r="I93" i="1" s="1"/>
  <c r="K77" i="1"/>
  <c r="L224" i="1"/>
  <c r="L223" i="1"/>
  <c r="M265" i="1"/>
  <c r="M235" i="1"/>
  <c r="M250" i="1"/>
  <c r="M220" i="1"/>
  <c r="M200" i="1"/>
  <c r="M190" i="1"/>
  <c r="M195" i="1" s="1"/>
  <c r="M174" i="1"/>
  <c r="M157" i="1"/>
  <c r="M112" i="1"/>
  <c r="M142" i="1"/>
  <c r="M127" i="1"/>
  <c r="M82" i="1"/>
  <c r="M87" i="1" s="1"/>
  <c r="M92" i="1"/>
  <c r="M66" i="1"/>
  <c r="M39" i="1"/>
  <c r="M45" i="1"/>
  <c r="M51" i="1" s="1"/>
  <c r="L104" i="1"/>
  <c r="L40" i="1" s="1"/>
  <c r="L96" i="1"/>
  <c r="L77" i="1" s="1"/>
  <c r="L253" i="1"/>
  <c r="L254" i="1"/>
  <c r="F152" i="1" l="1"/>
  <c r="F149" i="1"/>
  <c r="G144" i="1" s="1"/>
  <c r="F150" i="1"/>
  <c r="M116" i="1"/>
  <c r="J208" i="1"/>
  <c r="J205" i="1"/>
  <c r="I214" i="1"/>
  <c r="J210" i="1" s="1"/>
  <c r="H109" i="1"/>
  <c r="H107" i="1"/>
  <c r="M224" i="1"/>
  <c r="M223" i="1"/>
  <c r="L185" i="1"/>
  <c r="G132" i="1"/>
  <c r="G123" i="1"/>
  <c r="G124" i="1" s="1"/>
  <c r="M253" i="1"/>
  <c r="M254" i="1"/>
  <c r="M238" i="1"/>
  <c r="M239" i="1"/>
  <c r="G240" i="1"/>
  <c r="G231" i="1"/>
  <c r="G232" i="1" s="1"/>
  <c r="N265" i="1"/>
  <c r="N235" i="1"/>
  <c r="N220" i="1"/>
  <c r="N250" i="1"/>
  <c r="N200" i="1"/>
  <c r="N190" i="1"/>
  <c r="N195" i="1" s="1"/>
  <c r="N142" i="1"/>
  <c r="N157" i="1"/>
  <c r="N174" i="1"/>
  <c r="N112" i="1"/>
  <c r="N82" i="1"/>
  <c r="N87" i="1" s="1"/>
  <c r="N92" i="1"/>
  <c r="N127" i="1"/>
  <c r="N66" i="1"/>
  <c r="N39" i="1"/>
  <c r="N45" i="1"/>
  <c r="N51" i="1" s="1"/>
  <c r="I217" i="1"/>
  <c r="I215" i="1"/>
  <c r="O191" i="1"/>
  <c r="O83" i="1"/>
  <c r="M204" i="1"/>
  <c r="M177" i="1" s="1"/>
  <c r="M203" i="1"/>
  <c r="M211" i="1"/>
  <c r="M212" i="1"/>
  <c r="H106" i="1"/>
  <c r="I102" i="1" s="1"/>
  <c r="L69" i="1"/>
  <c r="L28" i="1"/>
  <c r="M131" i="1"/>
  <c r="I95" i="1"/>
  <c r="I100" i="1" s="1"/>
  <c r="M184" i="1"/>
  <c r="H115" i="1"/>
  <c r="H218" i="1"/>
  <c r="H226" i="1" s="1"/>
  <c r="M76" i="1"/>
  <c r="M96" i="1"/>
  <c r="M77" i="1" s="1"/>
  <c r="M104" i="1"/>
  <c r="M40" i="1" s="1"/>
  <c r="M146" i="1"/>
  <c r="F260" i="1"/>
  <c r="F257" i="1"/>
  <c r="G252" i="1" s="1"/>
  <c r="F258" i="1"/>
  <c r="O192" i="1"/>
  <c r="O84" i="1"/>
  <c r="O21" i="1"/>
  <c r="M185" i="1" l="1"/>
  <c r="H230" i="1"/>
  <c r="H228" i="1"/>
  <c r="H227" i="1"/>
  <c r="I222" i="1" s="1"/>
  <c r="I117" i="1"/>
  <c r="I94" i="1"/>
  <c r="H110" i="1"/>
  <c r="H118" i="1" s="1"/>
  <c r="H119" i="1" s="1"/>
  <c r="I114" i="1" s="1"/>
  <c r="N146" i="1"/>
  <c r="F261" i="1"/>
  <c r="J207" i="1"/>
  <c r="J213" i="1"/>
  <c r="M69" i="1"/>
  <c r="M28" i="1"/>
  <c r="I218" i="1"/>
  <c r="N254" i="1"/>
  <c r="N253" i="1"/>
  <c r="N224" i="1"/>
  <c r="N223" i="1"/>
  <c r="N239" i="1"/>
  <c r="N238" i="1"/>
  <c r="I97" i="1"/>
  <c r="I98" i="1" s="1"/>
  <c r="J93" i="1" s="1"/>
  <c r="N116" i="1"/>
  <c r="G233" i="1"/>
  <c r="G241" i="1" s="1"/>
  <c r="G125" i="1"/>
  <c r="G133" i="1" s="1"/>
  <c r="N204" i="1"/>
  <c r="N177" i="1" s="1"/>
  <c r="N203" i="1"/>
  <c r="N212" i="1"/>
  <c r="N211" i="1"/>
  <c r="N131" i="1"/>
  <c r="O265" i="1"/>
  <c r="O235" i="1"/>
  <c r="O250" i="1"/>
  <c r="O220" i="1"/>
  <c r="O190" i="1"/>
  <c r="O195" i="1" s="1"/>
  <c r="O200" i="1"/>
  <c r="O157" i="1"/>
  <c r="O174" i="1"/>
  <c r="O112" i="1"/>
  <c r="O142" i="1"/>
  <c r="O127" i="1"/>
  <c r="O82" i="1"/>
  <c r="O87" i="1" s="1"/>
  <c r="O92" i="1"/>
  <c r="O39" i="1"/>
  <c r="O66" i="1"/>
  <c r="O45" i="1"/>
  <c r="O51" i="1" s="1"/>
  <c r="P191" i="1"/>
  <c r="P83" i="1"/>
  <c r="N184" i="1"/>
  <c r="G145" i="1"/>
  <c r="J206" i="1"/>
  <c r="K201" i="1" s="1"/>
  <c r="I103" i="1"/>
  <c r="N76" i="1"/>
  <c r="J225" i="1"/>
  <c r="J202" i="1"/>
  <c r="N104" i="1"/>
  <c r="N40" i="1" s="1"/>
  <c r="N96" i="1"/>
  <c r="P192" i="1"/>
  <c r="P84" i="1"/>
  <c r="P21" i="1"/>
  <c r="F153" i="1"/>
  <c r="G137" i="1" l="1"/>
  <c r="G135" i="1"/>
  <c r="G134" i="1"/>
  <c r="H129" i="1" s="1"/>
  <c r="G245" i="1"/>
  <c r="G242" i="1"/>
  <c r="H237" i="1" s="1"/>
  <c r="G243" i="1"/>
  <c r="I115" i="1"/>
  <c r="O116" i="1"/>
  <c r="O185" i="1"/>
  <c r="O184" i="1"/>
  <c r="N69" i="1"/>
  <c r="N28" i="1"/>
  <c r="I226" i="1"/>
  <c r="O146" i="1"/>
  <c r="J95" i="1"/>
  <c r="J97" i="1" s="1"/>
  <c r="O224" i="1"/>
  <c r="O223" i="1"/>
  <c r="K208" i="1"/>
  <c r="K205" i="1"/>
  <c r="O104" i="1"/>
  <c r="O40" i="1" s="1"/>
  <c r="O96" i="1"/>
  <c r="O77" i="1" s="1"/>
  <c r="H240" i="1"/>
  <c r="H231" i="1"/>
  <c r="H232" i="1" s="1"/>
  <c r="N77" i="1"/>
  <c r="N185" i="1"/>
  <c r="O239" i="1"/>
  <c r="O238" i="1"/>
  <c r="F154" i="1"/>
  <c r="F155" i="1" s="1"/>
  <c r="Q192" i="1"/>
  <c r="Q84" i="1"/>
  <c r="Q21" i="1"/>
  <c r="Q191" i="1"/>
  <c r="Q83" i="1"/>
  <c r="J215" i="1"/>
  <c r="J217" i="1"/>
  <c r="O203" i="1"/>
  <c r="O212" i="1"/>
  <c r="O211" i="1"/>
  <c r="O204" i="1"/>
  <c r="O177" i="1" s="1"/>
  <c r="F262" i="1"/>
  <c r="F263" i="1" s="1"/>
  <c r="O76" i="1"/>
  <c r="I105" i="1"/>
  <c r="I106" i="1" s="1"/>
  <c r="J102" i="1" s="1"/>
  <c r="I99" i="1"/>
  <c r="O254" i="1"/>
  <c r="O253" i="1"/>
  <c r="P265" i="1"/>
  <c r="P235" i="1"/>
  <c r="P250" i="1"/>
  <c r="P220" i="1"/>
  <c r="P190" i="1"/>
  <c r="P195" i="1" s="1"/>
  <c r="P157" i="1"/>
  <c r="P200" i="1"/>
  <c r="P174" i="1"/>
  <c r="P142" i="1"/>
  <c r="P127" i="1"/>
  <c r="P112" i="1"/>
  <c r="P92" i="1"/>
  <c r="P39" i="1"/>
  <c r="P66" i="1"/>
  <c r="P82" i="1"/>
  <c r="P87" i="1" s="1"/>
  <c r="P45" i="1"/>
  <c r="P51" i="1" s="1"/>
  <c r="H122" i="1"/>
  <c r="H120" i="1"/>
  <c r="J214" i="1"/>
  <c r="K210" i="1" s="1"/>
  <c r="O131" i="1"/>
  <c r="J100" i="1" l="1"/>
  <c r="J98" i="1"/>
  <c r="K93" i="1" s="1"/>
  <c r="K95" i="1" s="1"/>
  <c r="K100" i="1" s="1"/>
  <c r="J103" i="1"/>
  <c r="H233" i="1"/>
  <c r="H241" i="1" s="1"/>
  <c r="F267" i="1"/>
  <c r="F268" i="1" s="1"/>
  <c r="F183" i="1" s="1"/>
  <c r="I230" i="1"/>
  <c r="I228" i="1"/>
  <c r="P254" i="1"/>
  <c r="P253" i="1"/>
  <c r="P223" i="1"/>
  <c r="P224" i="1"/>
  <c r="P239" i="1"/>
  <c r="P238" i="1"/>
  <c r="K213" i="1"/>
  <c r="K214" i="1" s="1"/>
  <c r="L210" i="1" s="1"/>
  <c r="K207" i="1"/>
  <c r="H123" i="1"/>
  <c r="H132" i="1"/>
  <c r="P76" i="1"/>
  <c r="Q265" i="1"/>
  <c r="Q250" i="1"/>
  <c r="Q235" i="1"/>
  <c r="Q220" i="1"/>
  <c r="Q190" i="1"/>
  <c r="Q195" i="1" s="1"/>
  <c r="Q157" i="1"/>
  <c r="Q174" i="1"/>
  <c r="Q200" i="1"/>
  <c r="Q142" i="1"/>
  <c r="Q127" i="1"/>
  <c r="Q112" i="1"/>
  <c r="Q39" i="1"/>
  <c r="Q66" i="1"/>
  <c r="Q45" i="1"/>
  <c r="Q51" i="1" s="1"/>
  <c r="Q92" i="1"/>
  <c r="Q82" i="1"/>
  <c r="Q87" i="1" s="1"/>
  <c r="P184" i="1"/>
  <c r="J218" i="1"/>
  <c r="F159" i="1"/>
  <c r="J99" i="1"/>
  <c r="J105" i="1"/>
  <c r="H130" i="1"/>
  <c r="R191" i="1"/>
  <c r="R83" i="1"/>
  <c r="I109" i="1"/>
  <c r="I107" i="1"/>
  <c r="K206" i="1"/>
  <c r="L201" i="1" s="1"/>
  <c r="P146" i="1"/>
  <c r="J117" i="1"/>
  <c r="J94" i="1"/>
  <c r="P212" i="1"/>
  <c r="P211" i="1"/>
  <c r="P204" i="1"/>
  <c r="P177" i="1" s="1"/>
  <c r="P203" i="1"/>
  <c r="K225" i="1"/>
  <c r="K202" i="1"/>
  <c r="G246" i="1"/>
  <c r="G247" i="1" s="1"/>
  <c r="G255" i="1"/>
  <c r="P104" i="1"/>
  <c r="P40" i="1" s="1"/>
  <c r="P96" i="1"/>
  <c r="P77" i="1" s="1"/>
  <c r="P116" i="1"/>
  <c r="P131" i="1"/>
  <c r="R192" i="1"/>
  <c r="R84" i="1"/>
  <c r="R21" i="1"/>
  <c r="O69" i="1"/>
  <c r="O28" i="1"/>
  <c r="I227" i="1"/>
  <c r="J222" i="1" s="1"/>
  <c r="G138" i="1"/>
  <c r="G139" i="1" s="1"/>
  <c r="G147" i="1"/>
  <c r="K97" i="1" l="1"/>
  <c r="J106" i="1"/>
  <c r="K102" i="1" s="1"/>
  <c r="P185" i="1"/>
  <c r="H245" i="1"/>
  <c r="H243" i="1"/>
  <c r="H242" i="1"/>
  <c r="I237" i="1" s="1"/>
  <c r="K117" i="1"/>
  <c r="K94" i="1"/>
  <c r="K103" i="1"/>
  <c r="Q184" i="1"/>
  <c r="K217" i="1"/>
  <c r="K215" i="1"/>
  <c r="G140" i="1"/>
  <c r="G148" i="1" s="1"/>
  <c r="Q76" i="1"/>
  <c r="K98" i="1"/>
  <c r="L93" i="1" s="1"/>
  <c r="L205" i="1"/>
  <c r="L206" i="1" s="1"/>
  <c r="M201" i="1" s="1"/>
  <c r="L208" i="1"/>
  <c r="F68" i="1"/>
  <c r="I240" i="1"/>
  <c r="I231" i="1"/>
  <c r="I232" i="1" s="1"/>
  <c r="Q104" i="1"/>
  <c r="Q40" i="1" s="1"/>
  <c r="Q96" i="1"/>
  <c r="Q77" i="1" s="1"/>
  <c r="Q224" i="1"/>
  <c r="Q223" i="1"/>
  <c r="I110" i="1"/>
  <c r="I118" i="1" s="1"/>
  <c r="Q238" i="1"/>
  <c r="Q239" i="1"/>
  <c r="J226" i="1"/>
  <c r="J227" i="1" s="1"/>
  <c r="K222" i="1" s="1"/>
  <c r="Q131" i="1"/>
  <c r="J109" i="1"/>
  <c r="J107" i="1"/>
  <c r="R265" i="1"/>
  <c r="R250" i="1"/>
  <c r="R200" i="1"/>
  <c r="R220" i="1"/>
  <c r="R235" i="1"/>
  <c r="R157" i="1"/>
  <c r="R174" i="1"/>
  <c r="R190" i="1"/>
  <c r="R195" i="1" s="1"/>
  <c r="R142" i="1"/>
  <c r="R127" i="1"/>
  <c r="R112" i="1"/>
  <c r="R66" i="1"/>
  <c r="R45" i="1"/>
  <c r="R51" i="1" s="1"/>
  <c r="R92" i="1"/>
  <c r="R82" i="1"/>
  <c r="R87" i="1" s="1"/>
  <c r="R39" i="1"/>
  <c r="K105" i="1"/>
  <c r="K99" i="1"/>
  <c r="P69" i="1"/>
  <c r="P28" i="1"/>
  <c r="G248" i="1"/>
  <c r="G256" i="1" s="1"/>
  <c r="Q146" i="1"/>
  <c r="F160" i="1"/>
  <c r="F75" i="1" s="1"/>
  <c r="F187" i="1"/>
  <c r="S192" i="1"/>
  <c r="S84" i="1"/>
  <c r="S21" i="1"/>
  <c r="Q254" i="1"/>
  <c r="Q253" i="1"/>
  <c r="F269" i="1"/>
  <c r="F270" i="1" s="1"/>
  <c r="F176" i="1"/>
  <c r="S191" i="1"/>
  <c r="S83" i="1"/>
  <c r="H124" i="1"/>
  <c r="Q116" i="1"/>
  <c r="Q212" i="1"/>
  <c r="Q211" i="1"/>
  <c r="Q204" i="1"/>
  <c r="Q177" i="1" s="1"/>
  <c r="Q203" i="1"/>
  <c r="K106" i="1" l="1"/>
  <c r="L102" i="1" s="1"/>
  <c r="F161" i="1"/>
  <c r="F162" i="1" s="1"/>
  <c r="G152" i="1"/>
  <c r="G150" i="1"/>
  <c r="G149" i="1"/>
  <c r="H144" i="1" s="1"/>
  <c r="G260" i="1"/>
  <c r="G258" i="1"/>
  <c r="G257" i="1"/>
  <c r="H252" i="1" s="1"/>
  <c r="L103" i="1"/>
  <c r="L95" i="1"/>
  <c r="L100" i="1" s="1"/>
  <c r="R131" i="1"/>
  <c r="I122" i="1"/>
  <c r="I120" i="1"/>
  <c r="I119" i="1"/>
  <c r="J114" i="1" s="1"/>
  <c r="L213" i="1"/>
  <c r="L207" i="1"/>
  <c r="Q185" i="1"/>
  <c r="F179" i="1"/>
  <c r="J110" i="1"/>
  <c r="I233" i="1"/>
  <c r="I241" i="1" s="1"/>
  <c r="R223" i="1"/>
  <c r="R224" i="1"/>
  <c r="S265" i="1"/>
  <c r="S250" i="1"/>
  <c r="S220" i="1"/>
  <c r="S235" i="1"/>
  <c r="S174" i="1"/>
  <c r="S200" i="1"/>
  <c r="S157" i="1"/>
  <c r="S190" i="1"/>
  <c r="S195" i="1" s="1"/>
  <c r="S142" i="1"/>
  <c r="S127" i="1"/>
  <c r="S112" i="1"/>
  <c r="S66" i="1"/>
  <c r="S92" i="1"/>
  <c r="S82" i="1"/>
  <c r="S87" i="1" s="1"/>
  <c r="S45" i="1"/>
  <c r="S51" i="1" s="1"/>
  <c r="S39" i="1"/>
  <c r="R146" i="1"/>
  <c r="H246" i="1"/>
  <c r="H247" i="1" s="1"/>
  <c r="H255" i="1"/>
  <c r="R116" i="1"/>
  <c r="J230" i="1"/>
  <c r="J228" i="1"/>
  <c r="K218" i="1"/>
  <c r="K226" i="1" s="1"/>
  <c r="F71" i="1"/>
  <c r="M205" i="1"/>
  <c r="M206" i="1" s="1"/>
  <c r="N201" i="1" s="1"/>
  <c r="M208" i="1"/>
  <c r="K107" i="1"/>
  <c r="K109" i="1"/>
  <c r="R104" i="1"/>
  <c r="R40" i="1" s="1"/>
  <c r="R96" i="1"/>
  <c r="T191" i="1"/>
  <c r="T83" i="1"/>
  <c r="F79" i="1"/>
  <c r="R254" i="1"/>
  <c r="R253" i="1"/>
  <c r="Q69" i="1"/>
  <c r="Q28" i="1"/>
  <c r="R212" i="1"/>
  <c r="R211" i="1"/>
  <c r="R204" i="1"/>
  <c r="R177" i="1" s="1"/>
  <c r="R203" i="1"/>
  <c r="T192" i="1"/>
  <c r="T84" i="1"/>
  <c r="T21" i="1"/>
  <c r="R184" i="1"/>
  <c r="L225" i="1"/>
  <c r="L202" i="1"/>
  <c r="R239" i="1"/>
  <c r="R238" i="1"/>
  <c r="H125" i="1"/>
  <c r="H133" i="1" s="1"/>
  <c r="R76" i="1"/>
  <c r="L97" i="1" l="1"/>
  <c r="L98" i="1" s="1"/>
  <c r="M93" i="1" s="1"/>
  <c r="M95" i="1" s="1"/>
  <c r="M100" i="1" s="1"/>
  <c r="I245" i="1"/>
  <c r="I242" i="1"/>
  <c r="J237" i="1" s="1"/>
  <c r="I243" i="1"/>
  <c r="H248" i="1"/>
  <c r="H256" i="1" s="1"/>
  <c r="K230" i="1"/>
  <c r="K228" i="1"/>
  <c r="K227" i="1"/>
  <c r="L222" i="1" s="1"/>
  <c r="S76" i="1"/>
  <c r="L217" i="1"/>
  <c r="L215" i="1"/>
  <c r="L214" i="1"/>
  <c r="M210" i="1" s="1"/>
  <c r="G261" i="1"/>
  <c r="J115" i="1"/>
  <c r="J118" i="1" s="1"/>
  <c r="S211" i="1"/>
  <c r="S204" i="1"/>
  <c r="S177" i="1" s="1"/>
  <c r="S212" i="1"/>
  <c r="S203" i="1"/>
  <c r="L117" i="1"/>
  <c r="L94" i="1"/>
  <c r="S185" i="1"/>
  <c r="S184" i="1"/>
  <c r="S116" i="1"/>
  <c r="H145" i="1"/>
  <c r="S146" i="1"/>
  <c r="J231" i="1"/>
  <c r="J232" i="1" s="1"/>
  <c r="J240" i="1"/>
  <c r="N205" i="1"/>
  <c r="N208" i="1"/>
  <c r="S239" i="1"/>
  <c r="S238" i="1"/>
  <c r="M225" i="1"/>
  <c r="M202" i="1"/>
  <c r="S104" i="1"/>
  <c r="S40" i="1" s="1"/>
  <c r="S96" i="1"/>
  <c r="S224" i="1"/>
  <c r="S223" i="1"/>
  <c r="S131" i="1"/>
  <c r="R69" i="1"/>
  <c r="R28" i="1"/>
  <c r="K110" i="1"/>
  <c r="R77" i="1"/>
  <c r="R185" i="1"/>
  <c r="M213" i="1"/>
  <c r="M207" i="1"/>
  <c r="S254" i="1"/>
  <c r="S253" i="1"/>
  <c r="G153" i="1"/>
  <c r="U192" i="1"/>
  <c r="U84" i="1"/>
  <c r="U21" i="1"/>
  <c r="I123" i="1"/>
  <c r="I124" i="1"/>
  <c r="I132" i="1"/>
  <c r="L105" i="1"/>
  <c r="L106" i="1" s="1"/>
  <c r="M102" i="1" s="1"/>
  <c r="L99" i="1"/>
  <c r="H137" i="1"/>
  <c r="H135" i="1"/>
  <c r="H134" i="1"/>
  <c r="I129" i="1" s="1"/>
  <c r="T265" i="1"/>
  <c r="T250" i="1"/>
  <c r="T220" i="1"/>
  <c r="T235" i="1"/>
  <c r="T174" i="1"/>
  <c r="T200" i="1"/>
  <c r="T157" i="1"/>
  <c r="T190" i="1"/>
  <c r="T195" i="1" s="1"/>
  <c r="T142" i="1"/>
  <c r="T127" i="1"/>
  <c r="T112" i="1"/>
  <c r="T45" i="1"/>
  <c r="T51" i="1" s="1"/>
  <c r="T92" i="1"/>
  <c r="T82" i="1"/>
  <c r="T87" i="1" s="1"/>
  <c r="T39" i="1"/>
  <c r="T66" i="1"/>
  <c r="U191" i="1"/>
  <c r="U83" i="1"/>
  <c r="H260" i="1" l="1"/>
  <c r="H258" i="1"/>
  <c r="H257" i="1"/>
  <c r="I252" i="1" s="1"/>
  <c r="J122" i="1"/>
  <c r="J120" i="1"/>
  <c r="J119" i="1"/>
  <c r="K114" i="1" s="1"/>
  <c r="M103" i="1"/>
  <c r="M117" i="1"/>
  <c r="M94" i="1"/>
  <c r="N213" i="1"/>
  <c r="N207" i="1"/>
  <c r="S69" i="1"/>
  <c r="S28" i="1"/>
  <c r="S77" i="1"/>
  <c r="I246" i="1"/>
  <c r="I255" i="1"/>
  <c r="T212" i="1"/>
  <c r="T211" i="1"/>
  <c r="T204" i="1"/>
  <c r="T177" i="1" s="1"/>
  <c r="T203" i="1"/>
  <c r="L109" i="1"/>
  <c r="L107" i="1"/>
  <c r="T253" i="1"/>
  <c r="T254" i="1"/>
  <c r="T131" i="1"/>
  <c r="T224" i="1"/>
  <c r="T223" i="1"/>
  <c r="I125" i="1"/>
  <c r="T76" i="1"/>
  <c r="U250" i="1"/>
  <c r="U265" i="1"/>
  <c r="U220" i="1"/>
  <c r="U235" i="1"/>
  <c r="U200" i="1"/>
  <c r="U157" i="1"/>
  <c r="U190" i="1"/>
  <c r="U195" i="1" s="1"/>
  <c r="U174" i="1"/>
  <c r="U142" i="1"/>
  <c r="U127" i="1"/>
  <c r="U112" i="1"/>
  <c r="U66" i="1"/>
  <c r="U45" i="1"/>
  <c r="U51" i="1" s="1"/>
  <c r="U92" i="1"/>
  <c r="U82" i="1"/>
  <c r="U87" i="1" s="1"/>
  <c r="U39" i="1"/>
  <c r="H138" i="1"/>
  <c r="H139" i="1" s="1"/>
  <c r="H147" i="1"/>
  <c r="T146" i="1"/>
  <c r="G262" i="1"/>
  <c r="G263" i="1" s="1"/>
  <c r="G154" i="1"/>
  <c r="G155" i="1" s="1"/>
  <c r="J233" i="1"/>
  <c r="J241" i="1" s="1"/>
  <c r="J245" i="1" s="1"/>
  <c r="M217" i="1"/>
  <c r="M215" i="1"/>
  <c r="I130" i="1"/>
  <c r="N206" i="1"/>
  <c r="O201" i="1" s="1"/>
  <c r="M97" i="1"/>
  <c r="M98" i="1" s="1"/>
  <c r="N93" i="1" s="1"/>
  <c r="V191" i="1"/>
  <c r="V83" i="1"/>
  <c r="T184" i="1"/>
  <c r="T239" i="1"/>
  <c r="T238" i="1"/>
  <c r="T104" i="1"/>
  <c r="T40" i="1" s="1"/>
  <c r="T96" i="1"/>
  <c r="M214" i="1"/>
  <c r="N210" i="1" s="1"/>
  <c r="T116" i="1"/>
  <c r="V192" i="1"/>
  <c r="V84" i="1"/>
  <c r="V21" i="1"/>
  <c r="N225" i="1"/>
  <c r="N202" i="1"/>
  <c r="L218" i="1"/>
  <c r="L226" i="1" s="1"/>
  <c r="K231" i="1"/>
  <c r="K240" i="1"/>
  <c r="H140" i="1" l="1"/>
  <c r="H148" i="1" s="1"/>
  <c r="L230" i="1"/>
  <c r="L228" i="1"/>
  <c r="L227" i="1"/>
  <c r="M222" i="1" s="1"/>
  <c r="J246" i="1"/>
  <c r="J255" i="1"/>
  <c r="T69" i="1"/>
  <c r="T28" i="1"/>
  <c r="N217" i="1"/>
  <c r="N215" i="1"/>
  <c r="G267" i="1"/>
  <c r="G268" i="1" s="1"/>
  <c r="G183" i="1" s="1"/>
  <c r="U146" i="1"/>
  <c r="W191" i="1"/>
  <c r="W83" i="1"/>
  <c r="U116" i="1"/>
  <c r="H261" i="1"/>
  <c r="L110" i="1"/>
  <c r="U184" i="1"/>
  <c r="T77" i="1"/>
  <c r="W192" i="1"/>
  <c r="W84" i="1"/>
  <c r="W21" i="1"/>
  <c r="O208" i="1"/>
  <c r="O205" i="1"/>
  <c r="U131" i="1"/>
  <c r="K115" i="1"/>
  <c r="K118" i="1" s="1"/>
  <c r="K119" i="1" s="1"/>
  <c r="L114" i="1" s="1"/>
  <c r="N95" i="1"/>
  <c r="N100" i="1" s="1"/>
  <c r="J123" i="1"/>
  <c r="J124" i="1" s="1"/>
  <c r="J132" i="1"/>
  <c r="U211" i="1"/>
  <c r="U212" i="1"/>
  <c r="U203" i="1"/>
  <c r="U204" i="1"/>
  <c r="U177" i="1" s="1"/>
  <c r="U238" i="1"/>
  <c r="U239" i="1"/>
  <c r="M105" i="1"/>
  <c r="M106" i="1" s="1"/>
  <c r="N102" i="1" s="1"/>
  <c r="M99" i="1"/>
  <c r="U223" i="1"/>
  <c r="U224" i="1"/>
  <c r="V250" i="1"/>
  <c r="V265" i="1"/>
  <c r="V220" i="1"/>
  <c r="V235" i="1"/>
  <c r="V174" i="1"/>
  <c r="V200" i="1"/>
  <c r="V157" i="1"/>
  <c r="V190" i="1"/>
  <c r="V195" i="1" s="1"/>
  <c r="V142" i="1"/>
  <c r="V127" i="1"/>
  <c r="V66" i="1"/>
  <c r="V112" i="1"/>
  <c r="V45" i="1"/>
  <c r="V51" i="1" s="1"/>
  <c r="V92" i="1"/>
  <c r="V82" i="1"/>
  <c r="V87" i="1" s="1"/>
  <c r="V39" i="1"/>
  <c r="I133" i="1"/>
  <c r="I134" i="1" s="1"/>
  <c r="J129" i="1" s="1"/>
  <c r="U254" i="1"/>
  <c r="U253" i="1"/>
  <c r="M218" i="1"/>
  <c r="J243" i="1"/>
  <c r="U104" i="1"/>
  <c r="U40" i="1" s="1"/>
  <c r="U96" i="1"/>
  <c r="K232" i="1"/>
  <c r="N214" i="1"/>
  <c r="O210" i="1" s="1"/>
  <c r="T185" i="1"/>
  <c r="G159" i="1"/>
  <c r="G160" i="1" s="1"/>
  <c r="G75" i="1" s="1"/>
  <c r="U76" i="1"/>
  <c r="J242" i="1"/>
  <c r="K237" i="1" s="1"/>
  <c r="I247" i="1"/>
  <c r="N97" i="1" l="1"/>
  <c r="N99" i="1" s="1"/>
  <c r="N117" i="1"/>
  <c r="N94" i="1"/>
  <c r="N103" i="1"/>
  <c r="L115" i="1"/>
  <c r="L118" i="1" s="1"/>
  <c r="H152" i="1"/>
  <c r="H150" i="1"/>
  <c r="H149" i="1"/>
  <c r="I144" i="1" s="1"/>
  <c r="X191" i="1"/>
  <c r="X83" i="1"/>
  <c r="X192" i="1"/>
  <c r="X84" i="1"/>
  <c r="X21" i="1"/>
  <c r="M226" i="1"/>
  <c r="V76" i="1"/>
  <c r="L240" i="1"/>
  <c r="L231" i="1"/>
  <c r="L232" i="1" s="1"/>
  <c r="G161" i="1"/>
  <c r="G162" i="1" s="1"/>
  <c r="G68" i="1"/>
  <c r="J125" i="1"/>
  <c r="G269" i="1"/>
  <c r="G270" i="1" s="1"/>
  <c r="G176" i="1"/>
  <c r="V116" i="1"/>
  <c r="N105" i="1"/>
  <c r="V131" i="1"/>
  <c r="U185" i="1"/>
  <c r="N218" i="1"/>
  <c r="J130" i="1"/>
  <c r="I248" i="1"/>
  <c r="I256" i="1" s="1"/>
  <c r="V223" i="1"/>
  <c r="V224" i="1"/>
  <c r="J247" i="1"/>
  <c r="M107" i="1"/>
  <c r="M109" i="1"/>
  <c r="O225" i="1"/>
  <c r="O202" i="1"/>
  <c r="N98" i="1"/>
  <c r="O93" i="1" s="1"/>
  <c r="W265" i="1"/>
  <c r="W250" i="1"/>
  <c r="W220" i="1"/>
  <c r="W235" i="1"/>
  <c r="W190" i="1"/>
  <c r="W195" i="1" s="1"/>
  <c r="W200" i="1"/>
  <c r="W157" i="1"/>
  <c r="W174" i="1"/>
  <c r="W142" i="1"/>
  <c r="W127" i="1"/>
  <c r="W112" i="1"/>
  <c r="W92" i="1"/>
  <c r="W82" i="1"/>
  <c r="W87" i="1" s="1"/>
  <c r="W39" i="1"/>
  <c r="W45" i="1"/>
  <c r="W51" i="1" s="1"/>
  <c r="W66" i="1"/>
  <c r="U69" i="1"/>
  <c r="U28" i="1"/>
  <c r="V184" i="1"/>
  <c r="I137" i="1"/>
  <c r="I135" i="1"/>
  <c r="U77" i="1"/>
  <c r="V104" i="1"/>
  <c r="V40" i="1" s="1"/>
  <c r="V96" i="1"/>
  <c r="V77" i="1" s="1"/>
  <c r="O213" i="1"/>
  <c r="O207" i="1"/>
  <c r="V146" i="1"/>
  <c r="K122" i="1"/>
  <c r="K120" i="1"/>
  <c r="H262" i="1"/>
  <c r="H263" i="1" s="1"/>
  <c r="G79" i="1"/>
  <c r="V211" i="1"/>
  <c r="V203" i="1"/>
  <c r="V212" i="1"/>
  <c r="V204" i="1"/>
  <c r="V177" i="1" s="1"/>
  <c r="G187" i="1"/>
  <c r="V238" i="1"/>
  <c r="V239" i="1"/>
  <c r="K233" i="1"/>
  <c r="K241" i="1" s="1"/>
  <c r="V254" i="1"/>
  <c r="V253" i="1"/>
  <c r="O206" i="1"/>
  <c r="P201" i="1" s="1"/>
  <c r="N106" i="1" l="1"/>
  <c r="O102" i="1" s="1"/>
  <c r="O103" i="1"/>
  <c r="K245" i="1"/>
  <c r="K243" i="1"/>
  <c r="W254" i="1"/>
  <c r="W253" i="1"/>
  <c r="V69" i="1"/>
  <c r="V28" i="1"/>
  <c r="Y191" i="1"/>
  <c r="Y83" i="1"/>
  <c r="X265" i="1"/>
  <c r="X250" i="1"/>
  <c r="X235" i="1"/>
  <c r="X220" i="1"/>
  <c r="X200" i="1"/>
  <c r="X190" i="1"/>
  <c r="X195" i="1" s="1"/>
  <c r="X157" i="1"/>
  <c r="X174" i="1"/>
  <c r="X142" i="1"/>
  <c r="X127" i="1"/>
  <c r="X112" i="1"/>
  <c r="X82" i="1"/>
  <c r="X87" i="1" s="1"/>
  <c r="X66" i="1"/>
  <c r="X39" i="1"/>
  <c r="X45" i="1"/>
  <c r="X51" i="1" s="1"/>
  <c r="X92" i="1"/>
  <c r="K242" i="1"/>
  <c r="L237" i="1" s="1"/>
  <c r="W104" i="1"/>
  <c r="W40" i="1" s="1"/>
  <c r="W96" i="1"/>
  <c r="W77" i="1" s="1"/>
  <c r="G179" i="1"/>
  <c r="I260" i="1"/>
  <c r="I258" i="1"/>
  <c r="I257" i="1"/>
  <c r="J252" i="1" s="1"/>
  <c r="W211" i="1"/>
  <c r="W203" i="1"/>
  <c r="W212" i="1"/>
  <c r="W204" i="1"/>
  <c r="W177" i="1" s="1"/>
  <c r="L122" i="1"/>
  <c r="L120" i="1"/>
  <c r="W238" i="1"/>
  <c r="W239" i="1"/>
  <c r="W223" i="1"/>
  <c r="W224" i="1"/>
  <c r="W116" i="1"/>
  <c r="V185" i="1"/>
  <c r="W131" i="1"/>
  <c r="M230" i="1"/>
  <c r="M228" i="1"/>
  <c r="I145" i="1"/>
  <c r="L233" i="1"/>
  <c r="N109" i="1"/>
  <c r="N107" i="1"/>
  <c r="J248" i="1"/>
  <c r="K123" i="1"/>
  <c r="K132" i="1"/>
  <c r="I138" i="1"/>
  <c r="I147" i="1"/>
  <c r="O95" i="1"/>
  <c r="O100" i="1" s="1"/>
  <c r="P205" i="1"/>
  <c r="P208" i="1"/>
  <c r="G71" i="1"/>
  <c r="W76" i="1"/>
  <c r="W146" i="1"/>
  <c r="M227" i="1"/>
  <c r="N222" i="1" s="1"/>
  <c r="Y192" i="1"/>
  <c r="Y84" i="1"/>
  <c r="Y21" i="1"/>
  <c r="H267" i="1"/>
  <c r="H268" i="1" s="1"/>
  <c r="H183" i="1" s="1"/>
  <c r="L119" i="1"/>
  <c r="M114" i="1" s="1"/>
  <c r="O217" i="1"/>
  <c r="O215" i="1"/>
  <c r="J133" i="1"/>
  <c r="O214" i="1"/>
  <c r="P210" i="1" s="1"/>
  <c r="W184" i="1"/>
  <c r="M110" i="1"/>
  <c r="H153" i="1"/>
  <c r="H154" i="1" s="1"/>
  <c r="H155" i="1" s="1"/>
  <c r="W185" i="1" l="1"/>
  <c r="O97" i="1"/>
  <c r="O98" i="1" s="1"/>
  <c r="P93" i="1" s="1"/>
  <c r="O117" i="1"/>
  <c r="O94" i="1"/>
  <c r="Z192" i="1"/>
  <c r="Z84" i="1"/>
  <c r="Z21" i="1"/>
  <c r="L241" i="1"/>
  <c r="L242" i="1" s="1"/>
  <c r="M237" i="1" s="1"/>
  <c r="O218" i="1"/>
  <c r="N110" i="1"/>
  <c r="Z191" i="1"/>
  <c r="Z83" i="1"/>
  <c r="X224" i="1"/>
  <c r="X223" i="1"/>
  <c r="K246" i="1"/>
  <c r="K247" i="1" s="1"/>
  <c r="K255" i="1"/>
  <c r="N226" i="1"/>
  <c r="N227" i="1" s="1"/>
  <c r="O222" i="1" s="1"/>
  <c r="I139" i="1"/>
  <c r="J256" i="1"/>
  <c r="X254" i="1"/>
  <c r="X253" i="1"/>
  <c r="H269" i="1"/>
  <c r="H270" i="1" s="1"/>
  <c r="H176" i="1"/>
  <c r="X131" i="1"/>
  <c r="J137" i="1"/>
  <c r="J135" i="1"/>
  <c r="X76" i="1"/>
  <c r="X239" i="1"/>
  <c r="X238" i="1"/>
  <c r="M115" i="1"/>
  <c r="M118" i="1" s="1"/>
  <c r="L132" i="1"/>
  <c r="L123" i="1"/>
  <c r="L124" i="1" s="1"/>
  <c r="X104" i="1"/>
  <c r="X40" i="1" s="1"/>
  <c r="X96" i="1"/>
  <c r="X77" i="1" s="1"/>
  <c r="M240" i="1"/>
  <c r="M231" i="1"/>
  <c r="M232" i="1" s="1"/>
  <c r="X146" i="1"/>
  <c r="H159" i="1"/>
  <c r="H160" i="1" s="1"/>
  <c r="H75" i="1" s="1"/>
  <c r="P225" i="1"/>
  <c r="P202" i="1"/>
  <c r="P213" i="1"/>
  <c r="P214" i="1" s="1"/>
  <c r="Q210" i="1" s="1"/>
  <c r="P207" i="1"/>
  <c r="X204" i="1"/>
  <c r="X177" i="1" s="1"/>
  <c r="X203" i="1"/>
  <c r="X212" i="1"/>
  <c r="X211" i="1"/>
  <c r="P206" i="1"/>
  <c r="Q201" i="1" s="1"/>
  <c r="J134" i="1"/>
  <c r="K129" i="1" s="1"/>
  <c r="W28" i="1"/>
  <c r="W69" i="1"/>
  <c r="H187" i="1"/>
  <c r="K124" i="1"/>
  <c r="I261" i="1"/>
  <c r="X116" i="1"/>
  <c r="Y265" i="1"/>
  <c r="Y250" i="1"/>
  <c r="Y235" i="1"/>
  <c r="Y220" i="1"/>
  <c r="Y200" i="1"/>
  <c r="Y190" i="1"/>
  <c r="Y195" i="1" s="1"/>
  <c r="Y157" i="1"/>
  <c r="Y174" i="1"/>
  <c r="Y142" i="1"/>
  <c r="Y112" i="1"/>
  <c r="Y127" i="1"/>
  <c r="Y82" i="1"/>
  <c r="Y87" i="1" s="1"/>
  <c r="Y92" i="1"/>
  <c r="Y66" i="1"/>
  <c r="Y39" i="1"/>
  <c r="Y45" i="1"/>
  <c r="Y51" i="1" s="1"/>
  <c r="X184" i="1"/>
  <c r="O99" i="1" l="1"/>
  <c r="O105" i="1"/>
  <c r="O106" i="1" s="1"/>
  <c r="P102" i="1" s="1"/>
  <c r="O226" i="1"/>
  <c r="O227" i="1" s="1"/>
  <c r="P222" i="1" s="1"/>
  <c r="M122" i="1"/>
  <c r="M120" i="1"/>
  <c r="P103" i="1"/>
  <c r="M233" i="1"/>
  <c r="M241" i="1" s="1"/>
  <c r="K248" i="1"/>
  <c r="O109" i="1"/>
  <c r="O107" i="1"/>
  <c r="N230" i="1"/>
  <c r="N228" i="1"/>
  <c r="J138" i="1"/>
  <c r="J147" i="1"/>
  <c r="I140" i="1"/>
  <c r="I148" i="1" s="1"/>
  <c r="AA191" i="1"/>
  <c r="AA83" i="1"/>
  <c r="Y184" i="1"/>
  <c r="H79" i="1"/>
  <c r="Y204" i="1"/>
  <c r="Y177" i="1" s="1"/>
  <c r="Y203" i="1"/>
  <c r="Y212" i="1"/>
  <c r="Y211" i="1"/>
  <c r="H161" i="1"/>
  <c r="H162" i="1" s="1"/>
  <c r="H68" i="1"/>
  <c r="Y104" i="1"/>
  <c r="Y40" i="1" s="1"/>
  <c r="Y96" i="1"/>
  <c r="J260" i="1"/>
  <c r="J258" i="1"/>
  <c r="Y131" i="1"/>
  <c r="K125" i="1"/>
  <c r="K133" i="1" s="1"/>
  <c r="J257" i="1"/>
  <c r="K252" i="1" s="1"/>
  <c r="Z250" i="1"/>
  <c r="Z265" i="1"/>
  <c r="Z235" i="1"/>
  <c r="Z220" i="1"/>
  <c r="Z200" i="1"/>
  <c r="Z190" i="1"/>
  <c r="Z195" i="1" s="1"/>
  <c r="Z142" i="1"/>
  <c r="Z174" i="1"/>
  <c r="Z157" i="1"/>
  <c r="Z112" i="1"/>
  <c r="Z127" i="1"/>
  <c r="Z82" i="1"/>
  <c r="Z87" i="1" s="1"/>
  <c r="Z92" i="1"/>
  <c r="Z66" i="1"/>
  <c r="Z45" i="1"/>
  <c r="Z51" i="1" s="1"/>
  <c r="Z39" i="1"/>
  <c r="L245" i="1"/>
  <c r="L243" i="1"/>
  <c r="K130" i="1"/>
  <c r="Y224" i="1"/>
  <c r="Y223" i="1"/>
  <c r="Q208" i="1"/>
  <c r="Q205" i="1"/>
  <c r="Q206" i="1"/>
  <c r="R201" i="1" s="1"/>
  <c r="Y254" i="1"/>
  <c r="Y253" i="1"/>
  <c r="H179" i="1"/>
  <c r="Y116" i="1"/>
  <c r="X69" i="1"/>
  <c r="X28" i="1"/>
  <c r="M119" i="1"/>
  <c r="N114" i="1" s="1"/>
  <c r="P95" i="1"/>
  <c r="P100" i="1" s="1"/>
  <c r="AA192" i="1"/>
  <c r="AA84" i="1"/>
  <c r="AA21" i="1"/>
  <c r="Y76" i="1"/>
  <c r="Y238" i="1"/>
  <c r="Y239" i="1"/>
  <c r="L125" i="1"/>
  <c r="I262" i="1"/>
  <c r="I263" i="1" s="1"/>
  <c r="X185" i="1"/>
  <c r="Y146" i="1"/>
  <c r="P215" i="1"/>
  <c r="P217" i="1"/>
  <c r="M245" i="1" l="1"/>
  <c r="M242" i="1"/>
  <c r="N237" i="1" s="1"/>
  <c r="P97" i="1"/>
  <c r="P98" i="1" s="1"/>
  <c r="Q93" i="1" s="1"/>
  <c r="Y185" i="1"/>
  <c r="P117" i="1"/>
  <c r="P94" i="1"/>
  <c r="N240" i="1"/>
  <c r="N231" i="1"/>
  <c r="N115" i="1"/>
  <c r="N118" i="1" s="1"/>
  <c r="M123" i="1"/>
  <c r="M124" i="1" s="1"/>
  <c r="M132" i="1"/>
  <c r="K137" i="1"/>
  <c r="K135" i="1"/>
  <c r="J261" i="1"/>
  <c r="J262" i="1" s="1"/>
  <c r="J263" i="1" s="1"/>
  <c r="I267" i="1"/>
  <c r="Q225" i="1"/>
  <c r="Q202" i="1"/>
  <c r="Z184" i="1"/>
  <c r="O110" i="1"/>
  <c r="H71" i="1"/>
  <c r="K134" i="1"/>
  <c r="L129" i="1" s="1"/>
  <c r="I152" i="1"/>
  <c r="I150" i="1"/>
  <c r="I149" i="1"/>
  <c r="J144" i="1" s="1"/>
  <c r="Z238" i="1"/>
  <c r="Z239" i="1"/>
  <c r="K256" i="1"/>
  <c r="L246" i="1"/>
  <c r="L247" i="1" s="1"/>
  <c r="L255" i="1"/>
  <c r="AA250" i="1"/>
  <c r="AA265" i="1"/>
  <c r="AA235" i="1"/>
  <c r="AA220" i="1"/>
  <c r="AA200" i="1"/>
  <c r="AA190" i="1"/>
  <c r="AA195" i="1" s="1"/>
  <c r="AA174" i="1"/>
  <c r="AA157" i="1"/>
  <c r="AA112" i="1"/>
  <c r="AA142" i="1"/>
  <c r="AA127" i="1"/>
  <c r="AA82" i="1"/>
  <c r="AA87" i="1" s="1"/>
  <c r="AA92" i="1"/>
  <c r="AA39" i="1"/>
  <c r="AA66" i="1"/>
  <c r="AA45" i="1"/>
  <c r="AA51" i="1" s="1"/>
  <c r="Z104" i="1"/>
  <c r="Z40" i="1" s="1"/>
  <c r="Z96" i="1"/>
  <c r="M243" i="1"/>
  <c r="R205" i="1"/>
  <c r="R206" i="1" s="1"/>
  <c r="S201" i="1" s="1"/>
  <c r="R208" i="1"/>
  <c r="Z131" i="1"/>
  <c r="AB191" i="1"/>
  <c r="AB83" i="1"/>
  <c r="J139" i="1"/>
  <c r="O230" i="1"/>
  <c r="O228" i="1"/>
  <c r="Z146" i="1"/>
  <c r="Y69" i="1"/>
  <c r="Y28" i="1"/>
  <c r="Z204" i="1"/>
  <c r="Z177" i="1" s="1"/>
  <c r="Z203" i="1"/>
  <c r="Z212" i="1"/>
  <c r="Z211" i="1"/>
  <c r="Z224" i="1"/>
  <c r="Z223" i="1"/>
  <c r="M246" i="1"/>
  <c r="M247" i="1" s="1"/>
  <c r="M255" i="1"/>
  <c r="Z76" i="1"/>
  <c r="AB192" i="1"/>
  <c r="AB84" i="1"/>
  <c r="AB21" i="1"/>
  <c r="Z254" i="1"/>
  <c r="Z253" i="1"/>
  <c r="P218" i="1"/>
  <c r="P226" i="1" s="1"/>
  <c r="Y77" i="1"/>
  <c r="Q213" i="1"/>
  <c r="Q207" i="1"/>
  <c r="Z116" i="1"/>
  <c r="P99" i="1" l="1"/>
  <c r="P105" i="1"/>
  <c r="P106" i="1" s="1"/>
  <c r="Q102" i="1" s="1"/>
  <c r="N122" i="1"/>
  <c r="N120" i="1"/>
  <c r="P230" i="1"/>
  <c r="P228" i="1"/>
  <c r="P227" i="1"/>
  <c r="Q222" i="1" s="1"/>
  <c r="J267" i="1"/>
  <c r="J268" i="1" s="1"/>
  <c r="J183" i="1" s="1"/>
  <c r="J187" i="1" s="1"/>
  <c r="N119" i="1"/>
  <c r="O114" i="1" s="1"/>
  <c r="M248" i="1"/>
  <c r="R225" i="1"/>
  <c r="R202" i="1"/>
  <c r="AA131" i="1"/>
  <c r="I176" i="1"/>
  <c r="I153" i="1"/>
  <c r="I154" i="1" s="1"/>
  <c r="I155" i="1" s="1"/>
  <c r="L248" i="1"/>
  <c r="Q217" i="1"/>
  <c r="Q215" i="1"/>
  <c r="Q214" i="1"/>
  <c r="R210" i="1" s="1"/>
  <c r="P109" i="1"/>
  <c r="P107" i="1"/>
  <c r="J145" i="1"/>
  <c r="AB265" i="1"/>
  <c r="AB235" i="1"/>
  <c r="AB250" i="1"/>
  <c r="AB220" i="1"/>
  <c r="AB157" i="1"/>
  <c r="AB190" i="1"/>
  <c r="AB195" i="1" s="1"/>
  <c r="AB200" i="1"/>
  <c r="AB174" i="1"/>
  <c r="AB142" i="1"/>
  <c r="AB92" i="1"/>
  <c r="AB127" i="1"/>
  <c r="AB112" i="1"/>
  <c r="AB82" i="1"/>
  <c r="AB87" i="1" s="1"/>
  <c r="AB39" i="1"/>
  <c r="AB66" i="1"/>
  <c r="AB45" i="1"/>
  <c r="AB51" i="1" s="1"/>
  <c r="AA116" i="1"/>
  <c r="I268" i="1"/>
  <c r="I183" i="1" s="1"/>
  <c r="M125" i="1"/>
  <c r="AA203" i="1"/>
  <c r="AA212" i="1"/>
  <c r="AA211" i="1"/>
  <c r="AA204" i="1"/>
  <c r="AA177" i="1" s="1"/>
  <c r="AA76" i="1"/>
  <c r="O231" i="1"/>
  <c r="O232" i="1" s="1"/>
  <c r="O240" i="1"/>
  <c r="J140" i="1"/>
  <c r="Q95" i="1"/>
  <c r="Q100" i="1" s="1"/>
  <c r="S208" i="1"/>
  <c r="S205" i="1"/>
  <c r="Z69" i="1"/>
  <c r="Z28" i="1"/>
  <c r="Z77" i="1"/>
  <c r="K138" i="1"/>
  <c r="K139" i="1"/>
  <c r="K147" i="1"/>
  <c r="AA104" i="1"/>
  <c r="AA40" i="1" s="1"/>
  <c r="AA96" i="1"/>
  <c r="AA77" i="1" s="1"/>
  <c r="AA254" i="1"/>
  <c r="AA253" i="1"/>
  <c r="K260" i="1"/>
  <c r="K258" i="1"/>
  <c r="N232" i="1"/>
  <c r="AA146" i="1"/>
  <c r="R213" i="1"/>
  <c r="R207" i="1"/>
  <c r="AC192" i="1"/>
  <c r="AC84" i="1"/>
  <c r="AC21" i="1"/>
  <c r="L130" i="1"/>
  <c r="AA184" i="1"/>
  <c r="Q103" i="1"/>
  <c r="Z185" i="1"/>
  <c r="AA224" i="1"/>
  <c r="AA223" i="1"/>
  <c r="AA238" i="1"/>
  <c r="AA239" i="1"/>
  <c r="AC191" i="1"/>
  <c r="AC83" i="1"/>
  <c r="K257" i="1"/>
  <c r="L252" i="1" s="1"/>
  <c r="I269" i="1" l="1"/>
  <c r="I270" i="1" s="1"/>
  <c r="J148" i="1"/>
  <c r="J149" i="1" s="1"/>
  <c r="K144" i="1" s="1"/>
  <c r="K145" i="1" s="1"/>
  <c r="Q97" i="1"/>
  <c r="AA185" i="1"/>
  <c r="Q117" i="1"/>
  <c r="Q94" i="1"/>
  <c r="Q99" i="1"/>
  <c r="Q105" i="1"/>
  <c r="AB104" i="1"/>
  <c r="AB40" i="1" s="1"/>
  <c r="AB96" i="1"/>
  <c r="AB77" i="1" s="1"/>
  <c r="AA28" i="1"/>
  <c r="AA69" i="1"/>
  <c r="R214" i="1"/>
  <c r="S210" i="1" s="1"/>
  <c r="N233" i="1"/>
  <c r="N241" i="1" s="1"/>
  <c r="AB146" i="1"/>
  <c r="S225" i="1"/>
  <c r="S202" i="1"/>
  <c r="Q98" i="1"/>
  <c r="R93" i="1" s="1"/>
  <c r="AB131" i="1"/>
  <c r="R215" i="1"/>
  <c r="R217" i="1"/>
  <c r="I159" i="1"/>
  <c r="I160" i="1" s="1"/>
  <c r="I75" i="1" s="1"/>
  <c r="L256" i="1"/>
  <c r="L257" i="1" s="1"/>
  <c r="M252" i="1" s="1"/>
  <c r="S213" i="1"/>
  <c r="S207" i="1"/>
  <c r="AB212" i="1"/>
  <c r="AB203" i="1"/>
  <c r="AB211" i="1"/>
  <c r="AB204" i="1"/>
  <c r="AB177" i="1" s="1"/>
  <c r="AD191" i="1"/>
  <c r="AD83" i="1"/>
  <c r="L133" i="1"/>
  <c r="L134" i="1" s="1"/>
  <c r="M129" i="1" s="1"/>
  <c r="AC265" i="1"/>
  <c r="AC250" i="1"/>
  <c r="AC235" i="1"/>
  <c r="AC220" i="1"/>
  <c r="AC157" i="1"/>
  <c r="AC190" i="1"/>
  <c r="AC195" i="1" s="1"/>
  <c r="AC200" i="1"/>
  <c r="AC174" i="1"/>
  <c r="AC142" i="1"/>
  <c r="AC127" i="1"/>
  <c r="AC112" i="1"/>
  <c r="AC82" i="1"/>
  <c r="AC87" i="1" s="1"/>
  <c r="AC39" i="1"/>
  <c r="AC66" i="1"/>
  <c r="AC45" i="1"/>
  <c r="AC51" i="1" s="1"/>
  <c r="AC92" i="1"/>
  <c r="O233" i="1"/>
  <c r="AB254" i="1"/>
  <c r="AB253" i="1"/>
  <c r="Q218" i="1"/>
  <c r="Q226" i="1" s="1"/>
  <c r="O115" i="1"/>
  <c r="O118" i="1" s="1"/>
  <c r="P231" i="1"/>
  <c r="P240" i="1"/>
  <c r="AB116" i="1"/>
  <c r="I179" i="1"/>
  <c r="K261" i="1"/>
  <c r="K262" i="1" s="1"/>
  <c r="K263" i="1" s="1"/>
  <c r="J269" i="1"/>
  <c r="J270" i="1" s="1"/>
  <c r="J176" i="1"/>
  <c r="J179" i="1" s="1"/>
  <c r="AB224" i="1"/>
  <c r="AB223" i="1"/>
  <c r="K140" i="1"/>
  <c r="I187" i="1"/>
  <c r="AB239" i="1"/>
  <c r="AB238" i="1"/>
  <c r="AB184" i="1"/>
  <c r="P110" i="1"/>
  <c r="S206" i="1"/>
  <c r="T201" i="1" s="1"/>
  <c r="AB76" i="1"/>
  <c r="AD192" i="1"/>
  <c r="AD84" i="1"/>
  <c r="AD21" i="1"/>
  <c r="N123" i="1"/>
  <c r="N124" i="1" s="1"/>
  <c r="N132" i="1"/>
  <c r="K148" i="1" l="1"/>
  <c r="K152" i="1" s="1"/>
  <c r="J150" i="1"/>
  <c r="J152" i="1"/>
  <c r="K149" i="1"/>
  <c r="L144" i="1" s="1"/>
  <c r="AB185" i="1"/>
  <c r="Q230" i="1"/>
  <c r="Q228" i="1"/>
  <c r="Q227" i="1"/>
  <c r="R222" i="1" s="1"/>
  <c r="O122" i="1"/>
  <c r="O120" i="1"/>
  <c r="O119" i="1"/>
  <c r="P114" i="1" s="1"/>
  <c r="I79" i="1"/>
  <c r="AC96" i="1"/>
  <c r="AC77" i="1" s="1"/>
  <c r="AC104" i="1"/>
  <c r="AC40" i="1" s="1"/>
  <c r="AB69" i="1"/>
  <c r="AB28" i="1"/>
  <c r="AE192" i="1"/>
  <c r="AE84" i="1"/>
  <c r="AE21" i="1"/>
  <c r="J153" i="1"/>
  <c r="J154" i="1" s="1"/>
  <c r="J155" i="1" s="1"/>
  <c r="AC146" i="1"/>
  <c r="L145" i="1"/>
  <c r="AC131" i="1"/>
  <c r="R218" i="1"/>
  <c r="S217" i="1"/>
  <c r="S215" i="1"/>
  <c r="N125" i="1"/>
  <c r="K267" i="1"/>
  <c r="K268" i="1" s="1"/>
  <c r="K183" i="1" s="1"/>
  <c r="AC184" i="1"/>
  <c r="K150" i="1"/>
  <c r="AC224" i="1"/>
  <c r="AC223" i="1"/>
  <c r="M130" i="1"/>
  <c r="AC254" i="1"/>
  <c r="AC253" i="1"/>
  <c r="M256" i="1"/>
  <c r="S214" i="1"/>
  <c r="T210" i="1" s="1"/>
  <c r="Q109" i="1"/>
  <c r="Q107" i="1"/>
  <c r="AE191" i="1"/>
  <c r="AE83" i="1"/>
  <c r="K153" i="1"/>
  <c r="AC212" i="1"/>
  <c r="AC203" i="1"/>
  <c r="AC211" i="1"/>
  <c r="AC204" i="1"/>
  <c r="AC177" i="1" s="1"/>
  <c r="N245" i="1"/>
  <c r="N243" i="1"/>
  <c r="N242" i="1"/>
  <c r="O237" i="1" s="1"/>
  <c r="R95" i="1"/>
  <c r="R97" i="1" s="1"/>
  <c r="T208" i="1"/>
  <c r="T205" i="1"/>
  <c r="T206" i="1" s="1"/>
  <c r="U201" i="1" s="1"/>
  <c r="AC238" i="1"/>
  <c r="AC239" i="1"/>
  <c r="AD265" i="1"/>
  <c r="AD250" i="1"/>
  <c r="AD235" i="1"/>
  <c r="AD200" i="1"/>
  <c r="AD220" i="1"/>
  <c r="AD157" i="1"/>
  <c r="AD190" i="1"/>
  <c r="AD195" i="1" s="1"/>
  <c r="AD174" i="1"/>
  <c r="AD127" i="1"/>
  <c r="AD142" i="1"/>
  <c r="AD112" i="1"/>
  <c r="AD66" i="1"/>
  <c r="AD45" i="1"/>
  <c r="AD51" i="1" s="1"/>
  <c r="AD92" i="1"/>
  <c r="AD82" i="1"/>
  <c r="AD87" i="1" s="1"/>
  <c r="AD39" i="1"/>
  <c r="L260" i="1"/>
  <c r="L258" i="1"/>
  <c r="Q106" i="1"/>
  <c r="R102" i="1" s="1"/>
  <c r="AC116" i="1"/>
  <c r="I161" i="1"/>
  <c r="I162" i="1" s="1"/>
  <c r="I68" i="1"/>
  <c r="AC76" i="1"/>
  <c r="P232" i="1"/>
  <c r="L137" i="1"/>
  <c r="L135" i="1"/>
  <c r="R100" i="1" l="1"/>
  <c r="AC185" i="1"/>
  <c r="U205" i="1"/>
  <c r="U206" i="1" s="1"/>
  <c r="V201" i="1" s="1"/>
  <c r="U208" i="1"/>
  <c r="R105" i="1"/>
  <c r="R99" i="1"/>
  <c r="R98" i="1"/>
  <c r="S93" i="1" s="1"/>
  <c r="L138" i="1"/>
  <c r="L147" i="1"/>
  <c r="L261" i="1"/>
  <c r="L262" i="1" s="1"/>
  <c r="L263" i="1" s="1"/>
  <c r="AD185" i="1"/>
  <c r="AD184" i="1"/>
  <c r="P233" i="1"/>
  <c r="J159" i="1"/>
  <c r="J160" i="1" s="1"/>
  <c r="J75" i="1" s="1"/>
  <c r="R117" i="1"/>
  <c r="R94" i="1"/>
  <c r="K269" i="1"/>
  <c r="K270" i="1" s="1"/>
  <c r="K176" i="1"/>
  <c r="K179" i="1" s="1"/>
  <c r="AD224" i="1"/>
  <c r="AD223" i="1"/>
  <c r="K187" i="1"/>
  <c r="O123" i="1"/>
  <c r="O132" i="1"/>
  <c r="AD212" i="1"/>
  <c r="AD211" i="1"/>
  <c r="AD203" i="1"/>
  <c r="AD204" i="1"/>
  <c r="AD177" i="1" s="1"/>
  <c r="M133" i="1"/>
  <c r="AD104" i="1"/>
  <c r="AD40" i="1" s="1"/>
  <c r="AD96" i="1"/>
  <c r="AD238" i="1"/>
  <c r="AD239" i="1"/>
  <c r="AD254" i="1"/>
  <c r="AD253" i="1"/>
  <c r="AD76" i="1"/>
  <c r="T225" i="1"/>
  <c r="T202" i="1"/>
  <c r="S218" i="1"/>
  <c r="AD116" i="1"/>
  <c r="AC69" i="1"/>
  <c r="AC28" i="1"/>
  <c r="R226" i="1"/>
  <c r="R227" i="1" s="1"/>
  <c r="S222" i="1" s="1"/>
  <c r="P115" i="1"/>
  <c r="P118" i="1" s="1"/>
  <c r="O241" i="1"/>
  <c r="O242" i="1" s="1"/>
  <c r="P237" i="1" s="1"/>
  <c r="T213" i="1"/>
  <c r="T207" i="1"/>
  <c r="N246" i="1"/>
  <c r="N247" i="1" s="1"/>
  <c r="N255" i="1"/>
  <c r="I71" i="1"/>
  <c r="R103" i="1"/>
  <c r="AD146" i="1"/>
  <c r="AF192" i="1"/>
  <c r="AF84" i="1"/>
  <c r="AF21" i="1"/>
  <c r="M260" i="1"/>
  <c r="M258" i="1"/>
  <c r="M257" i="1"/>
  <c r="N252" i="1" s="1"/>
  <c r="K154" i="1"/>
  <c r="K155" i="1" s="1"/>
  <c r="AF191" i="1"/>
  <c r="AF83" i="1"/>
  <c r="AE265" i="1"/>
  <c r="AE235" i="1"/>
  <c r="AE250" i="1"/>
  <c r="AE220" i="1"/>
  <c r="AE190" i="1"/>
  <c r="AE195" i="1" s="1"/>
  <c r="AE174" i="1"/>
  <c r="AE200" i="1"/>
  <c r="AE157" i="1"/>
  <c r="AE127" i="1"/>
  <c r="AE142" i="1"/>
  <c r="AE112" i="1"/>
  <c r="AE66" i="1"/>
  <c r="AE92" i="1"/>
  <c r="AE82" i="1"/>
  <c r="AE87" i="1" s="1"/>
  <c r="AE39" i="1"/>
  <c r="AE45" i="1"/>
  <c r="AE51" i="1" s="1"/>
  <c r="AD131" i="1"/>
  <c r="Q110" i="1"/>
  <c r="Q231" i="1"/>
  <c r="Q232" i="1" s="1"/>
  <c r="Q240" i="1"/>
  <c r="R106" i="1" l="1"/>
  <c r="S102" i="1" s="1"/>
  <c r="S103" i="1" s="1"/>
  <c r="P122" i="1"/>
  <c r="P120" i="1"/>
  <c r="J79" i="1"/>
  <c r="L267" i="1"/>
  <c r="L268" i="1" s="1"/>
  <c r="L183" i="1" s="1"/>
  <c r="L187" i="1" s="1"/>
  <c r="AE224" i="1"/>
  <c r="AE223" i="1"/>
  <c r="M261" i="1"/>
  <c r="M262" i="1" s="1"/>
  <c r="M263" i="1" s="1"/>
  <c r="R109" i="1"/>
  <c r="R107" i="1"/>
  <c r="AE76" i="1"/>
  <c r="P241" i="1"/>
  <c r="U213" i="1"/>
  <c r="U207" i="1"/>
  <c r="AE254" i="1"/>
  <c r="AE253" i="1"/>
  <c r="O124" i="1"/>
  <c r="AG192" i="1"/>
  <c r="AG84" i="1"/>
  <c r="AG21" i="1"/>
  <c r="T215" i="1"/>
  <c r="T217" i="1"/>
  <c r="AE239" i="1"/>
  <c r="AE238" i="1"/>
  <c r="AD69" i="1"/>
  <c r="AD28" i="1"/>
  <c r="U225" i="1"/>
  <c r="U202" i="1"/>
  <c r="J161" i="1"/>
  <c r="J162" i="1" s="1"/>
  <c r="J68" i="1"/>
  <c r="AG191" i="1"/>
  <c r="AG83" i="1"/>
  <c r="AE131" i="1"/>
  <c r="AE212" i="1"/>
  <c r="AE211" i="1"/>
  <c r="AE204" i="1"/>
  <c r="AE177" i="1" s="1"/>
  <c r="AE203" i="1"/>
  <c r="R230" i="1"/>
  <c r="R228" i="1"/>
  <c r="L139" i="1"/>
  <c r="AE104" i="1"/>
  <c r="AE40" i="1" s="1"/>
  <c r="AE96" i="1"/>
  <c r="AE77" i="1" s="1"/>
  <c r="V205" i="1"/>
  <c r="V206" i="1" s="1"/>
  <c r="W201" i="1" s="1"/>
  <c r="V208" i="1"/>
  <c r="AD77" i="1"/>
  <c r="O245" i="1"/>
  <c r="O243" i="1"/>
  <c r="AE146" i="1"/>
  <c r="P119" i="1"/>
  <c r="Q114" i="1" s="1"/>
  <c r="T214" i="1"/>
  <c r="U210" i="1" s="1"/>
  <c r="U214" i="1" s="1"/>
  <c r="V210" i="1" s="1"/>
  <c r="AE185" i="1"/>
  <c r="AE184" i="1"/>
  <c r="N248" i="1"/>
  <c r="N256" i="1" s="1"/>
  <c r="S95" i="1"/>
  <c r="S100" i="1" s="1"/>
  <c r="AF265" i="1"/>
  <c r="AF235" i="1"/>
  <c r="AF250" i="1"/>
  <c r="AF220" i="1"/>
  <c r="AF190" i="1"/>
  <c r="AF195" i="1" s="1"/>
  <c r="AF174" i="1"/>
  <c r="AF200" i="1"/>
  <c r="AF142" i="1"/>
  <c r="AF157" i="1"/>
  <c r="AF127" i="1"/>
  <c r="AF112" i="1"/>
  <c r="AF66" i="1"/>
  <c r="AF45" i="1"/>
  <c r="AF51" i="1" s="1"/>
  <c r="AF92" i="1"/>
  <c r="AF82" i="1"/>
  <c r="AF87" i="1" s="1"/>
  <c r="AF39" i="1"/>
  <c r="AE116" i="1"/>
  <c r="M137" i="1"/>
  <c r="M135" i="1"/>
  <c r="Q233" i="1"/>
  <c r="K159" i="1"/>
  <c r="K160" i="1" s="1"/>
  <c r="K75" i="1" s="1"/>
  <c r="K79" i="1" s="1"/>
  <c r="S226" i="1"/>
  <c r="S227" i="1" s="1"/>
  <c r="T222" i="1" s="1"/>
  <c r="M134" i="1"/>
  <c r="N129" i="1" s="1"/>
  <c r="N260" i="1" l="1"/>
  <c r="N258" i="1"/>
  <c r="N257" i="1"/>
  <c r="O252" i="1" s="1"/>
  <c r="AF76" i="1"/>
  <c r="V225" i="1"/>
  <c r="V202" i="1"/>
  <c r="M267" i="1"/>
  <c r="AF131" i="1"/>
  <c r="K161" i="1"/>
  <c r="K162" i="1" s="1"/>
  <c r="K68" i="1"/>
  <c r="K71" i="1" s="1"/>
  <c r="S230" i="1"/>
  <c r="S228" i="1"/>
  <c r="S97" i="1"/>
  <c r="R110" i="1"/>
  <c r="W205" i="1"/>
  <c r="W206" i="1" s="1"/>
  <c r="X201" i="1" s="1"/>
  <c r="W208" i="1"/>
  <c r="T218" i="1"/>
  <c r="T226" i="1" s="1"/>
  <c r="P123" i="1"/>
  <c r="P132" i="1"/>
  <c r="S117" i="1"/>
  <c r="S94" i="1"/>
  <c r="AH192" i="1"/>
  <c r="AH84" i="1"/>
  <c r="AH21" i="1"/>
  <c r="L269" i="1"/>
  <c r="L270" i="1" s="1"/>
  <c r="L176" i="1"/>
  <c r="L179" i="1" s="1"/>
  <c r="AF212" i="1"/>
  <c r="AF211" i="1"/>
  <c r="AF204" i="1"/>
  <c r="AF177" i="1" s="1"/>
  <c r="AF203" i="1"/>
  <c r="AF184" i="1"/>
  <c r="O125" i="1"/>
  <c r="AF254" i="1"/>
  <c r="AF253" i="1"/>
  <c r="Q115" i="1"/>
  <c r="Q118" i="1" s="1"/>
  <c r="R240" i="1"/>
  <c r="R231" i="1"/>
  <c r="U217" i="1"/>
  <c r="U215" i="1"/>
  <c r="V213" i="1"/>
  <c r="V214" i="1" s="1"/>
  <c r="W210" i="1" s="1"/>
  <c r="V207" i="1"/>
  <c r="AG265" i="1"/>
  <c r="AG250" i="1"/>
  <c r="AG235" i="1"/>
  <c r="AG220" i="1"/>
  <c r="AG174" i="1"/>
  <c r="AG200" i="1"/>
  <c r="AG190" i="1"/>
  <c r="AG195" i="1" s="1"/>
  <c r="AG142" i="1"/>
  <c r="AG157" i="1"/>
  <c r="AG127" i="1"/>
  <c r="AG112" i="1"/>
  <c r="AG66" i="1"/>
  <c r="AG45" i="1"/>
  <c r="AG51" i="1" s="1"/>
  <c r="AG92" i="1"/>
  <c r="AG82" i="1"/>
  <c r="AG87" i="1" s="1"/>
  <c r="AG39" i="1"/>
  <c r="AE28" i="1"/>
  <c r="AE69" i="1"/>
  <c r="AH191" i="1"/>
  <c r="AH83" i="1"/>
  <c r="L140" i="1"/>
  <c r="L148" i="1" s="1"/>
  <c r="AF104" i="1"/>
  <c r="AF40" i="1" s="1"/>
  <c r="AF96" i="1"/>
  <c r="AF239" i="1"/>
  <c r="AF238" i="1"/>
  <c r="O246" i="1"/>
  <c r="O247" i="1" s="1"/>
  <c r="O255" i="1"/>
  <c r="P245" i="1"/>
  <c r="P243" i="1"/>
  <c r="AF116" i="1"/>
  <c r="AF146" i="1"/>
  <c r="AF224" i="1"/>
  <c r="AF223" i="1"/>
  <c r="J71" i="1"/>
  <c r="N130" i="1"/>
  <c r="N133" i="1" s="1"/>
  <c r="M138" i="1"/>
  <c r="M139" i="1" s="1"/>
  <c r="M147" i="1"/>
  <c r="P242" i="1"/>
  <c r="Q237" i="1" s="1"/>
  <c r="Q119" i="1" l="1"/>
  <c r="R114" i="1" s="1"/>
  <c r="M140" i="1"/>
  <c r="AH265" i="1"/>
  <c r="AH250" i="1"/>
  <c r="AH235" i="1"/>
  <c r="AH220" i="1"/>
  <c r="AH174" i="1"/>
  <c r="AH200" i="1"/>
  <c r="AH190" i="1"/>
  <c r="AH195" i="1" s="1"/>
  <c r="AH157" i="1"/>
  <c r="AH142" i="1"/>
  <c r="AH127" i="1"/>
  <c r="AH112" i="1"/>
  <c r="AH66" i="1"/>
  <c r="AH45" i="1"/>
  <c r="AH51" i="1" s="1"/>
  <c r="AH92" i="1"/>
  <c r="AH82" i="1"/>
  <c r="AH87" i="1" s="1"/>
  <c r="AH39" i="1"/>
  <c r="W214" i="1"/>
  <c r="X210" i="1" s="1"/>
  <c r="U218" i="1"/>
  <c r="N137" i="1"/>
  <c r="N135" i="1"/>
  <c r="Q241" i="1"/>
  <c r="P246" i="1"/>
  <c r="P255" i="1"/>
  <c r="R232" i="1"/>
  <c r="W207" i="1"/>
  <c r="W213" i="1"/>
  <c r="AG146" i="1"/>
  <c r="T230" i="1"/>
  <c r="T228" i="1"/>
  <c r="R115" i="1"/>
  <c r="R118" i="1" s="1"/>
  <c r="AI191" i="1"/>
  <c r="AI83" i="1"/>
  <c r="S105" i="1"/>
  <c r="S99" i="1"/>
  <c r="T227" i="1"/>
  <c r="U222" i="1" s="1"/>
  <c r="W225" i="1"/>
  <c r="W202" i="1"/>
  <c r="S240" i="1"/>
  <c r="S231" i="1"/>
  <c r="S232" i="1" s="1"/>
  <c r="AG223" i="1"/>
  <c r="AG224" i="1"/>
  <c r="O248" i="1"/>
  <c r="O256" i="1" s="1"/>
  <c r="O260" i="1" s="1"/>
  <c r="AG76" i="1"/>
  <c r="L152" i="1"/>
  <c r="L150" i="1"/>
  <c r="L149" i="1"/>
  <c r="M144" i="1" s="1"/>
  <c r="N134" i="1"/>
  <c r="O129" i="1" s="1"/>
  <c r="AG211" i="1"/>
  <c r="AG212" i="1"/>
  <c r="AG204" i="1"/>
  <c r="AG177" i="1" s="1"/>
  <c r="AG203" i="1"/>
  <c r="AG184" i="1"/>
  <c r="AF185" i="1"/>
  <c r="X208" i="1"/>
  <c r="X205" i="1"/>
  <c r="X206" i="1" s="1"/>
  <c r="Y201" i="1" s="1"/>
  <c r="AG96" i="1"/>
  <c r="AG77" i="1" s="1"/>
  <c r="AG104" i="1"/>
  <c r="AG40" i="1" s="1"/>
  <c r="AG253" i="1"/>
  <c r="AG254" i="1"/>
  <c r="AF69" i="1"/>
  <c r="AF28" i="1"/>
  <c r="Q122" i="1"/>
  <c r="Q120" i="1"/>
  <c r="AG116" i="1"/>
  <c r="V217" i="1"/>
  <c r="V215" i="1"/>
  <c r="M176" i="1"/>
  <c r="M179" i="1" s="1"/>
  <c r="AI192" i="1"/>
  <c r="AI84" i="1"/>
  <c r="AI21" i="1"/>
  <c r="S98" i="1"/>
  <c r="T93" i="1" s="1"/>
  <c r="AG239" i="1"/>
  <c r="AG238" i="1"/>
  <c r="AG131" i="1"/>
  <c r="P124" i="1"/>
  <c r="M268" i="1"/>
  <c r="M183" i="1" s="1"/>
  <c r="M187" i="1" s="1"/>
  <c r="AF77" i="1"/>
  <c r="N261" i="1"/>
  <c r="M269" i="1" l="1"/>
  <c r="M270" i="1" s="1"/>
  <c r="S233" i="1"/>
  <c r="R122" i="1"/>
  <c r="R120" i="1"/>
  <c r="M145" i="1"/>
  <c r="M148" i="1" s="1"/>
  <c r="AH253" i="1"/>
  <c r="AH254" i="1"/>
  <c r="X213" i="1"/>
  <c r="X214" i="1" s="1"/>
  <c r="Y210" i="1" s="1"/>
  <c r="X207" i="1"/>
  <c r="R233" i="1"/>
  <c r="Q245" i="1"/>
  <c r="Q243" i="1"/>
  <c r="AH76" i="1"/>
  <c r="AH223" i="1"/>
  <c r="AH224" i="1"/>
  <c r="AH116" i="1"/>
  <c r="Y205" i="1"/>
  <c r="Y208" i="1"/>
  <c r="Y206" i="1"/>
  <c r="Z201" i="1" s="1"/>
  <c r="X225" i="1"/>
  <c r="X202" i="1"/>
  <c r="AH104" i="1"/>
  <c r="AH40" i="1" s="1"/>
  <c r="AH96" i="1"/>
  <c r="W217" i="1"/>
  <c r="W215" i="1"/>
  <c r="L153" i="1"/>
  <c r="L154" i="1" s="1"/>
  <c r="L155" i="1" s="1"/>
  <c r="AJ192" i="1"/>
  <c r="AJ84" i="1"/>
  <c r="AJ21" i="1"/>
  <c r="O261" i="1"/>
  <c r="O262" i="1" s="1"/>
  <c r="O263" i="1" s="1"/>
  <c r="AI265" i="1"/>
  <c r="AI250" i="1"/>
  <c r="AI235" i="1"/>
  <c r="AI220" i="1"/>
  <c r="AI200" i="1"/>
  <c r="AI174" i="1"/>
  <c r="AI190" i="1"/>
  <c r="AI195" i="1" s="1"/>
  <c r="AI157" i="1"/>
  <c r="AI142" i="1"/>
  <c r="AI127" i="1"/>
  <c r="AI112" i="1"/>
  <c r="AI66" i="1"/>
  <c r="AI92" i="1"/>
  <c r="AI82" i="1"/>
  <c r="AI87" i="1" s="1"/>
  <c r="AI39" i="1"/>
  <c r="AI45" i="1"/>
  <c r="AI51" i="1" s="1"/>
  <c r="O257" i="1"/>
  <c r="P252" i="1" s="1"/>
  <c r="AH131" i="1"/>
  <c r="AH211" i="1"/>
  <c r="AH212" i="1"/>
  <c r="AH204" i="1"/>
  <c r="AH177" i="1" s="1"/>
  <c r="AH203" i="1"/>
  <c r="T240" i="1"/>
  <c r="T231" i="1"/>
  <c r="T232" i="1" s="1"/>
  <c r="AH238" i="1"/>
  <c r="AH239" i="1"/>
  <c r="AG69" i="1"/>
  <c r="AG28" i="1"/>
  <c r="U226" i="1"/>
  <c r="Q123" i="1"/>
  <c r="Q124" i="1" s="1"/>
  <c r="Q132" i="1"/>
  <c r="AJ191" i="1"/>
  <c r="AJ83" i="1"/>
  <c r="AG185" i="1"/>
  <c r="N138" i="1"/>
  <c r="N139" i="1" s="1"/>
  <c r="N147" i="1"/>
  <c r="AH146" i="1"/>
  <c r="R119" i="1"/>
  <c r="S114" i="1" s="1"/>
  <c r="AH184" i="1"/>
  <c r="P125" i="1"/>
  <c r="O130" i="1"/>
  <c r="V218" i="1"/>
  <c r="T95" i="1"/>
  <c r="T97" i="1" s="1"/>
  <c r="S107" i="1"/>
  <c r="S109" i="1"/>
  <c r="S106" i="1"/>
  <c r="T102" i="1" s="1"/>
  <c r="Q242" i="1"/>
  <c r="R237" i="1" s="1"/>
  <c r="N262" i="1"/>
  <c r="N263" i="1" s="1"/>
  <c r="O258" i="1"/>
  <c r="P247" i="1"/>
  <c r="M149" i="1" l="1"/>
  <c r="N144" i="1" s="1"/>
  <c r="N145" i="1" s="1"/>
  <c r="T105" i="1"/>
  <c r="T99" i="1"/>
  <c r="L159" i="1"/>
  <c r="L160" i="1" s="1"/>
  <c r="L75" i="1" s="1"/>
  <c r="L79" i="1" s="1"/>
  <c r="M152" i="1"/>
  <c r="M150" i="1"/>
  <c r="O133" i="1"/>
  <c r="O134" i="1" s="1"/>
  <c r="P129" i="1" s="1"/>
  <c r="AK192" i="1"/>
  <c r="AK84" i="1"/>
  <c r="AK21" i="1"/>
  <c r="AJ265" i="1"/>
  <c r="AJ250" i="1"/>
  <c r="AJ220" i="1"/>
  <c r="AJ235" i="1"/>
  <c r="AJ200" i="1"/>
  <c r="AJ190" i="1"/>
  <c r="AJ195" i="1" s="1"/>
  <c r="AJ157" i="1"/>
  <c r="AJ174" i="1"/>
  <c r="AJ142" i="1"/>
  <c r="AJ112" i="1"/>
  <c r="AJ127" i="1"/>
  <c r="AJ92" i="1"/>
  <c r="AJ82" i="1"/>
  <c r="AJ87" i="1" s="1"/>
  <c r="AJ39" i="1"/>
  <c r="AJ66" i="1"/>
  <c r="AJ45" i="1"/>
  <c r="AJ51" i="1" s="1"/>
  <c r="Q246" i="1"/>
  <c r="Q247" i="1" s="1"/>
  <c r="Q255" i="1"/>
  <c r="AI131" i="1"/>
  <c r="Q125" i="1"/>
  <c r="AI146" i="1"/>
  <c r="T100" i="1"/>
  <c r="T98" i="1"/>
  <c r="U93" i="1" s="1"/>
  <c r="AI223" i="1"/>
  <c r="AI224" i="1"/>
  <c r="R132" i="1"/>
  <c r="R123" i="1"/>
  <c r="O267" i="1"/>
  <c r="O268" i="1" s="1"/>
  <c r="O183" i="1" s="1"/>
  <c r="O187" i="1" s="1"/>
  <c r="Z208" i="1"/>
  <c r="Z205" i="1"/>
  <c r="Z206" i="1" s="1"/>
  <c r="AA201" i="1" s="1"/>
  <c r="X217" i="1"/>
  <c r="X215" i="1"/>
  <c r="Y225" i="1"/>
  <c r="Y202" i="1"/>
  <c r="S115" i="1"/>
  <c r="T233" i="1"/>
  <c r="N140" i="1"/>
  <c r="P248" i="1"/>
  <c r="P256" i="1" s="1"/>
  <c r="AI211" i="1"/>
  <c r="AI212" i="1"/>
  <c r="AI204" i="1"/>
  <c r="AI177" i="1" s="1"/>
  <c r="AI203" i="1"/>
  <c r="AK191" i="1"/>
  <c r="AK83" i="1"/>
  <c r="AH69" i="1"/>
  <c r="AH28" i="1"/>
  <c r="R241" i="1"/>
  <c r="R242" i="1" s="1"/>
  <c r="S237" i="1" s="1"/>
  <c r="AH185" i="1"/>
  <c r="Y213" i="1"/>
  <c r="Y214" i="1" s="1"/>
  <c r="Z210" i="1" s="1"/>
  <c r="Y207" i="1"/>
  <c r="U230" i="1"/>
  <c r="U228" i="1"/>
  <c r="U227" i="1"/>
  <c r="V222" i="1" s="1"/>
  <c r="AI238" i="1"/>
  <c r="AI239" i="1"/>
  <c r="AI253" i="1"/>
  <c r="AI254" i="1"/>
  <c r="T103" i="1"/>
  <c r="AI76" i="1"/>
  <c r="W218" i="1"/>
  <c r="AH77" i="1"/>
  <c r="AI184" i="1"/>
  <c r="AI96" i="1"/>
  <c r="AI104" i="1"/>
  <c r="AI40" i="1" s="1"/>
  <c r="N267" i="1"/>
  <c r="N268" i="1" s="1"/>
  <c r="N183" i="1" s="1"/>
  <c r="N187" i="1" s="1"/>
  <c r="S110" i="1"/>
  <c r="AI116" i="1"/>
  <c r="T106" i="1" l="1"/>
  <c r="U102" i="1" s="1"/>
  <c r="AI185" i="1"/>
  <c r="S118" i="1"/>
  <c r="S119" i="1" s="1"/>
  <c r="T114" i="1" s="1"/>
  <c r="N148" i="1"/>
  <c r="N152" i="1" s="1"/>
  <c r="N153" i="1" s="1"/>
  <c r="N154" i="1" s="1"/>
  <c r="N155" i="1" s="1"/>
  <c r="Q248" i="1"/>
  <c r="P260" i="1"/>
  <c r="P258" i="1"/>
  <c r="P257" i="1"/>
  <c r="Q252" i="1" s="1"/>
  <c r="S122" i="1"/>
  <c r="S120" i="1"/>
  <c r="AA208" i="1"/>
  <c r="AA205" i="1"/>
  <c r="O269" i="1"/>
  <c r="O270" i="1" s="1"/>
  <c r="O176" i="1"/>
  <c r="O179" i="1" s="1"/>
  <c r="S241" i="1"/>
  <c r="P130" i="1"/>
  <c r="P133" i="1" s="1"/>
  <c r="M153" i="1"/>
  <c r="M154" i="1" s="1"/>
  <c r="M155" i="1" s="1"/>
  <c r="AJ223" i="1"/>
  <c r="AJ224" i="1"/>
  <c r="AJ104" i="1"/>
  <c r="AJ40" i="1" s="1"/>
  <c r="AJ96" i="1"/>
  <c r="AK265" i="1"/>
  <c r="AK250" i="1"/>
  <c r="AK220" i="1"/>
  <c r="AK235" i="1"/>
  <c r="AK190" i="1"/>
  <c r="AK195" i="1" s="1"/>
  <c r="AK200" i="1"/>
  <c r="AK142" i="1"/>
  <c r="AK157" i="1"/>
  <c r="AK174" i="1"/>
  <c r="AK112" i="1"/>
  <c r="AK127" i="1"/>
  <c r="AK82" i="1"/>
  <c r="AK87" i="1" s="1"/>
  <c r="AK92" i="1"/>
  <c r="AK39" i="1"/>
  <c r="AK66" i="1"/>
  <c r="AK45" i="1"/>
  <c r="AK51" i="1" s="1"/>
  <c r="AJ131" i="1"/>
  <c r="AL192" i="1"/>
  <c r="AL84" i="1"/>
  <c r="AL21" i="1"/>
  <c r="U95" i="1"/>
  <c r="U100" i="1" s="1"/>
  <c r="AJ116" i="1"/>
  <c r="L161" i="1"/>
  <c r="L162" i="1" s="1"/>
  <c r="L68" i="1"/>
  <c r="L71" i="1" s="1"/>
  <c r="AJ204" i="1"/>
  <c r="AJ177" i="1" s="1"/>
  <c r="AJ211" i="1"/>
  <c r="AJ212" i="1"/>
  <c r="AJ203" i="1"/>
  <c r="R245" i="1"/>
  <c r="R243" i="1"/>
  <c r="R124" i="1"/>
  <c r="AL191" i="1"/>
  <c r="AL83" i="1"/>
  <c r="U240" i="1"/>
  <c r="U231" i="1"/>
  <c r="Z225" i="1"/>
  <c r="Z202" i="1"/>
  <c r="T117" i="1"/>
  <c r="T94" i="1"/>
  <c r="AJ76" i="1"/>
  <c r="AJ146" i="1"/>
  <c r="AJ253" i="1"/>
  <c r="AJ254" i="1"/>
  <c r="AI28" i="1"/>
  <c r="AI69" i="1"/>
  <c r="AJ184" i="1"/>
  <c r="O137" i="1"/>
  <c r="O135" i="1"/>
  <c r="AJ238" i="1"/>
  <c r="AJ239" i="1"/>
  <c r="X218" i="1"/>
  <c r="N269" i="1"/>
  <c r="N270" i="1" s="1"/>
  <c r="N176" i="1"/>
  <c r="N179" i="1" s="1"/>
  <c r="U103" i="1"/>
  <c r="V226" i="1"/>
  <c r="Z213" i="1"/>
  <c r="Z207" i="1"/>
  <c r="Y217" i="1"/>
  <c r="Y215" i="1"/>
  <c r="AI77" i="1"/>
  <c r="T109" i="1"/>
  <c r="T107" i="1"/>
  <c r="U97" i="1" l="1"/>
  <c r="AJ185" i="1"/>
  <c r="N150" i="1"/>
  <c r="N149" i="1"/>
  <c r="O144" i="1" s="1"/>
  <c r="O145" i="1" s="1"/>
  <c r="U98" i="1"/>
  <c r="V93" i="1" s="1"/>
  <c r="V95" i="1" s="1"/>
  <c r="V97" i="1" s="1"/>
  <c r="N159" i="1"/>
  <c r="AK223" i="1"/>
  <c r="AK224" i="1"/>
  <c r="T115" i="1"/>
  <c r="AJ69" i="1"/>
  <c r="AJ28" i="1"/>
  <c r="V230" i="1"/>
  <c r="V228" i="1"/>
  <c r="P261" i="1"/>
  <c r="P262" i="1" s="1"/>
  <c r="P263" i="1" s="1"/>
  <c r="T110" i="1"/>
  <c r="Q256" i="1"/>
  <c r="Q257" i="1" s="1"/>
  <c r="R252" i="1" s="1"/>
  <c r="M159" i="1"/>
  <c r="S132" i="1"/>
  <c r="S123" i="1"/>
  <c r="S124" i="1" s="1"/>
  <c r="AM191" i="1"/>
  <c r="AM83" i="1"/>
  <c r="AK104" i="1"/>
  <c r="AK40" i="1" s="1"/>
  <c r="AK96" i="1"/>
  <c r="AK77" i="1" s="1"/>
  <c r="R125" i="1"/>
  <c r="S245" i="1"/>
  <c r="S243" i="1"/>
  <c r="V227" i="1"/>
  <c r="W222" i="1" s="1"/>
  <c r="AK116" i="1"/>
  <c r="AJ77" i="1"/>
  <c r="AK146" i="1"/>
  <c r="AL265" i="1"/>
  <c r="AL235" i="1"/>
  <c r="AL250" i="1"/>
  <c r="AL220" i="1"/>
  <c r="AL190" i="1"/>
  <c r="AL195" i="1" s="1"/>
  <c r="AL200" i="1"/>
  <c r="AL142" i="1"/>
  <c r="AL157" i="1"/>
  <c r="AL174" i="1"/>
  <c r="AL112" i="1"/>
  <c r="AL82" i="1"/>
  <c r="AL87" i="1" s="1"/>
  <c r="AL92" i="1"/>
  <c r="AL127" i="1"/>
  <c r="AL66" i="1"/>
  <c r="AL39" i="1"/>
  <c r="AL45" i="1"/>
  <c r="AL51" i="1" s="1"/>
  <c r="AK204" i="1"/>
  <c r="AK177" i="1" s="1"/>
  <c r="AK203" i="1"/>
  <c r="AK211" i="1"/>
  <c r="AK212" i="1"/>
  <c r="P137" i="1"/>
  <c r="P135" i="1"/>
  <c r="AA213" i="1"/>
  <c r="AA207" i="1"/>
  <c r="AK253" i="1"/>
  <c r="AK254" i="1"/>
  <c r="AK131" i="1"/>
  <c r="U117" i="1"/>
  <c r="U94" i="1"/>
  <c r="S242" i="1"/>
  <c r="T237" i="1" s="1"/>
  <c r="O138" i="1"/>
  <c r="O139" i="1" s="1"/>
  <c r="O147" i="1"/>
  <c r="R246" i="1"/>
  <c r="R247" i="1" s="1"/>
  <c r="R255" i="1"/>
  <c r="AM192" i="1"/>
  <c r="AM84" i="1"/>
  <c r="AM21" i="1"/>
  <c r="P134" i="1"/>
  <c r="Q129" i="1" s="1"/>
  <c r="AA206" i="1"/>
  <c r="AB201" i="1" s="1"/>
  <c r="Z217" i="1"/>
  <c r="Z215" i="1"/>
  <c r="AK184" i="1"/>
  <c r="U105" i="1"/>
  <c r="U99" i="1"/>
  <c r="AK76" i="1"/>
  <c r="Y218" i="1"/>
  <c r="U232" i="1"/>
  <c r="Z214" i="1"/>
  <c r="AA210" i="1" s="1"/>
  <c r="AK239" i="1"/>
  <c r="AK238" i="1"/>
  <c r="AA225" i="1"/>
  <c r="AA202" i="1"/>
  <c r="V99" i="1" l="1"/>
  <c r="V105" i="1"/>
  <c r="V98" i="1"/>
  <c r="W93" i="1" s="1"/>
  <c r="O140" i="1"/>
  <c r="O148" i="1" s="1"/>
  <c r="O152" i="1" s="1"/>
  <c r="S125" i="1"/>
  <c r="AM265" i="1"/>
  <c r="AM235" i="1"/>
  <c r="AM250" i="1"/>
  <c r="AM220" i="1"/>
  <c r="AM190" i="1"/>
  <c r="AM195" i="1" s="1"/>
  <c r="AM200" i="1"/>
  <c r="AM157" i="1"/>
  <c r="AM174" i="1"/>
  <c r="AM142" i="1"/>
  <c r="AM112" i="1"/>
  <c r="AM127" i="1"/>
  <c r="AM82" i="1"/>
  <c r="AM87" i="1" s="1"/>
  <c r="AM92" i="1"/>
  <c r="AM39" i="1"/>
  <c r="AM66" i="1"/>
  <c r="AM45" i="1"/>
  <c r="AM51" i="1" s="1"/>
  <c r="AL104" i="1"/>
  <c r="AL40" i="1" s="1"/>
  <c r="AL96" i="1"/>
  <c r="AL77" i="1" s="1"/>
  <c r="AN192" i="1"/>
  <c r="AN84" i="1"/>
  <c r="AN21" i="1"/>
  <c r="AL146" i="1"/>
  <c r="AA217" i="1"/>
  <c r="AA215" i="1"/>
  <c r="U109" i="1"/>
  <c r="U107" i="1"/>
  <c r="U106" i="1"/>
  <c r="V102" i="1" s="1"/>
  <c r="P267" i="1"/>
  <c r="P268" i="1" s="1"/>
  <c r="P183" i="1" s="1"/>
  <c r="P187" i="1" s="1"/>
  <c r="N68" i="1"/>
  <c r="N71" i="1" s="1"/>
  <c r="AL116" i="1"/>
  <c r="AK185" i="1"/>
  <c r="AK69" i="1"/>
  <c r="AK28" i="1"/>
  <c r="N160" i="1"/>
  <c r="N75" i="1" s="1"/>
  <c r="N79" i="1" s="1"/>
  <c r="AN191" i="1"/>
  <c r="AN83" i="1"/>
  <c r="AL184" i="1"/>
  <c r="P138" i="1"/>
  <c r="P147" i="1"/>
  <c r="Z218" i="1"/>
  <c r="AL76" i="1"/>
  <c r="AL253" i="1"/>
  <c r="AL254" i="1"/>
  <c r="Q260" i="1"/>
  <c r="Q258" i="1"/>
  <c r="W226" i="1"/>
  <c r="T118" i="1"/>
  <c r="V100" i="1"/>
  <c r="S246" i="1"/>
  <c r="S255" i="1"/>
  <c r="T241" i="1"/>
  <c r="T242" i="1" s="1"/>
  <c r="U237" i="1" s="1"/>
  <c r="AL204" i="1"/>
  <c r="AL177" i="1" s="1"/>
  <c r="AL203" i="1"/>
  <c r="AL211" i="1"/>
  <c r="AL212" i="1"/>
  <c r="AB205" i="1"/>
  <c r="AB206" i="1" s="1"/>
  <c r="AC201" i="1" s="1"/>
  <c r="AB208" i="1"/>
  <c r="AL239" i="1"/>
  <c r="AL238" i="1"/>
  <c r="M68" i="1"/>
  <c r="M71" i="1" s="1"/>
  <c r="AA214" i="1"/>
  <c r="AB210" i="1" s="1"/>
  <c r="R248" i="1"/>
  <c r="R256" i="1" s="1"/>
  <c r="U233" i="1"/>
  <c r="AL224" i="1"/>
  <c r="AL223" i="1"/>
  <c r="Q130" i="1"/>
  <c r="Q133" i="1" s="1"/>
  <c r="AL131" i="1"/>
  <c r="M160" i="1"/>
  <c r="M75" i="1" s="1"/>
  <c r="M79" i="1" s="1"/>
  <c r="V231" i="1"/>
  <c r="V232" i="1" s="1"/>
  <c r="V240" i="1"/>
  <c r="AL185" i="1" l="1"/>
  <c r="Q134" i="1"/>
  <c r="R129" i="1" s="1"/>
  <c r="M161" i="1"/>
  <c r="M162" i="1" s="1"/>
  <c r="O149" i="1"/>
  <c r="P144" i="1" s="1"/>
  <c r="AC208" i="1"/>
  <c r="AC205" i="1"/>
  <c r="AC206" i="1" s="1"/>
  <c r="AD201" i="1" s="1"/>
  <c r="R260" i="1"/>
  <c r="R257" i="1"/>
  <c r="S252" i="1" s="1"/>
  <c r="R258" i="1"/>
  <c r="R130" i="1"/>
  <c r="R133" i="1" s="1"/>
  <c r="AO191" i="1"/>
  <c r="AO83" i="1"/>
  <c r="O153" i="1"/>
  <c r="O154" i="1" s="1"/>
  <c r="O155" i="1" s="1"/>
  <c r="V233" i="1"/>
  <c r="V109" i="1"/>
  <c r="V107" i="1"/>
  <c r="AM184" i="1"/>
  <c r="U241" i="1"/>
  <c r="U242" i="1" s="1"/>
  <c r="V237" i="1" s="1"/>
  <c r="N161" i="1"/>
  <c r="N162" i="1" s="1"/>
  <c r="AM239" i="1"/>
  <c r="AM238" i="1"/>
  <c r="Q261" i="1"/>
  <c r="Q262" i="1" s="1"/>
  <c r="Q263" i="1" s="1"/>
  <c r="P145" i="1"/>
  <c r="U110" i="1"/>
  <c r="T245" i="1"/>
  <c r="T243" i="1"/>
  <c r="AN265" i="1"/>
  <c r="AN250" i="1"/>
  <c r="AN235" i="1"/>
  <c r="AN220" i="1"/>
  <c r="AN200" i="1"/>
  <c r="AN157" i="1"/>
  <c r="AN190" i="1"/>
  <c r="AN195" i="1" s="1"/>
  <c r="AN174" i="1"/>
  <c r="AN142" i="1"/>
  <c r="AN127" i="1"/>
  <c r="AN92" i="1"/>
  <c r="AN112" i="1"/>
  <c r="AN39" i="1"/>
  <c r="AN82" i="1"/>
  <c r="AN87" i="1" s="1"/>
  <c r="AN66" i="1"/>
  <c r="AN45" i="1"/>
  <c r="AN51" i="1" s="1"/>
  <c r="AM104" i="1"/>
  <c r="AM40" i="1" s="1"/>
  <c r="AM96" i="1"/>
  <c r="Q137" i="1"/>
  <c r="Q135" i="1"/>
  <c r="AL69" i="1"/>
  <c r="AL28" i="1"/>
  <c r="W95" i="1"/>
  <c r="W97" i="1" s="1"/>
  <c r="AB225" i="1"/>
  <c r="AB202" i="1"/>
  <c r="AO192" i="1"/>
  <c r="AO84" i="1"/>
  <c r="AO21" i="1"/>
  <c r="W230" i="1"/>
  <c r="W228" i="1"/>
  <c r="AM131" i="1"/>
  <c r="AM203" i="1"/>
  <c r="AM211" i="1"/>
  <c r="AM212" i="1"/>
  <c r="AM204" i="1"/>
  <c r="AM177" i="1" s="1"/>
  <c r="AM76" i="1"/>
  <c r="AM254" i="1"/>
  <c r="AM253" i="1"/>
  <c r="AB213" i="1"/>
  <c r="AB214" i="1" s="1"/>
  <c r="AC210" i="1" s="1"/>
  <c r="AB207" i="1"/>
  <c r="V117" i="1"/>
  <c r="V94" i="1"/>
  <c r="T122" i="1"/>
  <c r="T120" i="1"/>
  <c r="W227" i="1"/>
  <c r="X222" i="1" s="1"/>
  <c r="AM116" i="1"/>
  <c r="O150" i="1"/>
  <c r="P139" i="1"/>
  <c r="AM224" i="1"/>
  <c r="AM223" i="1"/>
  <c r="AA218" i="1"/>
  <c r="S247" i="1"/>
  <c r="P269" i="1"/>
  <c r="P270" i="1" s="1"/>
  <c r="P176" i="1"/>
  <c r="P179" i="1" s="1"/>
  <c r="V103" i="1"/>
  <c r="V106" i="1" s="1"/>
  <c r="W102" i="1" s="1"/>
  <c r="AM146" i="1"/>
  <c r="T119" i="1"/>
  <c r="U114" i="1" s="1"/>
  <c r="O159" i="1" l="1"/>
  <c r="W103" i="1"/>
  <c r="W105" i="1"/>
  <c r="W99" i="1"/>
  <c r="W98" i="1"/>
  <c r="X93" i="1" s="1"/>
  <c r="V241" i="1"/>
  <c r="V242" i="1" s="1"/>
  <c r="W237" i="1" s="1"/>
  <c r="AD208" i="1"/>
  <c r="AD205" i="1"/>
  <c r="Q267" i="1"/>
  <c r="V110" i="1"/>
  <c r="X226" i="1"/>
  <c r="X227" i="1" s="1"/>
  <c r="Y222" i="1" s="1"/>
  <c r="W231" i="1"/>
  <c r="W232" i="1" s="1"/>
  <c r="W240" i="1"/>
  <c r="R261" i="1"/>
  <c r="R262" i="1" s="1"/>
  <c r="R263" i="1" s="1"/>
  <c r="AC225" i="1"/>
  <c r="AC202" i="1"/>
  <c r="W100" i="1"/>
  <c r="AP191" i="1"/>
  <c r="AP83" i="1"/>
  <c r="AM69" i="1"/>
  <c r="AM28" i="1"/>
  <c r="AP192" i="1"/>
  <c r="AP84" i="1"/>
  <c r="AP21" i="1"/>
  <c r="U115" i="1"/>
  <c r="T132" i="1"/>
  <c r="T123" i="1"/>
  <c r="AN239" i="1"/>
  <c r="AN238" i="1"/>
  <c r="AN254" i="1"/>
  <c r="AN253" i="1"/>
  <c r="AN116" i="1"/>
  <c r="S248" i="1"/>
  <c r="S256" i="1" s="1"/>
  <c r="AN104" i="1"/>
  <c r="AN40" i="1" s="1"/>
  <c r="AN96" i="1"/>
  <c r="T246" i="1"/>
  <c r="T255" i="1"/>
  <c r="R137" i="1"/>
  <c r="R135" i="1"/>
  <c r="AN184" i="1"/>
  <c r="AM77" i="1"/>
  <c r="AN76" i="1"/>
  <c r="AN224" i="1"/>
  <c r="AN223" i="1"/>
  <c r="U245" i="1"/>
  <c r="U243" i="1"/>
  <c r="AN131" i="1"/>
  <c r="R134" i="1"/>
  <c r="S129" i="1" s="1"/>
  <c r="P140" i="1"/>
  <c r="P148" i="1" s="1"/>
  <c r="AO265" i="1"/>
  <c r="AO250" i="1"/>
  <c r="AO235" i="1"/>
  <c r="AO220" i="1"/>
  <c r="AO157" i="1"/>
  <c r="AO200" i="1"/>
  <c r="AO190" i="1"/>
  <c r="AO195" i="1" s="1"/>
  <c r="AO174" i="1"/>
  <c r="AO142" i="1"/>
  <c r="AO127" i="1"/>
  <c r="AO112" i="1"/>
  <c r="AO39" i="1"/>
  <c r="AO92" i="1"/>
  <c r="AO82" i="1"/>
  <c r="AO87" i="1" s="1"/>
  <c r="AO45" i="1"/>
  <c r="AO51" i="1" s="1"/>
  <c r="AO66" i="1"/>
  <c r="AN212" i="1"/>
  <c r="AN211" i="1"/>
  <c r="AN203" i="1"/>
  <c r="AN204" i="1"/>
  <c r="AN177" i="1" s="1"/>
  <c r="AC213" i="1"/>
  <c r="AC214" i="1" s="1"/>
  <c r="AD210" i="1" s="1"/>
  <c r="AC207" i="1"/>
  <c r="Q138" i="1"/>
  <c r="Q139" i="1" s="1"/>
  <c r="Q147" i="1"/>
  <c r="AB217" i="1"/>
  <c r="AB215" i="1"/>
  <c r="AN146" i="1"/>
  <c r="AM185" i="1"/>
  <c r="AN185" i="1" l="1"/>
  <c r="U118" i="1"/>
  <c r="U119" i="1" s="1"/>
  <c r="V114" i="1" s="1"/>
  <c r="W106" i="1"/>
  <c r="X102" i="1" s="1"/>
  <c r="S260" i="1"/>
  <c r="S258" i="1"/>
  <c r="S257" i="1"/>
  <c r="T252" i="1" s="1"/>
  <c r="W233" i="1"/>
  <c r="W241" i="1" s="1"/>
  <c r="X103" i="1"/>
  <c r="P152" i="1"/>
  <c r="P150" i="1"/>
  <c r="P149" i="1"/>
  <c r="Q144" i="1" s="1"/>
  <c r="U122" i="1"/>
  <c r="V245" i="1"/>
  <c r="V243" i="1"/>
  <c r="W109" i="1"/>
  <c r="W107" i="1"/>
  <c r="Q176" i="1"/>
  <c r="Q179" i="1" s="1"/>
  <c r="Q140" i="1"/>
  <c r="AQ192" i="1"/>
  <c r="AQ84" i="1"/>
  <c r="AQ21" i="1"/>
  <c r="AC217" i="1"/>
  <c r="AC215" i="1"/>
  <c r="Y226" i="1"/>
  <c r="Y227" i="1" s="1"/>
  <c r="Z222" i="1" s="1"/>
  <c r="Q268" i="1"/>
  <c r="Q183" i="1" s="1"/>
  <c r="Q187" i="1" s="1"/>
  <c r="X95" i="1"/>
  <c r="X100" i="1" s="1"/>
  <c r="X230" i="1"/>
  <c r="X228" i="1"/>
  <c r="AP265" i="1"/>
  <c r="AP250" i="1"/>
  <c r="AP200" i="1"/>
  <c r="AP235" i="1"/>
  <c r="AP220" i="1"/>
  <c r="AP157" i="1"/>
  <c r="AP190" i="1"/>
  <c r="AP195" i="1" s="1"/>
  <c r="AP174" i="1"/>
  <c r="AP127" i="1"/>
  <c r="AP142" i="1"/>
  <c r="AP112" i="1"/>
  <c r="AP92" i="1"/>
  <c r="AP82" i="1"/>
  <c r="AP87" i="1" s="1"/>
  <c r="AP45" i="1"/>
  <c r="AP51" i="1" s="1"/>
  <c r="AP66" i="1"/>
  <c r="AP39" i="1"/>
  <c r="S130" i="1"/>
  <c r="U246" i="1"/>
  <c r="U255" i="1"/>
  <c r="AN69" i="1"/>
  <c r="AN28" i="1"/>
  <c r="AB218" i="1"/>
  <c r="AO104" i="1"/>
  <c r="AO40" i="1" s="1"/>
  <c r="AO96" i="1"/>
  <c r="AO77" i="1" s="1"/>
  <c r="AO238" i="1"/>
  <c r="AO239" i="1"/>
  <c r="AD213" i="1"/>
  <c r="AD207" i="1"/>
  <c r="AO116" i="1"/>
  <c r="W117" i="1"/>
  <c r="W94" i="1"/>
  <c r="AO131" i="1"/>
  <c r="AO146" i="1"/>
  <c r="AO212" i="1"/>
  <c r="AO211" i="1"/>
  <c r="AO203" i="1"/>
  <c r="AO204" i="1"/>
  <c r="AO177" i="1" s="1"/>
  <c r="R138" i="1"/>
  <c r="R147" i="1"/>
  <c r="T124" i="1"/>
  <c r="AO254" i="1"/>
  <c r="AO253" i="1"/>
  <c r="AQ191" i="1"/>
  <c r="AQ83" i="1"/>
  <c r="AD206" i="1"/>
  <c r="AE201" i="1" s="1"/>
  <c r="O68" i="1"/>
  <c r="O71" i="1" s="1"/>
  <c r="R267" i="1"/>
  <c r="R268" i="1" s="1"/>
  <c r="R183" i="1" s="1"/>
  <c r="R187" i="1" s="1"/>
  <c r="AO184" i="1"/>
  <c r="AO76" i="1"/>
  <c r="AO224" i="1"/>
  <c r="AO223" i="1"/>
  <c r="AN77" i="1"/>
  <c r="T247" i="1"/>
  <c r="AD225" i="1"/>
  <c r="AD202" i="1"/>
  <c r="O160" i="1"/>
  <c r="O75" i="1" s="1"/>
  <c r="O79" i="1" s="1"/>
  <c r="Q269" i="1" l="1"/>
  <c r="Q270" i="1" s="1"/>
  <c r="X97" i="1"/>
  <c r="U120" i="1"/>
  <c r="V115" i="1"/>
  <c r="V118" i="1" s="1"/>
  <c r="AO185" i="1"/>
  <c r="X117" i="1"/>
  <c r="X94" i="1"/>
  <c r="W245" i="1"/>
  <c r="W243" i="1"/>
  <c r="W242" i="1"/>
  <c r="X237" i="1" s="1"/>
  <c r="AP76" i="1"/>
  <c r="AP238" i="1"/>
  <c r="AP239" i="1"/>
  <c r="Y230" i="1"/>
  <c r="Y228" i="1"/>
  <c r="AD215" i="1"/>
  <c r="AD217" i="1"/>
  <c r="AP116" i="1"/>
  <c r="X231" i="1"/>
  <c r="X240" i="1"/>
  <c r="S261" i="1"/>
  <c r="S262" i="1"/>
  <c r="S263" i="1" s="1"/>
  <c r="AQ265" i="1"/>
  <c r="AQ250" i="1"/>
  <c r="AQ235" i="1"/>
  <c r="AQ220" i="1"/>
  <c r="AQ200" i="1"/>
  <c r="AQ174" i="1"/>
  <c r="AQ190" i="1"/>
  <c r="AQ195" i="1" s="1"/>
  <c r="AQ157" i="1"/>
  <c r="AQ127" i="1"/>
  <c r="AQ142" i="1"/>
  <c r="AQ112" i="1"/>
  <c r="AQ92" i="1"/>
  <c r="AQ82" i="1"/>
  <c r="AQ87" i="1" s="1"/>
  <c r="AQ66" i="1"/>
  <c r="AQ39" i="1"/>
  <c r="AQ45" i="1"/>
  <c r="AQ51" i="1" s="1"/>
  <c r="P153" i="1"/>
  <c r="P154" i="1" s="1"/>
  <c r="P155" i="1" s="1"/>
  <c r="AP212" i="1"/>
  <c r="AP203" i="1"/>
  <c r="AP211" i="1"/>
  <c r="AP204" i="1"/>
  <c r="AP177" i="1" s="1"/>
  <c r="AP131" i="1"/>
  <c r="X99" i="1"/>
  <c r="X105" i="1"/>
  <c r="Z226" i="1"/>
  <c r="AP184" i="1"/>
  <c r="V246" i="1"/>
  <c r="V247" i="1" s="1"/>
  <c r="V255" i="1"/>
  <c r="AP253" i="1"/>
  <c r="AP254" i="1"/>
  <c r="AR191" i="1"/>
  <c r="AR83" i="1"/>
  <c r="AP104" i="1"/>
  <c r="AP40" i="1" s="1"/>
  <c r="AP96" i="1"/>
  <c r="AP77" i="1" s="1"/>
  <c r="AC218" i="1"/>
  <c r="Q145" i="1"/>
  <c r="T125" i="1"/>
  <c r="R269" i="1"/>
  <c r="R270" i="1" s="1"/>
  <c r="R176" i="1"/>
  <c r="R179" i="1" s="1"/>
  <c r="X98" i="1"/>
  <c r="Y93" i="1" s="1"/>
  <c r="O161" i="1"/>
  <c r="O162" i="1" s="1"/>
  <c r="R139" i="1"/>
  <c r="S133" i="1"/>
  <c r="W110" i="1"/>
  <c r="AP146" i="1"/>
  <c r="U247" i="1"/>
  <c r="AR192" i="1"/>
  <c r="AR84" i="1"/>
  <c r="AR21" i="1"/>
  <c r="T248" i="1"/>
  <c r="T256" i="1" s="1"/>
  <c r="T257" i="1" s="1"/>
  <c r="U252" i="1" s="1"/>
  <c r="AE208" i="1"/>
  <c r="AE205" i="1"/>
  <c r="AO69" i="1"/>
  <c r="AO28" i="1"/>
  <c r="AP224" i="1"/>
  <c r="AP223" i="1"/>
  <c r="U132" i="1"/>
  <c r="U123" i="1"/>
  <c r="U124" i="1" s="1"/>
  <c r="AD214" i="1"/>
  <c r="AE210" i="1" s="1"/>
  <c r="V122" i="1" l="1"/>
  <c r="V120" i="1"/>
  <c r="V119" i="1"/>
  <c r="W114" i="1" s="1"/>
  <c r="AP185" i="1"/>
  <c r="P159" i="1"/>
  <c r="V123" i="1"/>
  <c r="V132" i="1"/>
  <c r="AQ212" i="1"/>
  <c r="AQ211" i="1"/>
  <c r="AQ203" i="1"/>
  <c r="AQ204" i="1"/>
  <c r="AQ177" i="1" s="1"/>
  <c r="AR265" i="1"/>
  <c r="AR250" i="1"/>
  <c r="AR235" i="1"/>
  <c r="AR220" i="1"/>
  <c r="AR200" i="1"/>
  <c r="AR174" i="1"/>
  <c r="AR190" i="1"/>
  <c r="AR195" i="1" s="1"/>
  <c r="AR157" i="1"/>
  <c r="AR127" i="1"/>
  <c r="AR142" i="1"/>
  <c r="AR112" i="1"/>
  <c r="AR92" i="1"/>
  <c r="AR82" i="1"/>
  <c r="AR87" i="1" s="1"/>
  <c r="AR45" i="1"/>
  <c r="AR51" i="1" s="1"/>
  <c r="AR66" i="1"/>
  <c r="AR39" i="1"/>
  <c r="Y240" i="1"/>
  <c r="Y231" i="1"/>
  <c r="Y232" i="1" s="1"/>
  <c r="AQ146" i="1"/>
  <c r="X109" i="1"/>
  <c r="X107" i="1"/>
  <c r="X106" i="1"/>
  <c r="Y102" i="1" s="1"/>
  <c r="AQ76" i="1"/>
  <c r="AS192" i="1"/>
  <c r="AS84" i="1"/>
  <c r="AS21" i="1"/>
  <c r="S267" i="1"/>
  <c r="S268" i="1" s="1"/>
  <c r="S183" i="1" s="1"/>
  <c r="S187" i="1" s="1"/>
  <c r="AD218" i="1"/>
  <c r="AQ238" i="1"/>
  <c r="AQ239" i="1"/>
  <c r="AQ253" i="1"/>
  <c r="AQ254" i="1"/>
  <c r="AS191" i="1"/>
  <c r="AS83" i="1"/>
  <c r="U125" i="1"/>
  <c r="Q148" i="1"/>
  <c r="T260" i="1"/>
  <c r="T258" i="1"/>
  <c r="AQ116" i="1"/>
  <c r="AE213" i="1"/>
  <c r="AE207" i="1"/>
  <c r="AE225" i="1"/>
  <c r="AE202" i="1"/>
  <c r="Y95" i="1"/>
  <c r="Z230" i="1"/>
  <c r="Z228" i="1"/>
  <c r="AQ224" i="1"/>
  <c r="AQ223" i="1"/>
  <c r="X232" i="1"/>
  <c r="AQ104" i="1"/>
  <c r="AQ40" i="1" s="1"/>
  <c r="AQ96" i="1"/>
  <c r="W246" i="1"/>
  <c r="W247" i="1" s="1"/>
  <c r="W255" i="1"/>
  <c r="S137" i="1"/>
  <c r="S135" i="1"/>
  <c r="R140" i="1"/>
  <c r="AQ131" i="1"/>
  <c r="AE206" i="1"/>
  <c r="AF201" i="1" s="1"/>
  <c r="W115" i="1"/>
  <c r="W118" i="1" s="1"/>
  <c r="Z227" i="1"/>
  <c r="AA222" i="1" s="1"/>
  <c r="V248" i="1"/>
  <c r="AP69" i="1"/>
  <c r="AP28" i="1"/>
  <c r="U248" i="1"/>
  <c r="U256" i="1" s="1"/>
  <c r="AQ184" i="1"/>
  <c r="S134" i="1"/>
  <c r="T129" i="1" s="1"/>
  <c r="W122" i="1" l="1"/>
  <c r="W120" i="1"/>
  <c r="W119" i="1"/>
  <c r="X114" i="1" s="1"/>
  <c r="U260" i="1"/>
  <c r="U258" i="1"/>
  <c r="U257" i="1"/>
  <c r="V252" i="1" s="1"/>
  <c r="Y233" i="1"/>
  <c r="AT192" i="1"/>
  <c r="AT84" i="1"/>
  <c r="AT21" i="1"/>
  <c r="X110" i="1"/>
  <c r="AR104" i="1"/>
  <c r="AR40" i="1" s="1"/>
  <c r="AR96" i="1"/>
  <c r="AR116" i="1"/>
  <c r="X233" i="1"/>
  <c r="X241" i="1" s="1"/>
  <c r="T130" i="1"/>
  <c r="T133" i="1" s="1"/>
  <c r="AE217" i="1"/>
  <c r="AE215" i="1"/>
  <c r="AE214" i="1"/>
  <c r="AF210" i="1" s="1"/>
  <c r="Q152" i="1"/>
  <c r="Q150" i="1"/>
  <c r="AQ69" i="1"/>
  <c r="AQ28" i="1"/>
  <c r="AR184" i="1"/>
  <c r="AR146" i="1"/>
  <c r="AR131" i="1"/>
  <c r="AA226" i="1"/>
  <c r="AA227" i="1" s="1"/>
  <c r="AB222" i="1" s="1"/>
  <c r="Y97" i="1"/>
  <c r="Y98" i="1" s="1"/>
  <c r="Z93" i="1" s="1"/>
  <c r="AR77" i="1"/>
  <c r="AR76" i="1"/>
  <c r="Y100" i="1"/>
  <c r="AQ77" i="1"/>
  <c r="AR224" i="1"/>
  <c r="AR223" i="1"/>
  <c r="P68" i="1"/>
  <c r="P71" i="1" s="1"/>
  <c r="Z240" i="1"/>
  <c r="Z231" i="1"/>
  <c r="Z232" i="1" s="1"/>
  <c r="AS250" i="1"/>
  <c r="AS265" i="1"/>
  <c r="AS235" i="1"/>
  <c r="AS220" i="1"/>
  <c r="AS174" i="1"/>
  <c r="AS190" i="1"/>
  <c r="AS195" i="1" s="1"/>
  <c r="AS200" i="1"/>
  <c r="AS157" i="1"/>
  <c r="AS127" i="1"/>
  <c r="AS142" i="1"/>
  <c r="AS112" i="1"/>
  <c r="AS66" i="1"/>
  <c r="AS45" i="1"/>
  <c r="AS51" i="1" s="1"/>
  <c r="AS82" i="1"/>
  <c r="AS87" i="1" s="1"/>
  <c r="AS92" i="1"/>
  <c r="AS39" i="1"/>
  <c r="Y103" i="1"/>
  <c r="AR239" i="1"/>
  <c r="AR238" i="1"/>
  <c r="V124" i="1"/>
  <c r="S138" i="1"/>
  <c r="S147" i="1"/>
  <c r="AT191" i="1"/>
  <c r="AT83" i="1"/>
  <c r="P160" i="1"/>
  <c r="P75" i="1" s="1"/>
  <c r="P79" i="1" s="1"/>
  <c r="T261" i="1"/>
  <c r="AQ185" i="1"/>
  <c r="W248" i="1"/>
  <c r="S269" i="1"/>
  <c r="S270" i="1" s="1"/>
  <c r="S176" i="1"/>
  <c r="S179" i="1" s="1"/>
  <c r="AR212" i="1"/>
  <c r="AR211" i="1"/>
  <c r="AR203" i="1"/>
  <c r="AR204" i="1"/>
  <c r="AR177" i="1" s="1"/>
  <c r="AF208" i="1"/>
  <c r="AF205" i="1"/>
  <c r="AF206" i="1" s="1"/>
  <c r="AG201" i="1" s="1"/>
  <c r="AR253" i="1"/>
  <c r="AR254" i="1"/>
  <c r="Q149" i="1"/>
  <c r="R144" i="1" s="1"/>
  <c r="P161" i="1" l="1"/>
  <c r="P162" i="1" s="1"/>
  <c r="AR185" i="1"/>
  <c r="Z95" i="1"/>
  <c r="Z100" i="1" s="1"/>
  <c r="AG208" i="1"/>
  <c r="AG205" i="1"/>
  <c r="AG206" i="1" s="1"/>
  <c r="AH201" i="1" s="1"/>
  <c r="T137" i="1"/>
  <c r="T135" i="1"/>
  <c r="T134" i="1"/>
  <c r="U129" i="1" s="1"/>
  <c r="AS146" i="1"/>
  <c r="AR69" i="1"/>
  <c r="AR28" i="1"/>
  <c r="AS76" i="1"/>
  <c r="R145" i="1"/>
  <c r="R148" i="1" s="1"/>
  <c r="AS116" i="1"/>
  <c r="X115" i="1"/>
  <c r="X118" i="1" s="1"/>
  <c r="X119" i="1" s="1"/>
  <c r="Y114" i="1" s="1"/>
  <c r="AF225" i="1"/>
  <c r="AF202" i="1"/>
  <c r="AS104" i="1"/>
  <c r="AS40" i="1" s="1"/>
  <c r="AS96" i="1"/>
  <c r="AS77" i="1" s="1"/>
  <c r="Y105" i="1"/>
  <c r="Y99" i="1"/>
  <c r="AU192" i="1"/>
  <c r="AU84" i="1"/>
  <c r="AU21" i="1"/>
  <c r="AS211" i="1"/>
  <c r="AS212" i="1"/>
  <c r="AS203" i="1"/>
  <c r="AS204" i="1"/>
  <c r="AS177" i="1" s="1"/>
  <c r="U261" i="1"/>
  <c r="U262" i="1" s="1"/>
  <c r="U263" i="1" s="1"/>
  <c r="AA230" i="1"/>
  <c r="AA228" i="1"/>
  <c r="V125" i="1"/>
  <c r="AS223" i="1"/>
  <c r="AS224" i="1"/>
  <c r="T262" i="1"/>
  <c r="T263" i="1" s="1"/>
  <c r="AS239" i="1"/>
  <c r="AS238" i="1"/>
  <c r="AS131" i="1"/>
  <c r="V256" i="1"/>
  <c r="AB226" i="1"/>
  <c r="AT250" i="1"/>
  <c r="AT265" i="1"/>
  <c r="AT235" i="1"/>
  <c r="AT220" i="1"/>
  <c r="AT174" i="1"/>
  <c r="AT190" i="1"/>
  <c r="AT195" i="1" s="1"/>
  <c r="AT200" i="1"/>
  <c r="AT157" i="1"/>
  <c r="AT142" i="1"/>
  <c r="AT127" i="1"/>
  <c r="AT112" i="1"/>
  <c r="AT66" i="1"/>
  <c r="AT45" i="1"/>
  <c r="AT51" i="1" s="1"/>
  <c r="AT92" i="1"/>
  <c r="AT39" i="1"/>
  <c r="AT82" i="1"/>
  <c r="AT87" i="1" s="1"/>
  <c r="Y117" i="1"/>
  <c r="Y94" i="1"/>
  <c r="W132" i="1"/>
  <c r="W123" i="1"/>
  <c r="AU191" i="1"/>
  <c r="AU83" i="1"/>
  <c r="AF213" i="1"/>
  <c r="AF207" i="1"/>
  <c r="Z233" i="1"/>
  <c r="X245" i="1"/>
  <c r="X242" i="1"/>
  <c r="Y237" i="1" s="1"/>
  <c r="X243" i="1"/>
  <c r="S139" i="1"/>
  <c r="AS184" i="1"/>
  <c r="Q153" i="1"/>
  <c r="Q154" i="1" s="1"/>
  <c r="Q155" i="1" s="1"/>
  <c r="AS254" i="1"/>
  <c r="AS253" i="1"/>
  <c r="AE218" i="1"/>
  <c r="Z97" i="1" l="1"/>
  <c r="R149" i="1"/>
  <c r="S144" i="1" s="1"/>
  <c r="AH208" i="1"/>
  <c r="AH205" i="1"/>
  <c r="U267" i="1"/>
  <c r="U268" i="1" s="1"/>
  <c r="U183" i="1" s="1"/>
  <c r="U187" i="1" s="1"/>
  <c r="Y115" i="1"/>
  <c r="S145" i="1"/>
  <c r="Z117" i="1"/>
  <c r="Z94" i="1"/>
  <c r="V260" i="1"/>
  <c r="V258" i="1"/>
  <c r="Q159" i="1"/>
  <c r="AT211" i="1"/>
  <c r="AT204" i="1"/>
  <c r="AT177" i="1" s="1"/>
  <c r="AT212" i="1"/>
  <c r="AT203" i="1"/>
  <c r="AF215" i="1"/>
  <c r="AF217" i="1"/>
  <c r="AT223" i="1"/>
  <c r="AT224" i="1"/>
  <c r="R152" i="1"/>
  <c r="R150" i="1"/>
  <c r="AT104" i="1"/>
  <c r="AT40" i="1" s="1"/>
  <c r="AT96" i="1"/>
  <c r="AT77" i="1" s="1"/>
  <c r="AV191" i="1"/>
  <c r="AV83" i="1"/>
  <c r="Z105" i="1"/>
  <c r="Z99" i="1"/>
  <c r="T267" i="1"/>
  <c r="AS28" i="1"/>
  <c r="AS69" i="1"/>
  <c r="AG213" i="1"/>
  <c r="AG207" i="1"/>
  <c r="Z98" i="1"/>
  <c r="AA93" i="1" s="1"/>
  <c r="X246" i="1"/>
  <c r="X255" i="1"/>
  <c r="V257" i="1"/>
  <c r="W252" i="1" s="1"/>
  <c r="AT184" i="1"/>
  <c r="AV192" i="1"/>
  <c r="AV84" i="1"/>
  <c r="AV21" i="1"/>
  <c r="X122" i="1"/>
  <c r="X120" i="1"/>
  <c r="U130" i="1"/>
  <c r="AA240" i="1"/>
  <c r="AA231" i="1"/>
  <c r="AS185" i="1"/>
  <c r="Y109" i="1"/>
  <c r="Y107" i="1"/>
  <c r="AT116" i="1"/>
  <c r="AB230" i="1"/>
  <c r="AB228" i="1"/>
  <c r="AT131" i="1"/>
  <c r="AB227" i="1"/>
  <c r="AC222" i="1" s="1"/>
  <c r="Y106" i="1"/>
  <c r="Z102" i="1" s="1"/>
  <c r="T138" i="1"/>
  <c r="T139" i="1"/>
  <c r="T147" i="1"/>
  <c r="AU265" i="1"/>
  <c r="AU250" i="1"/>
  <c r="AU235" i="1"/>
  <c r="AU220" i="1"/>
  <c r="AU190" i="1"/>
  <c r="AU195" i="1" s="1"/>
  <c r="AU174" i="1"/>
  <c r="AU200" i="1"/>
  <c r="AU157" i="1"/>
  <c r="AU142" i="1"/>
  <c r="AU127" i="1"/>
  <c r="AU112" i="1"/>
  <c r="AU66" i="1"/>
  <c r="AU92" i="1"/>
  <c r="AU82" i="1"/>
  <c r="AU87" i="1" s="1"/>
  <c r="AU45" i="1"/>
  <c r="AU51" i="1" s="1"/>
  <c r="AU39" i="1"/>
  <c r="AG225" i="1"/>
  <c r="AG202" i="1"/>
  <c r="AT239" i="1"/>
  <c r="AT238" i="1"/>
  <c r="W124" i="1"/>
  <c r="AT254" i="1"/>
  <c r="AT253" i="1"/>
  <c r="AT76" i="1"/>
  <c r="S140" i="1"/>
  <c r="AF214" i="1"/>
  <c r="AG210" i="1" s="1"/>
  <c r="Y241" i="1"/>
  <c r="Y242" i="1" s="1"/>
  <c r="Z237" i="1" s="1"/>
  <c r="AT146" i="1"/>
  <c r="S148" i="1" l="1"/>
  <c r="S152" i="1" s="1"/>
  <c r="AG214" i="1"/>
  <c r="AH210" i="1" s="1"/>
  <c r="S150" i="1"/>
  <c r="S149" i="1"/>
  <c r="T144" i="1" s="1"/>
  <c r="AU116" i="1"/>
  <c r="AV265" i="1"/>
  <c r="AV250" i="1"/>
  <c r="AV220" i="1"/>
  <c r="AV235" i="1"/>
  <c r="AV200" i="1"/>
  <c r="AV190" i="1"/>
  <c r="AV195" i="1" s="1"/>
  <c r="AV174" i="1"/>
  <c r="AV157" i="1"/>
  <c r="AV142" i="1"/>
  <c r="AV127" i="1"/>
  <c r="AV112" i="1"/>
  <c r="AV92" i="1"/>
  <c r="AV66" i="1"/>
  <c r="AV82" i="1"/>
  <c r="AV87" i="1" s="1"/>
  <c r="AV45" i="1"/>
  <c r="AV51" i="1" s="1"/>
  <c r="AV39" i="1"/>
  <c r="AW191" i="1"/>
  <c r="AW83" i="1"/>
  <c r="Z241" i="1"/>
  <c r="AF218" i="1"/>
  <c r="T140" i="1"/>
  <c r="AH213" i="1"/>
  <c r="AH207" i="1"/>
  <c r="Q68" i="1"/>
  <c r="Q71" i="1" s="1"/>
  <c r="R153" i="1"/>
  <c r="AU146" i="1"/>
  <c r="AH206" i="1"/>
  <c r="AI201" i="1" s="1"/>
  <c r="Y245" i="1"/>
  <c r="Y243" i="1"/>
  <c r="AU131" i="1"/>
  <c r="AA95" i="1"/>
  <c r="AA100" i="1" s="1"/>
  <c r="V261" i="1"/>
  <c r="AU211" i="1"/>
  <c r="AU204" i="1"/>
  <c r="AU177" i="1" s="1"/>
  <c r="AU212" i="1"/>
  <c r="AU203" i="1"/>
  <c r="AG217" i="1"/>
  <c r="AG215" i="1"/>
  <c r="AC226" i="1"/>
  <c r="AT185" i="1"/>
  <c r="AU104" i="1"/>
  <c r="AU40" i="1" s="1"/>
  <c r="AU96" i="1"/>
  <c r="AU77" i="1" s="1"/>
  <c r="AU238" i="1"/>
  <c r="AU239" i="1"/>
  <c r="AB231" i="1"/>
  <c r="AB232" i="1" s="1"/>
  <c r="AB240" i="1"/>
  <c r="Y110" i="1"/>
  <c r="Y118" i="1" s="1"/>
  <c r="T176" i="1"/>
  <c r="T179" i="1" s="1"/>
  <c r="AH225" i="1"/>
  <c r="AH202" i="1"/>
  <c r="AW192" i="1"/>
  <c r="AW84" i="1"/>
  <c r="AW21" i="1"/>
  <c r="W125" i="1"/>
  <c r="Q160" i="1"/>
  <c r="Q75" i="1" s="1"/>
  <c r="Q79" i="1" s="1"/>
  <c r="AT69" i="1"/>
  <c r="AT28" i="1"/>
  <c r="AA232" i="1"/>
  <c r="Z103" i="1"/>
  <c r="Z106" i="1" s="1"/>
  <c r="AA102" i="1" s="1"/>
  <c r="U269" i="1"/>
  <c r="U270" i="1" s="1"/>
  <c r="U176" i="1"/>
  <c r="U179" i="1" s="1"/>
  <c r="AU76" i="1"/>
  <c r="AU254" i="1"/>
  <c r="AU253" i="1"/>
  <c r="W256" i="1"/>
  <c r="T268" i="1"/>
  <c r="T183" i="1" s="1"/>
  <c r="T187" i="1" s="1"/>
  <c r="X247" i="1"/>
  <c r="Z107" i="1"/>
  <c r="Z109" i="1"/>
  <c r="AU184" i="1"/>
  <c r="U133" i="1"/>
  <c r="AU223" i="1"/>
  <c r="AU224" i="1"/>
  <c r="X123" i="1"/>
  <c r="X124" i="1" s="1"/>
  <c r="X132" i="1"/>
  <c r="T269" i="1" l="1"/>
  <c r="T270" i="1" s="1"/>
  <c r="AA97" i="1"/>
  <c r="AA98" i="1" s="1"/>
  <c r="AB93" i="1" s="1"/>
  <c r="AB95" i="1" s="1"/>
  <c r="AB97" i="1" s="1"/>
  <c r="Q161" i="1"/>
  <c r="Q162" i="1" s="1"/>
  <c r="AU185" i="1"/>
  <c r="AA103" i="1"/>
  <c r="AB233" i="1"/>
  <c r="AA105" i="1"/>
  <c r="AA99" i="1"/>
  <c r="AX191" i="1"/>
  <c r="AX83" i="1"/>
  <c r="X125" i="1"/>
  <c r="AH217" i="1"/>
  <c r="AH215" i="1"/>
  <c r="AV76" i="1"/>
  <c r="AV104" i="1"/>
  <c r="AV40" i="1" s="1"/>
  <c r="AV96" i="1"/>
  <c r="AV77" i="1" s="1"/>
  <c r="AV224" i="1"/>
  <c r="AV223" i="1"/>
  <c r="AV116" i="1"/>
  <c r="T145" i="1"/>
  <c r="T148" i="1" s="1"/>
  <c r="AI208" i="1"/>
  <c r="AI205" i="1"/>
  <c r="AI206" i="1" s="1"/>
  <c r="AJ201" i="1" s="1"/>
  <c r="AV131" i="1"/>
  <c r="Z110" i="1"/>
  <c r="AC230" i="1"/>
  <c r="AC228" i="1"/>
  <c r="Y246" i="1"/>
  <c r="Y255" i="1"/>
  <c r="AX192" i="1"/>
  <c r="AX84" i="1"/>
  <c r="AX21" i="1"/>
  <c r="AG218" i="1"/>
  <c r="Z245" i="1"/>
  <c r="Z243" i="1"/>
  <c r="AV146" i="1"/>
  <c r="S153" i="1"/>
  <c r="S154" i="1" s="1"/>
  <c r="S155" i="1" s="1"/>
  <c r="AV211" i="1"/>
  <c r="AV204" i="1"/>
  <c r="AV177" i="1" s="1"/>
  <c r="AV212" i="1"/>
  <c r="AV203" i="1"/>
  <c r="AH214" i="1"/>
  <c r="AI210" i="1" s="1"/>
  <c r="AV254" i="1"/>
  <c r="AV253" i="1"/>
  <c r="Y122" i="1"/>
  <c r="Y120" i="1"/>
  <c r="Y119" i="1"/>
  <c r="Z114" i="1" s="1"/>
  <c r="X248" i="1"/>
  <c r="W260" i="1"/>
  <c r="W258" i="1"/>
  <c r="R154" i="1"/>
  <c r="R155" i="1" s="1"/>
  <c r="Z242" i="1"/>
  <c r="AA237" i="1" s="1"/>
  <c r="AA117" i="1"/>
  <c r="AA94" i="1"/>
  <c r="AV238" i="1"/>
  <c r="AV239" i="1"/>
  <c r="AC227" i="1"/>
  <c r="AD222" i="1" s="1"/>
  <c r="AW265" i="1"/>
  <c r="AW220" i="1"/>
  <c r="AW250" i="1"/>
  <c r="AW235" i="1"/>
  <c r="AW190" i="1"/>
  <c r="AW195" i="1" s="1"/>
  <c r="AW200" i="1"/>
  <c r="AW142" i="1"/>
  <c r="AW174" i="1"/>
  <c r="AW157" i="1"/>
  <c r="AW112" i="1"/>
  <c r="AW127" i="1"/>
  <c r="AW82" i="1"/>
  <c r="AW87" i="1" s="1"/>
  <c r="AW92" i="1"/>
  <c r="AW66" i="1"/>
  <c r="AW45" i="1"/>
  <c r="AW51" i="1" s="1"/>
  <c r="AW39" i="1"/>
  <c r="AU28" i="1"/>
  <c r="AU69" i="1"/>
  <c r="U137" i="1"/>
  <c r="U135" i="1"/>
  <c r="W257" i="1"/>
  <c r="X252" i="1" s="1"/>
  <c r="AA233" i="1"/>
  <c r="V262" i="1"/>
  <c r="V263" i="1" s="1"/>
  <c r="AV184" i="1"/>
  <c r="U134" i="1"/>
  <c r="V129" i="1" s="1"/>
  <c r="AB100" i="1" l="1"/>
  <c r="AA106" i="1"/>
  <c r="AB102" i="1" s="1"/>
  <c r="S159" i="1"/>
  <c r="S160" i="1" s="1"/>
  <c r="S75" i="1" s="1"/>
  <c r="S79" i="1" s="1"/>
  <c r="AB105" i="1"/>
  <c r="AB99" i="1"/>
  <c r="V267" i="1"/>
  <c r="AW76" i="1"/>
  <c r="AW223" i="1"/>
  <c r="AW224" i="1"/>
  <c r="R159" i="1"/>
  <c r="AJ205" i="1"/>
  <c r="AJ206" i="1" s="1"/>
  <c r="AK201" i="1" s="1"/>
  <c r="AJ208" i="1"/>
  <c r="Y123" i="1"/>
  <c r="Y124" i="1" s="1"/>
  <c r="Y132" i="1"/>
  <c r="AW116" i="1"/>
  <c r="AW104" i="1"/>
  <c r="AW40" i="1" s="1"/>
  <c r="AW96" i="1"/>
  <c r="AW184" i="1"/>
  <c r="AY191" i="1"/>
  <c r="AY83" i="1"/>
  <c r="T152" i="1"/>
  <c r="T150" i="1"/>
  <c r="T149" i="1"/>
  <c r="U144" i="1" s="1"/>
  <c r="Z246" i="1"/>
  <c r="Z247" i="1" s="1"/>
  <c r="Z255" i="1"/>
  <c r="W261" i="1"/>
  <c r="W262" i="1" s="1"/>
  <c r="W263" i="1" s="1"/>
  <c r="X256" i="1"/>
  <c r="X257" i="1" s="1"/>
  <c r="Y252" i="1" s="1"/>
  <c r="AB117" i="1"/>
  <c r="AB94" i="1"/>
  <c r="AV185" i="1"/>
  <c r="AW204" i="1"/>
  <c r="AW177" i="1" s="1"/>
  <c r="AW203" i="1"/>
  <c r="AW212" i="1"/>
  <c r="AW211" i="1"/>
  <c r="AB98" i="1"/>
  <c r="AC93" i="1" s="1"/>
  <c r="AX265" i="1"/>
  <c r="AX235" i="1"/>
  <c r="AX220" i="1"/>
  <c r="AX250" i="1"/>
  <c r="AX190" i="1"/>
  <c r="AX195" i="1" s="1"/>
  <c r="AX200" i="1"/>
  <c r="AX142" i="1"/>
  <c r="AX174" i="1"/>
  <c r="AX157" i="1"/>
  <c r="AX112" i="1"/>
  <c r="AX127" i="1"/>
  <c r="AX82" i="1"/>
  <c r="AX87" i="1" s="1"/>
  <c r="AX92" i="1"/>
  <c r="AX45" i="1"/>
  <c r="AX51" i="1" s="1"/>
  <c r="AX66" i="1"/>
  <c r="AX39" i="1"/>
  <c r="AW131" i="1"/>
  <c r="AC231" i="1"/>
  <c r="AC232" i="1" s="1"/>
  <c r="AC240" i="1"/>
  <c r="AW146" i="1"/>
  <c r="AW238" i="1"/>
  <c r="AW239" i="1"/>
  <c r="AY192" i="1"/>
  <c r="AY84" i="1"/>
  <c r="AY21" i="1"/>
  <c r="AI213" i="1"/>
  <c r="AI207" i="1"/>
  <c r="AB103" i="1"/>
  <c r="AB106" i="1" s="1"/>
  <c r="AC102" i="1" s="1"/>
  <c r="AD226" i="1"/>
  <c r="AH218" i="1"/>
  <c r="Y247" i="1"/>
  <c r="V130" i="1"/>
  <c r="U138" i="1"/>
  <c r="U147" i="1"/>
  <c r="AW253" i="1"/>
  <c r="AW254" i="1"/>
  <c r="AA241" i="1"/>
  <c r="AA242" i="1" s="1"/>
  <c r="AB237" i="1" s="1"/>
  <c r="Z115" i="1"/>
  <c r="Z118" i="1" s="1"/>
  <c r="AI225" i="1"/>
  <c r="AI202" i="1"/>
  <c r="AV69" i="1"/>
  <c r="AV28" i="1"/>
  <c r="AA109" i="1"/>
  <c r="AA107" i="1"/>
  <c r="AW185" i="1" l="1"/>
  <c r="Z122" i="1"/>
  <c r="Z120" i="1"/>
  <c r="Z119" i="1"/>
  <c r="AA114" i="1" s="1"/>
  <c r="W267" i="1"/>
  <c r="W268" i="1" s="1"/>
  <c r="W183" i="1" s="1"/>
  <c r="W187" i="1" s="1"/>
  <c r="AX223" i="1"/>
  <c r="AX224" i="1"/>
  <c r="AX239" i="1"/>
  <c r="AX238" i="1"/>
  <c r="T153" i="1"/>
  <c r="T154" i="1" s="1"/>
  <c r="T155" i="1" s="1"/>
  <c r="AI217" i="1"/>
  <c r="AI215" i="1"/>
  <c r="AC103" i="1"/>
  <c r="U145" i="1"/>
  <c r="V176" i="1"/>
  <c r="V179" i="1" s="1"/>
  <c r="AX104" i="1"/>
  <c r="AX40" i="1" s="1"/>
  <c r="AX96" i="1"/>
  <c r="AX77" i="1" s="1"/>
  <c r="AA110" i="1"/>
  <c r="V268" i="1"/>
  <c r="V183" i="1" s="1"/>
  <c r="V187" i="1" s="1"/>
  <c r="AA245" i="1"/>
  <c r="AA243" i="1"/>
  <c r="AZ191" i="1"/>
  <c r="AZ83" i="1"/>
  <c r="AB109" i="1"/>
  <c r="AB107" i="1"/>
  <c r="R68" i="1"/>
  <c r="R71" i="1" s="1"/>
  <c r="AK205" i="1"/>
  <c r="AK208" i="1"/>
  <c r="Y248" i="1"/>
  <c r="Y256" i="1" s="1"/>
  <c r="Y257" i="1" s="1"/>
  <c r="Z252" i="1" s="1"/>
  <c r="AX116" i="1"/>
  <c r="AW69" i="1"/>
  <c r="AW28" i="1"/>
  <c r="R160" i="1"/>
  <c r="R75" i="1" s="1"/>
  <c r="R79" i="1" s="1"/>
  <c r="AX184" i="1"/>
  <c r="AX146" i="1"/>
  <c r="AD230" i="1"/>
  <c r="AD228" i="1"/>
  <c r="AC233" i="1"/>
  <c r="AX204" i="1"/>
  <c r="AX177" i="1" s="1"/>
  <c r="AX203" i="1"/>
  <c r="AX212" i="1"/>
  <c r="AX211" i="1"/>
  <c r="AW77" i="1"/>
  <c r="X260" i="1"/>
  <c r="X258" i="1"/>
  <c r="AC95" i="1"/>
  <c r="AC97" i="1" s="1"/>
  <c r="AD227" i="1"/>
  <c r="AE222" i="1" s="1"/>
  <c r="V133" i="1"/>
  <c r="V134" i="1" s="1"/>
  <c r="W129" i="1" s="1"/>
  <c r="AB241" i="1"/>
  <c r="AJ225" i="1"/>
  <c r="AJ202" i="1"/>
  <c r="AJ207" i="1"/>
  <c r="AJ213" i="1"/>
  <c r="AY265" i="1"/>
  <c r="AY235" i="1"/>
  <c r="AY220" i="1"/>
  <c r="AY250" i="1"/>
  <c r="AY190" i="1"/>
  <c r="AY195" i="1" s="1"/>
  <c r="AY200" i="1"/>
  <c r="AY174" i="1"/>
  <c r="AY157" i="1"/>
  <c r="AY142" i="1"/>
  <c r="AY112" i="1"/>
  <c r="AY127" i="1"/>
  <c r="AY82" i="1"/>
  <c r="AY87" i="1" s="1"/>
  <c r="AY92" i="1"/>
  <c r="AY39" i="1"/>
  <c r="AY66" i="1"/>
  <c r="AY45" i="1"/>
  <c r="AY51" i="1" s="1"/>
  <c r="AX131" i="1"/>
  <c r="AZ192" i="1"/>
  <c r="AZ84" i="1"/>
  <c r="AZ21" i="1"/>
  <c r="U139" i="1"/>
  <c r="S161" i="1"/>
  <c r="S162" i="1" s="1"/>
  <c r="S68" i="1"/>
  <c r="S71" i="1" s="1"/>
  <c r="AX76" i="1"/>
  <c r="Y125" i="1"/>
  <c r="AI214" i="1"/>
  <c r="AJ210" i="1" s="1"/>
  <c r="AX253" i="1"/>
  <c r="AX254" i="1"/>
  <c r="Z248" i="1"/>
  <c r="AC100" i="1" l="1"/>
  <c r="R161" i="1"/>
  <c r="R162" i="1" s="1"/>
  <c r="AX185" i="1"/>
  <c r="T159" i="1"/>
  <c r="Z256" i="1"/>
  <c r="Z257" i="1" s="1"/>
  <c r="AA252" i="1" s="1"/>
  <c r="AC105" i="1"/>
  <c r="AC99" i="1"/>
  <c r="AC98" i="1"/>
  <c r="AD93" i="1" s="1"/>
  <c r="W130" i="1"/>
  <c r="AJ217" i="1"/>
  <c r="AJ215" i="1"/>
  <c r="AK213" i="1"/>
  <c r="AK207" i="1"/>
  <c r="AA115" i="1"/>
  <c r="AA118" i="1" s="1"/>
  <c r="AY239" i="1"/>
  <c r="AY238" i="1"/>
  <c r="AE226" i="1"/>
  <c r="AK225" i="1"/>
  <c r="AK202" i="1"/>
  <c r="AA246" i="1"/>
  <c r="AA247" i="1"/>
  <c r="AA255" i="1"/>
  <c r="Z124" i="1"/>
  <c r="Z132" i="1"/>
  <c r="Z123" i="1"/>
  <c r="AY104" i="1"/>
  <c r="AY40" i="1" s="1"/>
  <c r="AY96" i="1"/>
  <c r="AY131" i="1"/>
  <c r="W269" i="1"/>
  <c r="W270" i="1" s="1"/>
  <c r="W176" i="1"/>
  <c r="W179" i="1" s="1"/>
  <c r="AC117" i="1"/>
  <c r="AC94" i="1"/>
  <c r="AZ265" i="1"/>
  <c r="AZ235" i="1"/>
  <c r="AZ250" i="1"/>
  <c r="AZ220" i="1"/>
  <c r="AZ200" i="1"/>
  <c r="AZ157" i="1"/>
  <c r="AZ174" i="1"/>
  <c r="AZ190" i="1"/>
  <c r="AZ195" i="1" s="1"/>
  <c r="AZ142" i="1"/>
  <c r="AZ112" i="1"/>
  <c r="AZ92" i="1"/>
  <c r="AZ127" i="1"/>
  <c r="AZ39" i="1"/>
  <c r="AZ82" i="1"/>
  <c r="AZ87" i="1" s="1"/>
  <c r="AZ66" i="1"/>
  <c r="AZ45" i="1"/>
  <c r="AZ51" i="1" s="1"/>
  <c r="AB245" i="1"/>
  <c r="AB243" i="1"/>
  <c r="V137" i="1"/>
  <c r="V135" i="1"/>
  <c r="AB110" i="1"/>
  <c r="Y260" i="1"/>
  <c r="Y258" i="1"/>
  <c r="AY116" i="1"/>
  <c r="U140" i="1"/>
  <c r="U148" i="1" s="1"/>
  <c r="U149" i="1" s="1"/>
  <c r="V144" i="1" s="1"/>
  <c r="AY76" i="1"/>
  <c r="AY77" i="1"/>
  <c r="BA192" i="1"/>
  <c r="BA84" i="1"/>
  <c r="BA21" i="1"/>
  <c r="AB242" i="1"/>
  <c r="AC237" i="1" s="1"/>
  <c r="AY254" i="1"/>
  <c r="AY253" i="1"/>
  <c r="BA191" i="1"/>
  <c r="BA83" i="1"/>
  <c r="AK206" i="1"/>
  <c r="AL201" i="1" s="1"/>
  <c r="V269" i="1"/>
  <c r="V270" i="1" s="1"/>
  <c r="AY146" i="1"/>
  <c r="AY184" i="1"/>
  <c r="AY203" i="1"/>
  <c r="AY212" i="1"/>
  <c r="AY204" i="1"/>
  <c r="AY177" i="1" s="1"/>
  <c r="AY211" i="1"/>
  <c r="AJ214" i="1"/>
  <c r="AK210" i="1" s="1"/>
  <c r="AY224" i="1"/>
  <c r="AY223" i="1"/>
  <c r="X261" i="1"/>
  <c r="AD240" i="1"/>
  <c r="AD231" i="1"/>
  <c r="AX69" i="1"/>
  <c r="AX28" i="1"/>
  <c r="AI218" i="1"/>
  <c r="AL205" i="1" l="1"/>
  <c r="AL208" i="1"/>
  <c r="AL206" i="1"/>
  <c r="AM201" i="1" s="1"/>
  <c r="Y261" i="1"/>
  <c r="Y262" i="1" s="1"/>
  <c r="Y263" i="1" s="1"/>
  <c r="AA122" i="1"/>
  <c r="AA120" i="1"/>
  <c r="AD95" i="1"/>
  <c r="AD97" i="1" s="1"/>
  <c r="AD100" i="1"/>
  <c r="AZ131" i="1"/>
  <c r="AZ104" i="1"/>
  <c r="AZ40" i="1" s="1"/>
  <c r="AZ96" i="1"/>
  <c r="AZ77" i="1" s="1"/>
  <c r="AA248" i="1"/>
  <c r="AA256" i="1" s="1"/>
  <c r="AY69" i="1"/>
  <c r="AY28" i="1"/>
  <c r="AZ184" i="1"/>
  <c r="AJ218" i="1"/>
  <c r="AZ116" i="1"/>
  <c r="V138" i="1"/>
  <c r="V147" i="1"/>
  <c r="Z260" i="1"/>
  <c r="Z258" i="1"/>
  <c r="AY185" i="1"/>
  <c r="AZ146" i="1"/>
  <c r="AZ212" i="1"/>
  <c r="AZ204" i="1"/>
  <c r="AZ177" i="1" s="1"/>
  <c r="AZ211" i="1"/>
  <c r="AZ203" i="1"/>
  <c r="W133" i="1"/>
  <c r="AK217" i="1"/>
  <c r="AK215" i="1"/>
  <c r="V145" i="1"/>
  <c r="AE230" i="1"/>
  <c r="AE228" i="1"/>
  <c r="T68" i="1"/>
  <c r="T71" i="1" s="1"/>
  <c r="Z125" i="1"/>
  <c r="AC109" i="1"/>
  <c r="AC107" i="1"/>
  <c r="AC106" i="1"/>
  <c r="AD102" i="1" s="1"/>
  <c r="AD232" i="1"/>
  <c r="X262" i="1"/>
  <c r="X263" i="1" s="1"/>
  <c r="BA265" i="1"/>
  <c r="BA250" i="1"/>
  <c r="BA235" i="1"/>
  <c r="BA220" i="1"/>
  <c r="BA200" i="1"/>
  <c r="BA157" i="1"/>
  <c r="BA190" i="1"/>
  <c r="BA195" i="1" s="1"/>
  <c r="BA142" i="1"/>
  <c r="BA174" i="1"/>
  <c r="BA112" i="1"/>
  <c r="BA127" i="1"/>
  <c r="BA39" i="1"/>
  <c r="BA45" i="1"/>
  <c r="BA51" i="1" s="1"/>
  <c r="BA82" i="1"/>
  <c r="BA87" i="1" s="1"/>
  <c r="BA92" i="1"/>
  <c r="BA66" i="1"/>
  <c r="AZ253" i="1"/>
  <c r="AZ254" i="1"/>
  <c r="AE227" i="1"/>
  <c r="AF222" i="1" s="1"/>
  <c r="AA119" i="1"/>
  <c r="AB114" i="1" s="1"/>
  <c r="BB191" i="1"/>
  <c r="BB83" i="1"/>
  <c r="AK214" i="1"/>
  <c r="AL210" i="1" s="1"/>
  <c r="AC241" i="1"/>
  <c r="AC242" i="1" s="1"/>
  <c r="AD237" i="1" s="1"/>
  <c r="AB246" i="1"/>
  <c r="AB255" i="1"/>
  <c r="AZ76" i="1"/>
  <c r="AZ224" i="1"/>
  <c r="AZ223" i="1"/>
  <c r="BB192" i="1"/>
  <c r="BB84" i="1"/>
  <c r="BB21" i="1"/>
  <c r="U152" i="1"/>
  <c r="U150" i="1"/>
  <c r="AZ239" i="1"/>
  <c r="AZ238" i="1"/>
  <c r="T160" i="1"/>
  <c r="T75" i="1" s="1"/>
  <c r="T79" i="1" s="1"/>
  <c r="AA260" i="1" l="1"/>
  <c r="AA258" i="1"/>
  <c r="AA257" i="1"/>
  <c r="AB252" i="1" s="1"/>
  <c r="AZ185" i="1"/>
  <c r="T161" i="1"/>
  <c r="T162" i="1" s="1"/>
  <c r="AD105" i="1"/>
  <c r="AD99" i="1"/>
  <c r="AD117" i="1"/>
  <c r="AD94" i="1"/>
  <c r="Y267" i="1"/>
  <c r="Y268" i="1" s="1"/>
  <c r="Y183" i="1" s="1"/>
  <c r="Y187" i="1" s="1"/>
  <c r="BA96" i="1"/>
  <c r="BA77" i="1" s="1"/>
  <c r="BA104" i="1"/>
  <c r="BA40" i="1" s="1"/>
  <c r="AK218" i="1"/>
  <c r="AM205" i="1"/>
  <c r="AM208" i="1"/>
  <c r="AL225" i="1"/>
  <c r="AL202" i="1"/>
  <c r="AA123" i="1"/>
  <c r="AA132" i="1"/>
  <c r="AA124" i="1"/>
  <c r="AD98" i="1"/>
  <c r="AE93" i="1" s="1"/>
  <c r="BA224" i="1"/>
  <c r="BA223" i="1"/>
  <c r="W137" i="1"/>
  <c r="W135" i="1"/>
  <c r="AC110" i="1"/>
  <c r="BA253" i="1"/>
  <c r="BA254" i="1"/>
  <c r="W134" i="1"/>
  <c r="X129" i="1" s="1"/>
  <c r="AF226" i="1"/>
  <c r="AF227" i="1" s="1"/>
  <c r="AG222" i="1" s="1"/>
  <c r="BA212" i="1"/>
  <c r="BA204" i="1"/>
  <c r="BA177" i="1" s="1"/>
  <c r="BA211" i="1"/>
  <c r="BA203" i="1"/>
  <c r="AL213" i="1"/>
  <c r="AL207" i="1"/>
  <c r="BC191" i="1"/>
  <c r="BC83" i="1"/>
  <c r="BA131" i="1"/>
  <c r="AD233" i="1"/>
  <c r="BB265" i="1"/>
  <c r="BB250" i="1"/>
  <c r="BB235" i="1"/>
  <c r="BB200" i="1"/>
  <c r="BB220" i="1"/>
  <c r="BB157" i="1"/>
  <c r="BB190" i="1"/>
  <c r="BB195" i="1" s="1"/>
  <c r="BB142" i="1"/>
  <c r="BB174" i="1"/>
  <c r="BB127" i="1"/>
  <c r="BB112" i="1"/>
  <c r="BB45" i="1"/>
  <c r="BB51" i="1" s="1"/>
  <c r="BB82" i="1"/>
  <c r="BB87" i="1" s="1"/>
  <c r="BB92" i="1"/>
  <c r="BB66" i="1"/>
  <c r="BB39" i="1"/>
  <c r="AB247" i="1"/>
  <c r="BA146" i="1"/>
  <c r="AZ69" i="1"/>
  <c r="AZ28" i="1"/>
  <c r="Z261" i="1"/>
  <c r="Z262" i="1" s="1"/>
  <c r="Z263" i="1" s="1"/>
  <c r="V139" i="1"/>
  <c r="AE240" i="1"/>
  <c r="AE231" i="1"/>
  <c r="AE232" i="1"/>
  <c r="BC192" i="1"/>
  <c r="BC84" i="1"/>
  <c r="BC21" i="1"/>
  <c r="AD241" i="1"/>
  <c r="AD103" i="1"/>
  <c r="BA238" i="1"/>
  <c r="BA239" i="1"/>
  <c r="X267" i="1"/>
  <c r="AA261" i="1"/>
  <c r="AA262" i="1" s="1"/>
  <c r="AA263" i="1" s="1"/>
  <c r="BA116" i="1"/>
  <c r="U153" i="1"/>
  <c r="U154" i="1" s="1"/>
  <c r="U155" i="1" s="1"/>
  <c r="BA184" i="1"/>
  <c r="AC245" i="1"/>
  <c r="AC243" i="1"/>
  <c r="AB115" i="1"/>
  <c r="BA76" i="1"/>
  <c r="AD106" i="1" l="1"/>
  <c r="AE102" i="1" s="1"/>
  <c r="Z267" i="1"/>
  <c r="AE103" i="1"/>
  <c r="U159" i="1"/>
  <c r="AA267" i="1"/>
  <c r="AD245" i="1"/>
  <c r="AD243" i="1"/>
  <c r="Y269" i="1"/>
  <c r="Y270" i="1" s="1"/>
  <c r="Y176" i="1"/>
  <c r="Y179" i="1" s="1"/>
  <c r="BC265" i="1"/>
  <c r="BC250" i="1"/>
  <c r="BC235" i="1"/>
  <c r="BC220" i="1"/>
  <c r="BC200" i="1"/>
  <c r="BC157" i="1"/>
  <c r="BC174" i="1"/>
  <c r="BC190" i="1"/>
  <c r="BC195" i="1" s="1"/>
  <c r="BC142" i="1"/>
  <c r="BC127" i="1"/>
  <c r="BC112" i="1"/>
  <c r="BC82" i="1"/>
  <c r="BC87" i="1" s="1"/>
  <c r="BC92" i="1"/>
  <c r="BC66" i="1"/>
  <c r="BC39" i="1"/>
  <c r="BC45" i="1"/>
  <c r="BC51" i="1" s="1"/>
  <c r="BB146" i="1"/>
  <c r="AA125" i="1"/>
  <c r="AM225" i="1"/>
  <c r="AM202" i="1"/>
  <c r="AE95" i="1"/>
  <c r="AE100" i="1" s="1"/>
  <c r="AD242" i="1"/>
  <c r="AE237" i="1" s="1"/>
  <c r="AF230" i="1"/>
  <c r="AF228" i="1"/>
  <c r="BB184" i="1"/>
  <c r="X130" i="1"/>
  <c r="X133" i="1" s="1"/>
  <c r="AB118" i="1"/>
  <c r="AB119" i="1" s="1"/>
  <c r="AC114" i="1" s="1"/>
  <c r="W138" i="1"/>
  <c r="W139" i="1"/>
  <c r="W147" i="1"/>
  <c r="AM207" i="1"/>
  <c r="AM213" i="1"/>
  <c r="BD192" i="1"/>
  <c r="BD84" i="1"/>
  <c r="BD21" i="1"/>
  <c r="BB224" i="1"/>
  <c r="BB223" i="1"/>
  <c r="BB212" i="1"/>
  <c r="BB211" i="1"/>
  <c r="BB203" i="1"/>
  <c r="BB204" i="1"/>
  <c r="BB177" i="1" s="1"/>
  <c r="AL217" i="1"/>
  <c r="AL215" i="1"/>
  <c r="AD109" i="1"/>
  <c r="AD107" i="1"/>
  <c r="BB131" i="1"/>
  <c r="AM206" i="1"/>
  <c r="AN201" i="1" s="1"/>
  <c r="BD191" i="1"/>
  <c r="BD83" i="1"/>
  <c r="AC246" i="1"/>
  <c r="AC247" i="1" s="1"/>
  <c r="AC255" i="1"/>
  <c r="AB248" i="1"/>
  <c r="AB256" i="1" s="1"/>
  <c r="X176" i="1"/>
  <c r="X179" i="1" s="1"/>
  <c r="BB104" i="1"/>
  <c r="BB40" i="1" s="1"/>
  <c r="BB96" i="1"/>
  <c r="BB77" i="1" s="1"/>
  <c r="X268" i="1"/>
  <c r="X183" i="1" s="1"/>
  <c r="X187" i="1" s="1"/>
  <c r="BA185" i="1"/>
  <c r="AG226" i="1"/>
  <c r="AG227" i="1" s="1"/>
  <c r="AH222" i="1" s="1"/>
  <c r="BB76" i="1"/>
  <c r="AE233" i="1"/>
  <c r="BB238" i="1"/>
  <c r="BB239" i="1"/>
  <c r="BB253" i="1"/>
  <c r="BB254" i="1"/>
  <c r="V140" i="1"/>
  <c r="V148" i="1" s="1"/>
  <c r="BB116" i="1"/>
  <c r="AL214" i="1"/>
  <c r="AM210" i="1" s="1"/>
  <c r="BA69" i="1"/>
  <c r="BA28" i="1"/>
  <c r="X134" i="1" l="1"/>
  <c r="Y129" i="1" s="1"/>
  <c r="AC248" i="1"/>
  <c r="BC104" i="1"/>
  <c r="BC40" i="1" s="1"/>
  <c r="BC96" i="1"/>
  <c r="BC238" i="1"/>
  <c r="BC239" i="1"/>
  <c r="AE97" i="1"/>
  <c r="AE241" i="1"/>
  <c r="AE242" i="1" s="1"/>
  <c r="AF237" i="1" s="1"/>
  <c r="BC131" i="1"/>
  <c r="AF231" i="1"/>
  <c r="AF232" i="1" s="1"/>
  <c r="AF240" i="1"/>
  <c r="AB122" i="1"/>
  <c r="AB120" i="1"/>
  <c r="BC146" i="1"/>
  <c r="AD246" i="1"/>
  <c r="AD255" i="1"/>
  <c r="BC223" i="1"/>
  <c r="BC224" i="1"/>
  <c r="BC253" i="1"/>
  <c r="BC254" i="1"/>
  <c r="AE117" i="1"/>
  <c r="AE94" i="1"/>
  <c r="BB69" i="1"/>
  <c r="BB28" i="1"/>
  <c r="X269" i="1"/>
  <c r="X270" i="1" s="1"/>
  <c r="AN205" i="1"/>
  <c r="AN206" i="1" s="1"/>
  <c r="AO201" i="1" s="1"/>
  <c r="AN208" i="1"/>
  <c r="BC184" i="1"/>
  <c r="AA176" i="1"/>
  <c r="AA179" i="1" s="1"/>
  <c r="W140" i="1"/>
  <c r="Y130" i="1"/>
  <c r="Y133" i="1" s="1"/>
  <c r="X137" i="1"/>
  <c r="X135" i="1"/>
  <c r="BE192" i="1"/>
  <c r="BE84" i="1"/>
  <c r="BE21" i="1"/>
  <c r="BC116" i="1"/>
  <c r="BE191" i="1"/>
  <c r="BE83" i="1"/>
  <c r="BB185" i="1"/>
  <c r="AM214" i="1"/>
  <c r="AN210" i="1" s="1"/>
  <c r="V152" i="1"/>
  <c r="V149" i="1"/>
  <c r="W144" i="1" s="1"/>
  <c r="V150" i="1"/>
  <c r="AH226" i="1"/>
  <c r="AH227" i="1" s="1"/>
  <c r="AI222" i="1" s="1"/>
  <c r="AB260" i="1"/>
  <c r="AB258" i="1"/>
  <c r="AB257" i="1"/>
  <c r="AC252" i="1" s="1"/>
  <c r="AA268" i="1"/>
  <c r="AA183" i="1" s="1"/>
  <c r="AA187" i="1" s="1"/>
  <c r="Z176" i="1"/>
  <c r="Z179" i="1" s="1"/>
  <c r="AC115" i="1"/>
  <c r="AC118" i="1" s="1"/>
  <c r="U68" i="1"/>
  <c r="U71" i="1" s="1"/>
  <c r="BD265" i="1"/>
  <c r="BD250" i="1"/>
  <c r="BD235" i="1"/>
  <c r="BD220" i="1"/>
  <c r="BD174" i="1"/>
  <c r="BD200" i="1"/>
  <c r="BD190" i="1"/>
  <c r="BD195" i="1" s="1"/>
  <c r="BD157" i="1"/>
  <c r="BD142" i="1"/>
  <c r="BD127" i="1"/>
  <c r="BD112" i="1"/>
  <c r="BD45" i="1"/>
  <c r="BD51" i="1" s="1"/>
  <c r="BD82" i="1"/>
  <c r="BD87" i="1" s="1"/>
  <c r="BD92" i="1"/>
  <c r="BD66" i="1"/>
  <c r="BD39" i="1"/>
  <c r="U160" i="1"/>
  <c r="U75" i="1" s="1"/>
  <c r="U79" i="1" s="1"/>
  <c r="AL218" i="1"/>
  <c r="AM217" i="1"/>
  <c r="AM215" i="1"/>
  <c r="AG230" i="1"/>
  <c r="AG228" i="1"/>
  <c r="AD110" i="1"/>
  <c r="BC77" i="1"/>
  <c r="BC76" i="1"/>
  <c r="BC212" i="1"/>
  <c r="BC211" i="1"/>
  <c r="BC203" i="1"/>
  <c r="BC204" i="1"/>
  <c r="BC177" i="1" s="1"/>
  <c r="Z268" i="1"/>
  <c r="Z183" i="1" s="1"/>
  <c r="Z187" i="1" s="1"/>
  <c r="AA269" i="1" l="1"/>
  <c r="AA270" i="1" s="1"/>
  <c r="U161" i="1"/>
  <c r="U162" i="1" s="1"/>
  <c r="BC185" i="1"/>
  <c r="AC122" i="1"/>
  <c r="AC120" i="1"/>
  <c r="AI226" i="1"/>
  <c r="AI227" i="1" s="1"/>
  <c r="AJ222" i="1" s="1"/>
  <c r="Y137" i="1"/>
  <c r="Y135" i="1"/>
  <c r="Y134" i="1"/>
  <c r="Z129" i="1" s="1"/>
  <c r="BD131" i="1"/>
  <c r="AB132" i="1"/>
  <c r="AB123" i="1"/>
  <c r="AB261" i="1"/>
  <c r="AB262" i="1" s="1"/>
  <c r="AB263" i="1" s="1"/>
  <c r="AF233" i="1"/>
  <c r="AF241" i="1" s="1"/>
  <c r="BD116" i="1"/>
  <c r="AC256" i="1"/>
  <c r="BD146" i="1"/>
  <c r="AN225" i="1"/>
  <c r="AN202" i="1"/>
  <c r="BF191" i="1"/>
  <c r="BF83" i="1"/>
  <c r="BF192" i="1"/>
  <c r="BF21" i="1"/>
  <c r="BF84" i="1"/>
  <c r="BD212" i="1"/>
  <c r="BD211" i="1"/>
  <c r="BD203" i="1"/>
  <c r="BD204" i="1"/>
  <c r="BD177" i="1" s="1"/>
  <c r="BD223" i="1"/>
  <c r="BD224" i="1"/>
  <c r="BD238" i="1"/>
  <c r="BD239" i="1"/>
  <c r="X138" i="1"/>
  <c r="X147" i="1"/>
  <c r="AE245" i="1"/>
  <c r="AE243" i="1"/>
  <c r="AD247" i="1"/>
  <c r="AM218" i="1"/>
  <c r="BE265" i="1"/>
  <c r="BE250" i="1"/>
  <c r="BE235" i="1"/>
  <c r="BE220" i="1"/>
  <c r="BE174" i="1"/>
  <c r="BE200" i="1"/>
  <c r="BE190" i="1"/>
  <c r="BE195" i="1" s="1"/>
  <c r="BE157" i="1"/>
  <c r="BE142" i="1"/>
  <c r="BE127" i="1"/>
  <c r="BE66" i="1"/>
  <c r="BE112" i="1"/>
  <c r="BE45" i="1"/>
  <c r="BE51" i="1" s="1"/>
  <c r="BE82" i="1"/>
  <c r="BE87" i="1" s="1"/>
  <c r="BE92" i="1"/>
  <c r="BE39" i="1"/>
  <c r="AC119" i="1"/>
  <c r="AD114" i="1" s="1"/>
  <c r="BD185" i="1"/>
  <c r="BD184" i="1"/>
  <c r="BD104" i="1"/>
  <c r="BD40" i="1" s="1"/>
  <c r="BD96" i="1"/>
  <c r="BD77" i="1" s="1"/>
  <c r="BD253" i="1"/>
  <c r="BD254" i="1"/>
  <c r="W145" i="1"/>
  <c r="W148" i="1" s="1"/>
  <c r="AE105" i="1"/>
  <c r="AE99" i="1"/>
  <c r="AO208" i="1"/>
  <c r="AO205" i="1"/>
  <c r="AN213" i="1"/>
  <c r="AN207" i="1"/>
  <c r="BD76" i="1"/>
  <c r="AH230" i="1"/>
  <c r="AH228" i="1"/>
  <c r="Z269" i="1"/>
  <c r="Z270" i="1" s="1"/>
  <c r="AG231" i="1"/>
  <c r="AG232" i="1" s="1"/>
  <c r="AG240" i="1"/>
  <c r="V153" i="1"/>
  <c r="BC69" i="1"/>
  <c r="BC28" i="1"/>
  <c r="AE98" i="1"/>
  <c r="AF93" i="1" s="1"/>
  <c r="AB267" i="1" l="1"/>
  <c r="AB268" i="1" s="1"/>
  <c r="AB183" i="1" s="1"/>
  <c r="AB187" i="1" s="1"/>
  <c r="AF245" i="1"/>
  <c r="AF242" i="1"/>
  <c r="AG237" i="1" s="1"/>
  <c r="AF243" i="1"/>
  <c r="BF265" i="1"/>
  <c r="BF250" i="1"/>
  <c r="BF235" i="1"/>
  <c r="BF174" i="1"/>
  <c r="BF220" i="1"/>
  <c r="BF200" i="1"/>
  <c r="BF190" i="1"/>
  <c r="BF195" i="1" s="1"/>
  <c r="BF157" i="1"/>
  <c r="BF142" i="1"/>
  <c r="BF127" i="1"/>
  <c r="BF66" i="1"/>
  <c r="BF112" i="1"/>
  <c r="BF45" i="1"/>
  <c r="BF51" i="1" s="1"/>
  <c r="BF82" i="1"/>
  <c r="BF87" i="1" s="1"/>
  <c r="BF92" i="1"/>
  <c r="BF39" i="1"/>
  <c r="AF95" i="1"/>
  <c r="AF100" i="1" s="1"/>
  <c r="AF97" i="1"/>
  <c r="BG192" i="1"/>
  <c r="BG84" i="1"/>
  <c r="BG21" i="1"/>
  <c r="AG233" i="1"/>
  <c r="AJ226" i="1"/>
  <c r="AJ227" i="1" s="1"/>
  <c r="AK222" i="1" s="1"/>
  <c r="Z130" i="1"/>
  <c r="Z133" i="1" s="1"/>
  <c r="AI230" i="1"/>
  <c r="AI228" i="1"/>
  <c r="BE131" i="1"/>
  <c r="BE211" i="1"/>
  <c r="BE212" i="1"/>
  <c r="BE203" i="1"/>
  <c r="BE204" i="1"/>
  <c r="BE177" i="1" s="1"/>
  <c r="BG191" i="1"/>
  <c r="BG83" i="1"/>
  <c r="AN217" i="1"/>
  <c r="AN215" i="1"/>
  <c r="AE246" i="1"/>
  <c r="AE255" i="1"/>
  <c r="AO213" i="1"/>
  <c r="AO207" i="1"/>
  <c r="AD115" i="1"/>
  <c r="AD118" i="1" s="1"/>
  <c r="AO225" i="1"/>
  <c r="AO202" i="1"/>
  <c r="AC260" i="1"/>
  <c r="AC258" i="1"/>
  <c r="AE109" i="1"/>
  <c r="AE107" i="1"/>
  <c r="AE106" i="1"/>
  <c r="AF102" i="1" s="1"/>
  <c r="AD248" i="1"/>
  <c r="W152" i="1"/>
  <c r="W150" i="1"/>
  <c r="W149" i="1"/>
  <c r="X144" i="1" s="1"/>
  <c r="BE104" i="1"/>
  <c r="BE40" i="1" s="1"/>
  <c r="BE96" i="1"/>
  <c r="BE77" i="1" s="1"/>
  <c r="BE238" i="1"/>
  <c r="BE239" i="1"/>
  <c r="AO206" i="1"/>
  <c r="AP201" i="1" s="1"/>
  <c r="AH240" i="1"/>
  <c r="AH231" i="1"/>
  <c r="AH232" i="1" s="1"/>
  <c r="BE116" i="1"/>
  <c r="X139" i="1"/>
  <c r="AC257" i="1"/>
  <c r="AD252" i="1" s="1"/>
  <c r="BE146" i="1"/>
  <c r="BE184" i="1"/>
  <c r="Y138" i="1"/>
  <c r="Y139" i="1" s="1"/>
  <c r="Y147" i="1"/>
  <c r="BE223" i="1"/>
  <c r="BE224" i="1"/>
  <c r="V154" i="1"/>
  <c r="V155" i="1" s="1"/>
  <c r="BD69" i="1"/>
  <c r="BD28" i="1"/>
  <c r="BE254" i="1"/>
  <c r="BE253" i="1"/>
  <c r="BE76" i="1"/>
  <c r="AB124" i="1"/>
  <c r="AN214" i="1"/>
  <c r="AO210" i="1" s="1"/>
  <c r="AC132" i="1"/>
  <c r="AC123" i="1"/>
  <c r="AC124" i="1" s="1"/>
  <c r="AF98" i="1" l="1"/>
  <c r="AG93" i="1" s="1"/>
  <c r="Z134" i="1"/>
  <c r="AA129" i="1" s="1"/>
  <c r="BE185" i="1"/>
  <c r="AA130" i="1"/>
  <c r="AA133" i="1" s="1"/>
  <c r="AD122" i="1"/>
  <c r="AD120" i="1"/>
  <c r="AD119" i="1"/>
  <c r="AE114" i="1" s="1"/>
  <c r="AH233" i="1"/>
  <c r="AN218" i="1"/>
  <c r="BF131" i="1"/>
  <c r="W153" i="1"/>
  <c r="W154" i="1" s="1"/>
  <c r="W155" i="1" s="1"/>
  <c r="AC125" i="1"/>
  <c r="AO217" i="1"/>
  <c r="AO215" i="1"/>
  <c r="BH191" i="1"/>
  <c r="BH83" i="1"/>
  <c r="BF146" i="1"/>
  <c r="X140" i="1"/>
  <c r="BF184" i="1"/>
  <c r="BH192" i="1"/>
  <c r="BH84" i="1"/>
  <c r="BH21" i="1"/>
  <c r="BF239" i="1"/>
  <c r="BF238" i="1"/>
  <c r="AC261" i="1"/>
  <c r="BE69" i="1"/>
  <c r="BE28" i="1"/>
  <c r="AD256" i="1"/>
  <c r="BF254" i="1"/>
  <c r="BF253" i="1"/>
  <c r="AF105" i="1"/>
  <c r="AF99" i="1"/>
  <c r="BF212" i="1"/>
  <c r="BF211" i="1"/>
  <c r="BF203" i="1"/>
  <c r="BF204" i="1"/>
  <c r="BF177" i="1" s="1"/>
  <c r="BF223" i="1"/>
  <c r="BF224" i="1"/>
  <c r="AF103" i="1"/>
  <c r="AE110" i="1"/>
  <c r="AE247" i="1"/>
  <c r="AI231" i="1"/>
  <c r="AI240" i="1"/>
  <c r="AI232" i="1"/>
  <c r="X145" i="1"/>
  <c r="AJ230" i="1"/>
  <c r="AJ228" i="1"/>
  <c r="AG241" i="1"/>
  <c r="AG242" i="1" s="1"/>
  <c r="AH237" i="1" s="1"/>
  <c r="V159" i="1"/>
  <c r="V160" i="1" s="1"/>
  <c r="V75" i="1" s="1"/>
  <c r="V79" i="1" s="1"/>
  <c r="BF104" i="1"/>
  <c r="BF40" i="1" s="1"/>
  <c r="BF96" i="1"/>
  <c r="Y140" i="1"/>
  <c r="AB125" i="1"/>
  <c r="BF116" i="1"/>
  <c r="AB269" i="1"/>
  <c r="AB270" i="1" s="1"/>
  <c r="AB176" i="1"/>
  <c r="AB179" i="1" s="1"/>
  <c r="Z137" i="1"/>
  <c r="Z135" i="1"/>
  <c r="AK226" i="1"/>
  <c r="AG95" i="1"/>
  <c r="AG97" i="1" s="1"/>
  <c r="AF246" i="1"/>
  <c r="AF247" i="1" s="1"/>
  <c r="AF255" i="1"/>
  <c r="AF117" i="1"/>
  <c r="AF94" i="1"/>
  <c r="AO214" i="1"/>
  <c r="AP210" i="1" s="1"/>
  <c r="AP208" i="1"/>
  <c r="AP205" i="1"/>
  <c r="AP206" i="1" s="1"/>
  <c r="AQ201" i="1" s="1"/>
  <c r="BG265" i="1"/>
  <c r="BG250" i="1"/>
  <c r="BG235" i="1"/>
  <c r="BG220" i="1"/>
  <c r="BG174" i="1"/>
  <c r="BG200" i="1"/>
  <c r="BG190" i="1"/>
  <c r="BG195" i="1" s="1"/>
  <c r="BG157" i="1"/>
  <c r="BG142" i="1"/>
  <c r="BG127" i="1"/>
  <c r="BG112" i="1"/>
  <c r="BG82" i="1"/>
  <c r="BG87" i="1" s="1"/>
  <c r="BG92" i="1"/>
  <c r="BG66" i="1"/>
  <c r="BG45" i="1"/>
  <c r="BG51" i="1" s="1"/>
  <c r="BG39" i="1"/>
  <c r="BF76" i="1"/>
  <c r="X148" i="1" l="1"/>
  <c r="AF106" i="1"/>
  <c r="AG102" i="1" s="1"/>
  <c r="AG105" i="1"/>
  <c r="AG99" i="1"/>
  <c r="AG98" i="1"/>
  <c r="AH93" i="1" s="1"/>
  <c r="X152" i="1"/>
  <c r="X150" i="1"/>
  <c r="AA137" i="1"/>
  <c r="AA135" i="1"/>
  <c r="BG131" i="1"/>
  <c r="AG245" i="1"/>
  <c r="AG243" i="1"/>
  <c r="AG100" i="1"/>
  <c r="AE115" i="1"/>
  <c r="AF248" i="1"/>
  <c r="BG146" i="1"/>
  <c r="AI233" i="1"/>
  <c r="AO218" i="1"/>
  <c r="AP225" i="1"/>
  <c r="AP202" i="1"/>
  <c r="W159" i="1"/>
  <c r="W160" i="1"/>
  <c r="W75" i="1" s="1"/>
  <c r="W79" i="1" s="1"/>
  <c r="BF185" i="1"/>
  <c r="AD124" i="1"/>
  <c r="AD132" i="1"/>
  <c r="AD123" i="1"/>
  <c r="BI192" i="1"/>
  <c r="BI84" i="1"/>
  <c r="BI21" i="1"/>
  <c r="AH241" i="1"/>
  <c r="AH242" i="1" s="1"/>
  <c r="AI237" i="1" s="1"/>
  <c r="BG211" i="1"/>
  <c r="BG212" i="1"/>
  <c r="BG203" i="1"/>
  <c r="BG204" i="1"/>
  <c r="BG177" i="1" s="1"/>
  <c r="AE248" i="1"/>
  <c r="BG76" i="1"/>
  <c r="BG223" i="1"/>
  <c r="BG224" i="1"/>
  <c r="X149" i="1"/>
  <c r="Y144" i="1" s="1"/>
  <c r="AD260" i="1"/>
  <c r="AD258" i="1"/>
  <c r="Z138" i="1"/>
  <c r="Z139" i="1" s="1"/>
  <c r="Z147" i="1"/>
  <c r="AG103" i="1"/>
  <c r="AG106" i="1" s="1"/>
  <c r="AH102" i="1" s="1"/>
  <c r="BI191" i="1"/>
  <c r="BI83" i="1"/>
  <c r="BG184" i="1"/>
  <c r="AK230" i="1"/>
  <c r="AK228" i="1"/>
  <c r="BG239" i="1"/>
  <c r="BG238" i="1"/>
  <c r="AD257" i="1"/>
  <c r="AE252" i="1" s="1"/>
  <c r="AQ208" i="1"/>
  <c r="AQ205" i="1"/>
  <c r="V161" i="1"/>
  <c r="V162" i="1" s="1"/>
  <c r="V68" i="1"/>
  <c r="V71" i="1" s="1"/>
  <c r="AA134" i="1"/>
  <c r="AB129" i="1" s="1"/>
  <c r="BF69" i="1"/>
  <c r="BF28" i="1"/>
  <c r="BH265" i="1"/>
  <c r="BH250" i="1"/>
  <c r="BH235" i="1"/>
  <c r="BH220" i="1"/>
  <c r="BH174" i="1"/>
  <c r="BH200" i="1"/>
  <c r="BH190" i="1"/>
  <c r="BH195" i="1" s="1"/>
  <c r="BH157" i="1"/>
  <c r="BH142" i="1"/>
  <c r="BH112" i="1"/>
  <c r="BH127" i="1"/>
  <c r="BH92" i="1"/>
  <c r="BH66" i="1"/>
  <c r="BH45" i="1"/>
  <c r="BH51" i="1" s="1"/>
  <c r="BH82" i="1"/>
  <c r="BH87" i="1" s="1"/>
  <c r="BH39" i="1"/>
  <c r="BF77" i="1"/>
  <c r="AJ240" i="1"/>
  <c r="AJ231" i="1"/>
  <c r="AF109" i="1"/>
  <c r="AF107" i="1"/>
  <c r="BG104" i="1"/>
  <c r="BG40" i="1" s="1"/>
  <c r="BG96" i="1"/>
  <c r="AK227" i="1"/>
  <c r="AL222" i="1" s="1"/>
  <c r="BG254" i="1"/>
  <c r="BG253" i="1"/>
  <c r="BG116" i="1"/>
  <c r="AP207" i="1"/>
  <c r="AP213" i="1"/>
  <c r="AP214" i="1" s="1"/>
  <c r="AQ210" i="1" s="1"/>
  <c r="AC262" i="1"/>
  <c r="AC263" i="1" s="1"/>
  <c r="BG185" i="1" l="1"/>
  <c r="AE118" i="1"/>
  <c r="AE119" i="1" s="1"/>
  <c r="AF114" i="1" s="1"/>
  <c r="AI241" i="1"/>
  <c r="AI242" i="1" s="1"/>
  <c r="AJ237" i="1" s="1"/>
  <c r="BI265" i="1"/>
  <c r="BI250" i="1"/>
  <c r="BI235" i="1"/>
  <c r="BI220" i="1"/>
  <c r="BI190" i="1"/>
  <c r="BI195" i="1" s="1"/>
  <c r="BI200" i="1"/>
  <c r="BI142" i="1"/>
  <c r="BI174" i="1"/>
  <c r="BI157" i="1"/>
  <c r="BI112" i="1"/>
  <c r="BI127" i="1"/>
  <c r="BI82" i="1"/>
  <c r="BI87" i="1" s="1"/>
  <c r="BI92" i="1"/>
  <c r="BI66" i="1"/>
  <c r="BI45" i="1"/>
  <c r="BI51" i="1" s="1"/>
  <c r="BI39" i="1"/>
  <c r="Z140" i="1"/>
  <c r="AD125" i="1"/>
  <c r="BJ192" i="1"/>
  <c r="BJ84" i="1"/>
  <c r="BJ21" i="1"/>
  <c r="AH95" i="1"/>
  <c r="AH97" i="1" s="1"/>
  <c r="BH116" i="1"/>
  <c r="BH146" i="1"/>
  <c r="AA138" i="1"/>
  <c r="AA147" i="1"/>
  <c r="X153" i="1"/>
  <c r="AC267" i="1"/>
  <c r="AC268" i="1" s="1"/>
  <c r="AC183" i="1" s="1"/>
  <c r="AC187" i="1" s="1"/>
  <c r="AG109" i="1"/>
  <c r="AG107" i="1"/>
  <c r="AL226" i="1"/>
  <c r="BH211" i="1"/>
  <c r="BH204" i="1"/>
  <c r="BH177" i="1" s="1"/>
  <c r="BH203" i="1"/>
  <c r="BH212" i="1"/>
  <c r="BH184" i="1"/>
  <c r="BH224" i="1"/>
  <c r="BH223" i="1"/>
  <c r="BH239" i="1"/>
  <c r="BH238" i="1"/>
  <c r="AK231" i="1"/>
  <c r="AK232" i="1" s="1"/>
  <c r="AK240" i="1"/>
  <c r="AD261" i="1"/>
  <c r="AG117" i="1"/>
  <c r="AG94" i="1"/>
  <c r="AB130" i="1"/>
  <c r="AB133" i="1" s="1"/>
  <c r="AQ213" i="1"/>
  <c r="AQ214" i="1" s="1"/>
  <c r="AR210" i="1" s="1"/>
  <c r="AQ207" i="1"/>
  <c r="AH245" i="1"/>
  <c r="AH243" i="1"/>
  <c r="AJ232" i="1"/>
  <c r="AQ225" i="1"/>
  <c r="AQ202" i="1"/>
  <c r="AE256" i="1"/>
  <c r="BH254" i="1"/>
  <c r="BH253" i="1"/>
  <c r="BH96" i="1"/>
  <c r="BH104" i="1"/>
  <c r="BH40" i="1" s="1"/>
  <c r="Y145" i="1"/>
  <c r="Y148" i="1" s="1"/>
  <c r="Y149" i="1" s="1"/>
  <c r="Z144" i="1" s="1"/>
  <c r="AF110" i="1"/>
  <c r="AP217" i="1"/>
  <c r="AP215" i="1"/>
  <c r="BJ191" i="1"/>
  <c r="BJ83" i="1"/>
  <c r="W161" i="1"/>
  <c r="W162" i="1" s="1"/>
  <c r="W68" i="1"/>
  <c r="W71" i="1" s="1"/>
  <c r="AQ206" i="1"/>
  <c r="AR201" i="1" s="1"/>
  <c r="BH76" i="1"/>
  <c r="AH103" i="1"/>
  <c r="BG69" i="1"/>
  <c r="BG28" i="1"/>
  <c r="BH131" i="1"/>
  <c r="BG77" i="1"/>
  <c r="AG246" i="1"/>
  <c r="AG247" i="1" s="1"/>
  <c r="AG255" i="1"/>
  <c r="AH100" i="1" l="1"/>
  <c r="AE120" i="1"/>
  <c r="AE122" i="1"/>
  <c r="AF115" i="1"/>
  <c r="AF118" i="1" s="1"/>
  <c r="AF122" i="1" s="1"/>
  <c r="AH98" i="1"/>
  <c r="AI93" i="1" s="1"/>
  <c r="AI95" i="1" s="1"/>
  <c r="BH185" i="1"/>
  <c r="AG248" i="1"/>
  <c r="AB137" i="1"/>
  <c r="AB135" i="1"/>
  <c r="Z145" i="1"/>
  <c r="Z148" i="1" s="1"/>
  <c r="AG110" i="1"/>
  <c r="BI116" i="1"/>
  <c r="AH117" i="1"/>
  <c r="AH94" i="1"/>
  <c r="AJ233" i="1"/>
  <c r="AJ241" i="1" s="1"/>
  <c r="AJ242" i="1" s="1"/>
  <c r="AK237" i="1" s="1"/>
  <c r="BK191" i="1"/>
  <c r="BK83" i="1"/>
  <c r="BI211" i="1"/>
  <c r="BI204" i="1"/>
  <c r="BI177" i="1" s="1"/>
  <c r="BI203" i="1"/>
  <c r="BI212" i="1"/>
  <c r="AR205" i="1"/>
  <c r="AR206" i="1" s="1"/>
  <c r="AS201" i="1" s="1"/>
  <c r="AR208" i="1"/>
  <c r="AI245" i="1"/>
  <c r="AI243" i="1"/>
  <c r="AD262" i="1"/>
  <c r="AD263" i="1" s="1"/>
  <c r="BI224" i="1"/>
  <c r="BI223" i="1"/>
  <c r="BI131" i="1"/>
  <c r="BH69" i="1"/>
  <c r="BH28" i="1"/>
  <c r="AH246" i="1"/>
  <c r="AH255" i="1"/>
  <c r="AA139" i="1"/>
  <c r="BH77" i="1"/>
  <c r="AE260" i="1"/>
  <c r="AE258" i="1"/>
  <c r="AB134" i="1"/>
  <c r="AC129" i="1" s="1"/>
  <c r="BI238" i="1"/>
  <c r="BI239" i="1"/>
  <c r="BK192" i="1"/>
  <c r="BK84" i="1"/>
  <c r="BK21" i="1"/>
  <c r="Y152" i="1"/>
  <c r="Y150" i="1"/>
  <c r="BI146" i="1"/>
  <c r="AQ217" i="1"/>
  <c r="AQ215" i="1"/>
  <c r="AH99" i="1"/>
  <c r="AH105" i="1"/>
  <c r="AK233" i="1"/>
  <c r="AP218" i="1"/>
  <c r="AE257" i="1"/>
  <c r="AF252" i="1" s="1"/>
  <c r="AL230" i="1"/>
  <c r="AL228" i="1"/>
  <c r="X154" i="1"/>
  <c r="X155" i="1" s="1"/>
  <c r="AE132" i="1"/>
  <c r="AE123" i="1"/>
  <c r="BI76" i="1"/>
  <c r="BI254" i="1"/>
  <c r="BI253" i="1"/>
  <c r="BI184" i="1"/>
  <c r="AC269" i="1"/>
  <c r="AC270" i="1" s="1"/>
  <c r="AC176" i="1"/>
  <c r="AC179" i="1" s="1"/>
  <c r="AL227" i="1"/>
  <c r="AM222" i="1" s="1"/>
  <c r="BJ265" i="1"/>
  <c r="BJ235" i="1"/>
  <c r="BJ250" i="1"/>
  <c r="BJ220" i="1"/>
  <c r="BJ190" i="1"/>
  <c r="BJ195" i="1" s="1"/>
  <c r="BJ200" i="1"/>
  <c r="BJ142" i="1"/>
  <c r="BJ174" i="1"/>
  <c r="BJ157" i="1"/>
  <c r="BJ112" i="1"/>
  <c r="BJ82" i="1"/>
  <c r="BJ87" i="1" s="1"/>
  <c r="BJ92" i="1"/>
  <c r="BJ127" i="1"/>
  <c r="BJ66" i="1"/>
  <c r="BJ45" i="1"/>
  <c r="BJ51" i="1" s="1"/>
  <c r="BJ39" i="1"/>
  <c r="BI96" i="1"/>
  <c r="BI77" i="1" s="1"/>
  <c r="BI104" i="1"/>
  <c r="BI40" i="1" s="1"/>
  <c r="AF119" i="1" l="1"/>
  <c r="AG114" i="1" s="1"/>
  <c r="AG115" i="1" s="1"/>
  <c r="BI185" i="1"/>
  <c r="AF120" i="1"/>
  <c r="AG118" i="1"/>
  <c r="AG122" i="1" s="1"/>
  <c r="AS205" i="1"/>
  <c r="AS206" i="1" s="1"/>
  <c r="AT201" i="1" s="1"/>
  <c r="AS208" i="1"/>
  <c r="BJ184" i="1"/>
  <c r="Y153" i="1"/>
  <c r="AK241" i="1"/>
  <c r="AK242" i="1"/>
  <c r="AL237" i="1" s="1"/>
  <c r="AQ218" i="1"/>
  <c r="BL191" i="1"/>
  <c r="BL83" i="1"/>
  <c r="AF256" i="1"/>
  <c r="AB138" i="1"/>
  <c r="AB147" i="1"/>
  <c r="Z152" i="1"/>
  <c r="Z150" i="1"/>
  <c r="BJ254" i="1"/>
  <c r="BJ253" i="1"/>
  <c r="BJ76" i="1"/>
  <c r="BJ131" i="1"/>
  <c r="AM226" i="1"/>
  <c r="AM227" i="1" s="1"/>
  <c r="AN222" i="1" s="1"/>
  <c r="X159" i="1"/>
  <c r="AH109" i="1"/>
  <c r="AH107" i="1"/>
  <c r="AH106" i="1"/>
  <c r="AI102" i="1" s="1"/>
  <c r="AC130" i="1"/>
  <c r="AD267" i="1"/>
  <c r="AD268" i="1" s="1"/>
  <c r="AD183" i="1" s="1"/>
  <c r="AD187" i="1" s="1"/>
  <c r="Z149" i="1"/>
  <c r="AA144" i="1" s="1"/>
  <c r="AI100" i="1"/>
  <c r="AA140" i="1"/>
  <c r="AI246" i="1"/>
  <c r="AI247" i="1" s="1"/>
  <c r="AI255" i="1"/>
  <c r="AJ245" i="1"/>
  <c r="AJ243" i="1"/>
  <c r="BL192" i="1"/>
  <c r="BL84" i="1"/>
  <c r="BL21" i="1"/>
  <c r="AR225" i="1"/>
  <c r="AR202" i="1"/>
  <c r="BJ238" i="1"/>
  <c r="BJ239" i="1"/>
  <c r="BJ104" i="1"/>
  <c r="BJ40" i="1" s="1"/>
  <c r="BJ96" i="1"/>
  <c r="AF123" i="1"/>
  <c r="AF124" i="1" s="1"/>
  <c r="AF132" i="1"/>
  <c r="BI69" i="1"/>
  <c r="BI28" i="1"/>
  <c r="BJ116" i="1"/>
  <c r="AI97" i="1"/>
  <c r="AI98" i="1" s="1"/>
  <c r="AJ93" i="1" s="1"/>
  <c r="BJ146" i="1"/>
  <c r="BJ204" i="1"/>
  <c r="BJ177" i="1" s="1"/>
  <c r="BJ203" i="1"/>
  <c r="BJ211" i="1"/>
  <c r="BJ212" i="1"/>
  <c r="BK265" i="1"/>
  <c r="BK235" i="1"/>
  <c r="BK250" i="1"/>
  <c r="BK220" i="1"/>
  <c r="BK190" i="1"/>
  <c r="BK195" i="1" s="1"/>
  <c r="BK200" i="1"/>
  <c r="BK174" i="1"/>
  <c r="BK157" i="1"/>
  <c r="BK142" i="1"/>
  <c r="BK112" i="1"/>
  <c r="BK127" i="1"/>
  <c r="BK82" i="1"/>
  <c r="BK87" i="1" s="1"/>
  <c r="BK92" i="1"/>
  <c r="BK66" i="1"/>
  <c r="BK39" i="1"/>
  <c r="BK45" i="1"/>
  <c r="BK51" i="1" s="1"/>
  <c r="BJ224" i="1"/>
  <c r="BJ223" i="1"/>
  <c r="AH247" i="1"/>
  <c r="AR213" i="1"/>
  <c r="AR207" i="1"/>
  <c r="AE124" i="1"/>
  <c r="AL240" i="1"/>
  <c r="AL231" i="1"/>
  <c r="AE261" i="1"/>
  <c r="AE262" i="1" s="1"/>
  <c r="AE263" i="1" s="1"/>
  <c r="AG119" i="1" l="1"/>
  <c r="AH114" i="1" s="1"/>
  <c r="AG120" i="1"/>
  <c r="AI248" i="1"/>
  <c r="BK224" i="1"/>
  <c r="BK223" i="1"/>
  <c r="AF125" i="1"/>
  <c r="AM230" i="1"/>
  <c r="AM228" i="1"/>
  <c r="AN226" i="1"/>
  <c r="BK77" i="1"/>
  <c r="BK76" i="1"/>
  <c r="BM191" i="1"/>
  <c r="BM83" i="1"/>
  <c r="BJ185" i="1"/>
  <c r="AT205" i="1"/>
  <c r="AT208" i="1"/>
  <c r="AR217" i="1"/>
  <c r="AR215" i="1"/>
  <c r="AR214" i="1"/>
  <c r="AS210" i="1" s="1"/>
  <c r="AF260" i="1"/>
  <c r="AF258" i="1"/>
  <c r="AH110" i="1"/>
  <c r="AS213" i="1"/>
  <c r="AS207" i="1"/>
  <c r="AH248" i="1"/>
  <c r="BK104" i="1"/>
  <c r="BK40" i="1" s="1"/>
  <c r="BK96" i="1"/>
  <c r="BK254" i="1"/>
  <c r="BK253" i="1"/>
  <c r="BK239" i="1"/>
  <c r="BK238" i="1"/>
  <c r="AJ246" i="1"/>
  <c r="AJ247" i="1" s="1"/>
  <c r="AJ255" i="1"/>
  <c r="AB139" i="1"/>
  <c r="BJ69" i="1"/>
  <c r="BJ28" i="1"/>
  <c r="AF257" i="1"/>
  <c r="AG252" i="1" s="1"/>
  <c r="AS225" i="1"/>
  <c r="AS202" i="1"/>
  <c r="BK116" i="1"/>
  <c r="AE267" i="1"/>
  <c r="AE268" i="1" s="1"/>
  <c r="AE183" i="1" s="1"/>
  <c r="AE187" i="1" s="1"/>
  <c r="AI105" i="1"/>
  <c r="AI99" i="1"/>
  <c r="BK184" i="1"/>
  <c r="BL265" i="1"/>
  <c r="BL235" i="1"/>
  <c r="BL250" i="1"/>
  <c r="BL220" i="1"/>
  <c r="BL200" i="1"/>
  <c r="BL190" i="1"/>
  <c r="BL195" i="1" s="1"/>
  <c r="BL157" i="1"/>
  <c r="BL174" i="1"/>
  <c r="BL142" i="1"/>
  <c r="BL127" i="1"/>
  <c r="BL112" i="1"/>
  <c r="BL92" i="1"/>
  <c r="BL39" i="1"/>
  <c r="BL66" i="1"/>
  <c r="BL45" i="1"/>
  <c r="BL51" i="1" s="1"/>
  <c r="BL82" i="1"/>
  <c r="BL87" i="1" s="1"/>
  <c r="AI117" i="1"/>
  <c r="AI94" i="1"/>
  <c r="X68" i="1"/>
  <c r="X71" i="1" s="1"/>
  <c r="AH115" i="1"/>
  <c r="AI103" i="1"/>
  <c r="Y154" i="1"/>
  <c r="Y155" i="1" s="1"/>
  <c r="AE125" i="1"/>
  <c r="BK203" i="1"/>
  <c r="BK211" i="1"/>
  <c r="BK204" i="1"/>
  <c r="BK177" i="1" s="1"/>
  <c r="BK212" i="1"/>
  <c r="AA145" i="1"/>
  <c r="AA148" i="1" s="1"/>
  <c r="Z153" i="1"/>
  <c r="Z154" i="1" s="1"/>
  <c r="Z155" i="1" s="1"/>
  <c r="AJ95" i="1"/>
  <c r="AJ97" i="1" s="1"/>
  <c r="AK245" i="1"/>
  <c r="AK243" i="1"/>
  <c r="AC133" i="1"/>
  <c r="AC134" i="1" s="1"/>
  <c r="AD129" i="1" s="1"/>
  <c r="BK131" i="1"/>
  <c r="BJ77" i="1"/>
  <c r="BK146" i="1"/>
  <c r="AL232" i="1"/>
  <c r="BM192" i="1"/>
  <c r="BM84" i="1"/>
  <c r="BM21" i="1"/>
  <c r="AD269" i="1"/>
  <c r="AD270" i="1" s="1"/>
  <c r="AD176" i="1"/>
  <c r="AD179" i="1" s="1"/>
  <c r="X160" i="1"/>
  <c r="X75" i="1" s="1"/>
  <c r="X79" i="1" s="1"/>
  <c r="AG123" i="1"/>
  <c r="AG132" i="1"/>
  <c r="AI106" i="1" l="1"/>
  <c r="AJ102" i="1" s="1"/>
  <c r="AJ103" i="1" s="1"/>
  <c r="X161" i="1"/>
  <c r="X162" i="1" s="1"/>
  <c r="AS214" i="1"/>
  <c r="AT210" i="1" s="1"/>
  <c r="AH118" i="1"/>
  <c r="AH119" i="1" s="1"/>
  <c r="AI114" i="1" s="1"/>
  <c r="AD130" i="1"/>
  <c r="AD133" i="1" s="1"/>
  <c r="AJ105" i="1"/>
  <c r="AJ99" i="1"/>
  <c r="AA152" i="1"/>
  <c r="AA150" i="1"/>
  <c r="AA149" i="1"/>
  <c r="AB144" i="1" s="1"/>
  <c r="Z159" i="1"/>
  <c r="Z160" i="1" s="1"/>
  <c r="Z75" i="1" s="1"/>
  <c r="Z79" i="1" s="1"/>
  <c r="BL146" i="1"/>
  <c r="AF261" i="1"/>
  <c r="AF262" i="1" s="1"/>
  <c r="AF263" i="1" s="1"/>
  <c r="AN230" i="1"/>
  <c r="AN228" i="1"/>
  <c r="AL233" i="1"/>
  <c r="AL241" i="1" s="1"/>
  <c r="BL224" i="1"/>
  <c r="BL223" i="1"/>
  <c r="AT225" i="1"/>
  <c r="AT202" i="1"/>
  <c r="BL184" i="1"/>
  <c r="AS217" i="1"/>
  <c r="AS215" i="1"/>
  <c r="AT213" i="1"/>
  <c r="AT207" i="1"/>
  <c r="AT206" i="1"/>
  <c r="AU201" i="1" s="1"/>
  <c r="AC137" i="1"/>
  <c r="AC135" i="1"/>
  <c r="AG124" i="1"/>
  <c r="Y159" i="1"/>
  <c r="Y160" i="1" s="1"/>
  <c r="Y75" i="1" s="1"/>
  <c r="Y79" i="1" s="1"/>
  <c r="BL211" i="1"/>
  <c r="BL204" i="1"/>
  <c r="BL177" i="1" s="1"/>
  <c r="BL212" i="1"/>
  <c r="BL203" i="1"/>
  <c r="BL254" i="1"/>
  <c r="BL253" i="1"/>
  <c r="AJ98" i="1"/>
  <c r="AK93" i="1" s="1"/>
  <c r="BL239" i="1"/>
  <c r="BL238" i="1"/>
  <c r="AB140" i="1"/>
  <c r="BL104" i="1"/>
  <c r="BL40" i="1" s="1"/>
  <c r="BL96" i="1"/>
  <c r="BL77" i="1" s="1"/>
  <c r="BN191" i="1"/>
  <c r="BN83" i="1"/>
  <c r="AG256" i="1"/>
  <c r="AG257" i="1" s="1"/>
  <c r="AH252" i="1" s="1"/>
  <c r="AM231" i="1"/>
  <c r="AM240" i="1"/>
  <c r="AR218" i="1"/>
  <c r="AK246" i="1"/>
  <c r="AK255" i="1"/>
  <c r="BL76" i="1"/>
  <c r="BM265" i="1"/>
  <c r="BM250" i="1"/>
  <c r="BM235" i="1"/>
  <c r="BM220" i="1"/>
  <c r="BM190" i="1"/>
  <c r="BM195" i="1" s="1"/>
  <c r="BM200" i="1"/>
  <c r="BM157" i="1"/>
  <c r="BM174" i="1"/>
  <c r="BM142" i="1"/>
  <c r="BM127" i="1"/>
  <c r="BM112" i="1"/>
  <c r="BM39" i="1"/>
  <c r="BM92" i="1"/>
  <c r="BM45" i="1"/>
  <c r="BM51" i="1" s="1"/>
  <c r="BM82" i="1"/>
  <c r="BM87" i="1" s="1"/>
  <c r="BM66" i="1"/>
  <c r="BN192" i="1"/>
  <c r="BN84" i="1"/>
  <c r="BN21" i="1"/>
  <c r="AJ100" i="1"/>
  <c r="BL116" i="1"/>
  <c r="AI109" i="1"/>
  <c r="AI107" i="1"/>
  <c r="AJ248" i="1"/>
  <c r="BL131" i="1"/>
  <c r="BK185" i="1"/>
  <c r="AE269" i="1"/>
  <c r="AE270" i="1" s="1"/>
  <c r="AE176" i="1"/>
  <c r="AE179" i="1" s="1"/>
  <c r="BK69" i="1"/>
  <c r="BK28" i="1"/>
  <c r="AN227" i="1"/>
  <c r="AO222" i="1" s="1"/>
  <c r="AH122" i="1" l="1"/>
  <c r="AT214" i="1"/>
  <c r="AU210" i="1" s="1"/>
  <c r="AJ106" i="1"/>
  <c r="AK102" i="1" s="1"/>
  <c r="AH120" i="1"/>
  <c r="BL185" i="1"/>
  <c r="AK103" i="1"/>
  <c r="AD137" i="1"/>
  <c r="AD135" i="1"/>
  <c r="AD134" i="1"/>
  <c r="AE129" i="1" s="1"/>
  <c r="AN231" i="1"/>
  <c r="AN240" i="1"/>
  <c r="AB145" i="1"/>
  <c r="AB148" i="1" s="1"/>
  <c r="AB149" i="1" s="1"/>
  <c r="AC144" i="1" s="1"/>
  <c r="AH256" i="1"/>
  <c r="AC138" i="1"/>
  <c r="AC147" i="1"/>
  <c r="AU208" i="1"/>
  <c r="AU205" i="1"/>
  <c r="AT217" i="1"/>
  <c r="AT215" i="1"/>
  <c r="Z161" i="1"/>
  <c r="Z162" i="1" s="1"/>
  <c r="Z68" i="1"/>
  <c r="Z71" i="1" s="1"/>
  <c r="BM238" i="1"/>
  <c r="BM239" i="1"/>
  <c r="AS218" i="1"/>
  <c r="BO192" i="1"/>
  <c r="BO84" i="1"/>
  <c r="BO21" i="1"/>
  <c r="AG260" i="1"/>
  <c r="AG258" i="1"/>
  <c r="AI115" i="1"/>
  <c r="AO226" i="1"/>
  <c r="AO227" i="1" s="1"/>
  <c r="AP222" i="1" s="1"/>
  <c r="AF267" i="1"/>
  <c r="AJ109" i="1"/>
  <c r="AJ107" i="1"/>
  <c r="BM131" i="1"/>
  <c r="AJ117" i="1"/>
  <c r="AJ94" i="1"/>
  <c r="BM184" i="1"/>
  <c r="Y161" i="1"/>
  <c r="Y162" i="1" s="1"/>
  <c r="Y68" i="1"/>
  <c r="Y71" i="1" s="1"/>
  <c r="BM224" i="1"/>
  <c r="BM223" i="1"/>
  <c r="AK247" i="1"/>
  <c r="AA153" i="1"/>
  <c r="AA154" i="1"/>
  <c r="AA155" i="1" s="1"/>
  <c r="BM253" i="1"/>
  <c r="BM254" i="1"/>
  <c r="BO191" i="1"/>
  <c r="BO83" i="1"/>
  <c r="BM146" i="1"/>
  <c r="AI110" i="1"/>
  <c r="BN265" i="1"/>
  <c r="BN250" i="1"/>
  <c r="BN235" i="1"/>
  <c r="BN200" i="1"/>
  <c r="BN220" i="1"/>
  <c r="BN190" i="1"/>
  <c r="BN195" i="1" s="1"/>
  <c r="BN157" i="1"/>
  <c r="BN174" i="1"/>
  <c r="BN142" i="1"/>
  <c r="BN127" i="1"/>
  <c r="BN112" i="1"/>
  <c r="BN92" i="1"/>
  <c r="BN45" i="1"/>
  <c r="BN51" i="1" s="1"/>
  <c r="BN82" i="1"/>
  <c r="BN87" i="1" s="1"/>
  <c r="BN66" i="1"/>
  <c r="BN39" i="1"/>
  <c r="BL69" i="1"/>
  <c r="BL28" i="1"/>
  <c r="AG125" i="1"/>
  <c r="AH123" i="1"/>
  <c r="AH124" i="1" s="1"/>
  <c r="AH132" i="1"/>
  <c r="AK95" i="1"/>
  <c r="AK100" i="1" s="1"/>
  <c r="BM104" i="1"/>
  <c r="BM40" i="1" s="1"/>
  <c r="BM96" i="1"/>
  <c r="BM116" i="1"/>
  <c r="AL245" i="1"/>
  <c r="AL242" i="1"/>
  <c r="AM237" i="1" s="1"/>
  <c r="AL243" i="1"/>
  <c r="BM76" i="1"/>
  <c r="BM77" i="1"/>
  <c r="BM211" i="1"/>
  <c r="BM204" i="1"/>
  <c r="BM177" i="1" s="1"/>
  <c r="BM212" i="1"/>
  <c r="BM203" i="1"/>
  <c r="AM232" i="1"/>
  <c r="BM185" i="1" l="1"/>
  <c r="AC145" i="1"/>
  <c r="AK117" i="1"/>
  <c r="AK94" i="1"/>
  <c r="AP226" i="1"/>
  <c r="BP191" i="1"/>
  <c r="BP83" i="1"/>
  <c r="AT218" i="1"/>
  <c r="AI118" i="1"/>
  <c r="AI119" i="1" s="1"/>
  <c r="AJ114" i="1" s="1"/>
  <c r="BP192" i="1"/>
  <c r="BP84" i="1"/>
  <c r="BP21" i="1"/>
  <c r="AU213" i="1"/>
  <c r="AU207" i="1"/>
  <c r="AJ110" i="1"/>
  <c r="AE130" i="1"/>
  <c r="AE133" i="1" s="1"/>
  <c r="AE134" i="1" s="1"/>
  <c r="AF129" i="1" s="1"/>
  <c r="BN116" i="1"/>
  <c r="AB152" i="1"/>
  <c r="AB150" i="1"/>
  <c r="AK97" i="1"/>
  <c r="BN184" i="1"/>
  <c r="AH125" i="1"/>
  <c r="BN76" i="1"/>
  <c r="BN224" i="1"/>
  <c r="BN223" i="1"/>
  <c r="AA159" i="1"/>
  <c r="AF176" i="1"/>
  <c r="AF179" i="1" s="1"/>
  <c r="AU225" i="1"/>
  <c r="AU202" i="1"/>
  <c r="BN253" i="1"/>
  <c r="BN254" i="1"/>
  <c r="BN104" i="1"/>
  <c r="BN40" i="1" s="1"/>
  <c r="BN96" i="1"/>
  <c r="AC139" i="1"/>
  <c r="AH260" i="1"/>
  <c r="AH258" i="1"/>
  <c r="BM69" i="1"/>
  <c r="BM28" i="1"/>
  <c r="AG261" i="1"/>
  <c r="AG262" i="1" s="1"/>
  <c r="AG263" i="1" s="1"/>
  <c r="BO265" i="1"/>
  <c r="BO250" i="1"/>
  <c r="BO235" i="1"/>
  <c r="BO220" i="1"/>
  <c r="BO200" i="1"/>
  <c r="BO190" i="1"/>
  <c r="BO195" i="1" s="1"/>
  <c r="BO174" i="1"/>
  <c r="BO157" i="1"/>
  <c r="BO142" i="1"/>
  <c r="BO127" i="1"/>
  <c r="BO112" i="1"/>
  <c r="BO82" i="1"/>
  <c r="BO87" i="1" s="1"/>
  <c r="BO66" i="1"/>
  <c r="BO45" i="1"/>
  <c r="BO51" i="1" s="1"/>
  <c r="BO92" i="1"/>
  <c r="BO39" i="1"/>
  <c r="BN212" i="1"/>
  <c r="BN204" i="1"/>
  <c r="BN177" i="1" s="1"/>
  <c r="BN211" i="1"/>
  <c r="BN203" i="1"/>
  <c r="AF268" i="1"/>
  <c r="AF183" i="1" s="1"/>
  <c r="AF187" i="1" s="1"/>
  <c r="AU206" i="1"/>
  <c r="AV201" i="1" s="1"/>
  <c r="AN232" i="1"/>
  <c r="AD138" i="1"/>
  <c r="AD139" i="1" s="1"/>
  <c r="AD147" i="1"/>
  <c r="BN131" i="1"/>
  <c r="AH257" i="1"/>
  <c r="AI252" i="1" s="1"/>
  <c r="BN146" i="1"/>
  <c r="AM233" i="1"/>
  <c r="AM241" i="1" s="1"/>
  <c r="AM242" i="1" s="1"/>
  <c r="AN237" i="1" s="1"/>
  <c r="AL246" i="1"/>
  <c r="AL255" i="1"/>
  <c r="BN238" i="1"/>
  <c r="BN239" i="1"/>
  <c r="AK248" i="1"/>
  <c r="AO230" i="1"/>
  <c r="AO228" i="1"/>
  <c r="BN185" i="1" l="1"/>
  <c r="AD140" i="1"/>
  <c r="AA68" i="1"/>
  <c r="AA71" i="1" s="1"/>
  <c r="AU217" i="1"/>
  <c r="AU215" i="1"/>
  <c r="AU214" i="1"/>
  <c r="AV210" i="1" s="1"/>
  <c r="BQ192" i="1"/>
  <c r="BQ84" i="1"/>
  <c r="BQ21" i="1"/>
  <c r="AJ115" i="1"/>
  <c r="AJ118" i="1" s="1"/>
  <c r="AH261" i="1"/>
  <c r="AH262" i="1" s="1"/>
  <c r="AH263" i="1" s="1"/>
  <c r="AA160" i="1"/>
  <c r="AA75" i="1" s="1"/>
  <c r="AA79" i="1" s="1"/>
  <c r="AF130" i="1"/>
  <c r="AF133" i="1" s="1"/>
  <c r="BQ191" i="1"/>
  <c r="BQ83" i="1"/>
  <c r="BO184" i="1"/>
  <c r="AC140" i="1"/>
  <c r="AC148" i="1" s="1"/>
  <c r="AM245" i="1"/>
  <c r="AM243" i="1"/>
  <c r="AN233" i="1"/>
  <c r="AN241" i="1" s="1"/>
  <c r="BO76" i="1"/>
  <c r="AV208" i="1"/>
  <c r="AV205" i="1"/>
  <c r="AV206" i="1" s="1"/>
  <c r="AW201" i="1" s="1"/>
  <c r="BO238" i="1"/>
  <c r="BO239" i="1"/>
  <c r="BN77" i="1"/>
  <c r="AB153" i="1"/>
  <c r="AB154" i="1" s="1"/>
  <c r="AB155" i="1" s="1"/>
  <c r="BO116" i="1"/>
  <c r="BO131" i="1"/>
  <c r="AI122" i="1"/>
  <c r="AI120" i="1"/>
  <c r="AL247" i="1"/>
  <c r="BO212" i="1"/>
  <c r="BO204" i="1"/>
  <c r="BO177" i="1" s="1"/>
  <c r="BO211" i="1"/>
  <c r="BO203" i="1"/>
  <c r="BN69" i="1"/>
  <c r="BN28" i="1"/>
  <c r="AK105" i="1"/>
  <c r="AK99" i="1"/>
  <c r="AO231" i="1"/>
  <c r="AO240" i="1"/>
  <c r="AG267" i="1"/>
  <c r="AG268" i="1"/>
  <c r="AG183" i="1" s="1"/>
  <c r="AG187" i="1" s="1"/>
  <c r="AI256" i="1"/>
  <c r="AI257" i="1" s="1"/>
  <c r="AJ252" i="1" s="1"/>
  <c r="BO146" i="1"/>
  <c r="AK98" i="1"/>
  <c r="AL93" i="1" s="1"/>
  <c r="AP230" i="1"/>
  <c r="AP228" i="1"/>
  <c r="BO224" i="1"/>
  <c r="BO223" i="1"/>
  <c r="BP265" i="1"/>
  <c r="BP250" i="1"/>
  <c r="BP235" i="1"/>
  <c r="BP220" i="1"/>
  <c r="BP200" i="1"/>
  <c r="BP174" i="1"/>
  <c r="BP157" i="1"/>
  <c r="BP142" i="1"/>
  <c r="BP190" i="1"/>
  <c r="BP195" i="1" s="1"/>
  <c r="BP127" i="1"/>
  <c r="BP112" i="1"/>
  <c r="BP66" i="1"/>
  <c r="BP45" i="1"/>
  <c r="BP51" i="1" s="1"/>
  <c r="BP82" i="1"/>
  <c r="BP87" i="1" s="1"/>
  <c r="BP92" i="1"/>
  <c r="BP39" i="1"/>
  <c r="BO253" i="1"/>
  <c r="BO254" i="1"/>
  <c r="AE137" i="1"/>
  <c r="AE135" i="1"/>
  <c r="BO104" i="1"/>
  <c r="BO40" i="1" s="1"/>
  <c r="BO96" i="1"/>
  <c r="AF269" i="1"/>
  <c r="AF270" i="1" s="1"/>
  <c r="AP227" i="1"/>
  <c r="AQ222" i="1" s="1"/>
  <c r="AJ119" i="1" l="1"/>
  <c r="AK114" i="1" s="1"/>
  <c r="AA161" i="1"/>
  <c r="AA162" i="1" s="1"/>
  <c r="AN245" i="1"/>
  <c r="AN243" i="1"/>
  <c r="AN242" i="1"/>
  <c r="AO237" i="1" s="1"/>
  <c r="AC152" i="1"/>
  <c r="AC150" i="1"/>
  <c r="AC149" i="1"/>
  <c r="AD144" i="1" s="1"/>
  <c r="BP131" i="1"/>
  <c r="AJ256" i="1"/>
  <c r="AJ257" i="1" s="1"/>
  <c r="AK252" i="1" s="1"/>
  <c r="AW208" i="1"/>
  <c r="AW205" i="1"/>
  <c r="AF137" i="1"/>
  <c r="AF135" i="1"/>
  <c r="AK115" i="1"/>
  <c r="AM246" i="1"/>
  <c r="AM255" i="1"/>
  <c r="BP146" i="1"/>
  <c r="AB159" i="1"/>
  <c r="AB160" i="1"/>
  <c r="AB75" i="1" s="1"/>
  <c r="AB79" i="1" s="1"/>
  <c r="AK109" i="1"/>
  <c r="AK107" i="1"/>
  <c r="AK106" i="1"/>
  <c r="AL102" i="1" s="1"/>
  <c r="AH267" i="1"/>
  <c r="AH268" i="1" s="1"/>
  <c r="AH183" i="1" s="1"/>
  <c r="AH187" i="1" s="1"/>
  <c r="BP104" i="1"/>
  <c r="BP40" i="1" s="1"/>
  <c r="BP96" i="1"/>
  <c r="AJ122" i="1"/>
  <c r="AJ120" i="1"/>
  <c r="BQ265" i="1"/>
  <c r="BQ250" i="1"/>
  <c r="BQ235" i="1"/>
  <c r="BQ220" i="1"/>
  <c r="BQ174" i="1"/>
  <c r="BQ200" i="1"/>
  <c r="BQ157" i="1"/>
  <c r="BQ190" i="1"/>
  <c r="BQ195" i="1" s="1"/>
  <c r="BQ127" i="1"/>
  <c r="BQ142" i="1"/>
  <c r="BQ112" i="1"/>
  <c r="BQ66" i="1"/>
  <c r="BQ45" i="1"/>
  <c r="BQ51" i="1" s="1"/>
  <c r="BQ82" i="1"/>
  <c r="BQ87" i="1" s="1"/>
  <c r="BQ92" i="1"/>
  <c r="BQ39" i="1"/>
  <c r="AV213" i="1"/>
  <c r="AV214" i="1" s="1"/>
  <c r="AW210" i="1" s="1"/>
  <c r="AV207" i="1"/>
  <c r="BP184" i="1"/>
  <c r="AV225" i="1"/>
  <c r="AV202" i="1"/>
  <c r="AF134" i="1"/>
  <c r="AG129" i="1" s="1"/>
  <c r="AG269" i="1"/>
  <c r="AG270" i="1" s="1"/>
  <c r="AG176" i="1"/>
  <c r="AG179" i="1" s="1"/>
  <c r="BO185" i="1"/>
  <c r="AU218" i="1"/>
  <c r="AQ226" i="1"/>
  <c r="AQ227" i="1" s="1"/>
  <c r="AR222" i="1" s="1"/>
  <c r="BR191" i="1"/>
  <c r="BR83" i="1"/>
  <c r="BP224" i="1"/>
  <c r="BP223" i="1"/>
  <c r="BP238" i="1"/>
  <c r="BP239" i="1"/>
  <c r="BP253" i="1"/>
  <c r="BP254" i="1"/>
  <c r="BO69" i="1"/>
  <c r="BO28" i="1"/>
  <c r="BP77" i="1"/>
  <c r="BP76" i="1"/>
  <c r="AP231" i="1"/>
  <c r="AP232" i="1" s="1"/>
  <c r="AP240" i="1"/>
  <c r="AO232" i="1"/>
  <c r="BO77" i="1"/>
  <c r="AI260" i="1"/>
  <c r="AI258" i="1"/>
  <c r="AE138" i="1"/>
  <c r="AE139" i="1"/>
  <c r="AE147" i="1"/>
  <c r="BR192" i="1"/>
  <c r="BR84" i="1"/>
  <c r="BR21" i="1"/>
  <c r="BP212" i="1"/>
  <c r="BP204" i="1"/>
  <c r="BP177" i="1" s="1"/>
  <c r="BP211" i="1"/>
  <c r="BP203" i="1"/>
  <c r="AL248" i="1"/>
  <c r="BP116" i="1"/>
  <c r="AL95" i="1"/>
  <c r="AL100" i="1" s="1"/>
  <c r="AL97" i="1"/>
  <c r="AI132" i="1"/>
  <c r="AI123" i="1"/>
  <c r="AL117" i="1" l="1"/>
  <c r="AL94" i="1"/>
  <c r="BQ184" i="1"/>
  <c r="AH269" i="1"/>
  <c r="AH270" i="1" s="1"/>
  <c r="AH176" i="1"/>
  <c r="AH179" i="1" s="1"/>
  <c r="BR265" i="1"/>
  <c r="BR250" i="1"/>
  <c r="BR235" i="1"/>
  <c r="BR220" i="1"/>
  <c r="BR174" i="1"/>
  <c r="BR200" i="1"/>
  <c r="BR190" i="1"/>
  <c r="BR195" i="1" s="1"/>
  <c r="BR157" i="1"/>
  <c r="BR127" i="1"/>
  <c r="BR142" i="1"/>
  <c r="BR66" i="1"/>
  <c r="BR112" i="1"/>
  <c r="BR45" i="1"/>
  <c r="BR51" i="1" s="1"/>
  <c r="BR82" i="1"/>
  <c r="BR87" i="1" s="1"/>
  <c r="BR92" i="1"/>
  <c r="BR39" i="1"/>
  <c r="AL103" i="1"/>
  <c r="AI124" i="1"/>
  <c r="BQ116" i="1"/>
  <c r="AN246" i="1"/>
  <c r="AN247" i="1" s="1"/>
  <c r="AN255" i="1"/>
  <c r="BQ238" i="1"/>
  <c r="BQ239" i="1"/>
  <c r="BQ254" i="1"/>
  <c r="BQ253" i="1"/>
  <c r="AJ132" i="1"/>
  <c r="AJ123" i="1"/>
  <c r="AJ124" i="1"/>
  <c r="AD145" i="1"/>
  <c r="AD148" i="1" s="1"/>
  <c r="AM247" i="1"/>
  <c r="AF138" i="1"/>
  <c r="AF139" i="1" s="1"/>
  <c r="AF147" i="1"/>
  <c r="BQ104" i="1"/>
  <c r="BQ40" i="1" s="1"/>
  <c r="BQ96" i="1"/>
  <c r="BQ77" i="1" s="1"/>
  <c r="BQ223" i="1"/>
  <c r="BQ224" i="1"/>
  <c r="AG130" i="1"/>
  <c r="AG133" i="1" s="1"/>
  <c r="AC153" i="1"/>
  <c r="BS192" i="1"/>
  <c r="BS84" i="1"/>
  <c r="BS21" i="1"/>
  <c r="AI261" i="1"/>
  <c r="AI262" i="1" s="1"/>
  <c r="AI263" i="1" s="1"/>
  <c r="BQ76" i="1"/>
  <c r="BS191" i="1"/>
  <c r="BS83" i="1"/>
  <c r="AK110" i="1"/>
  <c r="AK118" i="1" s="1"/>
  <c r="AO233" i="1"/>
  <c r="AO241" i="1" s="1"/>
  <c r="AO242" i="1" s="1"/>
  <c r="AP237" i="1" s="1"/>
  <c r="AR226" i="1"/>
  <c r="AB161" i="1"/>
  <c r="AB162" i="1" s="1"/>
  <c r="AB68" i="1"/>
  <c r="AB71" i="1" s="1"/>
  <c r="AW213" i="1"/>
  <c r="AW207" i="1"/>
  <c r="AE140" i="1"/>
  <c r="AL105" i="1"/>
  <c r="AL99" i="1"/>
  <c r="BQ146" i="1"/>
  <c r="BQ131" i="1"/>
  <c r="AQ230" i="1"/>
  <c r="AQ228" i="1"/>
  <c r="AW206" i="1"/>
  <c r="AX201" i="1" s="1"/>
  <c r="AK256" i="1"/>
  <c r="AV217" i="1"/>
  <c r="AV215" i="1"/>
  <c r="AJ260" i="1"/>
  <c r="AJ258" i="1"/>
  <c r="AL98" i="1"/>
  <c r="AM93" i="1" s="1"/>
  <c r="AP233" i="1"/>
  <c r="BP185" i="1"/>
  <c r="BQ211" i="1"/>
  <c r="BQ212" i="1"/>
  <c r="BQ204" i="1"/>
  <c r="BQ177" i="1" s="1"/>
  <c r="BQ203" i="1"/>
  <c r="BP69" i="1"/>
  <c r="BP28" i="1"/>
  <c r="AW225" i="1"/>
  <c r="AW202" i="1"/>
  <c r="AL106" i="1" l="1"/>
  <c r="AM102" i="1" s="1"/>
  <c r="BQ185" i="1"/>
  <c r="AD149" i="1"/>
  <c r="AE144" i="1" s="1"/>
  <c r="AE145" i="1" s="1"/>
  <c r="AE148" i="1" s="1"/>
  <c r="AI267" i="1"/>
  <c r="AM103" i="1"/>
  <c r="AM95" i="1"/>
  <c r="AM100" i="1" s="1"/>
  <c r="AN248" i="1"/>
  <c r="BT192" i="1"/>
  <c r="BT84" i="1"/>
  <c r="BT21" i="1"/>
  <c r="AK122" i="1"/>
  <c r="AK120" i="1"/>
  <c r="AK119" i="1"/>
  <c r="AL114" i="1" s="1"/>
  <c r="AM248" i="1"/>
  <c r="BR212" i="1"/>
  <c r="BR211" i="1"/>
  <c r="BR203" i="1"/>
  <c r="BR204" i="1"/>
  <c r="BR177" i="1" s="1"/>
  <c r="AG137" i="1"/>
  <c r="AG135" i="1"/>
  <c r="AW217" i="1"/>
  <c r="AW215" i="1"/>
  <c r="BT191" i="1"/>
  <c r="BT83" i="1"/>
  <c r="BR223" i="1"/>
  <c r="BR224" i="1"/>
  <c r="BR116" i="1"/>
  <c r="BR76" i="1"/>
  <c r="BS265" i="1"/>
  <c r="BS250" i="1"/>
  <c r="BS235" i="1"/>
  <c r="BS220" i="1"/>
  <c r="BS174" i="1"/>
  <c r="BS200" i="1"/>
  <c r="BS157" i="1"/>
  <c r="BS190" i="1"/>
  <c r="BS195" i="1" s="1"/>
  <c r="BS127" i="1"/>
  <c r="BS142" i="1"/>
  <c r="BS112" i="1"/>
  <c r="BS82" i="1"/>
  <c r="BS87" i="1" s="1"/>
  <c r="BS92" i="1"/>
  <c r="BS66" i="1"/>
  <c r="BS45" i="1"/>
  <c r="BS51" i="1" s="1"/>
  <c r="BS39" i="1"/>
  <c r="AR230" i="1"/>
  <c r="AR228" i="1"/>
  <c r="BR238" i="1"/>
  <c r="BR239" i="1"/>
  <c r="AO245" i="1"/>
  <c r="AO243" i="1"/>
  <c r="BR146" i="1"/>
  <c r="BR184" i="1"/>
  <c r="AQ231" i="1"/>
  <c r="AQ232" i="1" s="1"/>
  <c r="AQ240" i="1"/>
  <c r="AG134" i="1"/>
  <c r="AH129" i="1" s="1"/>
  <c r="AV218" i="1"/>
  <c r="AL109" i="1"/>
  <c r="AL107" i="1"/>
  <c r="BR254" i="1"/>
  <c r="BR253" i="1"/>
  <c r="AK260" i="1"/>
  <c r="AK258" i="1"/>
  <c r="AX205" i="1"/>
  <c r="AX206" i="1" s="1"/>
  <c r="AY201" i="1" s="1"/>
  <c r="AX208" i="1"/>
  <c r="BQ69" i="1"/>
  <c r="BQ28" i="1"/>
  <c r="AF140" i="1"/>
  <c r="BR131" i="1"/>
  <c r="AC154" i="1"/>
  <c r="AC155" i="1" s="1"/>
  <c r="AJ261" i="1"/>
  <c r="AJ262" i="1" s="1"/>
  <c r="AJ263" i="1" s="1"/>
  <c r="AD152" i="1"/>
  <c r="AD150" i="1"/>
  <c r="BR104" i="1"/>
  <c r="BR40" i="1" s="1"/>
  <c r="BR96" i="1"/>
  <c r="BR77" i="1" s="1"/>
  <c r="AR227" i="1"/>
  <c r="AS222" i="1" s="1"/>
  <c r="AJ125" i="1"/>
  <c r="AK257" i="1"/>
  <c r="AL252" i="1" s="1"/>
  <c r="AP241" i="1"/>
  <c r="AP242" i="1" s="1"/>
  <c r="AQ237" i="1" s="1"/>
  <c r="AI125" i="1"/>
  <c r="AW214" i="1"/>
  <c r="AX210" i="1" s="1"/>
  <c r="AE149" i="1" l="1"/>
  <c r="AF144" i="1" s="1"/>
  <c r="AM117" i="1"/>
  <c r="AM94" i="1"/>
  <c r="AF145" i="1"/>
  <c r="AF148" i="1" s="1"/>
  <c r="AK132" i="1"/>
  <c r="AK123" i="1"/>
  <c r="AK124" i="1"/>
  <c r="AO246" i="1"/>
  <c r="AO255" i="1"/>
  <c r="AX225" i="1"/>
  <c r="AX202" i="1"/>
  <c r="BU191" i="1"/>
  <c r="BU83" i="1"/>
  <c r="BS223" i="1"/>
  <c r="BS224" i="1"/>
  <c r="AE152" i="1"/>
  <c r="AE150" i="1"/>
  <c r="AI176" i="1"/>
  <c r="AI179" i="1" s="1"/>
  <c r="AH130" i="1"/>
  <c r="AH133" i="1" s="1"/>
  <c r="AL115" i="1"/>
  <c r="AX213" i="1"/>
  <c r="AX207" i="1"/>
  <c r="AG138" i="1"/>
  <c r="AG147" i="1"/>
  <c r="BU192" i="1"/>
  <c r="BU84" i="1"/>
  <c r="BU21" i="1"/>
  <c r="AJ267" i="1"/>
  <c r="AJ268" i="1" s="1"/>
  <c r="AJ183" i="1" s="1"/>
  <c r="AJ187" i="1" s="1"/>
  <c r="AQ233" i="1"/>
  <c r="AQ241" i="1" s="1"/>
  <c r="BT265" i="1"/>
  <c r="BT250" i="1"/>
  <c r="BT235" i="1"/>
  <c r="BT220" i="1"/>
  <c r="BT174" i="1"/>
  <c r="BT200" i="1"/>
  <c r="BT190" i="1"/>
  <c r="BT195" i="1" s="1"/>
  <c r="BT157" i="1"/>
  <c r="BT142" i="1"/>
  <c r="BT127" i="1"/>
  <c r="BT92" i="1"/>
  <c r="BT112" i="1"/>
  <c r="BT82" i="1"/>
  <c r="BT87" i="1" s="1"/>
  <c r="BT66" i="1"/>
  <c r="BT45" i="1"/>
  <c r="BT51" i="1" s="1"/>
  <c r="BT39" i="1"/>
  <c r="BR69" i="1"/>
  <c r="BR28" i="1"/>
  <c r="AK261" i="1"/>
  <c r="BS212" i="1"/>
  <c r="BS211" i="1"/>
  <c r="BS203" i="1"/>
  <c r="BS204" i="1"/>
  <c r="BS177" i="1" s="1"/>
  <c r="AL110" i="1"/>
  <c r="BS76" i="1"/>
  <c r="AS226" i="1"/>
  <c r="AS227" i="1" s="1"/>
  <c r="AT222" i="1" s="1"/>
  <c r="BS104" i="1"/>
  <c r="BS40" i="1" s="1"/>
  <c r="BS96" i="1"/>
  <c r="BS238" i="1"/>
  <c r="BS239" i="1"/>
  <c r="AP245" i="1"/>
  <c r="AP243" i="1"/>
  <c r="AR231" i="1"/>
  <c r="AR240" i="1"/>
  <c r="BS254" i="1"/>
  <c r="BS253" i="1"/>
  <c r="AM97" i="1"/>
  <c r="AI268" i="1"/>
  <c r="AI183" i="1" s="1"/>
  <c r="AI187" i="1" s="1"/>
  <c r="BS116" i="1"/>
  <c r="AY205" i="1"/>
  <c r="AY208" i="1"/>
  <c r="BS146" i="1"/>
  <c r="AD153" i="1"/>
  <c r="BS131" i="1"/>
  <c r="AL256" i="1"/>
  <c r="AL257" i="1" s="1"/>
  <c r="AM252" i="1" s="1"/>
  <c r="AC159" i="1"/>
  <c r="AC160" i="1" s="1"/>
  <c r="AC75" i="1" s="1"/>
  <c r="AC79" i="1" s="1"/>
  <c r="BS184" i="1"/>
  <c r="AW218" i="1"/>
  <c r="BR185" i="1"/>
  <c r="AI269" i="1" l="1"/>
  <c r="AI270" i="1" s="1"/>
  <c r="AF149" i="1"/>
  <c r="AG144" i="1" s="1"/>
  <c r="AG145" i="1" s="1"/>
  <c r="AL118" i="1"/>
  <c r="AL119" i="1" s="1"/>
  <c r="AM114" i="1" s="1"/>
  <c r="AM115" i="1" s="1"/>
  <c r="AQ245" i="1"/>
  <c r="AQ243" i="1"/>
  <c r="AQ242" i="1"/>
  <c r="AR237" i="1" s="1"/>
  <c r="AT226" i="1"/>
  <c r="AT227" i="1" s="1"/>
  <c r="AU222" i="1" s="1"/>
  <c r="AF152" i="1"/>
  <c r="AF150" i="1"/>
  <c r="AR232" i="1"/>
  <c r="AL260" i="1"/>
  <c r="AL258" i="1"/>
  <c r="BT184" i="1"/>
  <c r="AP246" i="1"/>
  <c r="AP247" i="1" s="1"/>
  <c r="AP255" i="1"/>
  <c r="BT223" i="1"/>
  <c r="BT224" i="1"/>
  <c r="AJ269" i="1"/>
  <c r="AJ270" i="1" s="1"/>
  <c r="AJ176" i="1"/>
  <c r="AJ179" i="1" s="1"/>
  <c r="AL122" i="1"/>
  <c r="AH137" i="1"/>
  <c r="AH135" i="1"/>
  <c r="BT131" i="1"/>
  <c r="BS28" i="1"/>
  <c r="BS69" i="1"/>
  <c r="BT239" i="1"/>
  <c r="BT238" i="1"/>
  <c r="BT104" i="1"/>
  <c r="BT40" i="1" s="1"/>
  <c r="BT96" i="1"/>
  <c r="BT146" i="1"/>
  <c r="BT211" i="1"/>
  <c r="BT204" i="1"/>
  <c r="BT177" i="1" s="1"/>
  <c r="BT203" i="1"/>
  <c r="BT212" i="1"/>
  <c r="AX215" i="1"/>
  <c r="AX217" i="1"/>
  <c r="AX214" i="1"/>
  <c r="AY210" i="1" s="1"/>
  <c r="AY213" i="1"/>
  <c r="AY207" i="1"/>
  <c r="AY206" i="1"/>
  <c r="AZ201" i="1" s="1"/>
  <c r="AM105" i="1"/>
  <c r="AM99" i="1"/>
  <c r="BT253" i="1"/>
  <c r="BT254" i="1"/>
  <c r="BU265" i="1"/>
  <c r="BU250" i="1"/>
  <c r="BU220" i="1"/>
  <c r="BU235" i="1"/>
  <c r="BU174" i="1"/>
  <c r="BU200" i="1"/>
  <c r="BU190" i="1"/>
  <c r="BU195" i="1" s="1"/>
  <c r="BU157" i="1"/>
  <c r="BU142" i="1"/>
  <c r="BU112" i="1"/>
  <c r="BU127" i="1"/>
  <c r="BU82" i="1"/>
  <c r="BU87" i="1" s="1"/>
  <c r="BU92" i="1"/>
  <c r="BU66" i="1"/>
  <c r="BU39" i="1"/>
  <c r="BU45" i="1"/>
  <c r="BU51" i="1" s="1"/>
  <c r="AO247" i="1"/>
  <c r="BS77" i="1"/>
  <c r="AE153" i="1"/>
  <c r="AE154" i="1" s="1"/>
  <c r="AE155" i="1" s="1"/>
  <c r="AK125" i="1"/>
  <c r="AD154" i="1"/>
  <c r="AD155" i="1" s="1"/>
  <c r="AY225" i="1"/>
  <c r="AY202" i="1"/>
  <c r="BS185" i="1"/>
  <c r="BV192" i="1"/>
  <c r="BV84" i="1"/>
  <c r="BV21" i="1"/>
  <c r="AH134" i="1"/>
  <c r="AI129" i="1" s="1"/>
  <c r="AM98" i="1"/>
  <c r="AN93" i="1" s="1"/>
  <c r="AM256" i="1"/>
  <c r="AM257" i="1" s="1"/>
  <c r="AN252" i="1" s="1"/>
  <c r="BV191" i="1"/>
  <c r="BV83" i="1"/>
  <c r="AG139" i="1"/>
  <c r="AK262" i="1"/>
  <c r="AK263" i="1" s="1"/>
  <c r="BT76" i="1"/>
  <c r="AC161" i="1"/>
  <c r="AC162" i="1" s="1"/>
  <c r="AC68" i="1"/>
  <c r="AC71" i="1" s="1"/>
  <c r="AS230" i="1"/>
  <c r="AS228" i="1"/>
  <c r="BT116" i="1"/>
  <c r="AL120" i="1" l="1"/>
  <c r="AQ246" i="1"/>
  <c r="AQ247" i="1" s="1"/>
  <c r="AQ255" i="1"/>
  <c r="AI130" i="1"/>
  <c r="BT69" i="1"/>
  <c r="BT28" i="1"/>
  <c r="AE159" i="1"/>
  <c r="AE160" i="1"/>
  <c r="AE75" i="1" s="1"/>
  <c r="AE79" i="1" s="1"/>
  <c r="AR233" i="1"/>
  <c r="AR241" i="1" s="1"/>
  <c r="AL132" i="1"/>
  <c r="AL123" i="1"/>
  <c r="AL124" i="1" s="1"/>
  <c r="AU226" i="1"/>
  <c r="AL261" i="1"/>
  <c r="AT230" i="1"/>
  <c r="AT228" i="1"/>
  <c r="AN95" i="1"/>
  <c r="AN97" i="1" s="1"/>
  <c r="AX218" i="1"/>
  <c r="BU211" i="1"/>
  <c r="BU204" i="1"/>
  <c r="BU177" i="1" s="1"/>
  <c r="BU203" i="1"/>
  <c r="BU212" i="1"/>
  <c r="BW192" i="1"/>
  <c r="BW84" i="1"/>
  <c r="BW21" i="1"/>
  <c r="AH138" i="1"/>
  <c r="AH139" i="1" s="1"/>
  <c r="AH147" i="1"/>
  <c r="AD159" i="1"/>
  <c r="AD160" i="1" s="1"/>
  <c r="AD75" i="1" s="1"/>
  <c r="AD79" i="1" s="1"/>
  <c r="AF153" i="1"/>
  <c r="BU223" i="1"/>
  <c r="BU224" i="1"/>
  <c r="BU253" i="1"/>
  <c r="BU254" i="1"/>
  <c r="AM109" i="1"/>
  <c r="AM107" i="1"/>
  <c r="AM106" i="1"/>
  <c r="AN102" i="1" s="1"/>
  <c r="AY217" i="1"/>
  <c r="AY215" i="1"/>
  <c r="BV250" i="1"/>
  <c r="BV265" i="1"/>
  <c r="BV235" i="1"/>
  <c r="BV220" i="1"/>
  <c r="BV190" i="1"/>
  <c r="BV195" i="1" s="1"/>
  <c r="BV200" i="1"/>
  <c r="BV174" i="1"/>
  <c r="BV142" i="1"/>
  <c r="BV112" i="1"/>
  <c r="BV157" i="1"/>
  <c r="BV127" i="1"/>
  <c r="BV82" i="1"/>
  <c r="BV87" i="1" s="1"/>
  <c r="BV92" i="1"/>
  <c r="BV66" i="1"/>
  <c r="BV45" i="1"/>
  <c r="BV51" i="1" s="1"/>
  <c r="BV39" i="1"/>
  <c r="AO248" i="1"/>
  <c r="AS231" i="1"/>
  <c r="AS232" i="1" s="1"/>
  <c r="AS240" i="1"/>
  <c r="BU76" i="1"/>
  <c r="BU239" i="1"/>
  <c r="BU238" i="1"/>
  <c r="AG140" i="1"/>
  <c r="AG148" i="1" s="1"/>
  <c r="AG149" i="1" s="1"/>
  <c r="AH144" i="1" s="1"/>
  <c r="BU104" i="1"/>
  <c r="BU40" i="1" s="1"/>
  <c r="BU96" i="1"/>
  <c r="AM260" i="1"/>
  <c r="AM258" i="1"/>
  <c r="BU131" i="1"/>
  <c r="AZ205" i="1"/>
  <c r="AZ208" i="1"/>
  <c r="AP248" i="1"/>
  <c r="BU146" i="1"/>
  <c r="AY214" i="1"/>
  <c r="AZ210" i="1" s="1"/>
  <c r="BU184" i="1"/>
  <c r="AK267" i="1"/>
  <c r="AK268" i="1" s="1"/>
  <c r="AK183" i="1" s="1"/>
  <c r="AK187" i="1" s="1"/>
  <c r="BT185" i="1"/>
  <c r="BW191" i="1"/>
  <c r="BW83" i="1"/>
  <c r="BT77" i="1"/>
  <c r="AN256" i="1"/>
  <c r="BU116" i="1"/>
  <c r="BU185" i="1" l="1"/>
  <c r="AN105" i="1"/>
  <c r="AN99" i="1"/>
  <c r="AS233" i="1"/>
  <c r="AL125" i="1"/>
  <c r="AZ207" i="1"/>
  <c r="AZ213" i="1"/>
  <c r="AZ214" i="1" s="1"/>
  <c r="BA210" i="1" s="1"/>
  <c r="BX192" i="1"/>
  <c r="BX84" i="1"/>
  <c r="BX21" i="1"/>
  <c r="AG152" i="1"/>
  <c r="AG150" i="1"/>
  <c r="AN98" i="1"/>
  <c r="AO93" i="1" s="1"/>
  <c r="AH140" i="1"/>
  <c r="AQ248" i="1"/>
  <c r="AN100" i="1"/>
  <c r="AI133" i="1"/>
  <c r="AI134" i="1" s="1"/>
  <c r="AJ129" i="1" s="1"/>
  <c r="AU230" i="1"/>
  <c r="AU228" i="1"/>
  <c r="BU69" i="1"/>
  <c r="BU28" i="1"/>
  <c r="AE161" i="1"/>
  <c r="AE162" i="1" s="1"/>
  <c r="AE68" i="1"/>
  <c r="AE71" i="1" s="1"/>
  <c r="AM261" i="1"/>
  <c r="BV131" i="1"/>
  <c r="BW250" i="1"/>
  <c r="BW265" i="1"/>
  <c r="BW235" i="1"/>
  <c r="BW220" i="1"/>
  <c r="BW190" i="1"/>
  <c r="BW195" i="1" s="1"/>
  <c r="BW200" i="1"/>
  <c r="BW174" i="1"/>
  <c r="BW112" i="1"/>
  <c r="BW142" i="1"/>
  <c r="BW157" i="1"/>
  <c r="BW127" i="1"/>
  <c r="BW82" i="1"/>
  <c r="BW87" i="1" s="1"/>
  <c r="BW92" i="1"/>
  <c r="BW39" i="1"/>
  <c r="BW66" i="1"/>
  <c r="BW45" i="1"/>
  <c r="BW51" i="1" s="1"/>
  <c r="AM110" i="1"/>
  <c r="AM118" i="1" s="1"/>
  <c r="AF154" i="1"/>
  <c r="AF155" i="1" s="1"/>
  <c r="AK269" i="1"/>
  <c r="AK270" i="1" s="1"/>
  <c r="AK176" i="1"/>
  <c r="AK179" i="1" s="1"/>
  <c r="BV76" i="1"/>
  <c r="BV239" i="1"/>
  <c r="BV238" i="1"/>
  <c r="AT231" i="1"/>
  <c r="AT232" i="1" s="1"/>
  <c r="AT240" i="1"/>
  <c r="BX191" i="1"/>
  <c r="BX83" i="1"/>
  <c r="BV116" i="1"/>
  <c r="AN103" i="1"/>
  <c r="AN106" i="1" s="1"/>
  <c r="AO102" i="1" s="1"/>
  <c r="AZ225" i="1"/>
  <c r="AZ202" i="1"/>
  <c r="BU77" i="1"/>
  <c r="AY218" i="1"/>
  <c r="AU227" i="1"/>
  <c r="AV222" i="1" s="1"/>
  <c r="AH145" i="1"/>
  <c r="BV146" i="1"/>
  <c r="BV184" i="1"/>
  <c r="AN260" i="1"/>
  <c r="AN258" i="1"/>
  <c r="AR245" i="1"/>
  <c r="AR243" i="1"/>
  <c r="BV211" i="1"/>
  <c r="BV204" i="1"/>
  <c r="BV177" i="1" s="1"/>
  <c r="BV203" i="1"/>
  <c r="BV212" i="1"/>
  <c r="AN257" i="1"/>
  <c r="AO252" i="1" s="1"/>
  <c r="AR242" i="1"/>
  <c r="AS237" i="1" s="1"/>
  <c r="BV223" i="1"/>
  <c r="BV224" i="1"/>
  <c r="AZ206" i="1"/>
  <c r="BA201" i="1" s="1"/>
  <c r="BV104" i="1"/>
  <c r="BV40" i="1" s="1"/>
  <c r="BV96" i="1"/>
  <c r="BV254" i="1"/>
  <c r="BV253" i="1"/>
  <c r="AD161" i="1"/>
  <c r="AD162" i="1" s="1"/>
  <c r="AD68" i="1"/>
  <c r="AD71" i="1" s="1"/>
  <c r="AL262" i="1"/>
  <c r="AL263" i="1" s="1"/>
  <c r="AH148" i="1" l="1"/>
  <c r="BV185" i="1"/>
  <c r="AH152" i="1"/>
  <c r="AH150" i="1"/>
  <c r="BW131" i="1"/>
  <c r="BW146" i="1"/>
  <c r="BW203" i="1"/>
  <c r="BW212" i="1"/>
  <c r="BW211" i="1"/>
  <c r="BW204" i="1"/>
  <c r="BW177" i="1" s="1"/>
  <c r="AL267" i="1"/>
  <c r="BX235" i="1"/>
  <c r="BX265" i="1"/>
  <c r="BX250" i="1"/>
  <c r="BX220" i="1"/>
  <c r="BX190" i="1"/>
  <c r="BX195" i="1" s="1"/>
  <c r="BX200" i="1"/>
  <c r="BX157" i="1"/>
  <c r="BX142" i="1"/>
  <c r="BX174" i="1"/>
  <c r="BX92" i="1"/>
  <c r="BX127" i="1"/>
  <c r="BX112" i="1"/>
  <c r="BX82" i="1"/>
  <c r="BX87" i="1" s="1"/>
  <c r="BX39" i="1"/>
  <c r="BX66" i="1"/>
  <c r="BX45" i="1"/>
  <c r="BX51" i="1" s="1"/>
  <c r="AR246" i="1"/>
  <c r="AR247" i="1" s="1"/>
  <c r="AR255" i="1"/>
  <c r="AZ217" i="1"/>
  <c r="AZ215" i="1"/>
  <c r="AJ130" i="1"/>
  <c r="AJ133" i="1"/>
  <c r="AH149" i="1"/>
  <c r="AI144" i="1" s="1"/>
  <c r="BW76" i="1"/>
  <c r="BW77" i="1"/>
  <c r="BW223" i="1"/>
  <c r="BW224" i="1"/>
  <c r="AU231" i="1"/>
  <c r="AU240" i="1"/>
  <c r="AU232" i="1"/>
  <c r="AI137" i="1"/>
  <c r="AI135" i="1"/>
  <c r="AO95" i="1"/>
  <c r="AO100" i="1" s="1"/>
  <c r="AO97" i="1"/>
  <c r="AN107" i="1"/>
  <c r="AN109" i="1"/>
  <c r="AM122" i="1"/>
  <c r="AM120" i="1"/>
  <c r="AM119" i="1"/>
  <c r="AN114" i="1" s="1"/>
  <c r="AM262" i="1"/>
  <c r="AM263" i="1" s="1"/>
  <c r="BW184" i="1"/>
  <c r="AV226" i="1"/>
  <c r="AV227" i="1" s="1"/>
  <c r="AW222" i="1" s="1"/>
  <c r="AS241" i="1"/>
  <c r="AS242" i="1" s="1"/>
  <c r="AT237" i="1" s="1"/>
  <c r="BA205" i="1"/>
  <c r="BA206" i="1" s="1"/>
  <c r="BB201" i="1" s="1"/>
  <c r="BA208" i="1"/>
  <c r="BY191" i="1"/>
  <c r="BY83" i="1"/>
  <c r="AT233" i="1"/>
  <c r="BY192" i="1"/>
  <c r="BY84" i="1"/>
  <c r="BY21" i="1"/>
  <c r="BV69" i="1"/>
  <c r="BV28" i="1"/>
  <c r="AO256" i="1"/>
  <c r="AO257" i="1" s="1"/>
  <c r="AP252" i="1" s="1"/>
  <c r="BW239" i="1"/>
  <c r="BW238" i="1"/>
  <c r="BW104" i="1"/>
  <c r="BW40" i="1" s="1"/>
  <c r="BW96" i="1"/>
  <c r="BW254" i="1"/>
  <c r="BW253" i="1"/>
  <c r="AN117" i="1"/>
  <c r="AN94" i="1"/>
  <c r="BW116" i="1"/>
  <c r="AN261" i="1"/>
  <c r="AO103" i="1"/>
  <c r="BV77" i="1"/>
  <c r="AF159" i="1"/>
  <c r="AF160" i="1" s="1"/>
  <c r="AF75" i="1" s="1"/>
  <c r="AF79" i="1" s="1"/>
  <c r="AG153" i="1"/>
  <c r="AG154" i="1"/>
  <c r="AG155" i="1" s="1"/>
  <c r="AJ134" i="1" l="1"/>
  <c r="AK129" i="1" s="1"/>
  <c r="BW185" i="1"/>
  <c r="AT241" i="1"/>
  <c r="AT242" i="1" s="1"/>
  <c r="AU237" i="1" s="1"/>
  <c r="BB208" i="1"/>
  <c r="BB205" i="1"/>
  <c r="BB206" i="1" s="1"/>
  <c r="BC201" i="1" s="1"/>
  <c r="AK130" i="1"/>
  <c r="AK133" i="1" s="1"/>
  <c r="AO117" i="1"/>
  <c r="AO94" i="1"/>
  <c r="BZ191" i="1"/>
  <c r="BZ83" i="1"/>
  <c r="AO105" i="1"/>
  <c r="AO99" i="1"/>
  <c r="BW69" i="1"/>
  <c r="BW28" i="1"/>
  <c r="BX224" i="1"/>
  <c r="BX223" i="1"/>
  <c r="AJ137" i="1"/>
  <c r="AJ135" i="1"/>
  <c r="BZ192" i="1"/>
  <c r="BZ84" i="1"/>
  <c r="BZ21" i="1"/>
  <c r="AR248" i="1"/>
  <c r="AP256" i="1"/>
  <c r="BX116" i="1"/>
  <c r="AL176" i="1"/>
  <c r="AL179" i="1" s="1"/>
  <c r="AH153" i="1"/>
  <c r="AH154" i="1" s="1"/>
  <c r="AH155" i="1" s="1"/>
  <c r="BA225" i="1"/>
  <c r="BA202" i="1"/>
  <c r="AG159" i="1"/>
  <c r="AG160" i="1" s="1"/>
  <c r="AG75" i="1" s="1"/>
  <c r="AG79" i="1" s="1"/>
  <c r="BX212" i="1"/>
  <c r="BX203" i="1"/>
  <c r="BX211" i="1"/>
  <c r="BX204" i="1"/>
  <c r="BX177" i="1" s="1"/>
  <c r="AI145" i="1"/>
  <c r="AO260" i="1"/>
  <c r="AO258" i="1"/>
  <c r="AI138" i="1"/>
  <c r="AI139" i="1" s="1"/>
  <c r="AI147" i="1"/>
  <c r="AV230" i="1"/>
  <c r="AV228" i="1"/>
  <c r="AM132" i="1"/>
  <c r="AM123" i="1"/>
  <c r="AM124" i="1" s="1"/>
  <c r="AU233" i="1"/>
  <c r="BX104" i="1"/>
  <c r="BX40" i="1" s="1"/>
  <c r="BX96" i="1"/>
  <c r="BX77" i="1" s="1"/>
  <c r="AF161" i="1"/>
  <c r="AF162" i="1" s="1"/>
  <c r="AF68" i="1"/>
  <c r="AF71" i="1" s="1"/>
  <c r="BA213" i="1"/>
  <c r="BA207" i="1"/>
  <c r="BX254" i="1"/>
  <c r="BX253" i="1"/>
  <c r="AS245" i="1"/>
  <c r="AS243" i="1"/>
  <c r="AM267" i="1"/>
  <c r="AM268" i="1"/>
  <c r="AM183" i="1" s="1"/>
  <c r="AM187" i="1" s="1"/>
  <c r="AL268" i="1"/>
  <c r="AL183" i="1" s="1"/>
  <c r="AL187" i="1" s="1"/>
  <c r="AN110" i="1"/>
  <c r="AN118" i="1" s="1"/>
  <c r="AN122" i="1" s="1"/>
  <c r="BX184" i="1"/>
  <c r="AO98" i="1"/>
  <c r="AP93" i="1" s="1"/>
  <c r="BX76" i="1"/>
  <c r="BX239" i="1"/>
  <c r="BX238" i="1"/>
  <c r="AN115" i="1"/>
  <c r="AW226" i="1"/>
  <c r="BX131" i="1"/>
  <c r="AN262" i="1"/>
  <c r="AN263" i="1" s="1"/>
  <c r="BY265" i="1"/>
  <c r="BY250" i="1"/>
  <c r="BY235" i="1"/>
  <c r="BY220" i="1"/>
  <c r="BY190" i="1"/>
  <c r="BY195" i="1" s="1"/>
  <c r="BY200" i="1"/>
  <c r="BY157" i="1"/>
  <c r="BY174" i="1"/>
  <c r="BY142" i="1"/>
  <c r="BY127" i="1"/>
  <c r="BY112" i="1"/>
  <c r="BY82" i="1"/>
  <c r="BY87" i="1" s="1"/>
  <c r="BY39" i="1"/>
  <c r="BY66" i="1"/>
  <c r="BY45" i="1"/>
  <c r="BY51" i="1" s="1"/>
  <c r="BY92" i="1"/>
  <c r="AZ218" i="1"/>
  <c r="BX146" i="1"/>
  <c r="BX185" i="1" l="1"/>
  <c r="AN120" i="1"/>
  <c r="AN119" i="1"/>
  <c r="AO114" i="1" s="1"/>
  <c r="AM125" i="1"/>
  <c r="AH159" i="1"/>
  <c r="AO115" i="1"/>
  <c r="AK137" i="1"/>
  <c r="AK135" i="1"/>
  <c r="AI140" i="1"/>
  <c r="AI148" i="1" s="1"/>
  <c r="BY131" i="1"/>
  <c r="BY116" i="1"/>
  <c r="AM269" i="1"/>
  <c r="AM270" i="1" s="1"/>
  <c r="AM176" i="1"/>
  <c r="AM179" i="1" s="1"/>
  <c r="CA192" i="1"/>
  <c r="CA84" i="1"/>
  <c r="CA21" i="1"/>
  <c r="AO261" i="1"/>
  <c r="AO262" i="1" s="1"/>
  <c r="AO263" i="1" s="1"/>
  <c r="BY184" i="1"/>
  <c r="BB213" i="1"/>
  <c r="BB207" i="1"/>
  <c r="AP95" i="1"/>
  <c r="AP100" i="1" s="1"/>
  <c r="AN267" i="1"/>
  <c r="AN268" i="1" s="1"/>
  <c r="AN183" i="1" s="1"/>
  <c r="AN187" i="1" s="1"/>
  <c r="AN132" i="1"/>
  <c r="AN123" i="1"/>
  <c r="BB225" i="1"/>
  <c r="BB202" i="1"/>
  <c r="BY253" i="1"/>
  <c r="BY254" i="1"/>
  <c r="BA217" i="1"/>
  <c r="BA215" i="1"/>
  <c r="BA214" i="1"/>
  <c r="BB210" i="1" s="1"/>
  <c r="BY146" i="1"/>
  <c r="AJ138" i="1"/>
  <c r="AJ147" i="1"/>
  <c r="BY76" i="1"/>
  <c r="AS246" i="1"/>
  <c r="AS247" i="1" s="1"/>
  <c r="AS255" i="1"/>
  <c r="AG161" i="1"/>
  <c r="AG162" i="1" s="1"/>
  <c r="AG68" i="1"/>
  <c r="AG71" i="1" s="1"/>
  <c r="BZ265" i="1"/>
  <c r="BZ250" i="1"/>
  <c r="BZ235" i="1"/>
  <c r="BZ220" i="1"/>
  <c r="BZ200" i="1"/>
  <c r="BZ157" i="1"/>
  <c r="BZ190" i="1"/>
  <c r="BZ195" i="1" s="1"/>
  <c r="BZ174" i="1"/>
  <c r="BZ142" i="1"/>
  <c r="BZ127" i="1"/>
  <c r="BZ112" i="1"/>
  <c r="BZ66" i="1"/>
  <c r="BZ45" i="1"/>
  <c r="BZ51" i="1" s="1"/>
  <c r="BZ92" i="1"/>
  <c r="BZ82" i="1"/>
  <c r="BZ87" i="1" s="1"/>
  <c r="BZ39" i="1"/>
  <c r="AK134" i="1"/>
  <c r="AL129" i="1" s="1"/>
  <c r="AU241" i="1"/>
  <c r="AU242" i="1" s="1"/>
  <c r="AV237" i="1" s="1"/>
  <c r="AO109" i="1"/>
  <c r="AO107" i="1"/>
  <c r="AO106" i="1"/>
  <c r="AP102" i="1" s="1"/>
  <c r="AW230" i="1"/>
  <c r="AW228" i="1"/>
  <c r="AW227" i="1"/>
  <c r="AX222" i="1" s="1"/>
  <c r="CA191" i="1"/>
  <c r="CA83" i="1"/>
  <c r="BC205" i="1"/>
  <c r="BC206" i="1" s="1"/>
  <c r="BD201" i="1" s="1"/>
  <c r="BC208" i="1"/>
  <c r="BY104" i="1"/>
  <c r="BY40" i="1" s="1"/>
  <c r="BY96" i="1"/>
  <c r="BY77" i="1" s="1"/>
  <c r="AV231" i="1"/>
  <c r="AV240" i="1"/>
  <c r="BY224" i="1"/>
  <c r="BY223" i="1"/>
  <c r="AP260" i="1"/>
  <c r="AP258" i="1"/>
  <c r="AT245" i="1"/>
  <c r="AT243" i="1"/>
  <c r="BY212" i="1"/>
  <c r="BY203" i="1"/>
  <c r="BY211" i="1"/>
  <c r="BY204" i="1"/>
  <c r="BY177" i="1" s="1"/>
  <c r="BY238" i="1"/>
  <c r="BY239" i="1"/>
  <c r="BX69" i="1"/>
  <c r="BX28" i="1"/>
  <c r="AL269" i="1"/>
  <c r="AL270" i="1" s="1"/>
  <c r="AP257" i="1"/>
  <c r="AQ252" i="1" s="1"/>
  <c r="AP117" i="1" l="1"/>
  <c r="AP94" i="1"/>
  <c r="AI152" i="1"/>
  <c r="AI150" i="1"/>
  <c r="AI149" i="1"/>
  <c r="AJ144" i="1" s="1"/>
  <c r="AS248" i="1"/>
  <c r="BD205" i="1"/>
  <c r="BD208" i="1"/>
  <c r="BD206" i="1"/>
  <c r="BE201" i="1" s="1"/>
  <c r="AO110" i="1"/>
  <c r="AO118" i="1" s="1"/>
  <c r="AO267" i="1"/>
  <c r="AO268" i="1" s="1"/>
  <c r="AO183" i="1" s="1"/>
  <c r="AO187" i="1" s="1"/>
  <c r="BZ116" i="1"/>
  <c r="BB217" i="1"/>
  <c r="BB215" i="1"/>
  <c r="BA218" i="1"/>
  <c r="AH68" i="1"/>
  <c r="AH71" i="1" s="1"/>
  <c r="CB192" i="1"/>
  <c r="CB84" i="1"/>
  <c r="CB21" i="1"/>
  <c r="AH160" i="1"/>
  <c r="AH75" i="1" s="1"/>
  <c r="AH79" i="1" s="1"/>
  <c r="BZ131" i="1"/>
  <c r="BZ146" i="1"/>
  <c r="AN269" i="1"/>
  <c r="AN270" i="1" s="1"/>
  <c r="AN176" i="1"/>
  <c r="AN179" i="1" s="1"/>
  <c r="BZ76" i="1"/>
  <c r="CA265" i="1"/>
  <c r="CA250" i="1"/>
  <c r="CA235" i="1"/>
  <c r="CA220" i="1"/>
  <c r="CA200" i="1"/>
  <c r="CA190" i="1"/>
  <c r="CA195" i="1" s="1"/>
  <c r="CA174" i="1"/>
  <c r="CA157" i="1"/>
  <c r="CA142" i="1"/>
  <c r="CA127" i="1"/>
  <c r="CA112" i="1"/>
  <c r="CA92" i="1"/>
  <c r="CA82" i="1"/>
  <c r="CA87" i="1" s="1"/>
  <c r="CA45" i="1"/>
  <c r="CA51" i="1" s="1"/>
  <c r="CA39" i="1"/>
  <c r="CA66" i="1"/>
  <c r="AL130" i="1"/>
  <c r="AL133" i="1" s="1"/>
  <c r="AP103" i="1"/>
  <c r="BZ239" i="1"/>
  <c r="BZ238" i="1"/>
  <c r="AV232" i="1"/>
  <c r="CB191" i="1"/>
  <c r="CB83" i="1"/>
  <c r="BB214" i="1"/>
  <c r="BC210" i="1" s="1"/>
  <c r="AX226" i="1"/>
  <c r="AX227" i="1" s="1"/>
  <c r="AY222" i="1" s="1"/>
  <c r="BY185" i="1"/>
  <c r="BZ203" i="1"/>
  <c r="BZ211" i="1"/>
  <c r="BZ204" i="1"/>
  <c r="BZ177" i="1" s="1"/>
  <c r="BZ212" i="1"/>
  <c r="AW231" i="1"/>
  <c r="AW240" i="1"/>
  <c r="AW232" i="1"/>
  <c r="BZ224" i="1"/>
  <c r="BZ223" i="1"/>
  <c r="BZ253" i="1"/>
  <c r="BZ254" i="1"/>
  <c r="AP97" i="1"/>
  <c r="AK138" i="1"/>
  <c r="AK147" i="1"/>
  <c r="BC213" i="1"/>
  <c r="BC207" i="1"/>
  <c r="AJ139" i="1"/>
  <c r="BZ184" i="1"/>
  <c r="AN124" i="1"/>
  <c r="AU245" i="1"/>
  <c r="AU243" i="1"/>
  <c r="BY69" i="1"/>
  <c r="BY28" i="1"/>
  <c r="AT246" i="1"/>
  <c r="AT255" i="1"/>
  <c r="BZ96" i="1"/>
  <c r="BZ104" i="1"/>
  <c r="BZ40" i="1" s="1"/>
  <c r="AQ256" i="1"/>
  <c r="AQ257" i="1" s="1"/>
  <c r="AR252" i="1" s="1"/>
  <c r="AP261" i="1"/>
  <c r="BC225" i="1"/>
  <c r="BC202" i="1"/>
  <c r="BC214" i="1" l="1"/>
  <c r="BD210" i="1" s="1"/>
  <c r="AH161" i="1"/>
  <c r="AH162" i="1" s="1"/>
  <c r="BZ185" i="1"/>
  <c r="AO122" i="1"/>
  <c r="AO120" i="1"/>
  <c r="AO119" i="1"/>
  <c r="AP114" i="1" s="1"/>
  <c r="AL137" i="1"/>
  <c r="AL135" i="1"/>
  <c r="AR256" i="1"/>
  <c r="AR257" i="1" s="1"/>
  <c r="AS252" i="1" s="1"/>
  <c r="AY226" i="1"/>
  <c r="CA184" i="1"/>
  <c r="CA212" i="1"/>
  <c r="CA211" i="1"/>
  <c r="CA204" i="1"/>
  <c r="CA177" i="1" s="1"/>
  <c r="CA203" i="1"/>
  <c r="CA146" i="1"/>
  <c r="AI153" i="1"/>
  <c r="AI154" i="1"/>
  <c r="AI155" i="1" s="1"/>
  <c r="AV233" i="1"/>
  <c r="AV241" i="1" s="1"/>
  <c r="AW233" i="1"/>
  <c r="BZ69" i="1"/>
  <c r="BZ28" i="1"/>
  <c r="BZ77" i="1"/>
  <c r="AX230" i="1"/>
  <c r="AX228" i="1"/>
  <c r="CA76" i="1"/>
  <c r="CA239" i="1"/>
  <c r="CA238" i="1"/>
  <c r="CB250" i="1"/>
  <c r="CB235" i="1"/>
  <c r="CB265" i="1"/>
  <c r="CB220" i="1"/>
  <c r="CB200" i="1"/>
  <c r="CB190" i="1"/>
  <c r="CB195" i="1" s="1"/>
  <c r="CB174" i="1"/>
  <c r="CB142" i="1"/>
  <c r="CB157" i="1"/>
  <c r="CB127" i="1"/>
  <c r="CB112" i="1"/>
  <c r="CB66" i="1"/>
  <c r="CB45" i="1"/>
  <c r="CB51" i="1" s="1"/>
  <c r="CB92" i="1"/>
  <c r="CB82" i="1"/>
  <c r="CB87" i="1" s="1"/>
  <c r="CB39" i="1"/>
  <c r="AK139" i="1"/>
  <c r="AL134" i="1"/>
  <c r="AM129" i="1" s="1"/>
  <c r="BB218" i="1"/>
  <c r="BE208" i="1"/>
  <c r="BE205" i="1"/>
  <c r="BE206" i="1" s="1"/>
  <c r="BF201" i="1" s="1"/>
  <c r="CA116" i="1"/>
  <c r="CA131" i="1"/>
  <c r="AP105" i="1"/>
  <c r="AP99" i="1"/>
  <c r="AP98" i="1"/>
  <c r="AQ93" i="1" s="1"/>
  <c r="AJ140" i="1"/>
  <c r="AP262" i="1"/>
  <c r="AP263" i="1" s="1"/>
  <c r="BC215" i="1"/>
  <c r="BC217" i="1"/>
  <c r="CA104" i="1"/>
  <c r="CA40" i="1" s="1"/>
  <c r="CA96" i="1"/>
  <c r="CA77" i="1" s="1"/>
  <c r="AU246" i="1"/>
  <c r="AU247" i="1" s="1"/>
  <c r="AU255" i="1"/>
  <c r="CC191" i="1"/>
  <c r="CC83" i="1"/>
  <c r="CC192" i="1"/>
  <c r="CC84" i="1"/>
  <c r="CC21" i="1"/>
  <c r="AO269" i="1"/>
  <c r="AO270" i="1" s="1"/>
  <c r="AO176" i="1"/>
  <c r="AO179" i="1" s="1"/>
  <c r="BD225" i="1"/>
  <c r="BD202" i="1"/>
  <c r="AN125" i="1"/>
  <c r="AJ145" i="1"/>
  <c r="AT247" i="1"/>
  <c r="CA224" i="1"/>
  <c r="CA223" i="1"/>
  <c r="AQ260" i="1"/>
  <c r="AQ258" i="1"/>
  <c r="CA253" i="1"/>
  <c r="CA254" i="1"/>
  <c r="BD213" i="1"/>
  <c r="BD214" i="1" s="1"/>
  <c r="BE210" i="1" s="1"/>
  <c r="BD207" i="1"/>
  <c r="AJ148" i="1" l="1"/>
  <c r="AJ149" i="1" s="1"/>
  <c r="AK144" i="1" s="1"/>
  <c r="AU248" i="1"/>
  <c r="BF208" i="1"/>
  <c r="BF205" i="1"/>
  <c r="BF206" i="1" s="1"/>
  <c r="BG201" i="1" s="1"/>
  <c r="CB253" i="1"/>
  <c r="CB254" i="1"/>
  <c r="AQ95" i="1"/>
  <c r="AQ100" i="1" s="1"/>
  <c r="AP109" i="1"/>
  <c r="AP107" i="1"/>
  <c r="CB116" i="1"/>
  <c r="CB146" i="1"/>
  <c r="CC265" i="1"/>
  <c r="CC250" i="1"/>
  <c r="CC235" i="1"/>
  <c r="CC220" i="1"/>
  <c r="CC190" i="1"/>
  <c r="CC195" i="1" s="1"/>
  <c r="CC200" i="1"/>
  <c r="CC174" i="1"/>
  <c r="CC142" i="1"/>
  <c r="CC157" i="1"/>
  <c r="CC127" i="1"/>
  <c r="CC112" i="1"/>
  <c r="CC66" i="1"/>
  <c r="CC45" i="1"/>
  <c r="CC51" i="1" s="1"/>
  <c r="CC92" i="1"/>
  <c r="CC82" i="1"/>
  <c r="CC87" i="1" s="1"/>
  <c r="CC39" i="1"/>
  <c r="AI159" i="1"/>
  <c r="AI160" i="1" s="1"/>
  <c r="AI75" i="1" s="1"/>
  <c r="AI79" i="1" s="1"/>
  <c r="AP267" i="1"/>
  <c r="AP268" i="1" s="1"/>
  <c r="AP183" i="1" s="1"/>
  <c r="AP187" i="1" s="1"/>
  <c r="CD192" i="1"/>
  <c r="CD84" i="1"/>
  <c r="CD21" i="1"/>
  <c r="AX240" i="1"/>
  <c r="AX231" i="1"/>
  <c r="AX232" i="1" s="1"/>
  <c r="CA185" i="1"/>
  <c r="AP106" i="1"/>
  <c r="AQ102" i="1" s="1"/>
  <c r="AV245" i="1"/>
  <c r="AV242" i="1"/>
  <c r="AW237" i="1" s="1"/>
  <c r="AV243" i="1"/>
  <c r="AR260" i="1"/>
  <c r="AR258" i="1"/>
  <c r="AP115" i="1"/>
  <c r="AQ261" i="1"/>
  <c r="AQ262" i="1" s="1"/>
  <c r="AQ263" i="1" s="1"/>
  <c r="BE225" i="1"/>
  <c r="BE202" i="1"/>
  <c r="AL138" i="1"/>
  <c r="AL139" i="1" s="1"/>
  <c r="AL147" i="1"/>
  <c r="AK140" i="1"/>
  <c r="CB96" i="1"/>
  <c r="CB104" i="1"/>
  <c r="CB40" i="1" s="1"/>
  <c r="CB224" i="1"/>
  <c r="CB223" i="1"/>
  <c r="CB76" i="1"/>
  <c r="CB184" i="1"/>
  <c r="AM130" i="1"/>
  <c r="AM133" i="1" s="1"/>
  <c r="BD217" i="1"/>
  <c r="BD215" i="1"/>
  <c r="BC218" i="1"/>
  <c r="AY230" i="1"/>
  <c r="AY228" i="1"/>
  <c r="AO123" i="1"/>
  <c r="AO124" i="1" s="1"/>
  <c r="AO132" i="1"/>
  <c r="BE213" i="1"/>
  <c r="BE214" i="1" s="1"/>
  <c r="BF210" i="1" s="1"/>
  <c r="BE207" i="1"/>
  <c r="AS256" i="1"/>
  <c r="AS257" i="1" s="1"/>
  <c r="AT252" i="1" s="1"/>
  <c r="CB131" i="1"/>
  <c r="CA69" i="1"/>
  <c r="CA28" i="1"/>
  <c r="CB212" i="1"/>
  <c r="CB211" i="1"/>
  <c r="CB204" i="1"/>
  <c r="CB177" i="1" s="1"/>
  <c r="CB203" i="1"/>
  <c r="AT248" i="1"/>
  <c r="CD191" i="1"/>
  <c r="CD83" i="1"/>
  <c r="CB239" i="1"/>
  <c r="CB238" i="1"/>
  <c r="AY227" i="1"/>
  <c r="AZ222" i="1" s="1"/>
  <c r="AJ152" i="1" l="1"/>
  <c r="AJ150" i="1"/>
  <c r="AQ117" i="1"/>
  <c r="AQ94" i="1"/>
  <c r="AM137" i="1"/>
  <c r="AM135" i="1"/>
  <c r="AM134" i="1"/>
  <c r="AN129" i="1" s="1"/>
  <c r="CC146" i="1"/>
  <c r="AX233" i="1"/>
  <c r="AZ226" i="1"/>
  <c r="AZ227" i="1" s="1"/>
  <c r="BA222" i="1" s="1"/>
  <c r="AP269" i="1"/>
  <c r="AP270" i="1" s="1"/>
  <c r="AP176" i="1"/>
  <c r="AP179" i="1" s="1"/>
  <c r="AV246" i="1"/>
  <c r="AV255" i="1"/>
  <c r="BF213" i="1"/>
  <c r="BF207" i="1"/>
  <c r="CC96" i="1"/>
  <c r="CC77" i="1" s="1"/>
  <c r="CC104" i="1"/>
  <c r="CC40" i="1" s="1"/>
  <c r="CC238" i="1"/>
  <c r="CC239" i="1"/>
  <c r="CC131" i="1"/>
  <c r="AY231" i="1"/>
  <c r="AY240" i="1"/>
  <c r="AK145" i="1"/>
  <c r="AK148" i="1" s="1"/>
  <c r="AK149" i="1" s="1"/>
  <c r="AL144" i="1" s="1"/>
  <c r="AT256" i="1"/>
  <c r="AT257" i="1" s="1"/>
  <c r="AU252" i="1" s="1"/>
  <c r="AQ267" i="1"/>
  <c r="AQ268" i="1" s="1"/>
  <c r="AQ183" i="1" s="1"/>
  <c r="AQ187" i="1" s="1"/>
  <c r="BF225" i="1"/>
  <c r="BF202" i="1"/>
  <c r="CB69" i="1"/>
  <c r="CB28" i="1"/>
  <c r="BE217" i="1"/>
  <c r="BE215" i="1"/>
  <c r="AL140" i="1"/>
  <c r="AR261" i="1"/>
  <c r="AR262" i="1"/>
  <c r="AR263" i="1" s="1"/>
  <c r="CD265" i="1"/>
  <c r="CD250" i="1"/>
  <c r="CD235" i="1"/>
  <c r="CD174" i="1"/>
  <c r="CD220" i="1"/>
  <c r="CD190" i="1"/>
  <c r="CD195" i="1" s="1"/>
  <c r="CD200" i="1"/>
  <c r="CD157" i="1"/>
  <c r="CD142" i="1"/>
  <c r="CD127" i="1"/>
  <c r="CD112" i="1"/>
  <c r="CD66" i="1"/>
  <c r="CD45" i="1"/>
  <c r="CD51" i="1" s="1"/>
  <c r="CD92" i="1"/>
  <c r="CD82" i="1"/>
  <c r="CD87" i="1" s="1"/>
  <c r="CD39" i="1"/>
  <c r="AP110" i="1"/>
  <c r="AP118" i="1" s="1"/>
  <c r="AQ103" i="1"/>
  <c r="BG205" i="1"/>
  <c r="BG206" i="1" s="1"/>
  <c r="BH201" i="1" s="1"/>
  <c r="BG208" i="1"/>
  <c r="CC184" i="1"/>
  <c r="BF214" i="1"/>
  <c r="BG210" i="1" s="1"/>
  <c r="CC223" i="1"/>
  <c r="CC224" i="1"/>
  <c r="AO125" i="1"/>
  <c r="CC76" i="1"/>
  <c r="AQ97" i="1"/>
  <c r="AQ98" i="1" s="1"/>
  <c r="AR93" i="1" s="1"/>
  <c r="AJ153" i="1"/>
  <c r="BD218" i="1"/>
  <c r="CE191" i="1"/>
  <c r="CE83" i="1"/>
  <c r="AS260" i="1"/>
  <c r="AS258" i="1"/>
  <c r="AI161" i="1"/>
  <c r="AI162" i="1" s="1"/>
  <c r="AI68" i="1"/>
  <c r="AI71" i="1" s="1"/>
  <c r="CC211" i="1"/>
  <c r="CC212" i="1"/>
  <c r="CC204" i="1"/>
  <c r="CC177" i="1" s="1"/>
  <c r="CC203" i="1"/>
  <c r="CC254" i="1"/>
  <c r="CC253" i="1"/>
  <c r="CB185" i="1"/>
  <c r="CB77" i="1"/>
  <c r="AW241" i="1"/>
  <c r="CE192" i="1"/>
  <c r="CE84" i="1"/>
  <c r="CE21" i="1"/>
  <c r="CC116" i="1"/>
  <c r="CC185" i="1" l="1"/>
  <c r="BA226" i="1"/>
  <c r="BA227" i="1" s="1"/>
  <c r="BB222" i="1" s="1"/>
  <c r="AL145" i="1"/>
  <c r="AL148" i="1" s="1"/>
  <c r="AP122" i="1"/>
  <c r="AP120" i="1"/>
  <c r="AP119" i="1"/>
  <c r="AQ114" i="1" s="1"/>
  <c r="AU256" i="1"/>
  <c r="AU257" i="1" s="1"/>
  <c r="AV252" i="1" s="1"/>
  <c r="AR267" i="1"/>
  <c r="BF217" i="1"/>
  <c r="BF215" i="1"/>
  <c r="CD116" i="1"/>
  <c r="CD146" i="1"/>
  <c r="BG225" i="1"/>
  <c r="BG202" i="1"/>
  <c r="CC69" i="1"/>
  <c r="CC28" i="1"/>
  <c r="AR95" i="1"/>
  <c r="CD131" i="1"/>
  <c r="AY232" i="1"/>
  <c r="CD212" i="1"/>
  <c r="CD204" i="1"/>
  <c r="CD177" i="1" s="1"/>
  <c r="CD211" i="1"/>
  <c r="CD203" i="1"/>
  <c r="CE265" i="1"/>
  <c r="CE250" i="1"/>
  <c r="CE220" i="1"/>
  <c r="CE235" i="1"/>
  <c r="CE200" i="1"/>
  <c r="CE174" i="1"/>
  <c r="CE190" i="1"/>
  <c r="CE195" i="1" s="1"/>
  <c r="CE157" i="1"/>
  <c r="CE127" i="1"/>
  <c r="CE142" i="1"/>
  <c r="CE112" i="1"/>
  <c r="CE92" i="1"/>
  <c r="CE82" i="1"/>
  <c r="CE87" i="1" s="1"/>
  <c r="CE39" i="1"/>
  <c r="CE45" i="1"/>
  <c r="CE51" i="1" s="1"/>
  <c r="CE66" i="1"/>
  <c r="BE218" i="1"/>
  <c r="CD184" i="1"/>
  <c r="CD238" i="1"/>
  <c r="CD239" i="1"/>
  <c r="AW245" i="1"/>
  <c r="AW243" i="1"/>
  <c r="AJ154" i="1"/>
  <c r="AJ155" i="1" s="1"/>
  <c r="BG213" i="1"/>
  <c r="BG214" i="1" s="1"/>
  <c r="BH210" i="1" s="1"/>
  <c r="BG207" i="1"/>
  <c r="CD104" i="1"/>
  <c r="CD40" i="1" s="1"/>
  <c r="CD96" i="1"/>
  <c r="CD77" i="1" s="1"/>
  <c r="CD254" i="1"/>
  <c r="CD253" i="1"/>
  <c r="AN130" i="1"/>
  <c r="AZ230" i="1"/>
  <c r="AZ228" i="1"/>
  <c r="BH208" i="1"/>
  <c r="BH205" i="1"/>
  <c r="BH206" i="1" s="1"/>
  <c r="BI201" i="1" s="1"/>
  <c r="AW242" i="1"/>
  <c r="AX237" i="1" s="1"/>
  <c r="AS261" i="1"/>
  <c r="AS262" i="1" s="1"/>
  <c r="AS263" i="1" s="1"/>
  <c r="AQ105" i="1"/>
  <c r="AQ99" i="1"/>
  <c r="AV247" i="1"/>
  <c r="AQ269" i="1"/>
  <c r="AQ270" i="1" s="1"/>
  <c r="AQ176" i="1"/>
  <c r="AQ179" i="1" s="1"/>
  <c r="AM138" i="1"/>
  <c r="AM139" i="1" s="1"/>
  <c r="AM147" i="1"/>
  <c r="AT260" i="1"/>
  <c r="AT258" i="1"/>
  <c r="CF192" i="1"/>
  <c r="CF84" i="1"/>
  <c r="CF21" i="1"/>
  <c r="CD223" i="1"/>
  <c r="CD224" i="1"/>
  <c r="AK152" i="1"/>
  <c r="AK150" i="1"/>
  <c r="CF191" i="1"/>
  <c r="CF83" i="1"/>
  <c r="CD76" i="1"/>
  <c r="CD185" i="1" l="1"/>
  <c r="AM140" i="1"/>
  <c r="AL152" i="1"/>
  <c r="AL150" i="1"/>
  <c r="AX241" i="1"/>
  <c r="CE96" i="1"/>
  <c r="CE104" i="1"/>
  <c r="CE40" i="1" s="1"/>
  <c r="BH225" i="1"/>
  <c r="BH202" i="1"/>
  <c r="AY233" i="1"/>
  <c r="AS267" i="1"/>
  <c r="AS268" i="1" s="1"/>
  <c r="AS183" i="1" s="1"/>
  <c r="AS187" i="1" s="1"/>
  <c r="AP123" i="1"/>
  <c r="AP124" i="1" s="1"/>
  <c r="AP132" i="1"/>
  <c r="AR100" i="1"/>
  <c r="BF218" i="1"/>
  <c r="CE116" i="1"/>
  <c r="AT261" i="1"/>
  <c r="AR97" i="1"/>
  <c r="AR98" i="1" s="1"/>
  <c r="AS93" i="1" s="1"/>
  <c r="CE212" i="1"/>
  <c r="CE211" i="1"/>
  <c r="CE204" i="1"/>
  <c r="CE177" i="1" s="1"/>
  <c r="CE203" i="1"/>
  <c r="AV248" i="1"/>
  <c r="AV256" i="1" s="1"/>
  <c r="AR176" i="1"/>
  <c r="AR179" i="1" s="1"/>
  <c r="CE131" i="1"/>
  <c r="AR268" i="1"/>
  <c r="AR183" i="1" s="1"/>
  <c r="AR187" i="1" s="1"/>
  <c r="CG191" i="1"/>
  <c r="CG83" i="1"/>
  <c r="CE184" i="1"/>
  <c r="AZ231" i="1"/>
  <c r="AZ240" i="1"/>
  <c r="BG217" i="1"/>
  <c r="BG215" i="1"/>
  <c r="AQ109" i="1"/>
  <c r="AQ107" i="1"/>
  <c r="AQ106" i="1"/>
  <c r="AR102" i="1" s="1"/>
  <c r="AJ159" i="1"/>
  <c r="CE238" i="1"/>
  <c r="CE239" i="1"/>
  <c r="BH213" i="1"/>
  <c r="BH214" i="1" s="1"/>
  <c r="BI210" i="1" s="1"/>
  <c r="BH207" i="1"/>
  <c r="AL149" i="1"/>
  <c r="AM144" i="1" s="1"/>
  <c r="AN133" i="1"/>
  <c r="CD69" i="1"/>
  <c r="CD28" i="1"/>
  <c r="CE223" i="1"/>
  <c r="CE224" i="1"/>
  <c r="AU260" i="1"/>
  <c r="AU258" i="1"/>
  <c r="BB226" i="1"/>
  <c r="BB227" i="1" s="1"/>
  <c r="BC222" i="1" s="1"/>
  <c r="BI205" i="1"/>
  <c r="BI206" i="1"/>
  <c r="BJ201" i="1" s="1"/>
  <c r="BI208" i="1"/>
  <c r="CE146" i="1"/>
  <c r="CG192" i="1"/>
  <c r="CG84" i="1"/>
  <c r="CG21" i="1"/>
  <c r="AK153" i="1"/>
  <c r="AK154" i="1" s="1"/>
  <c r="AK155" i="1" s="1"/>
  <c r="CF265" i="1"/>
  <c r="CF250" i="1"/>
  <c r="CF235" i="1"/>
  <c r="CF220" i="1"/>
  <c r="CF174" i="1"/>
  <c r="CF200" i="1"/>
  <c r="CF157" i="1"/>
  <c r="CF190" i="1"/>
  <c r="CF195" i="1" s="1"/>
  <c r="CF142" i="1"/>
  <c r="CF112" i="1"/>
  <c r="CF127" i="1"/>
  <c r="CF92" i="1"/>
  <c r="CF82" i="1"/>
  <c r="CF87" i="1" s="1"/>
  <c r="CF66" i="1"/>
  <c r="CF39" i="1"/>
  <c r="CF45" i="1"/>
  <c r="CF51" i="1" s="1"/>
  <c r="AW246" i="1"/>
  <c r="AW247" i="1" s="1"/>
  <c r="AW255" i="1"/>
  <c r="CE76" i="1"/>
  <c r="CE254" i="1"/>
  <c r="CE253" i="1"/>
  <c r="AQ115" i="1"/>
  <c r="BA230" i="1"/>
  <c r="BA228" i="1"/>
  <c r="CE185" i="1" l="1"/>
  <c r="AW248" i="1"/>
  <c r="AV260" i="1"/>
  <c r="AV258" i="1"/>
  <c r="AV257" i="1"/>
  <c r="AW252" i="1" s="1"/>
  <c r="AR103" i="1"/>
  <c r="AR106" i="1" s="1"/>
  <c r="AS102" i="1" s="1"/>
  <c r="AS95" i="1"/>
  <c r="AS97" i="1" s="1"/>
  <c r="AU261" i="1"/>
  <c r="AR117" i="1"/>
  <c r="AR94" i="1"/>
  <c r="AP125" i="1"/>
  <c r="AR99" i="1"/>
  <c r="AR105" i="1"/>
  <c r="CF184" i="1"/>
  <c r="CE28" i="1"/>
  <c r="CE69" i="1"/>
  <c r="CF224" i="1"/>
  <c r="CF223" i="1"/>
  <c r="AN137" i="1"/>
  <c r="AN135" i="1"/>
  <c r="CF238" i="1"/>
  <c r="CF239" i="1"/>
  <c r="AM145" i="1"/>
  <c r="AM148" i="1" s="1"/>
  <c r="BH217" i="1"/>
  <c r="BH215" i="1"/>
  <c r="CF104" i="1"/>
  <c r="CF40" i="1" s="1"/>
  <c r="CF96" i="1"/>
  <c r="CF77" i="1" s="1"/>
  <c r="AK159" i="1"/>
  <c r="AK160" i="1" s="1"/>
  <c r="AK75" i="1" s="1"/>
  <c r="AK79" i="1" s="1"/>
  <c r="CF116" i="1"/>
  <c r="BI207" i="1"/>
  <c r="BI213" i="1"/>
  <c r="AJ68" i="1"/>
  <c r="AJ71" i="1" s="1"/>
  <c r="AX245" i="1"/>
  <c r="AX243" i="1"/>
  <c r="BA240" i="1"/>
  <c r="BA231" i="1"/>
  <c r="BA232" i="1" s="1"/>
  <c r="CF76" i="1"/>
  <c r="AL153" i="1"/>
  <c r="AL154" i="1" s="1"/>
  <c r="AL155" i="1" s="1"/>
  <c r="CE77" i="1"/>
  <c r="CF254" i="1"/>
  <c r="CF253" i="1"/>
  <c r="BG218" i="1"/>
  <c r="CH191" i="1"/>
  <c r="CH83" i="1"/>
  <c r="BJ205" i="1"/>
  <c r="BJ206" i="1" s="1"/>
  <c r="BK201" i="1" s="1"/>
  <c r="BJ208" i="1"/>
  <c r="CF146" i="1"/>
  <c r="CG265" i="1"/>
  <c r="CG250" i="1"/>
  <c r="CG220" i="1"/>
  <c r="CG235" i="1"/>
  <c r="CG174" i="1"/>
  <c r="CG200" i="1"/>
  <c r="CG142" i="1"/>
  <c r="CG157" i="1"/>
  <c r="CG190" i="1"/>
  <c r="CG195" i="1" s="1"/>
  <c r="CG112" i="1"/>
  <c r="CG127" i="1"/>
  <c r="CG82" i="1"/>
  <c r="CG87" i="1" s="1"/>
  <c r="CG92" i="1"/>
  <c r="CG66" i="1"/>
  <c r="CG39" i="1"/>
  <c r="CG45" i="1"/>
  <c r="CG51" i="1" s="1"/>
  <c r="BC226" i="1"/>
  <c r="BC227" i="1"/>
  <c r="BD222" i="1" s="1"/>
  <c r="AJ160" i="1"/>
  <c r="AJ75" i="1" s="1"/>
  <c r="AJ79" i="1" s="1"/>
  <c r="AS269" i="1"/>
  <c r="AS270" i="1" s="1"/>
  <c r="AS176" i="1"/>
  <c r="AS179" i="1" s="1"/>
  <c r="AX242" i="1"/>
  <c r="AY237" i="1" s="1"/>
  <c r="AN134" i="1"/>
  <c r="AO129" i="1" s="1"/>
  <c r="CF212" i="1"/>
  <c r="CF204" i="1"/>
  <c r="CF177" i="1" s="1"/>
  <c r="CF211" i="1"/>
  <c r="CF203" i="1"/>
  <c r="AQ110" i="1"/>
  <c r="AQ118" i="1" s="1"/>
  <c r="BI225" i="1"/>
  <c r="BI202" i="1"/>
  <c r="CF131" i="1"/>
  <c r="CH192" i="1"/>
  <c r="CH84" i="1"/>
  <c r="CH21" i="1"/>
  <c r="BB230" i="1"/>
  <c r="BB228" i="1"/>
  <c r="AZ232" i="1"/>
  <c r="AR269" i="1"/>
  <c r="AR270" i="1" s="1"/>
  <c r="AT262" i="1"/>
  <c r="AT263" i="1" s="1"/>
  <c r="AS100" i="1" l="1"/>
  <c r="CF185" i="1"/>
  <c r="AJ161" i="1"/>
  <c r="AJ162" i="1" s="1"/>
  <c r="AS103" i="1"/>
  <c r="BA233" i="1"/>
  <c r="CI192" i="1"/>
  <c r="CI84" i="1"/>
  <c r="CI21" i="1"/>
  <c r="AR109" i="1"/>
  <c r="AR107" i="1"/>
  <c r="AM152" i="1"/>
  <c r="AM150" i="1"/>
  <c r="BK205" i="1"/>
  <c r="BK208" i="1"/>
  <c r="AU262" i="1"/>
  <c r="AU263" i="1" s="1"/>
  <c r="CG254" i="1"/>
  <c r="CG253" i="1"/>
  <c r="AM149" i="1"/>
  <c r="AN144" i="1" s="1"/>
  <c r="CG131" i="1"/>
  <c r="BH218" i="1"/>
  <c r="AS117" i="1"/>
  <c r="AS94" i="1"/>
  <c r="CG224" i="1"/>
  <c r="CG223" i="1"/>
  <c r="AN138" i="1"/>
  <c r="AN147" i="1"/>
  <c r="AS105" i="1"/>
  <c r="AS99" i="1"/>
  <c r="AW256" i="1"/>
  <c r="AW257" i="1" s="1"/>
  <c r="AX252" i="1" s="1"/>
  <c r="AV261" i="1"/>
  <c r="AV262" i="1" s="1"/>
  <c r="AV263" i="1" s="1"/>
  <c r="BJ213" i="1"/>
  <c r="BJ207" i="1"/>
  <c r="AX246" i="1"/>
  <c r="AX255" i="1"/>
  <c r="AZ233" i="1"/>
  <c r="CG204" i="1"/>
  <c r="CG177" i="1" s="1"/>
  <c r="CG211" i="1"/>
  <c r="CG203" i="1"/>
  <c r="CG212" i="1"/>
  <c r="BI217" i="1"/>
  <c r="BI215" i="1"/>
  <c r="AS98" i="1"/>
  <c r="AT93" i="1" s="1"/>
  <c r="BI214" i="1"/>
  <c r="BJ210" i="1" s="1"/>
  <c r="AO130" i="1"/>
  <c r="AO133" i="1" s="1"/>
  <c r="BJ225" i="1"/>
  <c r="BJ202" i="1"/>
  <c r="CG116" i="1"/>
  <c r="AT267" i="1"/>
  <c r="AT268" i="1" s="1"/>
  <c r="AT183" i="1" s="1"/>
  <c r="AT187" i="1" s="1"/>
  <c r="CI191" i="1"/>
  <c r="CI83" i="1"/>
  <c r="CG146" i="1"/>
  <c r="BB240" i="1"/>
  <c r="BB231" i="1"/>
  <c r="AQ122" i="1"/>
  <c r="AQ120" i="1"/>
  <c r="AQ119" i="1"/>
  <c r="AR114" i="1" s="1"/>
  <c r="BD226" i="1"/>
  <c r="BD227" i="1" s="1"/>
  <c r="BE222" i="1" s="1"/>
  <c r="CG185" i="1"/>
  <c r="CG184" i="1"/>
  <c r="AK161" i="1"/>
  <c r="AK162" i="1" s="1"/>
  <c r="AK68" i="1"/>
  <c r="AK71" i="1" s="1"/>
  <c r="CG104" i="1"/>
  <c r="CG40" i="1" s="1"/>
  <c r="CG96" i="1"/>
  <c r="AL159" i="1"/>
  <c r="AY241" i="1"/>
  <c r="AY242" i="1"/>
  <c r="AZ237" i="1" s="1"/>
  <c r="CH265" i="1"/>
  <c r="CH250" i="1"/>
  <c r="CH235" i="1"/>
  <c r="CH220" i="1"/>
  <c r="CH174" i="1"/>
  <c r="CH190" i="1"/>
  <c r="CH195" i="1" s="1"/>
  <c r="CH200" i="1"/>
  <c r="CH142" i="1"/>
  <c r="CH157" i="1"/>
  <c r="CH112" i="1"/>
  <c r="CH127" i="1"/>
  <c r="CH82" i="1"/>
  <c r="CH87" i="1" s="1"/>
  <c r="CH92" i="1"/>
  <c r="CH66" i="1"/>
  <c r="CH39" i="1"/>
  <c r="CH45" i="1"/>
  <c r="CH51" i="1" s="1"/>
  <c r="BC230" i="1"/>
  <c r="BC228" i="1"/>
  <c r="CG76" i="1"/>
  <c r="CG238" i="1"/>
  <c r="CG239" i="1"/>
  <c r="CF69" i="1"/>
  <c r="CF28" i="1"/>
  <c r="BJ214" i="1" l="1"/>
  <c r="BK210" i="1" s="1"/>
  <c r="AS106" i="1"/>
  <c r="AT102" i="1" s="1"/>
  <c r="BE226" i="1"/>
  <c r="AO137" i="1"/>
  <c r="AO135" i="1"/>
  <c r="AO134" i="1"/>
  <c r="AP129" i="1" s="1"/>
  <c r="AT103" i="1"/>
  <c r="AQ123" i="1"/>
  <c r="AQ132" i="1"/>
  <c r="AM153" i="1"/>
  <c r="AM154" i="1" s="1"/>
  <c r="AM155" i="1" s="1"/>
  <c r="BK225" i="1"/>
  <c r="BK202" i="1"/>
  <c r="AS109" i="1"/>
  <c r="AS107" i="1"/>
  <c r="BK213" i="1"/>
  <c r="BK214" i="1" s="1"/>
  <c r="BL210" i="1" s="1"/>
  <c r="BK207" i="1"/>
  <c r="AV267" i="1"/>
  <c r="AV268" i="1" s="1"/>
  <c r="AV183" i="1" s="1"/>
  <c r="AV187" i="1" s="1"/>
  <c r="AZ241" i="1"/>
  <c r="AZ242" i="1" s="1"/>
  <c r="BA237" i="1" s="1"/>
  <c r="BK206" i="1"/>
  <c r="BL201" i="1" s="1"/>
  <c r="CH116" i="1"/>
  <c r="AY245" i="1"/>
  <c r="AY243" i="1"/>
  <c r="CH184" i="1"/>
  <c r="CJ191" i="1"/>
  <c r="CJ83" i="1"/>
  <c r="BC240" i="1"/>
  <c r="BC231" i="1"/>
  <c r="AT95" i="1"/>
  <c r="AT97" i="1" s="1"/>
  <c r="CH239" i="1"/>
  <c r="CH238" i="1"/>
  <c r="AX247" i="1"/>
  <c r="CH104" i="1"/>
  <c r="CH40" i="1" s="1"/>
  <c r="CH96" i="1"/>
  <c r="AW260" i="1"/>
  <c r="AW258" i="1"/>
  <c r="AN145" i="1"/>
  <c r="CH224" i="1"/>
  <c r="CH223" i="1"/>
  <c r="CH76" i="1"/>
  <c r="CG69" i="1"/>
  <c r="CG28" i="1"/>
  <c r="BI218" i="1"/>
  <c r="AR115" i="1"/>
  <c r="AT269" i="1"/>
  <c r="AT270" i="1" s="1"/>
  <c r="AT176" i="1"/>
  <c r="AT179" i="1" s="1"/>
  <c r="BJ217" i="1"/>
  <c r="BJ215" i="1"/>
  <c r="CI250" i="1"/>
  <c r="CI235" i="1"/>
  <c r="CI265" i="1"/>
  <c r="CI220" i="1"/>
  <c r="CI190" i="1"/>
  <c r="CI195" i="1" s="1"/>
  <c r="CI200" i="1"/>
  <c r="CI157" i="1"/>
  <c r="CI174" i="1"/>
  <c r="CI112" i="1"/>
  <c r="CI142" i="1"/>
  <c r="CI127" i="1"/>
  <c r="CI82" i="1"/>
  <c r="CI87" i="1" s="1"/>
  <c r="CI92" i="1"/>
  <c r="CI39" i="1"/>
  <c r="CI66" i="1"/>
  <c r="CI45" i="1"/>
  <c r="CI51" i="1" s="1"/>
  <c r="CH146" i="1"/>
  <c r="CH204" i="1"/>
  <c r="CH177" i="1" s="1"/>
  <c r="CH211" i="1"/>
  <c r="CH203" i="1"/>
  <c r="CH212" i="1"/>
  <c r="BB232" i="1"/>
  <c r="AR110" i="1"/>
  <c r="AR118" i="1" s="1"/>
  <c r="AR119" i="1" s="1"/>
  <c r="AS114" i="1" s="1"/>
  <c r="AU267" i="1"/>
  <c r="AU268" i="1" s="1"/>
  <c r="AU183" i="1" s="1"/>
  <c r="AU187" i="1" s="1"/>
  <c r="AL68" i="1"/>
  <c r="AL71" i="1" s="1"/>
  <c r="AL160" i="1"/>
  <c r="AL75" i="1" s="1"/>
  <c r="AL79" i="1" s="1"/>
  <c r="CH253" i="1"/>
  <c r="CH254" i="1"/>
  <c r="BD230" i="1"/>
  <c r="BD228" i="1"/>
  <c r="CG77" i="1"/>
  <c r="CH131" i="1"/>
  <c r="AN139" i="1"/>
  <c r="CJ192" i="1"/>
  <c r="CJ84" i="1"/>
  <c r="CJ21" i="1"/>
  <c r="AT105" i="1" l="1"/>
  <c r="AT99" i="1"/>
  <c r="BA241" i="1"/>
  <c r="BA242" i="1" s="1"/>
  <c r="BB237" i="1" s="1"/>
  <c r="AW261" i="1"/>
  <c r="AT98" i="1"/>
  <c r="AU93" i="1" s="1"/>
  <c r="AM159" i="1"/>
  <c r="AM160" i="1" s="1"/>
  <c r="AM75" i="1" s="1"/>
  <c r="AM79" i="1" s="1"/>
  <c r="AP130" i="1"/>
  <c r="CK191" i="1"/>
  <c r="CK83" i="1"/>
  <c r="AT100" i="1"/>
  <c r="CH69" i="1"/>
  <c r="CH28" i="1"/>
  <c r="CH77" i="1"/>
  <c r="AS110" i="1"/>
  <c r="AO138" i="1"/>
  <c r="AO139" i="1" s="1"/>
  <c r="AO147" i="1"/>
  <c r="AV269" i="1"/>
  <c r="AV270" i="1" s="1"/>
  <c r="AV176" i="1"/>
  <c r="AV179" i="1" s="1"/>
  <c r="CI146" i="1"/>
  <c r="AX248" i="1"/>
  <c r="AX256" i="1" s="1"/>
  <c r="BE230" i="1"/>
  <c r="BE228" i="1"/>
  <c r="BB233" i="1"/>
  <c r="BJ218" i="1"/>
  <c r="AS115" i="1"/>
  <c r="AR122" i="1"/>
  <c r="AR120" i="1"/>
  <c r="BC232" i="1"/>
  <c r="BL205" i="1"/>
  <c r="BL206" i="1" s="1"/>
  <c r="BM201" i="1" s="1"/>
  <c r="BL208" i="1"/>
  <c r="BE227" i="1"/>
  <c r="BF222" i="1" s="1"/>
  <c r="CI131" i="1"/>
  <c r="BD231" i="1"/>
  <c r="BD232" i="1" s="1"/>
  <c r="BD240" i="1"/>
  <c r="CI184" i="1"/>
  <c r="CI211" i="1"/>
  <c r="CI203" i="1"/>
  <c r="CI212" i="1"/>
  <c r="CI204" i="1"/>
  <c r="CI177" i="1" s="1"/>
  <c r="CK192" i="1"/>
  <c r="CK84" i="1"/>
  <c r="CK21" i="1"/>
  <c r="AU269" i="1"/>
  <c r="AU270" i="1" s="1"/>
  <c r="AU176" i="1"/>
  <c r="AU179" i="1" s="1"/>
  <c r="CI224" i="1"/>
  <c r="CI223" i="1"/>
  <c r="CI239" i="1"/>
  <c r="CI238" i="1"/>
  <c r="AY246" i="1"/>
  <c r="AY247" i="1" s="1"/>
  <c r="AY255" i="1"/>
  <c r="AQ124" i="1"/>
  <c r="CI116" i="1"/>
  <c r="AL161" i="1"/>
  <c r="AL162" i="1" s="1"/>
  <c r="BK217" i="1"/>
  <c r="BK215" i="1"/>
  <c r="CJ265" i="1"/>
  <c r="CJ250" i="1"/>
  <c r="CJ235" i="1"/>
  <c r="CJ220" i="1"/>
  <c r="CJ190" i="1"/>
  <c r="CJ195" i="1" s="1"/>
  <c r="CJ157" i="1"/>
  <c r="CJ200" i="1"/>
  <c r="CJ174" i="1"/>
  <c r="CJ142" i="1"/>
  <c r="CJ127" i="1"/>
  <c r="CJ92" i="1"/>
  <c r="CJ112" i="1"/>
  <c r="CJ39" i="1"/>
  <c r="CJ82" i="1"/>
  <c r="CJ87" i="1" s="1"/>
  <c r="CJ66" i="1"/>
  <c r="CJ45" i="1"/>
  <c r="CJ51" i="1" s="1"/>
  <c r="CI76" i="1"/>
  <c r="CH185" i="1"/>
  <c r="AN140" i="1"/>
  <c r="AN148" i="1" s="1"/>
  <c r="CI104" i="1"/>
  <c r="CI40" i="1" s="1"/>
  <c r="CI96" i="1"/>
  <c r="CI77" i="1" s="1"/>
  <c r="CI254" i="1"/>
  <c r="CI253" i="1"/>
  <c r="AZ245" i="1"/>
  <c r="AZ243" i="1"/>
  <c r="CI185" i="1" l="1"/>
  <c r="AQ125" i="1"/>
  <c r="BB241" i="1"/>
  <c r="BM205" i="1"/>
  <c r="BM206" i="1" s="1"/>
  <c r="BN201" i="1" s="1"/>
  <c r="BM208" i="1"/>
  <c r="AT117" i="1"/>
  <c r="AT94" i="1"/>
  <c r="AT109" i="1"/>
  <c r="AT107" i="1"/>
  <c r="AT106" i="1"/>
  <c r="AU102" i="1" s="1"/>
  <c r="BL225" i="1"/>
  <c r="BL202" i="1"/>
  <c r="AO140" i="1"/>
  <c r="BE240" i="1"/>
  <c r="BE231" i="1"/>
  <c r="BE232" i="1" s="1"/>
  <c r="AS118" i="1"/>
  <c r="AS119" i="1" s="1"/>
  <c r="AT114" i="1" s="1"/>
  <c r="AX260" i="1"/>
  <c r="AX258" i="1"/>
  <c r="AX257" i="1"/>
  <c r="AY252" i="1" s="1"/>
  <c r="CL191" i="1"/>
  <c r="CL83" i="1"/>
  <c r="BF226" i="1"/>
  <c r="BF227" i="1" s="1"/>
  <c r="BG222" i="1" s="1"/>
  <c r="AM161" i="1"/>
  <c r="AM162" i="1" s="1"/>
  <c r="AM68" i="1"/>
  <c r="AM71" i="1" s="1"/>
  <c r="CL192" i="1"/>
  <c r="CL84" i="1"/>
  <c r="CL21" i="1"/>
  <c r="AU95" i="1"/>
  <c r="AU100" i="1" s="1"/>
  <c r="CJ253" i="1"/>
  <c r="CJ254" i="1"/>
  <c r="CK265" i="1"/>
  <c r="CK250" i="1"/>
  <c r="CK235" i="1"/>
  <c r="CK190" i="1"/>
  <c r="CK195" i="1" s="1"/>
  <c r="CK220" i="1"/>
  <c r="CK200" i="1"/>
  <c r="CK157" i="1"/>
  <c r="CK174" i="1"/>
  <c r="CK142" i="1"/>
  <c r="CK127" i="1"/>
  <c r="CK112" i="1"/>
  <c r="CK39" i="1"/>
  <c r="CK82" i="1"/>
  <c r="CK87" i="1" s="1"/>
  <c r="CK66" i="1"/>
  <c r="CK45" i="1"/>
  <c r="CK51" i="1" s="1"/>
  <c r="CK92" i="1"/>
  <c r="CJ116" i="1"/>
  <c r="AN152" i="1"/>
  <c r="AN149" i="1"/>
  <c r="AO144" i="1" s="1"/>
  <c r="AN150" i="1"/>
  <c r="CJ104" i="1"/>
  <c r="CJ40" i="1" s="1"/>
  <c r="CJ96" i="1"/>
  <c r="CJ211" i="1"/>
  <c r="CJ203" i="1"/>
  <c r="CJ212" i="1"/>
  <c r="CJ204" i="1"/>
  <c r="CJ177" i="1" s="1"/>
  <c r="AP133" i="1"/>
  <c r="AZ246" i="1"/>
  <c r="AZ255" i="1"/>
  <c r="CI69" i="1"/>
  <c r="CI28" i="1"/>
  <c r="CJ76" i="1"/>
  <c r="AY248" i="1"/>
  <c r="CJ239" i="1"/>
  <c r="CJ238" i="1"/>
  <c r="CJ131" i="1"/>
  <c r="BD233" i="1"/>
  <c r="CJ184" i="1"/>
  <c r="CJ185" i="1"/>
  <c r="BA245" i="1"/>
  <c r="BA243" i="1"/>
  <c r="CJ224" i="1"/>
  <c r="CJ223" i="1"/>
  <c r="BL213" i="1"/>
  <c r="BL207" i="1"/>
  <c r="BC233" i="1"/>
  <c r="CJ146" i="1"/>
  <c r="BK218" i="1"/>
  <c r="AR123" i="1"/>
  <c r="AR124" i="1" s="1"/>
  <c r="AR132" i="1"/>
  <c r="AW262" i="1"/>
  <c r="AW263" i="1" s="1"/>
  <c r="AU117" i="1" l="1"/>
  <c r="AU94" i="1"/>
  <c r="BG226" i="1"/>
  <c r="BG227" i="1" s="1"/>
  <c r="BH222" i="1" s="1"/>
  <c r="AY256" i="1"/>
  <c r="CK253" i="1"/>
  <c r="CK254" i="1"/>
  <c r="CK146" i="1"/>
  <c r="AT115" i="1"/>
  <c r="CK238" i="1"/>
  <c r="CK239" i="1"/>
  <c r="BA246" i="1"/>
  <c r="BA255" i="1"/>
  <c r="CK184" i="1"/>
  <c r="CM192" i="1"/>
  <c r="CM21" i="1"/>
  <c r="CM84" i="1"/>
  <c r="AX261" i="1"/>
  <c r="AX262" i="1" s="1"/>
  <c r="AX263" i="1" s="1"/>
  <c r="BM225" i="1"/>
  <c r="BM202" i="1"/>
  <c r="AR125" i="1"/>
  <c r="BN208" i="1"/>
  <c r="BN205" i="1"/>
  <c r="BN206" i="1" s="1"/>
  <c r="BO201" i="1" s="1"/>
  <c r="CJ69" i="1"/>
  <c r="CJ28" i="1"/>
  <c r="CK116" i="1"/>
  <c r="CK131" i="1"/>
  <c r="AO145" i="1"/>
  <c r="AO148" i="1" s="1"/>
  <c r="AO149" i="1" s="1"/>
  <c r="AP144" i="1" s="1"/>
  <c r="AN153" i="1"/>
  <c r="AN154" i="1" s="1"/>
  <c r="AN155" i="1" s="1"/>
  <c r="CK211" i="1"/>
  <c r="CK203" i="1"/>
  <c r="CK212" i="1"/>
  <c r="CK204" i="1"/>
  <c r="CK177" i="1" s="1"/>
  <c r="AU103" i="1"/>
  <c r="BM213" i="1"/>
  <c r="BM207" i="1"/>
  <c r="BF230" i="1"/>
  <c r="BF228" i="1"/>
  <c r="BE233" i="1"/>
  <c r="BL217" i="1"/>
  <c r="BL215" i="1"/>
  <c r="BL214" i="1"/>
  <c r="BM210" i="1" s="1"/>
  <c r="CK104" i="1"/>
  <c r="CK40" i="1" s="1"/>
  <c r="CK96" i="1"/>
  <c r="CK77" i="1" s="1"/>
  <c r="AU97" i="1"/>
  <c r="AZ247" i="1"/>
  <c r="AP137" i="1"/>
  <c r="AP135" i="1"/>
  <c r="AS122" i="1"/>
  <c r="AS120" i="1"/>
  <c r="CK224" i="1"/>
  <c r="CK223" i="1"/>
  <c r="AP134" i="1"/>
  <c r="AQ129" i="1" s="1"/>
  <c r="BB245" i="1"/>
  <c r="BB243" i="1"/>
  <c r="CM191" i="1"/>
  <c r="CM83" i="1"/>
  <c r="CJ77" i="1"/>
  <c r="CL265" i="1"/>
  <c r="CL250" i="1"/>
  <c r="CL235" i="1"/>
  <c r="CL200" i="1"/>
  <c r="CL220" i="1"/>
  <c r="CL190" i="1"/>
  <c r="CL195" i="1" s="1"/>
  <c r="CL157" i="1"/>
  <c r="CL174" i="1"/>
  <c r="CL142" i="1"/>
  <c r="CL127" i="1"/>
  <c r="CL112" i="1"/>
  <c r="CL82" i="1"/>
  <c r="CL87" i="1" s="1"/>
  <c r="CL66" i="1"/>
  <c r="CL45" i="1"/>
  <c r="CL51" i="1" s="1"/>
  <c r="CL92" i="1"/>
  <c r="CL39" i="1"/>
  <c r="AW267" i="1"/>
  <c r="AW268" i="1" s="1"/>
  <c r="AW183" i="1" s="1"/>
  <c r="AW187" i="1" s="1"/>
  <c r="CK76" i="1"/>
  <c r="AT110" i="1"/>
  <c r="BB242" i="1"/>
  <c r="BC237" i="1" s="1"/>
  <c r="AT118" i="1" l="1"/>
  <c r="AT122" i="1" s="1"/>
  <c r="CK185" i="1"/>
  <c r="AT120" i="1"/>
  <c r="BH226" i="1"/>
  <c r="BH227" i="1" s="1"/>
  <c r="BI222" i="1" s="1"/>
  <c r="AX267" i="1"/>
  <c r="AX268" i="1" s="1"/>
  <c r="AX183" i="1" s="1"/>
  <c r="AX187" i="1" s="1"/>
  <c r="CL116" i="1"/>
  <c r="CL131" i="1"/>
  <c r="CL146" i="1"/>
  <c r="CN192" i="1"/>
  <c r="CN21" i="1"/>
  <c r="CN84" i="1"/>
  <c r="AP138" i="1"/>
  <c r="AP139" i="1" s="1"/>
  <c r="AP147" i="1"/>
  <c r="AO152" i="1"/>
  <c r="AO150" i="1"/>
  <c r="BO205" i="1"/>
  <c r="BO208" i="1"/>
  <c r="CN191" i="1"/>
  <c r="CN83" i="1"/>
  <c r="AP145" i="1"/>
  <c r="BL218" i="1"/>
  <c r="AU105" i="1"/>
  <c r="AU106" i="1" s="1"/>
  <c r="AV102" i="1" s="1"/>
  <c r="AU99" i="1"/>
  <c r="AU98" i="1"/>
  <c r="AV93" i="1" s="1"/>
  <c r="BC241" i="1"/>
  <c r="BC242" i="1" s="1"/>
  <c r="BD237" i="1" s="1"/>
  <c r="AQ130" i="1"/>
  <c r="AQ133" i="1" s="1"/>
  <c r="AQ134" i="1" s="1"/>
  <c r="AR129" i="1" s="1"/>
  <c r="BM217" i="1"/>
  <c r="BM215" i="1"/>
  <c r="CL203" i="1"/>
  <c r="CL212" i="1"/>
  <c r="CL211" i="1"/>
  <c r="CL204" i="1"/>
  <c r="CL177" i="1" s="1"/>
  <c r="BN213" i="1"/>
  <c r="BN207" i="1"/>
  <c r="CM265" i="1"/>
  <c r="CM235" i="1"/>
  <c r="CM250" i="1"/>
  <c r="CM220" i="1"/>
  <c r="CM200" i="1"/>
  <c r="CM190" i="1"/>
  <c r="CM195" i="1" s="1"/>
  <c r="CM174" i="1"/>
  <c r="CM157" i="1"/>
  <c r="CM142" i="1"/>
  <c r="CM127" i="1"/>
  <c r="CM112" i="1"/>
  <c r="CM82" i="1"/>
  <c r="CM87" i="1" s="1"/>
  <c r="CM66" i="1"/>
  <c r="CM92" i="1"/>
  <c r="CM45" i="1"/>
  <c r="CM51" i="1" s="1"/>
  <c r="CM39" i="1"/>
  <c r="BF240" i="1"/>
  <c r="BF231" i="1"/>
  <c r="BF232" i="1" s="1"/>
  <c r="CK69" i="1"/>
  <c r="CK28" i="1"/>
  <c r="CL76" i="1"/>
  <c r="CL239" i="1"/>
  <c r="CL238" i="1"/>
  <c r="AS123" i="1"/>
  <c r="AS124" i="1" s="1"/>
  <c r="AS132" i="1"/>
  <c r="BM214" i="1"/>
  <c r="BN210" i="1" s="1"/>
  <c r="AN159" i="1"/>
  <c r="AY260" i="1"/>
  <c r="AY258" i="1"/>
  <c r="AZ248" i="1"/>
  <c r="BG230" i="1"/>
  <c r="BG228" i="1"/>
  <c r="BN225" i="1"/>
  <c r="BN202" i="1"/>
  <c r="BA247" i="1"/>
  <c r="CL185" i="1"/>
  <c r="CL184" i="1"/>
  <c r="CL104" i="1"/>
  <c r="CL40" i="1" s="1"/>
  <c r="CL96" i="1"/>
  <c r="CL77" i="1" s="1"/>
  <c r="BB246" i="1"/>
  <c r="BB247" i="1" s="1"/>
  <c r="BB255" i="1"/>
  <c r="AW269" i="1"/>
  <c r="AW270" i="1" s="1"/>
  <c r="AW176" i="1"/>
  <c r="AW179" i="1" s="1"/>
  <c r="CL223" i="1"/>
  <c r="CL224" i="1"/>
  <c r="CL253" i="1"/>
  <c r="CL254" i="1"/>
  <c r="AY257" i="1"/>
  <c r="AZ252" i="1" s="1"/>
  <c r="AT119" i="1" l="1"/>
  <c r="AU114" i="1" s="1"/>
  <c r="BF233" i="1"/>
  <c r="AR130" i="1"/>
  <c r="AR133" i="1" s="1"/>
  <c r="AV103" i="1"/>
  <c r="BD241" i="1"/>
  <c r="BD242" i="1" s="1"/>
  <c r="BE237" i="1" s="1"/>
  <c r="BG240" i="1"/>
  <c r="BG231" i="1"/>
  <c r="BG232" i="1" s="1"/>
  <c r="BN217" i="1"/>
  <c r="BN215" i="1"/>
  <c r="BI226" i="1"/>
  <c r="AS125" i="1"/>
  <c r="BH230" i="1"/>
  <c r="BH228" i="1"/>
  <c r="CN265" i="1"/>
  <c r="CN235" i="1"/>
  <c r="CN220" i="1"/>
  <c r="CN250" i="1"/>
  <c r="CN200" i="1"/>
  <c r="CN190" i="1"/>
  <c r="CN195" i="1" s="1"/>
  <c r="CN142" i="1"/>
  <c r="CN174" i="1"/>
  <c r="CN157" i="1"/>
  <c r="CN127" i="1"/>
  <c r="CN66" i="1"/>
  <c r="CN112" i="1"/>
  <c r="CN82" i="1"/>
  <c r="CN87" i="1" s="1"/>
  <c r="CN45" i="1"/>
  <c r="CN51" i="1" s="1"/>
  <c r="CN92" i="1"/>
  <c r="CN39" i="1"/>
  <c r="BO213" i="1"/>
  <c r="BO207" i="1"/>
  <c r="CM116" i="1"/>
  <c r="CM131" i="1"/>
  <c r="AZ256" i="1"/>
  <c r="CM146" i="1"/>
  <c r="CM184" i="1"/>
  <c r="AY261" i="1"/>
  <c r="AY262" i="1" s="1"/>
  <c r="AY263" i="1" s="1"/>
  <c r="BC245" i="1"/>
  <c r="BC243" i="1"/>
  <c r="CM104" i="1"/>
  <c r="CM40" i="1" s="1"/>
  <c r="CM96" i="1"/>
  <c r="CM212" i="1"/>
  <c r="CM203" i="1"/>
  <c r="CM211" i="1"/>
  <c r="CM204" i="1"/>
  <c r="CM177" i="1" s="1"/>
  <c r="AN68" i="1"/>
  <c r="AN71" i="1" s="1"/>
  <c r="CM253" i="1"/>
  <c r="CM254" i="1"/>
  <c r="CO191" i="1"/>
  <c r="CO83" i="1"/>
  <c r="AT123" i="1"/>
  <c r="AT132" i="1"/>
  <c r="AT124" i="1"/>
  <c r="BM218" i="1"/>
  <c r="CO192" i="1"/>
  <c r="CO84" i="1"/>
  <c r="CO21" i="1"/>
  <c r="AO153" i="1"/>
  <c r="AO154" i="1" s="1"/>
  <c r="AO155" i="1" s="1"/>
  <c r="CM224" i="1"/>
  <c r="CM223" i="1"/>
  <c r="AV95" i="1"/>
  <c r="AV100" i="1" s="1"/>
  <c r="AP140" i="1"/>
  <c r="AP148" i="1" s="1"/>
  <c r="AN160" i="1"/>
  <c r="AN75" i="1" s="1"/>
  <c r="AN79" i="1" s="1"/>
  <c r="CM76" i="1"/>
  <c r="CM239" i="1"/>
  <c r="CM238" i="1"/>
  <c r="AU107" i="1"/>
  <c r="AU109" i="1"/>
  <c r="AU115" i="1"/>
  <c r="CL69" i="1"/>
  <c r="CL28" i="1"/>
  <c r="BO225" i="1"/>
  <c r="BO202" i="1"/>
  <c r="AQ137" i="1"/>
  <c r="AQ135" i="1"/>
  <c r="AX269" i="1"/>
  <c r="AX270" i="1" s="1"/>
  <c r="AX176" i="1"/>
  <c r="AX179" i="1" s="1"/>
  <c r="BB248" i="1"/>
  <c r="BA248" i="1"/>
  <c r="BN214" i="1"/>
  <c r="BO210" i="1" s="1"/>
  <c r="BO206" i="1"/>
  <c r="BP201" i="1" s="1"/>
  <c r="BO214" i="1" l="1"/>
  <c r="BP210" i="1" s="1"/>
  <c r="BG233" i="1"/>
  <c r="AV97" i="1"/>
  <c r="CN224" i="1"/>
  <c r="CN223" i="1"/>
  <c r="AO159" i="1"/>
  <c r="AO160" i="1" s="1"/>
  <c r="AO75" i="1" s="1"/>
  <c r="AO79" i="1" s="1"/>
  <c r="CM69" i="1"/>
  <c r="CM28" i="1"/>
  <c r="AR137" i="1"/>
  <c r="AR135" i="1"/>
  <c r="AV117" i="1"/>
  <c r="AV94" i="1"/>
  <c r="CM185" i="1"/>
  <c r="CN238" i="1"/>
  <c r="CN239" i="1"/>
  <c r="CN116" i="1"/>
  <c r="CN184" i="1"/>
  <c r="AR134" i="1"/>
  <c r="AS129" i="1" s="1"/>
  <c r="AZ260" i="1"/>
  <c r="AZ258" i="1"/>
  <c r="BE241" i="1"/>
  <c r="BE242" i="1" s="1"/>
  <c r="BF237" i="1" s="1"/>
  <c r="AP152" i="1"/>
  <c r="AP149" i="1"/>
  <c r="AQ144" i="1" s="1"/>
  <c r="CN76" i="1"/>
  <c r="BH231" i="1"/>
  <c r="BH232" i="1" s="1"/>
  <c r="BH240" i="1"/>
  <c r="AP150" i="1"/>
  <c r="CP192" i="1"/>
  <c r="CP84" i="1"/>
  <c r="CP21" i="1"/>
  <c r="AN161" i="1"/>
  <c r="AN162" i="1" s="1"/>
  <c r="CN104" i="1"/>
  <c r="CN40" i="1" s="1"/>
  <c r="CN96" i="1"/>
  <c r="BI230" i="1"/>
  <c r="BI228" i="1"/>
  <c r="BD245" i="1"/>
  <c r="BD243" i="1"/>
  <c r="AQ138" i="1"/>
  <c r="AQ147" i="1"/>
  <c r="BN218" i="1"/>
  <c r="AT125" i="1"/>
  <c r="CN131" i="1"/>
  <c r="BP205" i="1"/>
  <c r="BP206" i="1" s="1"/>
  <c r="BQ201" i="1" s="1"/>
  <c r="BP208" i="1"/>
  <c r="BC246" i="1"/>
  <c r="BC255" i="1"/>
  <c r="AY267" i="1"/>
  <c r="CN212" i="1"/>
  <c r="CN203" i="1"/>
  <c r="CN204" i="1"/>
  <c r="CN177" i="1" s="1"/>
  <c r="CN211" i="1"/>
  <c r="BI227" i="1"/>
  <c r="BJ222" i="1" s="1"/>
  <c r="CO265" i="1"/>
  <c r="CO250" i="1"/>
  <c r="CO235" i="1"/>
  <c r="CO220" i="1"/>
  <c r="CO200" i="1"/>
  <c r="CO190" i="1"/>
  <c r="CO195" i="1" s="1"/>
  <c r="CO174" i="1"/>
  <c r="CO142" i="1"/>
  <c r="CO157" i="1"/>
  <c r="CO127" i="1"/>
  <c r="CO112" i="1"/>
  <c r="CO66" i="1"/>
  <c r="CO45" i="1"/>
  <c r="CO51" i="1" s="1"/>
  <c r="CO92" i="1"/>
  <c r="CO82" i="1"/>
  <c r="CO87" i="1" s="1"/>
  <c r="CO39" i="1"/>
  <c r="CM77" i="1"/>
  <c r="CP191" i="1"/>
  <c r="CP83" i="1"/>
  <c r="CN146" i="1"/>
  <c r="AU110" i="1"/>
  <c r="AU118" i="1" s="1"/>
  <c r="AZ257" i="1"/>
  <c r="BA252" i="1" s="1"/>
  <c r="BO217" i="1"/>
  <c r="BO215" i="1"/>
  <c r="CN253" i="1"/>
  <c r="CN254" i="1"/>
  <c r="CN185" i="1" l="1"/>
  <c r="BH233" i="1"/>
  <c r="AU122" i="1"/>
  <c r="AU120" i="1"/>
  <c r="AU119" i="1"/>
  <c r="AV114" i="1" s="1"/>
  <c r="BQ208" i="1"/>
  <c r="BQ205" i="1"/>
  <c r="BQ206" i="1"/>
  <c r="BR201" i="1" s="1"/>
  <c r="CQ191" i="1"/>
  <c r="CQ83" i="1"/>
  <c r="BF241" i="1"/>
  <c r="BF242" i="1" s="1"/>
  <c r="BG237" i="1" s="1"/>
  <c r="CO146" i="1"/>
  <c r="AQ145" i="1"/>
  <c r="AP153" i="1"/>
  <c r="AY176" i="1"/>
  <c r="AY179" i="1" s="1"/>
  <c r="BC247" i="1"/>
  <c r="AO161" i="1"/>
  <c r="AO162" i="1" s="1"/>
  <c r="AO68" i="1"/>
  <c r="AO71" i="1" s="1"/>
  <c r="BP225" i="1"/>
  <c r="BP202" i="1"/>
  <c r="BE245" i="1"/>
  <c r="BE243" i="1"/>
  <c r="CO224" i="1"/>
  <c r="CO223" i="1"/>
  <c r="CO104" i="1"/>
  <c r="CO40" i="1" s="1"/>
  <c r="CO96" i="1"/>
  <c r="CO77" i="1" s="1"/>
  <c r="BO218" i="1"/>
  <c r="AY268" i="1"/>
  <c r="AY183" i="1" s="1"/>
  <c r="AY187" i="1" s="1"/>
  <c r="CP265" i="1"/>
  <c r="CP250" i="1"/>
  <c r="CP235" i="1"/>
  <c r="CP220" i="1"/>
  <c r="CP174" i="1"/>
  <c r="CP190" i="1"/>
  <c r="CP195" i="1" s="1"/>
  <c r="CP200" i="1"/>
  <c r="CP157" i="1"/>
  <c r="CP142" i="1"/>
  <c r="CP127" i="1"/>
  <c r="CP112" i="1"/>
  <c r="CP66" i="1"/>
  <c r="CP45" i="1"/>
  <c r="CP51" i="1" s="1"/>
  <c r="CP92" i="1"/>
  <c r="CP82" i="1"/>
  <c r="CP87" i="1" s="1"/>
  <c r="CP39" i="1"/>
  <c r="AS130" i="1"/>
  <c r="AS133" i="1" s="1"/>
  <c r="AS134" i="1" s="1"/>
  <c r="AT129" i="1" s="1"/>
  <c r="BA256" i="1"/>
  <c r="BA257" i="1" s="1"/>
  <c r="BB252" i="1" s="1"/>
  <c r="CO76" i="1"/>
  <c r="BD246" i="1"/>
  <c r="BD255" i="1"/>
  <c r="CQ192" i="1"/>
  <c r="CQ84" i="1"/>
  <c r="CQ21" i="1"/>
  <c r="BJ226" i="1"/>
  <c r="BJ227" i="1"/>
  <c r="BK222" i="1" s="1"/>
  <c r="CO184" i="1"/>
  <c r="AV105" i="1"/>
  <c r="AV99" i="1"/>
  <c r="CO211" i="1"/>
  <c r="CO203" i="1"/>
  <c r="CO212" i="1"/>
  <c r="CO204" i="1"/>
  <c r="CO177" i="1" s="1"/>
  <c r="BP213" i="1"/>
  <c r="BP207" i="1"/>
  <c r="CN69" i="1"/>
  <c r="CN28" i="1"/>
  <c r="AV98" i="1"/>
  <c r="AW93" i="1" s="1"/>
  <c r="CO253" i="1"/>
  <c r="CO254" i="1"/>
  <c r="AZ261" i="1"/>
  <c r="CO116" i="1"/>
  <c r="AR138" i="1"/>
  <c r="AR139" i="1" s="1"/>
  <c r="AR147" i="1"/>
  <c r="CO238" i="1"/>
  <c r="CO239" i="1"/>
  <c r="AQ139" i="1"/>
  <c r="CO131" i="1"/>
  <c r="BI240" i="1"/>
  <c r="BI231" i="1"/>
  <c r="BI232" i="1"/>
  <c r="CN77" i="1"/>
  <c r="AY269" i="1" l="1"/>
  <c r="AY270" i="1" s="1"/>
  <c r="CO185" i="1"/>
  <c r="AT130" i="1"/>
  <c r="AT133" i="1" s="1"/>
  <c r="AW95" i="1"/>
  <c r="AW97" i="1" s="1"/>
  <c r="AW100" i="1"/>
  <c r="BG241" i="1"/>
  <c r="CR191" i="1"/>
  <c r="CR83" i="1"/>
  <c r="AQ140" i="1"/>
  <c r="AQ148" i="1" s="1"/>
  <c r="AQ149" i="1" s="1"/>
  <c r="AR144" i="1" s="1"/>
  <c r="BQ213" i="1"/>
  <c r="BQ207" i="1"/>
  <c r="BB256" i="1"/>
  <c r="BQ225" i="1"/>
  <c r="BQ202" i="1"/>
  <c r="AV115" i="1"/>
  <c r="CP184" i="1"/>
  <c r="AP154" i="1"/>
  <c r="AP155" i="1" s="1"/>
  <c r="CP239" i="1"/>
  <c r="CP238" i="1"/>
  <c r="BP217" i="1"/>
  <c r="BP215" i="1"/>
  <c r="BP214" i="1"/>
  <c r="BQ210" i="1" s="1"/>
  <c r="BR208" i="1"/>
  <c r="BR205" i="1"/>
  <c r="BR206" i="1" s="1"/>
  <c r="BS201" i="1" s="1"/>
  <c r="BK226" i="1"/>
  <c r="BK227" i="1" s="1"/>
  <c r="BL222" i="1" s="1"/>
  <c r="CR192" i="1"/>
  <c r="CR84" i="1"/>
  <c r="CR21" i="1"/>
  <c r="CP131" i="1"/>
  <c r="CP212" i="1"/>
  <c r="CP204" i="1"/>
  <c r="CP177" i="1" s="1"/>
  <c r="CP211" i="1"/>
  <c r="CP203" i="1"/>
  <c r="AS137" i="1"/>
  <c r="AS135" i="1"/>
  <c r="CP104" i="1"/>
  <c r="CP40" i="1" s="1"/>
  <c r="CP96" i="1"/>
  <c r="CP77" i="1" s="1"/>
  <c r="AR140" i="1"/>
  <c r="CP254" i="1"/>
  <c r="CP253" i="1"/>
  <c r="CP116" i="1"/>
  <c r="CP146" i="1"/>
  <c r="AU123" i="1"/>
  <c r="AU132" i="1"/>
  <c r="CP223" i="1"/>
  <c r="CP224" i="1"/>
  <c r="BD247" i="1"/>
  <c r="CO69" i="1"/>
  <c r="CO28" i="1"/>
  <c r="BE246" i="1"/>
  <c r="BE255" i="1"/>
  <c r="BI233" i="1"/>
  <c r="BJ230" i="1"/>
  <c r="BJ228" i="1"/>
  <c r="CP76" i="1"/>
  <c r="CQ265" i="1"/>
  <c r="CQ250" i="1"/>
  <c r="CQ235" i="1"/>
  <c r="CQ220" i="1"/>
  <c r="CQ190" i="1"/>
  <c r="CQ195" i="1" s="1"/>
  <c r="CQ174" i="1"/>
  <c r="CQ200" i="1"/>
  <c r="CQ142" i="1"/>
  <c r="CQ157" i="1"/>
  <c r="CQ127" i="1"/>
  <c r="CQ112" i="1"/>
  <c r="CQ66" i="1"/>
  <c r="CQ92" i="1"/>
  <c r="CQ82" i="1"/>
  <c r="CQ87" i="1" s="1"/>
  <c r="CQ39" i="1"/>
  <c r="CQ45" i="1"/>
  <c r="CQ51" i="1" s="1"/>
  <c r="AZ262" i="1"/>
  <c r="AZ263" i="1" s="1"/>
  <c r="AV109" i="1"/>
  <c r="AV107" i="1"/>
  <c r="AV106" i="1"/>
  <c r="AW102" i="1" s="1"/>
  <c r="BA260" i="1"/>
  <c r="BA258" i="1"/>
  <c r="BC248" i="1"/>
  <c r="BF245" i="1"/>
  <c r="BF243" i="1"/>
  <c r="AT134" i="1" l="1"/>
  <c r="AU129" i="1" s="1"/>
  <c r="AW98" i="1"/>
  <c r="AX93" i="1" s="1"/>
  <c r="AX95" i="1" s="1"/>
  <c r="AX100" i="1" s="1"/>
  <c r="AR145" i="1"/>
  <c r="AR148" i="1" s="1"/>
  <c r="CQ76" i="1"/>
  <c r="CQ116" i="1"/>
  <c r="AW105" i="1"/>
  <c r="AW99" i="1"/>
  <c r="CQ131" i="1"/>
  <c r="BQ214" i="1"/>
  <c r="BR210" i="1" s="1"/>
  <c r="CR265" i="1"/>
  <c r="CR235" i="1"/>
  <c r="CR250" i="1"/>
  <c r="CR220" i="1"/>
  <c r="CR190" i="1"/>
  <c r="CR195" i="1" s="1"/>
  <c r="CR174" i="1"/>
  <c r="CR200" i="1"/>
  <c r="CR142" i="1"/>
  <c r="CR157" i="1"/>
  <c r="CR127" i="1"/>
  <c r="CR112" i="1"/>
  <c r="CR92" i="1"/>
  <c r="CR66" i="1"/>
  <c r="CR82" i="1"/>
  <c r="CR87" i="1" s="1"/>
  <c r="CR39" i="1"/>
  <c r="CR45" i="1"/>
  <c r="CR51" i="1" s="1"/>
  <c r="CS192" i="1"/>
  <c r="CS84" i="1"/>
  <c r="CS21" i="1"/>
  <c r="AS138" i="1"/>
  <c r="AS147" i="1"/>
  <c r="BB260" i="1"/>
  <c r="BB258" i="1"/>
  <c r="AP159" i="1"/>
  <c r="AP160" i="1" s="1"/>
  <c r="AP75" i="1" s="1"/>
  <c r="AP79" i="1" s="1"/>
  <c r="AQ152" i="1"/>
  <c r="AQ150" i="1"/>
  <c r="BG245" i="1"/>
  <c r="BG243" i="1"/>
  <c r="BA261" i="1"/>
  <c r="AW103" i="1"/>
  <c r="CS191" i="1"/>
  <c r="CS83" i="1"/>
  <c r="BP218" i="1"/>
  <c r="CQ223" i="1"/>
  <c r="CQ224" i="1"/>
  <c r="CQ104" i="1"/>
  <c r="CQ40" i="1" s="1"/>
  <c r="CQ96" i="1"/>
  <c r="CQ239" i="1"/>
  <c r="CQ238" i="1"/>
  <c r="BG242" i="1"/>
  <c r="BH237" i="1" s="1"/>
  <c r="AU130" i="1"/>
  <c r="BS205" i="1"/>
  <c r="BS206" i="1" s="1"/>
  <c r="BT201" i="1" s="1"/>
  <c r="BS208" i="1"/>
  <c r="BQ217" i="1"/>
  <c r="BQ215" i="1"/>
  <c r="BE247" i="1"/>
  <c r="AV110" i="1"/>
  <c r="AV118" i="1" s="1"/>
  <c r="BF246" i="1"/>
  <c r="BF255" i="1"/>
  <c r="CQ184" i="1"/>
  <c r="BJ240" i="1"/>
  <c r="BJ231" i="1"/>
  <c r="CQ254" i="1"/>
  <c r="CQ253" i="1"/>
  <c r="AU124" i="1"/>
  <c r="BL226" i="1"/>
  <c r="BL227" i="1"/>
  <c r="BM222" i="1" s="1"/>
  <c r="CP185" i="1"/>
  <c r="AW117" i="1"/>
  <c r="AW94" i="1"/>
  <c r="AT137" i="1"/>
  <c r="AT135" i="1"/>
  <c r="BR213" i="1"/>
  <c r="BR207" i="1"/>
  <c r="BR225" i="1"/>
  <c r="BR202" i="1"/>
  <c r="CQ146" i="1"/>
  <c r="CQ212" i="1"/>
  <c r="CQ204" i="1"/>
  <c r="CQ177" i="1" s="1"/>
  <c r="CQ211" i="1"/>
  <c r="CQ203" i="1"/>
  <c r="BD248" i="1"/>
  <c r="AZ267" i="1"/>
  <c r="CP69" i="1"/>
  <c r="CP28" i="1"/>
  <c r="BK230" i="1"/>
  <c r="BK228" i="1"/>
  <c r="BB257" i="1"/>
  <c r="BC252" i="1" s="1"/>
  <c r="BR214" i="1" l="1"/>
  <c r="BS210" i="1" s="1"/>
  <c r="AW106" i="1"/>
  <c r="AX102" i="1" s="1"/>
  <c r="AX103" i="1" s="1"/>
  <c r="AX117" i="1"/>
  <c r="AX94" i="1"/>
  <c r="AR152" i="1"/>
  <c r="AR150" i="1"/>
  <c r="AR149" i="1"/>
  <c r="AS144" i="1" s="1"/>
  <c r="CR239" i="1"/>
  <c r="CR238" i="1"/>
  <c r="CQ28" i="1"/>
  <c r="CQ69" i="1"/>
  <c r="AW109" i="1"/>
  <c r="AW107" i="1"/>
  <c r="CQ77" i="1"/>
  <c r="BG246" i="1"/>
  <c r="BG247" i="1" s="1"/>
  <c r="BG255" i="1"/>
  <c r="BC256" i="1"/>
  <c r="CT191" i="1"/>
  <c r="CT83" i="1"/>
  <c r="CR96" i="1"/>
  <c r="CR77" i="1" s="1"/>
  <c r="CR104" i="1"/>
  <c r="CR40" i="1" s="1"/>
  <c r="CR146" i="1"/>
  <c r="BF247" i="1"/>
  <c r="CR212" i="1"/>
  <c r="CR204" i="1"/>
  <c r="CR177" i="1" s="1"/>
  <c r="CR211" i="1"/>
  <c r="CR203" i="1"/>
  <c r="BT208" i="1"/>
  <c r="BT205" i="1"/>
  <c r="BT206" i="1" s="1"/>
  <c r="BU201" i="1" s="1"/>
  <c r="BS213" i="1"/>
  <c r="BS207" i="1"/>
  <c r="AQ153" i="1"/>
  <c r="CR185" i="1"/>
  <c r="CR184" i="1"/>
  <c r="AZ176" i="1"/>
  <c r="AZ179" i="1" s="1"/>
  <c r="CS265" i="1"/>
  <c r="CS220" i="1"/>
  <c r="CS250" i="1"/>
  <c r="CS235" i="1"/>
  <c r="CS190" i="1"/>
  <c r="CS195" i="1" s="1"/>
  <c r="CS174" i="1"/>
  <c r="CS200" i="1"/>
  <c r="CS142" i="1"/>
  <c r="CS157" i="1"/>
  <c r="CS112" i="1"/>
  <c r="CS127" i="1"/>
  <c r="CS82" i="1"/>
  <c r="CS87" i="1" s="1"/>
  <c r="CS92" i="1"/>
  <c r="CS39" i="1"/>
  <c r="CS66" i="1"/>
  <c r="CS45" i="1"/>
  <c r="CS51" i="1" s="1"/>
  <c r="CT192" i="1"/>
  <c r="CT84" i="1"/>
  <c r="CT21" i="1"/>
  <c r="BH241" i="1"/>
  <c r="BH242" i="1" s="1"/>
  <c r="BI237" i="1" s="1"/>
  <c r="CQ185" i="1"/>
  <c r="BE248" i="1"/>
  <c r="BB261" i="1"/>
  <c r="BB262" i="1"/>
  <c r="BB263" i="1" s="1"/>
  <c r="AX97" i="1"/>
  <c r="BS225" i="1"/>
  <c r="BS202" i="1"/>
  <c r="AS139" i="1"/>
  <c r="BK231" i="1"/>
  <c r="BK240" i="1"/>
  <c r="AV122" i="1"/>
  <c r="AV120" i="1"/>
  <c r="AV119" i="1"/>
  <c r="AW114" i="1" s="1"/>
  <c r="AP161" i="1"/>
  <c r="AP162" i="1" s="1"/>
  <c r="AP68" i="1"/>
  <c r="AP71" i="1" s="1"/>
  <c r="BM226" i="1"/>
  <c r="BM227" i="1" s="1"/>
  <c r="BN222" i="1" s="1"/>
  <c r="BA262" i="1"/>
  <c r="BA263" i="1" s="1"/>
  <c r="CR223" i="1"/>
  <c r="CR224" i="1"/>
  <c r="AU125" i="1"/>
  <c r="AU133" i="1" s="1"/>
  <c r="AZ268" i="1"/>
  <c r="AZ183" i="1" s="1"/>
  <c r="AZ187" i="1" s="1"/>
  <c r="CR76" i="1"/>
  <c r="BR217" i="1"/>
  <c r="BR215" i="1"/>
  <c r="CR116" i="1"/>
  <c r="BJ232" i="1"/>
  <c r="CR131" i="1"/>
  <c r="AT138" i="1"/>
  <c r="AT147" i="1"/>
  <c r="BL230" i="1"/>
  <c r="BL228" i="1"/>
  <c r="BQ218" i="1"/>
  <c r="CR254" i="1"/>
  <c r="CR253" i="1"/>
  <c r="BU205" i="1" l="1"/>
  <c r="BU208" i="1"/>
  <c r="BU206" i="1"/>
  <c r="BV201" i="1" s="1"/>
  <c r="BG248" i="1"/>
  <c r="BN226" i="1"/>
  <c r="BN227" i="1" s="1"/>
  <c r="BO222" i="1" s="1"/>
  <c r="BT225" i="1"/>
  <c r="BT202" i="1"/>
  <c r="CS146" i="1"/>
  <c r="AR153" i="1"/>
  <c r="AR154" i="1" s="1"/>
  <c r="AR155" i="1" s="1"/>
  <c r="CU191" i="1"/>
  <c r="CU83" i="1"/>
  <c r="BI241" i="1"/>
  <c r="BF248" i="1"/>
  <c r="CT265" i="1"/>
  <c r="CT235" i="1"/>
  <c r="CT220" i="1"/>
  <c r="CT250" i="1"/>
  <c r="CT190" i="1"/>
  <c r="CT195" i="1" s="1"/>
  <c r="CT174" i="1"/>
  <c r="CT200" i="1"/>
  <c r="CT142" i="1"/>
  <c r="CT157" i="1"/>
  <c r="CT112" i="1"/>
  <c r="CT127" i="1"/>
  <c r="CT82" i="1"/>
  <c r="CT87" i="1" s="1"/>
  <c r="CT92" i="1"/>
  <c r="CT39" i="1"/>
  <c r="CT66" i="1"/>
  <c r="CT45" i="1"/>
  <c r="CT51" i="1" s="1"/>
  <c r="CS184" i="1"/>
  <c r="AW110" i="1"/>
  <c r="AV123" i="1"/>
  <c r="AV124" i="1"/>
  <c r="AV132" i="1"/>
  <c r="CU192" i="1"/>
  <c r="CU84" i="1"/>
  <c r="CU21" i="1"/>
  <c r="CS212" i="1"/>
  <c r="CS204" i="1"/>
  <c r="CS177" i="1" s="1"/>
  <c r="CS203" i="1"/>
  <c r="CS211" i="1"/>
  <c r="BB267" i="1"/>
  <c r="AU137" i="1"/>
  <c r="AU135" i="1"/>
  <c r="AU134" i="1"/>
  <c r="AV129" i="1" s="1"/>
  <c r="AZ269" i="1"/>
  <c r="AZ270" i="1" s="1"/>
  <c r="CS254" i="1"/>
  <c r="CS253" i="1"/>
  <c r="BK232" i="1"/>
  <c r="BL231" i="1"/>
  <c r="BL240" i="1"/>
  <c r="BL232" i="1"/>
  <c r="CS77" i="1"/>
  <c r="CS76" i="1"/>
  <c r="CS131" i="1"/>
  <c r="AX99" i="1"/>
  <c r="AX105" i="1"/>
  <c r="AX106" i="1" s="1"/>
  <c r="AY102" i="1" s="1"/>
  <c r="BA267" i="1"/>
  <c r="BA268" i="1" s="1"/>
  <c r="BA183" i="1" s="1"/>
  <c r="BA187" i="1" s="1"/>
  <c r="CS239" i="1"/>
  <c r="CS238" i="1"/>
  <c r="BR218" i="1"/>
  <c r="AX98" i="1"/>
  <c r="AY93" i="1" s="1"/>
  <c r="CS104" i="1"/>
  <c r="CS40" i="1" s="1"/>
  <c r="CS96" i="1"/>
  <c r="AS140" i="1"/>
  <c r="CS116" i="1"/>
  <c r="CR69" i="1"/>
  <c r="CR28" i="1"/>
  <c r="BC260" i="1"/>
  <c r="BC258" i="1"/>
  <c r="AS145" i="1"/>
  <c r="AQ154" i="1"/>
  <c r="AQ155" i="1" s="1"/>
  <c r="BS217" i="1"/>
  <c r="BS215" i="1"/>
  <c r="BT213" i="1"/>
  <c r="BT207" i="1"/>
  <c r="AT139" i="1"/>
  <c r="BJ233" i="1"/>
  <c r="BM230" i="1"/>
  <c r="BM228" i="1"/>
  <c r="CS224" i="1"/>
  <c r="CS223" i="1"/>
  <c r="BS214" i="1"/>
  <c r="BT210" i="1" s="1"/>
  <c r="AW115" i="1"/>
  <c r="BH245" i="1"/>
  <c r="BH243" i="1"/>
  <c r="BC257" i="1"/>
  <c r="BD252" i="1" s="1"/>
  <c r="AW118" i="1" l="1"/>
  <c r="AS148" i="1"/>
  <c r="BT214" i="1"/>
  <c r="BU210" i="1" s="1"/>
  <c r="AS152" i="1"/>
  <c r="AS150" i="1"/>
  <c r="BO226" i="1"/>
  <c r="BO227" i="1" s="1"/>
  <c r="BP222" i="1" s="1"/>
  <c r="BI245" i="1"/>
  <c r="BI243" i="1"/>
  <c r="CV191" i="1"/>
  <c r="CV83" i="1"/>
  <c r="CT131" i="1"/>
  <c r="CT116" i="1"/>
  <c r="CU265" i="1"/>
  <c r="CU235" i="1"/>
  <c r="CU250" i="1"/>
  <c r="CU220" i="1"/>
  <c r="CU174" i="1"/>
  <c r="CU200" i="1"/>
  <c r="CU190" i="1"/>
  <c r="CU195" i="1" s="1"/>
  <c r="CU142" i="1"/>
  <c r="CU157" i="1"/>
  <c r="CU112" i="1"/>
  <c r="CU127" i="1"/>
  <c r="CU82" i="1"/>
  <c r="CU87" i="1" s="1"/>
  <c r="CU92" i="1"/>
  <c r="CU39" i="1"/>
  <c r="CU66" i="1"/>
  <c r="CU45" i="1"/>
  <c r="CU51" i="1" s="1"/>
  <c r="AW122" i="1"/>
  <c r="AW120" i="1"/>
  <c r="BS218" i="1"/>
  <c r="CT254" i="1"/>
  <c r="CT253" i="1"/>
  <c r="BV208" i="1"/>
  <c r="BV205" i="1"/>
  <c r="CT146" i="1"/>
  <c r="AR159" i="1"/>
  <c r="AR160" i="1" s="1"/>
  <c r="AR75" i="1" s="1"/>
  <c r="AR79" i="1" s="1"/>
  <c r="BU225" i="1"/>
  <c r="BU202" i="1"/>
  <c r="CT76" i="1"/>
  <c r="AW119" i="1"/>
  <c r="AX114" i="1" s="1"/>
  <c r="CS69" i="1"/>
  <c r="CS28" i="1"/>
  <c r="BB176" i="1"/>
  <c r="BB179" i="1" s="1"/>
  <c r="AY103" i="1"/>
  <c r="AQ159" i="1"/>
  <c r="CT212" i="1"/>
  <c r="CT204" i="1"/>
  <c r="CT177" i="1" s="1"/>
  <c r="CT203" i="1"/>
  <c r="CT211" i="1"/>
  <c r="CS185" i="1"/>
  <c r="AS149" i="1"/>
  <c r="AT144" i="1" s="1"/>
  <c r="AX109" i="1"/>
  <c r="AX107" i="1"/>
  <c r="BK233" i="1"/>
  <c r="AT140" i="1"/>
  <c r="CT239" i="1"/>
  <c r="CT238" i="1"/>
  <c r="BU213" i="1"/>
  <c r="BU214" i="1" s="1"/>
  <c r="BV210" i="1" s="1"/>
  <c r="BU207" i="1"/>
  <c r="BN230" i="1"/>
  <c r="BN228" i="1"/>
  <c r="AU138" i="1"/>
  <c r="AU139" i="1" s="1"/>
  <c r="AU147" i="1"/>
  <c r="CV192" i="1"/>
  <c r="CV84" i="1"/>
  <c r="CV21" i="1"/>
  <c r="BA269" i="1"/>
  <c r="BA270" i="1" s="1"/>
  <c r="BA176" i="1"/>
  <c r="BA179" i="1" s="1"/>
  <c r="BB268" i="1"/>
  <c r="BB183" i="1" s="1"/>
  <c r="BB187" i="1" s="1"/>
  <c r="CT224" i="1"/>
  <c r="CT223" i="1"/>
  <c r="BC261" i="1"/>
  <c r="AY95" i="1"/>
  <c r="CT104" i="1"/>
  <c r="CT40" i="1" s="1"/>
  <c r="CT96" i="1"/>
  <c r="BI242" i="1"/>
  <c r="BJ237" i="1" s="1"/>
  <c r="BD256" i="1"/>
  <c r="BM240" i="1"/>
  <c r="BM231" i="1"/>
  <c r="BM232" i="1" s="1"/>
  <c r="BL233" i="1"/>
  <c r="CT184" i="1"/>
  <c r="AV125" i="1"/>
  <c r="BH246" i="1"/>
  <c r="BH247" i="1" s="1"/>
  <c r="BH255" i="1"/>
  <c r="BT215" i="1"/>
  <c r="BT217" i="1"/>
  <c r="AV130" i="1"/>
  <c r="AY97" i="1" l="1"/>
  <c r="AY98" i="1" s="1"/>
  <c r="AZ93" i="1" s="1"/>
  <c r="BM233" i="1"/>
  <c r="AU140" i="1"/>
  <c r="AQ68" i="1"/>
  <c r="AQ71" i="1" s="1"/>
  <c r="AT145" i="1"/>
  <c r="AT148" i="1" s="1"/>
  <c r="CU203" i="1"/>
  <c r="CU211" i="1"/>
  <c r="CU204" i="1"/>
  <c r="CU177" i="1" s="1"/>
  <c r="CU212" i="1"/>
  <c r="CU116" i="1"/>
  <c r="CU146" i="1"/>
  <c r="CU184" i="1"/>
  <c r="CU131" i="1"/>
  <c r="AW132" i="1"/>
  <c r="AW123" i="1"/>
  <c r="AW124" i="1" s="1"/>
  <c r="CU76" i="1"/>
  <c r="CU224" i="1"/>
  <c r="CU223" i="1"/>
  <c r="BP226" i="1"/>
  <c r="CT69" i="1"/>
  <c r="CT28" i="1"/>
  <c r="BD260" i="1"/>
  <c r="BD258" i="1"/>
  <c r="CU254" i="1"/>
  <c r="CU253" i="1"/>
  <c r="BI246" i="1"/>
  <c r="BI247" i="1" s="1"/>
  <c r="BI255" i="1"/>
  <c r="AV133" i="1"/>
  <c r="AX110" i="1"/>
  <c r="BO230" i="1"/>
  <c r="BO228" i="1"/>
  <c r="BB269" i="1"/>
  <c r="BB270" i="1" s="1"/>
  <c r="BT218" i="1"/>
  <c r="BD257" i="1"/>
  <c r="BE252" i="1" s="1"/>
  <c r="CW192" i="1"/>
  <c r="CW84" i="1"/>
  <c r="CW21" i="1"/>
  <c r="BV213" i="1"/>
  <c r="BV214" i="1" s="1"/>
  <c r="BW210" i="1" s="1"/>
  <c r="BV207" i="1"/>
  <c r="BJ241" i="1"/>
  <c r="AY100" i="1"/>
  <c r="CT77" i="1"/>
  <c r="BV206" i="1"/>
  <c r="BW201" i="1" s="1"/>
  <c r="CU239" i="1"/>
  <c r="CU238" i="1"/>
  <c r="CW191" i="1"/>
  <c r="CW83" i="1"/>
  <c r="AS153" i="1"/>
  <c r="AS154" i="1" s="1"/>
  <c r="AS155" i="1" s="1"/>
  <c r="CV265" i="1"/>
  <c r="CV235" i="1"/>
  <c r="CV250" i="1"/>
  <c r="CV220" i="1"/>
  <c r="CV190" i="1"/>
  <c r="CV195" i="1" s="1"/>
  <c r="CV200" i="1"/>
  <c r="CV157" i="1"/>
  <c r="CV174" i="1"/>
  <c r="CV142" i="1"/>
  <c r="CV112" i="1"/>
  <c r="CV127" i="1"/>
  <c r="CV92" i="1"/>
  <c r="CV39" i="1"/>
  <c r="CV82" i="1"/>
  <c r="CV87" i="1" s="1"/>
  <c r="CV66" i="1"/>
  <c r="CV45" i="1"/>
  <c r="CV51" i="1" s="1"/>
  <c r="AY105" i="1"/>
  <c r="AY106" i="1" s="1"/>
  <c r="AZ102" i="1" s="1"/>
  <c r="AY99" i="1"/>
  <c r="AR161" i="1"/>
  <c r="AR162" i="1" s="1"/>
  <c r="AR68" i="1"/>
  <c r="AR71" i="1" s="1"/>
  <c r="BV225" i="1"/>
  <c r="BV202" i="1"/>
  <c r="CU104" i="1"/>
  <c r="CU40" i="1" s="1"/>
  <c r="CU96" i="1"/>
  <c r="CU77" i="1" s="1"/>
  <c r="BC262" i="1"/>
  <c r="BC263" i="1" s="1"/>
  <c r="BN231" i="1"/>
  <c r="BN232" i="1" s="1"/>
  <c r="BN240" i="1"/>
  <c r="BU217" i="1"/>
  <c r="BU215" i="1"/>
  <c r="AX115" i="1"/>
  <c r="AX118" i="1" s="1"/>
  <c r="CT185" i="1"/>
  <c r="BH248" i="1"/>
  <c r="AQ160" i="1"/>
  <c r="AQ75" i="1" s="1"/>
  <c r="AQ79" i="1" s="1"/>
  <c r="AT149" i="1" l="1"/>
  <c r="AU144" i="1" s="1"/>
  <c r="AU145" i="1" s="1"/>
  <c r="AU148" i="1" s="1"/>
  <c r="CU185" i="1"/>
  <c r="AZ95" i="1"/>
  <c r="AZ97" i="1" s="1"/>
  <c r="BI248" i="1"/>
  <c r="AW125" i="1"/>
  <c r="AX122" i="1"/>
  <c r="AX120" i="1"/>
  <c r="BC267" i="1"/>
  <c r="BC268" i="1" s="1"/>
  <c r="BC183" i="1" s="1"/>
  <c r="BC187" i="1" s="1"/>
  <c r="BE256" i="1"/>
  <c r="CV146" i="1"/>
  <c r="AZ103" i="1"/>
  <c r="BJ245" i="1"/>
  <c r="BJ243" i="1"/>
  <c r="AQ161" i="1"/>
  <c r="AQ162" i="1" s="1"/>
  <c r="CX191" i="1"/>
  <c r="CX83" i="1"/>
  <c r="BJ242" i="1"/>
  <c r="BK237" i="1" s="1"/>
  <c r="AS159" i="1"/>
  <c r="AS160" i="1" s="1"/>
  <c r="AS75" i="1" s="1"/>
  <c r="AS79" i="1" s="1"/>
  <c r="CV184" i="1"/>
  <c r="CV211" i="1"/>
  <c r="CV204" i="1"/>
  <c r="CV177" i="1" s="1"/>
  <c r="CV212" i="1"/>
  <c r="CV203" i="1"/>
  <c r="AV137" i="1"/>
  <c r="AV135" i="1"/>
  <c r="CV76" i="1"/>
  <c r="CV254" i="1"/>
  <c r="CV253" i="1"/>
  <c r="CV239" i="1"/>
  <c r="CV238" i="1"/>
  <c r="CV104" i="1"/>
  <c r="CV40" i="1" s="1"/>
  <c r="CV96" i="1"/>
  <c r="BV217" i="1"/>
  <c r="BV215" i="1"/>
  <c r="AV134" i="1"/>
  <c r="AW129" i="1" s="1"/>
  <c r="BW208" i="1"/>
  <c r="BW205" i="1"/>
  <c r="AY109" i="1"/>
  <c r="AY107" i="1"/>
  <c r="CV224" i="1"/>
  <c r="CV223" i="1"/>
  <c r="CU69" i="1"/>
  <c r="CU28" i="1"/>
  <c r="BD261" i="1"/>
  <c r="CV131" i="1"/>
  <c r="CW265" i="1"/>
  <c r="CW250" i="1"/>
  <c r="CW235" i="1"/>
  <c r="CW190" i="1"/>
  <c r="CW195" i="1" s="1"/>
  <c r="CW220" i="1"/>
  <c r="CW157" i="1"/>
  <c r="CW200" i="1"/>
  <c r="CW174" i="1"/>
  <c r="CW142" i="1"/>
  <c r="CW112" i="1"/>
  <c r="CW127" i="1"/>
  <c r="CW39" i="1"/>
  <c r="CW92" i="1"/>
  <c r="CW45" i="1"/>
  <c r="CW51" i="1" s="1"/>
  <c r="CW82" i="1"/>
  <c r="CW87" i="1" s="1"/>
  <c r="CW66" i="1"/>
  <c r="BO240" i="1"/>
  <c r="BO231" i="1"/>
  <c r="AT152" i="1"/>
  <c r="AT150" i="1"/>
  <c r="BP230" i="1"/>
  <c r="BP228" i="1"/>
  <c r="BU218" i="1"/>
  <c r="AY117" i="1"/>
  <c r="AY94" i="1"/>
  <c r="BN233" i="1"/>
  <c r="AX119" i="1"/>
  <c r="AY114" i="1" s="1"/>
  <c r="CV116" i="1"/>
  <c r="CX192" i="1"/>
  <c r="CX84" i="1"/>
  <c r="CX21" i="1"/>
  <c r="BP227" i="1"/>
  <c r="BQ222" i="1" s="1"/>
  <c r="AZ100" i="1" l="1"/>
  <c r="AZ105" i="1"/>
  <c r="AZ98" i="1"/>
  <c r="BA93" i="1" s="1"/>
  <c r="AZ99" i="1"/>
  <c r="AZ106" i="1"/>
  <c r="BA102" i="1" s="1"/>
  <c r="BA103" i="1" s="1"/>
  <c r="AU152" i="1"/>
  <c r="AU150" i="1"/>
  <c r="AU149" i="1"/>
  <c r="AV144" i="1" s="1"/>
  <c r="BV218" i="1"/>
  <c r="CW224" i="1"/>
  <c r="CW223" i="1"/>
  <c r="CW238" i="1"/>
  <c r="CW239" i="1"/>
  <c r="BE260" i="1"/>
  <c r="BE258" i="1"/>
  <c r="AZ109" i="1"/>
  <c r="AZ107" i="1"/>
  <c r="AV138" i="1"/>
  <c r="AV147" i="1"/>
  <c r="BE257" i="1"/>
  <c r="BF252" i="1" s="1"/>
  <c r="CW104" i="1"/>
  <c r="CW40" i="1" s="1"/>
  <c r="CW96" i="1"/>
  <c r="CW253" i="1"/>
  <c r="CW254" i="1"/>
  <c r="AY110" i="1"/>
  <c r="BJ246" i="1"/>
  <c r="BJ255" i="1"/>
  <c r="CX265" i="1"/>
  <c r="CX250" i="1"/>
  <c r="CX235" i="1"/>
  <c r="CX200" i="1"/>
  <c r="CX220" i="1"/>
  <c r="CX190" i="1"/>
  <c r="CX195" i="1" s="1"/>
  <c r="CX157" i="1"/>
  <c r="CX174" i="1"/>
  <c r="CX142" i="1"/>
  <c r="CX127" i="1"/>
  <c r="CX112" i="1"/>
  <c r="CX92" i="1"/>
  <c r="CX45" i="1"/>
  <c r="CX51" i="1" s="1"/>
  <c r="CX82" i="1"/>
  <c r="CX87" i="1" s="1"/>
  <c r="CX66" i="1"/>
  <c r="CX68" i="1" s="1"/>
  <c r="CX39" i="1"/>
  <c r="CY192" i="1"/>
  <c r="CY84" i="1"/>
  <c r="CY21" i="1"/>
  <c r="AT153" i="1"/>
  <c r="AT154" i="1" s="1"/>
  <c r="AT155" i="1" s="1"/>
  <c r="BD262" i="1"/>
  <c r="BD263" i="1" s="1"/>
  <c r="CW184" i="1"/>
  <c r="AW130" i="1"/>
  <c r="AW133" i="1" s="1"/>
  <c r="AW134" i="1" s="1"/>
  <c r="AX129" i="1" s="1"/>
  <c r="BK241" i="1"/>
  <c r="CV69" i="1"/>
  <c r="CV28" i="1"/>
  <c r="BW213" i="1"/>
  <c r="BW207" i="1"/>
  <c r="AX123" i="1"/>
  <c r="AX124" i="1" s="1"/>
  <c r="AX132" i="1"/>
  <c r="BW206" i="1"/>
  <c r="BX201" i="1" s="1"/>
  <c r="BA95" i="1"/>
  <c r="BA97" i="1" s="1"/>
  <c r="AY115" i="1"/>
  <c r="CW204" i="1"/>
  <c r="CW177" i="1" s="1"/>
  <c r="CW212" i="1"/>
  <c r="CW211" i="1"/>
  <c r="CW203" i="1"/>
  <c r="CV185" i="1"/>
  <c r="BC269" i="1"/>
  <c r="BC270" i="1" s="1"/>
  <c r="BC176" i="1"/>
  <c r="BC179" i="1" s="1"/>
  <c r="BQ226" i="1"/>
  <c r="BQ227" i="1" s="1"/>
  <c r="BR222" i="1" s="1"/>
  <c r="BP240" i="1"/>
  <c r="BP231" i="1"/>
  <c r="CW131" i="1"/>
  <c r="BW225" i="1"/>
  <c r="BW202" i="1"/>
  <c r="CW116" i="1"/>
  <c r="CV77" i="1"/>
  <c r="CW146" i="1"/>
  <c r="AS161" i="1"/>
  <c r="AS162" i="1" s="1"/>
  <c r="AS68" i="1"/>
  <c r="AS71" i="1" s="1"/>
  <c r="BO232" i="1"/>
  <c r="CW76" i="1"/>
  <c r="CY191" i="1"/>
  <c r="CY83" i="1"/>
  <c r="AY118" i="1" l="1"/>
  <c r="AZ94" i="1"/>
  <c r="AZ117" i="1"/>
  <c r="BA100" i="1"/>
  <c r="BA117" i="1" s="1"/>
  <c r="BA98" i="1"/>
  <c r="BB93" i="1" s="1"/>
  <c r="AY122" i="1"/>
  <c r="AY120" i="1"/>
  <c r="BB95" i="1"/>
  <c r="AX130" i="1"/>
  <c r="AT159" i="1"/>
  <c r="AX125" i="1"/>
  <c r="CX253" i="1"/>
  <c r="CX254" i="1"/>
  <c r="AV145" i="1"/>
  <c r="AV139" i="1"/>
  <c r="AU153" i="1"/>
  <c r="AU154" i="1" s="1"/>
  <c r="AU155" i="1" s="1"/>
  <c r="CX238" i="1"/>
  <c r="CX239" i="1"/>
  <c r="BA99" i="1"/>
  <c r="BA105" i="1"/>
  <c r="BK245" i="1"/>
  <c r="BK243" i="1"/>
  <c r="BP232" i="1"/>
  <c r="CX131" i="1"/>
  <c r="BR226" i="1"/>
  <c r="BR227" i="1" s="1"/>
  <c r="BS222" i="1" s="1"/>
  <c r="BQ230" i="1"/>
  <c r="BQ228" i="1"/>
  <c r="CY265" i="1"/>
  <c r="CY250" i="1"/>
  <c r="CY235" i="1"/>
  <c r="CY220" i="1"/>
  <c r="CY190" i="1"/>
  <c r="CY195" i="1" s="1"/>
  <c r="CY200" i="1"/>
  <c r="CY157" i="1"/>
  <c r="CY174" i="1"/>
  <c r="CY142" i="1"/>
  <c r="CY127" i="1"/>
  <c r="CY112" i="1"/>
  <c r="CY92" i="1"/>
  <c r="CY82" i="1"/>
  <c r="CY87" i="1" s="1"/>
  <c r="CY66" i="1"/>
  <c r="CY68" i="1" s="1"/>
  <c r="CY39" i="1"/>
  <c r="CY45" i="1"/>
  <c r="CY51" i="1" s="1"/>
  <c r="CZ192" i="1"/>
  <c r="CZ84" i="1"/>
  <c r="CZ21" i="1"/>
  <c r="CW69" i="1"/>
  <c r="CW28" i="1"/>
  <c r="BD267" i="1"/>
  <c r="BF256" i="1"/>
  <c r="BF257" i="1" s="1"/>
  <c r="BG252" i="1" s="1"/>
  <c r="BK242" i="1"/>
  <c r="BL237" i="1" s="1"/>
  <c r="CX146" i="1"/>
  <c r="CX184" i="1"/>
  <c r="CZ191" i="1"/>
  <c r="CZ83" i="1"/>
  <c r="BO233" i="1"/>
  <c r="AY119" i="1"/>
  <c r="AZ114" i="1" s="1"/>
  <c r="CX76" i="1"/>
  <c r="CX223" i="1"/>
  <c r="CX224" i="1"/>
  <c r="CX104" i="1"/>
  <c r="CX40" i="1" s="1"/>
  <c r="CX96" i="1"/>
  <c r="BE261" i="1"/>
  <c r="BE262" i="1" s="1"/>
  <c r="BE263" i="1" s="1"/>
  <c r="BX208" i="1"/>
  <c r="BX205" i="1"/>
  <c r="CX116" i="1"/>
  <c r="CW77" i="1"/>
  <c r="AW137" i="1"/>
  <c r="AW135" i="1"/>
  <c r="BJ247" i="1"/>
  <c r="BW217" i="1"/>
  <c r="BW215" i="1"/>
  <c r="BW214" i="1"/>
  <c r="BX210" i="1" s="1"/>
  <c r="CW185" i="1"/>
  <c r="CX212" i="1"/>
  <c r="CX211" i="1"/>
  <c r="CX204" i="1"/>
  <c r="CX177" i="1" s="1"/>
  <c r="CX203" i="1"/>
  <c r="AZ110" i="1"/>
  <c r="BA94" i="1" l="1"/>
  <c r="CY76" i="1"/>
  <c r="AV140" i="1"/>
  <c r="AV148" i="1" s="1"/>
  <c r="BX213" i="1"/>
  <c r="BX207" i="1"/>
  <c r="BS226" i="1"/>
  <c r="BS227" i="1"/>
  <c r="BT222" i="1" s="1"/>
  <c r="AW138" i="1"/>
  <c r="AW147" i="1"/>
  <c r="CY238" i="1"/>
  <c r="CY239" i="1"/>
  <c r="CY253" i="1"/>
  <c r="CY254" i="1"/>
  <c r="BB97" i="1"/>
  <c r="BB98" i="1" s="1"/>
  <c r="BC93" i="1" s="1"/>
  <c r="BL241" i="1"/>
  <c r="CY223" i="1"/>
  <c r="CY224" i="1"/>
  <c r="BF260" i="1"/>
  <c r="BF258" i="1"/>
  <c r="BB100" i="1"/>
  <c r="DA191" i="1"/>
  <c r="DA83" i="1"/>
  <c r="CY104" i="1"/>
  <c r="CY40" i="1" s="1"/>
  <c r="CY96" i="1"/>
  <c r="CY77" i="1" s="1"/>
  <c r="AX133" i="1"/>
  <c r="AX134" i="1" s="1"/>
  <c r="AY129" i="1" s="1"/>
  <c r="BQ240" i="1"/>
  <c r="BQ231" i="1"/>
  <c r="BQ232" i="1" s="1"/>
  <c r="AZ115" i="1"/>
  <c r="BR230" i="1"/>
  <c r="BR228" i="1"/>
  <c r="CX185" i="1"/>
  <c r="CZ250" i="1"/>
  <c r="CZ265" i="1"/>
  <c r="CZ235" i="1"/>
  <c r="CZ220" i="1"/>
  <c r="CZ200" i="1"/>
  <c r="CZ157" i="1"/>
  <c r="CZ190" i="1"/>
  <c r="CZ195" i="1" s="1"/>
  <c r="CZ174" i="1"/>
  <c r="CZ142" i="1"/>
  <c r="CZ127" i="1"/>
  <c r="CZ66" i="1"/>
  <c r="CZ68" i="1" s="1"/>
  <c r="CZ112" i="1"/>
  <c r="CZ92" i="1"/>
  <c r="CZ45" i="1"/>
  <c r="CZ51" i="1" s="1"/>
  <c r="CZ82" i="1"/>
  <c r="CZ87" i="1" s="1"/>
  <c r="CZ39" i="1"/>
  <c r="BP233" i="1"/>
  <c r="CX69" i="1"/>
  <c r="CX28" i="1"/>
  <c r="AT68" i="1"/>
  <c r="AT71" i="1" s="1"/>
  <c r="BW218" i="1"/>
  <c r="BD176" i="1"/>
  <c r="BD179" i="1" s="1"/>
  <c r="BE267" i="1"/>
  <c r="BE268" i="1"/>
  <c r="BE183" i="1" s="1"/>
  <c r="BE187" i="1" s="1"/>
  <c r="BD268" i="1"/>
  <c r="BD183" i="1" s="1"/>
  <c r="BD187" i="1" s="1"/>
  <c r="CY131" i="1"/>
  <c r="BJ248" i="1"/>
  <c r="DA192" i="1"/>
  <c r="DA84" i="1"/>
  <c r="DA21" i="1"/>
  <c r="CY212" i="1"/>
  <c r="CY211" i="1"/>
  <c r="CY203" i="1"/>
  <c r="CY204" i="1"/>
  <c r="CY177" i="1" s="1"/>
  <c r="AU159" i="1"/>
  <c r="AU160" i="1" s="1"/>
  <c r="AU75" i="1" s="1"/>
  <c r="AU79" i="1" s="1"/>
  <c r="BA109" i="1"/>
  <c r="BA107" i="1"/>
  <c r="BA106" i="1"/>
  <c r="BB102" i="1" s="1"/>
  <c r="BG256" i="1"/>
  <c r="BG257" i="1" s="1"/>
  <c r="BH252" i="1" s="1"/>
  <c r="BX206" i="1"/>
  <c r="BY201" i="1" s="1"/>
  <c r="BX225" i="1"/>
  <c r="BX202" i="1"/>
  <c r="CY116" i="1"/>
  <c r="CX77" i="1"/>
  <c r="CY146" i="1"/>
  <c r="CY185" i="1"/>
  <c r="CY184" i="1"/>
  <c r="BK246" i="1"/>
  <c r="BK255" i="1"/>
  <c r="AT160" i="1"/>
  <c r="AT75" i="1" s="1"/>
  <c r="AT79" i="1" s="1"/>
  <c r="AY123" i="1"/>
  <c r="AY124" i="1" s="1"/>
  <c r="AY132" i="1"/>
  <c r="BD269" i="1" l="1"/>
  <c r="BD270" i="1" s="1"/>
  <c r="AV152" i="1"/>
  <c r="AV150" i="1"/>
  <c r="AV149" i="1"/>
  <c r="AW144" i="1" s="1"/>
  <c r="BH256" i="1"/>
  <c r="CZ184" i="1"/>
  <c r="BR240" i="1"/>
  <c r="BR231" i="1"/>
  <c r="BR232" i="1" s="1"/>
  <c r="DA250" i="1"/>
  <c r="DA265" i="1"/>
  <c r="DA220" i="1"/>
  <c r="DA235" i="1"/>
  <c r="DA200" i="1"/>
  <c r="DA157" i="1"/>
  <c r="DA190" i="1"/>
  <c r="DA195" i="1" s="1"/>
  <c r="DA174" i="1"/>
  <c r="DA142" i="1"/>
  <c r="DA127" i="1"/>
  <c r="DA66" i="1"/>
  <c r="DA68" i="1" s="1"/>
  <c r="DA112" i="1"/>
  <c r="DA92" i="1"/>
  <c r="DA45" i="1"/>
  <c r="DA51" i="1" s="1"/>
  <c r="DA82" i="1"/>
  <c r="DA87" i="1" s="1"/>
  <c r="DA39" i="1"/>
  <c r="AZ118" i="1"/>
  <c r="AZ119" i="1" s="1"/>
  <c r="BA114" i="1" s="1"/>
  <c r="AW139" i="1"/>
  <c r="BT226" i="1"/>
  <c r="BT227" i="1" s="1"/>
  <c r="BU222" i="1" s="1"/>
  <c r="BB117" i="1"/>
  <c r="BB94" i="1"/>
  <c r="AY125" i="1"/>
  <c r="CZ96" i="1"/>
  <c r="CZ77" i="1" s="1"/>
  <c r="CZ104" i="1"/>
  <c r="CZ40" i="1" s="1"/>
  <c r="BX217" i="1"/>
  <c r="BX215" i="1"/>
  <c r="AY130" i="1"/>
  <c r="CZ224" i="1"/>
  <c r="CZ223" i="1"/>
  <c r="CZ239" i="1"/>
  <c r="CZ238" i="1"/>
  <c r="BF261" i="1"/>
  <c r="BF262" i="1" s="1"/>
  <c r="BF263" i="1" s="1"/>
  <c r="DB192" i="1"/>
  <c r="DB21" i="1"/>
  <c r="DB84" i="1"/>
  <c r="DB191" i="1"/>
  <c r="DB83" i="1"/>
  <c r="BA110" i="1"/>
  <c r="BS230" i="1"/>
  <c r="BS228" i="1"/>
  <c r="AT161" i="1"/>
  <c r="AT162" i="1" s="1"/>
  <c r="CZ116" i="1"/>
  <c r="BK247" i="1"/>
  <c r="BL245" i="1"/>
  <c r="BL243" i="1"/>
  <c r="BE269" i="1"/>
  <c r="BE270" i="1" s="1"/>
  <c r="BE176" i="1"/>
  <c r="BE179" i="1" s="1"/>
  <c r="CZ131" i="1"/>
  <c r="AX137" i="1"/>
  <c r="AX135" i="1"/>
  <c r="BL242" i="1"/>
  <c r="BM237" i="1" s="1"/>
  <c r="BG260" i="1"/>
  <c r="BG258" i="1"/>
  <c r="BB103" i="1"/>
  <c r="CZ212" i="1"/>
  <c r="CZ211" i="1"/>
  <c r="CZ203" i="1"/>
  <c r="CZ204" i="1"/>
  <c r="CZ177" i="1" s="1"/>
  <c r="CY69" i="1"/>
  <c r="CY28" i="1"/>
  <c r="BC95" i="1"/>
  <c r="BC97" i="1" s="1"/>
  <c r="AU161" i="1"/>
  <c r="AU162" i="1" s="1"/>
  <c r="AU68" i="1"/>
  <c r="AU71" i="1" s="1"/>
  <c r="BQ233" i="1"/>
  <c r="CZ253" i="1"/>
  <c r="CZ254" i="1"/>
  <c r="CZ76" i="1"/>
  <c r="BY208" i="1"/>
  <c r="BY205" i="1"/>
  <c r="BY206" i="1" s="1"/>
  <c r="BZ201" i="1" s="1"/>
  <c r="CZ146" i="1"/>
  <c r="BB105" i="1"/>
  <c r="BB99" i="1"/>
  <c r="BX214" i="1"/>
  <c r="BY210" i="1" s="1"/>
  <c r="AY133" i="1" l="1"/>
  <c r="BB106" i="1"/>
  <c r="BC102" i="1" s="1"/>
  <c r="CZ185" i="1"/>
  <c r="AY137" i="1"/>
  <c r="AY135" i="1"/>
  <c r="AY134" i="1"/>
  <c r="AZ129" i="1" s="1"/>
  <c r="BC100" i="1"/>
  <c r="BC94" i="1" s="1"/>
  <c r="AZ130" i="1"/>
  <c r="BC99" i="1"/>
  <c r="BC105" i="1"/>
  <c r="BC98" i="1"/>
  <c r="BD93" i="1" s="1"/>
  <c r="BZ205" i="1"/>
  <c r="BZ206" i="1" s="1"/>
  <c r="CA201" i="1" s="1"/>
  <c r="BZ208" i="1"/>
  <c r="DA253" i="1"/>
  <c r="DA254" i="1"/>
  <c r="DA146" i="1"/>
  <c r="BC103" i="1"/>
  <c r="BH260" i="1"/>
  <c r="BH258" i="1"/>
  <c r="DA116" i="1"/>
  <c r="AW140" i="1"/>
  <c r="DA185" i="1"/>
  <c r="DA184" i="1"/>
  <c r="AV153" i="1"/>
  <c r="AV154" i="1" s="1"/>
  <c r="AV155" i="1" s="1"/>
  <c r="BR233" i="1"/>
  <c r="BF267" i="1"/>
  <c r="BA115" i="1"/>
  <c r="BA118" i="1" s="1"/>
  <c r="BK248" i="1"/>
  <c r="DA96" i="1"/>
  <c r="DA77" i="1" s="1"/>
  <c r="DA104" i="1"/>
  <c r="DA40" i="1" s="1"/>
  <c r="BG261" i="1"/>
  <c r="DA76" i="1"/>
  <c r="BU226" i="1"/>
  <c r="BU227" i="1"/>
  <c r="BV222" i="1" s="1"/>
  <c r="DA131" i="1"/>
  <c r="AX138" i="1"/>
  <c r="AX139" i="1" s="1"/>
  <c r="AX147" i="1"/>
  <c r="BS231" i="1"/>
  <c r="BS240" i="1"/>
  <c r="CZ69" i="1"/>
  <c r="CZ28" i="1"/>
  <c r="BY225" i="1"/>
  <c r="BY202" i="1"/>
  <c r="AY138" i="1"/>
  <c r="AY139" i="1"/>
  <c r="AY147" i="1"/>
  <c r="BL246" i="1"/>
  <c r="BL255" i="1"/>
  <c r="DA211" i="1"/>
  <c r="DA212" i="1"/>
  <c r="DA203" i="1"/>
  <c r="DA204" i="1"/>
  <c r="DA177" i="1" s="1"/>
  <c r="BH257" i="1"/>
  <c r="BI252" i="1" s="1"/>
  <c r="BM241" i="1"/>
  <c r="BM242" i="1" s="1"/>
  <c r="BN237" i="1" s="1"/>
  <c r="BY214" i="1"/>
  <c r="BZ210" i="1" s="1"/>
  <c r="AW145" i="1"/>
  <c r="BT230" i="1"/>
  <c r="BT228" i="1"/>
  <c r="BB107" i="1"/>
  <c r="BB109" i="1"/>
  <c r="DC191" i="1"/>
  <c r="DC83" i="1"/>
  <c r="AZ122" i="1"/>
  <c r="AZ120" i="1"/>
  <c r="DA239" i="1"/>
  <c r="DA238" i="1"/>
  <c r="BX218" i="1"/>
  <c r="DB250" i="1"/>
  <c r="DB265" i="1"/>
  <c r="DB235" i="1"/>
  <c r="DB220" i="1"/>
  <c r="DB200" i="1"/>
  <c r="DB174" i="1"/>
  <c r="DB190" i="1"/>
  <c r="DB195" i="1" s="1"/>
  <c r="DB157" i="1"/>
  <c r="DB142" i="1"/>
  <c r="DB127" i="1"/>
  <c r="DB66" i="1"/>
  <c r="DB68" i="1" s="1"/>
  <c r="DB112" i="1"/>
  <c r="DB45" i="1"/>
  <c r="DB51" i="1" s="1"/>
  <c r="DB82" i="1"/>
  <c r="DB87" i="1" s="1"/>
  <c r="DB92" i="1"/>
  <c r="DB39" i="1"/>
  <c r="DC192" i="1"/>
  <c r="DC84" i="1"/>
  <c r="DC21" i="1"/>
  <c r="BY213" i="1"/>
  <c r="BY207" i="1"/>
  <c r="DA224" i="1"/>
  <c r="DA223" i="1"/>
  <c r="AW148" i="1" l="1"/>
  <c r="AW149" i="1" s="1"/>
  <c r="AX144" i="1" s="1"/>
  <c r="BC117" i="1"/>
  <c r="AX140" i="1"/>
  <c r="BA122" i="1"/>
  <c r="BA120" i="1"/>
  <c r="BA119" i="1"/>
  <c r="BB114" i="1" s="1"/>
  <c r="BN241" i="1"/>
  <c r="BN242" i="1" s="1"/>
  <c r="BO237" i="1" s="1"/>
  <c r="BZ225" i="1"/>
  <c r="BZ202" i="1"/>
  <c r="DD191" i="1"/>
  <c r="DD83" i="1"/>
  <c r="BF176" i="1"/>
  <c r="BF179" i="1" s="1"/>
  <c r="BD95" i="1"/>
  <c r="BD100" i="1" s="1"/>
  <c r="DC265" i="1"/>
  <c r="DC250" i="1"/>
  <c r="DC235" i="1"/>
  <c r="DC220" i="1"/>
  <c r="DC174" i="1"/>
  <c r="DC190" i="1"/>
  <c r="DC195" i="1" s="1"/>
  <c r="DC200" i="1"/>
  <c r="DC157" i="1"/>
  <c r="DC142" i="1"/>
  <c r="DC127" i="1"/>
  <c r="DC112" i="1"/>
  <c r="DC82" i="1"/>
  <c r="DC87" i="1" s="1"/>
  <c r="DC66" i="1"/>
  <c r="DC68" i="1" s="1"/>
  <c r="DC45" i="1"/>
  <c r="DC51" i="1" s="1"/>
  <c r="DC39" i="1"/>
  <c r="DC92" i="1"/>
  <c r="DD192" i="1"/>
  <c r="DD84" i="1"/>
  <c r="DD21" i="1"/>
  <c r="DB104" i="1"/>
  <c r="DB40" i="1" s="1"/>
  <c r="DB96" i="1"/>
  <c r="BZ213" i="1"/>
  <c r="BZ214" i="1" s="1"/>
  <c r="CA210" i="1" s="1"/>
  <c r="BZ207" i="1"/>
  <c r="DB239" i="1"/>
  <c r="DB238" i="1"/>
  <c r="AY140" i="1"/>
  <c r="AZ132" i="1"/>
  <c r="AZ123" i="1"/>
  <c r="AZ124" i="1" s="1"/>
  <c r="DB211" i="1"/>
  <c r="DB203" i="1"/>
  <c r="DB212" i="1"/>
  <c r="DB204" i="1"/>
  <c r="DB177" i="1" s="1"/>
  <c r="DA69" i="1"/>
  <c r="DA28" i="1"/>
  <c r="BM245" i="1"/>
  <c r="BM243" i="1"/>
  <c r="BH261" i="1"/>
  <c r="BH262" i="1" s="1"/>
  <c r="BH263" i="1" s="1"/>
  <c r="DB224" i="1"/>
  <c r="DB223" i="1"/>
  <c r="BL247" i="1"/>
  <c r="BF268" i="1"/>
  <c r="BF183" i="1" s="1"/>
  <c r="BF187" i="1" s="1"/>
  <c r="DB116" i="1"/>
  <c r="DB76" i="1"/>
  <c r="BG262" i="1"/>
  <c r="BG263" i="1" s="1"/>
  <c r="DB131" i="1"/>
  <c r="BY217" i="1"/>
  <c r="BY215" i="1"/>
  <c r="BV226" i="1"/>
  <c r="BV227" i="1" s="1"/>
  <c r="BW222" i="1" s="1"/>
  <c r="AV159" i="1"/>
  <c r="AV160" i="1" s="1"/>
  <c r="AV75" i="1" s="1"/>
  <c r="AV79" i="1" s="1"/>
  <c r="CA205" i="1"/>
  <c r="CA206" i="1" s="1"/>
  <c r="CB201" i="1" s="1"/>
  <c r="CA208" i="1"/>
  <c r="DB184" i="1"/>
  <c r="BI256" i="1"/>
  <c r="BI257" i="1" s="1"/>
  <c r="BJ252" i="1" s="1"/>
  <c r="BC109" i="1"/>
  <c r="BC107" i="1"/>
  <c r="DB253" i="1"/>
  <c r="DB254" i="1"/>
  <c r="BS232" i="1"/>
  <c r="BB110" i="1"/>
  <c r="BC106" i="1"/>
  <c r="BD102" i="1" s="1"/>
  <c r="DB146" i="1"/>
  <c r="BT231" i="1"/>
  <c r="BT240" i="1"/>
  <c r="BU230" i="1"/>
  <c r="BU228" i="1"/>
  <c r="BD97" i="1" l="1"/>
  <c r="BD98" i="1" s="1"/>
  <c r="BE93" i="1" s="1"/>
  <c r="AW150" i="1"/>
  <c r="AW152" i="1"/>
  <c r="DB185" i="1"/>
  <c r="BH267" i="1"/>
  <c r="CB208" i="1"/>
  <c r="CB205" i="1"/>
  <c r="CB206" i="1" s="1"/>
  <c r="CC201" i="1" s="1"/>
  <c r="AZ125" i="1"/>
  <c r="AZ133" i="1" s="1"/>
  <c r="DB69" i="1"/>
  <c r="DB28" i="1"/>
  <c r="DE192" i="1"/>
  <c r="DE84" i="1"/>
  <c r="DE21" i="1"/>
  <c r="DE191" i="1"/>
  <c r="DE83" i="1"/>
  <c r="DC76" i="1"/>
  <c r="DC184" i="1"/>
  <c r="BE95" i="1"/>
  <c r="BE100" i="1" s="1"/>
  <c r="BB115" i="1"/>
  <c r="BB118" i="1" s="1"/>
  <c r="BU240" i="1"/>
  <c r="BU231" i="1"/>
  <c r="DC116" i="1"/>
  <c r="BD105" i="1"/>
  <c r="BD99" i="1"/>
  <c r="AV161" i="1"/>
  <c r="AV162" i="1" s="1"/>
  <c r="AV68" i="1"/>
  <c r="AV71" i="1" s="1"/>
  <c r="DC223" i="1"/>
  <c r="DC224" i="1"/>
  <c r="DC238" i="1"/>
  <c r="DC239" i="1"/>
  <c r="BW226" i="1"/>
  <c r="BC110" i="1"/>
  <c r="DC131" i="1"/>
  <c r="BD117" i="1"/>
  <c r="BD94" i="1"/>
  <c r="BA132" i="1"/>
  <c r="BA123" i="1"/>
  <c r="BA124" i="1" s="1"/>
  <c r="BL248" i="1"/>
  <c r="BV230" i="1"/>
  <c r="BV228" i="1"/>
  <c r="BG267" i="1"/>
  <c r="BG268" i="1" s="1"/>
  <c r="BG183" i="1" s="1"/>
  <c r="BG187" i="1" s="1"/>
  <c r="CA225" i="1"/>
  <c r="CA202" i="1"/>
  <c r="DC146" i="1"/>
  <c r="BO241" i="1"/>
  <c r="DC96" i="1"/>
  <c r="DC104" i="1"/>
  <c r="DC40" i="1" s="1"/>
  <c r="DC254" i="1"/>
  <c r="DC253" i="1"/>
  <c r="BY218" i="1"/>
  <c r="BT232" i="1"/>
  <c r="BD103" i="1"/>
  <c r="BN245" i="1"/>
  <c r="BN243" i="1"/>
  <c r="BJ256" i="1"/>
  <c r="AW153" i="1"/>
  <c r="BM246" i="1"/>
  <c r="BM247" i="1"/>
  <c r="BM255" i="1"/>
  <c r="BS233" i="1"/>
  <c r="BZ215" i="1"/>
  <c r="BZ217" i="1"/>
  <c r="BI260" i="1"/>
  <c r="BI258" i="1"/>
  <c r="CA213" i="1"/>
  <c r="CA207" i="1"/>
  <c r="DB77" i="1"/>
  <c r="DD265" i="1"/>
  <c r="DD250" i="1"/>
  <c r="DD235" i="1"/>
  <c r="DD220" i="1"/>
  <c r="DD174" i="1"/>
  <c r="DD190" i="1"/>
  <c r="DD195" i="1" s="1"/>
  <c r="DD200" i="1"/>
  <c r="DD157" i="1"/>
  <c r="DD142" i="1"/>
  <c r="DD112" i="1"/>
  <c r="DD127" i="1"/>
  <c r="DD92" i="1"/>
  <c r="DD66" i="1"/>
  <c r="DD68" i="1" s="1"/>
  <c r="DD45" i="1"/>
  <c r="DD51" i="1" s="1"/>
  <c r="DD82" i="1"/>
  <c r="DD87" i="1" s="1"/>
  <c r="DD39" i="1"/>
  <c r="DC211" i="1"/>
  <c r="DC203" i="1"/>
  <c r="DC204" i="1"/>
  <c r="DC177" i="1" s="1"/>
  <c r="DC212" i="1"/>
  <c r="BF269" i="1"/>
  <c r="BF270" i="1" s="1"/>
  <c r="AX145" i="1"/>
  <c r="BD106" i="1" l="1"/>
  <c r="BE102" i="1" s="1"/>
  <c r="AZ137" i="1"/>
  <c r="AZ147" i="1" s="1"/>
  <c r="AZ135" i="1"/>
  <c r="AZ134" i="1"/>
  <c r="BA129" i="1" s="1"/>
  <c r="AX148" i="1"/>
  <c r="AX152" i="1" s="1"/>
  <c r="DC185" i="1"/>
  <c r="BE103" i="1"/>
  <c r="BE117" i="1"/>
  <c r="BE94" i="1"/>
  <c r="BA125" i="1"/>
  <c r="BJ260" i="1"/>
  <c r="BJ258" i="1"/>
  <c r="CA217" i="1"/>
  <c r="CA215" i="1"/>
  <c r="DD184" i="1"/>
  <c r="BB122" i="1"/>
  <c r="BB120" i="1"/>
  <c r="DF192" i="1"/>
  <c r="DF84" i="1"/>
  <c r="DF21" i="1"/>
  <c r="BD109" i="1"/>
  <c r="BD107" i="1"/>
  <c r="BN246" i="1"/>
  <c r="BN255" i="1"/>
  <c r="BB119" i="1"/>
  <c r="BC114" i="1" s="1"/>
  <c r="AZ138" i="1"/>
  <c r="AZ139" i="1" s="1"/>
  <c r="CB225" i="1"/>
  <c r="CB202" i="1"/>
  <c r="BI261" i="1"/>
  <c r="BI262" i="1" s="1"/>
  <c r="BI263" i="1" s="1"/>
  <c r="CB213" i="1"/>
  <c r="CB207" i="1"/>
  <c r="BG269" i="1"/>
  <c r="BG270" i="1" s="1"/>
  <c r="BG176" i="1"/>
  <c r="BG179" i="1" s="1"/>
  <c r="BM248" i="1"/>
  <c r="DC69" i="1"/>
  <c r="DC28" i="1"/>
  <c r="BO245" i="1"/>
  <c r="BO243" i="1"/>
  <c r="BE97" i="1"/>
  <c r="BE98" i="1" s="1"/>
  <c r="BF93" i="1" s="1"/>
  <c r="DC77" i="1"/>
  <c r="DD146" i="1"/>
  <c r="DF191" i="1"/>
  <c r="DF83" i="1"/>
  <c r="DD204" i="1"/>
  <c r="DD177" i="1" s="1"/>
  <c r="DD211" i="1"/>
  <c r="DD203" i="1"/>
  <c r="DD212" i="1"/>
  <c r="DD76" i="1"/>
  <c r="DD238" i="1"/>
  <c r="DD239" i="1"/>
  <c r="BZ218" i="1"/>
  <c r="DD131" i="1"/>
  <c r="BO242" i="1"/>
  <c r="BP237" i="1" s="1"/>
  <c r="BW230" i="1"/>
  <c r="BW228" i="1"/>
  <c r="BH176" i="1"/>
  <c r="BH179" i="1" s="1"/>
  <c r="CC205" i="1"/>
  <c r="CC206" i="1" s="1"/>
  <c r="CD201" i="1" s="1"/>
  <c r="CC208" i="1"/>
  <c r="BJ257" i="1"/>
  <c r="BK252" i="1" s="1"/>
  <c r="BU232" i="1"/>
  <c r="DE265" i="1"/>
  <c r="DE250" i="1"/>
  <c r="DE235" i="1"/>
  <c r="DE220" i="1"/>
  <c r="DE174" i="1"/>
  <c r="DE190" i="1"/>
  <c r="DE195" i="1" s="1"/>
  <c r="DE200" i="1"/>
  <c r="DE142" i="1"/>
  <c r="DE157" i="1"/>
  <c r="DE112" i="1"/>
  <c r="DE127" i="1"/>
  <c r="DE82" i="1"/>
  <c r="DE87" i="1" s="1"/>
  <c r="DE92" i="1"/>
  <c r="DE66" i="1"/>
  <c r="DE68" i="1" s="1"/>
  <c r="DE45" i="1"/>
  <c r="DE51" i="1" s="1"/>
  <c r="DE39" i="1"/>
  <c r="DD223" i="1"/>
  <c r="DD224" i="1"/>
  <c r="BA130" i="1"/>
  <c r="DD254" i="1"/>
  <c r="DD253" i="1"/>
  <c r="BV231" i="1"/>
  <c r="BV232" i="1" s="1"/>
  <c r="BV240" i="1"/>
  <c r="DD96" i="1"/>
  <c r="DD77" i="1" s="1"/>
  <c r="DD104" i="1"/>
  <c r="DD40" i="1" s="1"/>
  <c r="DD116" i="1"/>
  <c r="AW154" i="1"/>
  <c r="AW155" i="1" s="1"/>
  <c r="BT233" i="1"/>
  <c r="BW227" i="1"/>
  <c r="BX222" i="1" s="1"/>
  <c r="CA214" i="1"/>
  <c r="CB210" i="1" s="1"/>
  <c r="BH268" i="1"/>
  <c r="BH183" i="1" s="1"/>
  <c r="BH187" i="1" s="1"/>
  <c r="CB214" i="1" l="1"/>
  <c r="CC210" i="1" s="1"/>
  <c r="AX149" i="1"/>
  <c r="AY144" i="1" s="1"/>
  <c r="AX150" i="1"/>
  <c r="BI267" i="1"/>
  <c r="BI268" i="1" s="1"/>
  <c r="BI183" i="1" s="1"/>
  <c r="BI187" i="1" s="1"/>
  <c r="AZ140" i="1"/>
  <c r="DG192" i="1"/>
  <c r="DG84" i="1"/>
  <c r="DG21" i="1"/>
  <c r="DD185" i="1"/>
  <c r="AX153" i="1"/>
  <c r="AX154" i="1" s="1"/>
  <c r="AX155" i="1" s="1"/>
  <c r="DE116" i="1"/>
  <c r="CA218" i="1"/>
  <c r="DE146" i="1"/>
  <c r="BC115" i="1"/>
  <c r="BN247" i="1"/>
  <c r="BV233" i="1"/>
  <c r="DG191" i="1"/>
  <c r="DG83" i="1"/>
  <c r="DE184" i="1"/>
  <c r="BF95" i="1"/>
  <c r="BF97" i="1" s="1"/>
  <c r="BW240" i="1"/>
  <c r="BW231" i="1"/>
  <c r="BW232" i="1" s="1"/>
  <c r="AW159" i="1"/>
  <c r="AW160" i="1" s="1"/>
  <c r="AW75" i="1" s="1"/>
  <c r="AW79" i="1" s="1"/>
  <c r="DE96" i="1"/>
  <c r="DE77" i="1" s="1"/>
  <c r="DE104" i="1"/>
  <c r="DE40" i="1" s="1"/>
  <c r="BP241" i="1"/>
  <c r="BP242" i="1" s="1"/>
  <c r="BQ237" i="1" s="1"/>
  <c r="BE105" i="1"/>
  <c r="BE99" i="1"/>
  <c r="CB217" i="1"/>
  <c r="CB215" i="1"/>
  <c r="BD110" i="1"/>
  <c r="DE204" i="1"/>
  <c r="DE177" i="1" s="1"/>
  <c r="DE203" i="1"/>
  <c r="DE212" i="1"/>
  <c r="DE211" i="1"/>
  <c r="BJ261" i="1"/>
  <c r="BB132" i="1"/>
  <c r="BB123" i="1"/>
  <c r="BB124" i="1" s="1"/>
  <c r="BX226" i="1"/>
  <c r="BH269" i="1"/>
  <c r="BH270" i="1" s="1"/>
  <c r="DE223" i="1"/>
  <c r="DE224" i="1"/>
  <c r="BA133" i="1"/>
  <c r="BA134" i="1" s="1"/>
  <c r="BB129" i="1" s="1"/>
  <c r="DE238" i="1"/>
  <c r="DE239" i="1"/>
  <c r="DE254" i="1"/>
  <c r="DE253" i="1"/>
  <c r="BU233" i="1"/>
  <c r="CD205" i="1"/>
  <c r="CD206" i="1" s="1"/>
  <c r="CE201" i="1" s="1"/>
  <c r="CD208" i="1"/>
  <c r="CC225" i="1"/>
  <c r="CC202" i="1"/>
  <c r="CC207" i="1"/>
  <c r="CC213" i="1"/>
  <c r="DD69" i="1"/>
  <c r="DD28" i="1"/>
  <c r="DE76" i="1"/>
  <c r="DE131" i="1"/>
  <c r="BK256" i="1"/>
  <c r="BK257" i="1" s="1"/>
  <c r="BL252" i="1" s="1"/>
  <c r="BO246" i="1"/>
  <c r="BO247" i="1" s="1"/>
  <c r="BO255" i="1"/>
  <c r="DF265" i="1"/>
  <c r="DF250" i="1"/>
  <c r="DF235" i="1"/>
  <c r="DF220" i="1"/>
  <c r="DF174" i="1"/>
  <c r="DF190" i="1"/>
  <c r="DF195" i="1" s="1"/>
  <c r="DF200" i="1"/>
  <c r="DF142" i="1"/>
  <c r="DF157" i="1"/>
  <c r="DF112" i="1"/>
  <c r="DF82" i="1"/>
  <c r="DF87" i="1" s="1"/>
  <c r="DF92" i="1"/>
  <c r="DF127" i="1"/>
  <c r="DF66" i="1"/>
  <c r="DF68" i="1" s="1"/>
  <c r="DF45" i="1"/>
  <c r="DF51" i="1" s="1"/>
  <c r="DF39" i="1"/>
  <c r="BF100" i="1" l="1"/>
  <c r="AY145" i="1"/>
  <c r="CE205" i="1"/>
  <c r="CE208" i="1"/>
  <c r="BB125" i="1"/>
  <c r="BQ241" i="1"/>
  <c r="DF254" i="1"/>
  <c r="DF253" i="1"/>
  <c r="CD225" i="1"/>
  <c r="CD202" i="1"/>
  <c r="DF104" i="1"/>
  <c r="DF40" i="1" s="1"/>
  <c r="DF96" i="1"/>
  <c r="DF116" i="1"/>
  <c r="BL256" i="1"/>
  <c r="DF131" i="1"/>
  <c r="BF117" i="1"/>
  <c r="BF94" i="1"/>
  <c r="BE107" i="1"/>
  <c r="BE109" i="1"/>
  <c r="AX159" i="1"/>
  <c r="AX160" i="1" s="1"/>
  <c r="AX75" i="1" s="1"/>
  <c r="AX79" i="1" s="1"/>
  <c r="BE106" i="1"/>
  <c r="BF102" i="1" s="1"/>
  <c r="DG265" i="1"/>
  <c r="DG250" i="1"/>
  <c r="DG235" i="1"/>
  <c r="DG220" i="1"/>
  <c r="DG174" i="1"/>
  <c r="DG190" i="1"/>
  <c r="DG195" i="1" s="1"/>
  <c r="DG200" i="1"/>
  <c r="DG142" i="1"/>
  <c r="DG157" i="1"/>
  <c r="DG112" i="1"/>
  <c r="DG127" i="1"/>
  <c r="DG82" i="1"/>
  <c r="DG87" i="1" s="1"/>
  <c r="DG92" i="1"/>
  <c r="DG66" i="1"/>
  <c r="DG68" i="1" s="1"/>
  <c r="DG39" i="1"/>
  <c r="DG45" i="1"/>
  <c r="DG51" i="1" s="1"/>
  <c r="BJ262" i="1"/>
  <c r="BJ263" i="1" s="1"/>
  <c r="BF105" i="1"/>
  <c r="BF99" i="1"/>
  <c r="BB130" i="1"/>
  <c r="BB133" i="1" s="1"/>
  <c r="DH191" i="1"/>
  <c r="DH83" i="1"/>
  <c r="CB218" i="1"/>
  <c r="BF98" i="1"/>
  <c r="BG93" i="1" s="1"/>
  <c r="DF146" i="1"/>
  <c r="BK260" i="1"/>
  <c r="BK258" i="1"/>
  <c r="DF184" i="1"/>
  <c r="BN248" i="1"/>
  <c r="BI269" i="1"/>
  <c r="BI270" i="1" s="1"/>
  <c r="BI176" i="1"/>
  <c r="BI179" i="1" s="1"/>
  <c r="DF76" i="1"/>
  <c r="DH192" i="1"/>
  <c r="DH84" i="1"/>
  <c r="DH21" i="1"/>
  <c r="BO248" i="1"/>
  <c r="BX230" i="1"/>
  <c r="BX228" i="1"/>
  <c r="BX227" i="1"/>
  <c r="BY222" i="1" s="1"/>
  <c r="DF204" i="1"/>
  <c r="DF177" i="1" s="1"/>
  <c r="DF203" i="1"/>
  <c r="DF212" i="1"/>
  <c r="DF211" i="1"/>
  <c r="CC217" i="1"/>
  <c r="CC215" i="1"/>
  <c r="DF224" i="1"/>
  <c r="DF223" i="1"/>
  <c r="BC118" i="1"/>
  <c r="BC119" i="1" s="1"/>
  <c r="BD114" i="1" s="1"/>
  <c r="DE69" i="1"/>
  <c r="DE28" i="1"/>
  <c r="BW233" i="1"/>
  <c r="CD213" i="1"/>
  <c r="CD207" i="1"/>
  <c r="BA137" i="1"/>
  <c r="BA135" i="1"/>
  <c r="AW161" i="1"/>
  <c r="AW162" i="1" s="1"/>
  <c r="AW68" i="1"/>
  <c r="AW71" i="1" s="1"/>
  <c r="BP245" i="1"/>
  <c r="BP243" i="1"/>
  <c r="DF239" i="1"/>
  <c r="DF238" i="1"/>
  <c r="DE185" i="1"/>
  <c r="CC214" i="1"/>
  <c r="CD210" i="1" s="1"/>
  <c r="DF185" i="1" l="1"/>
  <c r="AY148" i="1"/>
  <c r="AY149" i="1" s="1"/>
  <c r="AZ144" i="1" s="1"/>
  <c r="BB137" i="1"/>
  <c r="BB135" i="1"/>
  <c r="DF69" i="1"/>
  <c r="DF28" i="1"/>
  <c r="BF103" i="1"/>
  <c r="BF106" i="1" s="1"/>
  <c r="BG102" i="1" s="1"/>
  <c r="BX240" i="1"/>
  <c r="BX231" i="1"/>
  <c r="BX232" i="1"/>
  <c r="BB134" i="1"/>
  <c r="BC129" i="1" s="1"/>
  <c r="BY226" i="1"/>
  <c r="DG116" i="1"/>
  <c r="DG224" i="1"/>
  <c r="DG223" i="1"/>
  <c r="BD115" i="1"/>
  <c r="BE110" i="1"/>
  <c r="DG203" i="1"/>
  <c r="DG212" i="1"/>
  <c r="DG211" i="1"/>
  <c r="DG204" i="1"/>
  <c r="DG177" i="1" s="1"/>
  <c r="DF77" i="1"/>
  <c r="DG239" i="1"/>
  <c r="DG238" i="1"/>
  <c r="BQ245" i="1"/>
  <c r="BQ243" i="1"/>
  <c r="CE225" i="1"/>
  <c r="CE202" i="1"/>
  <c r="CD217" i="1"/>
  <c r="CD215" i="1"/>
  <c r="DG131" i="1"/>
  <c r="DG146" i="1"/>
  <c r="DI191" i="1"/>
  <c r="DI83" i="1"/>
  <c r="DG184" i="1"/>
  <c r="BA138" i="1"/>
  <c r="BA139" i="1" s="1"/>
  <c r="BA147" i="1"/>
  <c r="BJ267" i="1"/>
  <c r="BJ268" i="1" s="1"/>
  <c r="BJ183" i="1" s="1"/>
  <c r="BJ187" i="1" s="1"/>
  <c r="DH265" i="1"/>
  <c r="DH235" i="1"/>
  <c r="DH250" i="1"/>
  <c r="DH220" i="1"/>
  <c r="DH174" i="1"/>
  <c r="DH190" i="1"/>
  <c r="DH195" i="1" s="1"/>
  <c r="DH157" i="1"/>
  <c r="DH200" i="1"/>
  <c r="DH142" i="1"/>
  <c r="DH127" i="1"/>
  <c r="DH112" i="1"/>
  <c r="DH92" i="1"/>
  <c r="DH39" i="1"/>
  <c r="DH82" i="1"/>
  <c r="DH87" i="1" s="1"/>
  <c r="DH66" i="1"/>
  <c r="DH68" i="1" s="1"/>
  <c r="DH45" i="1"/>
  <c r="DH51" i="1" s="1"/>
  <c r="DG76" i="1"/>
  <c r="DG254" i="1"/>
  <c r="DG253" i="1"/>
  <c r="BQ242" i="1"/>
  <c r="BR237" i="1" s="1"/>
  <c r="CE213" i="1"/>
  <c r="CE207" i="1"/>
  <c r="BG95" i="1"/>
  <c r="BG100" i="1" s="1"/>
  <c r="BL260" i="1"/>
  <c r="BL258" i="1"/>
  <c r="AX161" i="1"/>
  <c r="AX162" i="1" s="1"/>
  <c r="AX68" i="1"/>
  <c r="AX71" i="1" s="1"/>
  <c r="BP246" i="1"/>
  <c r="BP247" i="1" s="1"/>
  <c r="BP255" i="1"/>
  <c r="BC122" i="1"/>
  <c r="BC120" i="1"/>
  <c r="BF109" i="1"/>
  <c r="BF107" i="1"/>
  <c r="CC218" i="1"/>
  <c r="CD214" i="1"/>
  <c r="CE210" i="1" s="1"/>
  <c r="DI192" i="1"/>
  <c r="DI84" i="1"/>
  <c r="DI21" i="1"/>
  <c r="BK261" i="1"/>
  <c r="DG104" i="1"/>
  <c r="DG40" i="1" s="1"/>
  <c r="DG96" i="1"/>
  <c r="DG77" i="1" s="1"/>
  <c r="BL257" i="1"/>
  <c r="BM252" i="1" s="1"/>
  <c r="CE206" i="1"/>
  <c r="CF201" i="1" s="1"/>
  <c r="CE214" i="1" l="1"/>
  <c r="CF210" i="1" s="1"/>
  <c r="BG97" i="1"/>
  <c r="BG98" i="1" s="1"/>
  <c r="BH93" i="1" s="1"/>
  <c r="BH95" i="1" s="1"/>
  <c r="AZ145" i="1"/>
  <c r="AZ148" i="1" s="1"/>
  <c r="AY152" i="1"/>
  <c r="AY150" i="1"/>
  <c r="DG185" i="1"/>
  <c r="BG117" i="1"/>
  <c r="BG94" i="1"/>
  <c r="BG103" i="1"/>
  <c r="BL261" i="1"/>
  <c r="BL262" i="1" s="1"/>
  <c r="BL263" i="1" s="1"/>
  <c r="BM256" i="1"/>
  <c r="DJ192" i="1"/>
  <c r="DJ84" i="1"/>
  <c r="DJ21" i="1"/>
  <c r="BY230" i="1"/>
  <c r="BY228" i="1"/>
  <c r="BF110" i="1"/>
  <c r="DH212" i="1"/>
  <c r="DH211" i="1"/>
  <c r="DH204" i="1"/>
  <c r="DH177" i="1" s="1"/>
  <c r="DH203" i="1"/>
  <c r="BG105" i="1"/>
  <c r="CD218" i="1"/>
  <c r="CF208" i="1"/>
  <c r="CF205" i="1"/>
  <c r="BC130" i="1"/>
  <c r="BA140" i="1"/>
  <c r="DH184" i="1"/>
  <c r="DH104" i="1"/>
  <c r="DH40" i="1" s="1"/>
  <c r="DH96" i="1"/>
  <c r="BP248" i="1"/>
  <c r="CE217" i="1"/>
  <c r="CE215" i="1"/>
  <c r="DH76" i="1"/>
  <c r="DH116" i="1"/>
  <c r="BJ269" i="1"/>
  <c r="BJ270" i="1" s="1"/>
  <c r="BJ176" i="1"/>
  <c r="BJ179" i="1" s="1"/>
  <c r="DJ191" i="1"/>
  <c r="DJ83" i="1"/>
  <c r="BD118" i="1"/>
  <c r="BD119" i="1" s="1"/>
  <c r="BE114" i="1" s="1"/>
  <c r="BB138" i="1"/>
  <c r="BB147" i="1"/>
  <c r="BK262" i="1"/>
  <c r="BK263" i="1" s="1"/>
  <c r="DI265" i="1"/>
  <c r="DI235" i="1"/>
  <c r="DI250" i="1"/>
  <c r="DI190" i="1"/>
  <c r="DI195" i="1" s="1"/>
  <c r="DI220" i="1"/>
  <c r="DI157" i="1"/>
  <c r="DI200" i="1"/>
  <c r="DI174" i="1"/>
  <c r="DI142" i="1"/>
  <c r="DI127" i="1"/>
  <c r="DI112" i="1"/>
  <c r="DI39" i="1"/>
  <c r="DI45" i="1"/>
  <c r="DI51" i="1" s="1"/>
  <c r="DI92" i="1"/>
  <c r="DI82" i="1"/>
  <c r="DI87" i="1" s="1"/>
  <c r="DI66" i="1"/>
  <c r="DI68" i="1" s="1"/>
  <c r="BY227" i="1"/>
  <c r="BZ222" i="1" s="1"/>
  <c r="DH253" i="1"/>
  <c r="DH254" i="1"/>
  <c r="BC132" i="1"/>
  <c r="BC123" i="1"/>
  <c r="BC124" i="1" s="1"/>
  <c r="BQ246" i="1"/>
  <c r="BQ247" i="1"/>
  <c r="BQ255" i="1"/>
  <c r="DG69" i="1"/>
  <c r="DG28" i="1"/>
  <c r="BR241" i="1"/>
  <c r="DH131" i="1"/>
  <c r="BX233" i="1"/>
  <c r="DH224" i="1"/>
  <c r="DH223" i="1"/>
  <c r="DH239" i="1"/>
  <c r="DH238" i="1"/>
  <c r="DH146" i="1"/>
  <c r="BG99" i="1" l="1"/>
  <c r="BG106" i="1"/>
  <c r="BH102" i="1" s="1"/>
  <c r="AY153" i="1"/>
  <c r="AY154" i="1" s="1"/>
  <c r="AY155" i="1" s="1"/>
  <c r="AZ150" i="1"/>
  <c r="AZ152" i="1"/>
  <c r="AZ149" i="1"/>
  <c r="BA144" i="1" s="1"/>
  <c r="BA145" i="1" s="1"/>
  <c r="BH97" i="1"/>
  <c r="BH98" i="1" s="1"/>
  <c r="BI93" i="1" s="1"/>
  <c r="BH103" i="1"/>
  <c r="BE115" i="1"/>
  <c r="BE118" i="1" s="1"/>
  <c r="BE119" i="1" s="1"/>
  <c r="BF114" i="1" s="1"/>
  <c r="DK191" i="1"/>
  <c r="DK83" i="1"/>
  <c r="BM260" i="1"/>
  <c r="BM258" i="1"/>
  <c r="BH100" i="1"/>
  <c r="DI76" i="1"/>
  <c r="DI131" i="1"/>
  <c r="DI184" i="1"/>
  <c r="DH69" i="1"/>
  <c r="DH28" i="1"/>
  <c r="BQ248" i="1"/>
  <c r="BL267" i="1"/>
  <c r="BL268" i="1" s="1"/>
  <c r="BL183" i="1" s="1"/>
  <c r="BL187" i="1" s="1"/>
  <c r="BY240" i="1"/>
  <c r="BY231" i="1"/>
  <c r="BY232" i="1" s="1"/>
  <c r="DJ265" i="1"/>
  <c r="DJ250" i="1"/>
  <c r="DJ200" i="1"/>
  <c r="DJ220" i="1"/>
  <c r="DJ235" i="1"/>
  <c r="DJ190" i="1"/>
  <c r="DJ195" i="1" s="1"/>
  <c r="DJ157" i="1"/>
  <c r="DJ174" i="1"/>
  <c r="DJ142" i="1"/>
  <c r="DJ127" i="1"/>
  <c r="DJ112" i="1"/>
  <c r="DJ45" i="1"/>
  <c r="DJ51" i="1" s="1"/>
  <c r="DJ92" i="1"/>
  <c r="DJ82" i="1"/>
  <c r="DJ87" i="1" s="1"/>
  <c r="DJ66" i="1"/>
  <c r="DJ68" i="1" s="1"/>
  <c r="DJ39" i="1"/>
  <c r="DI238" i="1"/>
  <c r="DI239" i="1"/>
  <c r="BR245" i="1"/>
  <c r="BR243" i="1"/>
  <c r="BR242" i="1"/>
  <c r="BS237" i="1" s="1"/>
  <c r="DI212" i="1"/>
  <c r="DI211" i="1"/>
  <c r="DI204" i="1"/>
  <c r="DI177" i="1" s="1"/>
  <c r="DI203" i="1"/>
  <c r="CF213" i="1"/>
  <c r="CF207" i="1"/>
  <c r="DI224" i="1"/>
  <c r="DI223" i="1"/>
  <c r="CF206" i="1"/>
  <c r="CG201" i="1" s="1"/>
  <c r="DK192" i="1"/>
  <c r="DK84" i="1"/>
  <c r="DK21" i="1"/>
  <c r="BK267" i="1"/>
  <c r="DI116" i="1"/>
  <c r="DI146" i="1"/>
  <c r="BC125" i="1"/>
  <c r="BC133" i="1" s="1"/>
  <c r="DH77" i="1"/>
  <c r="BZ226" i="1"/>
  <c r="BZ227" i="1" s="1"/>
  <c r="CA222" i="1" s="1"/>
  <c r="DI104" i="1"/>
  <c r="DI40" i="1" s="1"/>
  <c r="DI96" i="1"/>
  <c r="DI77" i="1" s="1"/>
  <c r="BB139" i="1"/>
  <c r="CE218" i="1"/>
  <c r="CF225" i="1"/>
  <c r="CF202" i="1"/>
  <c r="BM257" i="1"/>
  <c r="BN252" i="1" s="1"/>
  <c r="BG107" i="1"/>
  <c r="BG109" i="1"/>
  <c r="DI253" i="1"/>
  <c r="DI254" i="1"/>
  <c r="BD122" i="1"/>
  <c r="BD120" i="1"/>
  <c r="DH185" i="1"/>
  <c r="BI95" i="1" l="1"/>
  <c r="BI100" i="1" s="1"/>
  <c r="BI117" i="1" s="1"/>
  <c r="BA148" i="1"/>
  <c r="AY159" i="1"/>
  <c r="BH105" i="1"/>
  <c r="BH106" i="1" s="1"/>
  <c r="BI102" i="1" s="1"/>
  <c r="BI103" i="1" s="1"/>
  <c r="DI185" i="1"/>
  <c r="BH99" i="1"/>
  <c r="AZ153" i="1"/>
  <c r="AZ154" i="1" s="1"/>
  <c r="AZ155" i="1" s="1"/>
  <c r="CA226" i="1"/>
  <c r="BC137" i="1"/>
  <c r="BC135" i="1"/>
  <c r="BC134" i="1"/>
  <c r="BD129" i="1" s="1"/>
  <c r="BF115" i="1"/>
  <c r="BF118" i="1" s="1"/>
  <c r="BF119" i="1" s="1"/>
  <c r="BG114" i="1" s="1"/>
  <c r="BY233" i="1"/>
  <c r="BI94" i="1"/>
  <c r="BD123" i="1"/>
  <c r="BD124" i="1" s="1"/>
  <c r="BD132" i="1"/>
  <c r="BK176" i="1"/>
  <c r="BK179" i="1" s="1"/>
  <c r="DJ104" i="1"/>
  <c r="DJ40" i="1" s="1"/>
  <c r="DJ96" i="1"/>
  <c r="DJ77" i="1" s="1"/>
  <c r="BK268" i="1"/>
  <c r="BK183" i="1" s="1"/>
  <c r="BK187" i="1" s="1"/>
  <c r="DJ116" i="1"/>
  <c r="BG110" i="1"/>
  <c r="DJ253" i="1"/>
  <c r="DJ254" i="1"/>
  <c r="DJ131" i="1"/>
  <c r="DJ223" i="1"/>
  <c r="DJ224" i="1"/>
  <c r="DJ212" i="1"/>
  <c r="DJ204" i="1"/>
  <c r="DJ177" i="1" s="1"/>
  <c r="DJ211" i="1"/>
  <c r="DJ203" i="1"/>
  <c r="DJ185" i="1"/>
  <c r="DJ184" i="1"/>
  <c r="BH117" i="1"/>
  <c r="BH94" i="1"/>
  <c r="BM261" i="1"/>
  <c r="BM262" i="1" s="1"/>
  <c r="BM263" i="1" s="1"/>
  <c r="BB140" i="1"/>
  <c r="DJ146" i="1"/>
  <c r="DI69" i="1"/>
  <c r="DI28" i="1"/>
  <c r="DL191" i="1"/>
  <c r="DL83" i="1"/>
  <c r="BH107" i="1"/>
  <c r="DL192" i="1"/>
  <c r="DL84" i="1"/>
  <c r="DL21" i="1"/>
  <c r="CF217" i="1"/>
  <c r="CF215" i="1"/>
  <c r="CF214" i="1"/>
  <c r="CG210" i="1" s="1"/>
  <c r="BR246" i="1"/>
  <c r="BR247" i="1" s="1"/>
  <c r="BR255" i="1"/>
  <c r="BE122" i="1"/>
  <c r="BE120" i="1"/>
  <c r="DK265" i="1"/>
  <c r="DK250" i="1"/>
  <c r="DK235" i="1"/>
  <c r="DK220" i="1"/>
  <c r="DK190" i="1"/>
  <c r="DK195" i="1" s="1"/>
  <c r="DK200" i="1"/>
  <c r="DK174" i="1"/>
  <c r="DK157" i="1"/>
  <c r="DK127" i="1"/>
  <c r="DK142" i="1"/>
  <c r="DK112" i="1"/>
  <c r="DK92" i="1"/>
  <c r="DK82" i="1"/>
  <c r="DK87" i="1" s="1"/>
  <c r="DK66" i="1"/>
  <c r="DK68" i="1" s="1"/>
  <c r="DK39" i="1"/>
  <c r="DK45" i="1"/>
  <c r="DK51" i="1" s="1"/>
  <c r="BN256" i="1"/>
  <c r="BN257" i="1" s="1"/>
  <c r="BO252" i="1" s="1"/>
  <c r="BZ230" i="1"/>
  <c r="BZ228" i="1"/>
  <c r="CG208" i="1"/>
  <c r="CG205" i="1"/>
  <c r="CG206" i="1" s="1"/>
  <c r="CH201" i="1" s="1"/>
  <c r="BS241" i="1"/>
  <c r="DJ76" i="1"/>
  <c r="DJ238" i="1"/>
  <c r="DJ239" i="1"/>
  <c r="BL269" i="1"/>
  <c r="BL270" i="1" s="1"/>
  <c r="BL176" i="1"/>
  <c r="BL179" i="1" s="1"/>
  <c r="BH109" i="1" l="1"/>
  <c r="AZ159" i="1"/>
  <c r="AZ68" i="1" s="1"/>
  <c r="AZ71" i="1" s="1"/>
  <c r="AY68" i="1"/>
  <c r="AY71" i="1" s="1"/>
  <c r="AY160" i="1"/>
  <c r="AY75" i="1" s="1"/>
  <c r="AY79" i="1" s="1"/>
  <c r="BA152" i="1"/>
  <c r="BA150" i="1"/>
  <c r="BA149" i="1"/>
  <c r="BB144" i="1" s="1"/>
  <c r="BB145" i="1" s="1"/>
  <c r="BB148" i="1" s="1"/>
  <c r="BB152" i="1" s="1"/>
  <c r="BK269" i="1"/>
  <c r="BK270" i="1" s="1"/>
  <c r="BI97" i="1"/>
  <c r="BG115" i="1"/>
  <c r="BG118" i="1" s="1"/>
  <c r="CH208" i="1"/>
  <c r="CH205" i="1"/>
  <c r="CH206" i="1" s="1"/>
  <c r="CI201" i="1" s="1"/>
  <c r="DK212" i="1"/>
  <c r="DK204" i="1"/>
  <c r="DK177" i="1" s="1"/>
  <c r="DK211" i="1"/>
  <c r="DK203" i="1"/>
  <c r="BO256" i="1"/>
  <c r="BO257" i="1" s="1"/>
  <c r="BP252" i="1" s="1"/>
  <c r="DK76" i="1"/>
  <c r="DK238" i="1"/>
  <c r="DK239" i="1"/>
  <c r="DJ69" i="1"/>
  <c r="DJ28" i="1"/>
  <c r="BD130" i="1"/>
  <c r="DK224" i="1"/>
  <c r="DK223" i="1"/>
  <c r="BR248" i="1"/>
  <c r="BC138" i="1"/>
  <c r="BC139" i="1" s="1"/>
  <c r="BC147" i="1"/>
  <c r="DL265" i="1"/>
  <c r="DL250" i="1"/>
  <c r="DL235" i="1"/>
  <c r="DL220" i="1"/>
  <c r="DL190" i="1"/>
  <c r="DL195" i="1" s="1"/>
  <c r="DL200" i="1"/>
  <c r="DL174" i="1"/>
  <c r="DL157" i="1"/>
  <c r="DL127" i="1"/>
  <c r="DL142" i="1"/>
  <c r="DL112" i="1"/>
  <c r="DL66" i="1"/>
  <c r="DL68" i="1" s="1"/>
  <c r="DL45" i="1"/>
  <c r="DL51" i="1" s="1"/>
  <c r="DL92" i="1"/>
  <c r="DL82" i="1"/>
  <c r="DL87" i="1" s="1"/>
  <c r="DL39" i="1"/>
  <c r="DK253" i="1"/>
  <c r="DK254" i="1"/>
  <c r="DK131" i="1"/>
  <c r="CF218" i="1"/>
  <c r="DM191" i="1"/>
  <c r="DM83" i="1"/>
  <c r="BN260" i="1"/>
  <c r="BN258" i="1"/>
  <c r="DK104" i="1"/>
  <c r="DK40" i="1" s="1"/>
  <c r="DK96" i="1"/>
  <c r="BS245" i="1"/>
  <c r="BS243" i="1"/>
  <c r="BS242" i="1"/>
  <c r="BT237" i="1" s="1"/>
  <c r="BH110" i="1"/>
  <c r="CG225" i="1"/>
  <c r="CG202" i="1"/>
  <c r="DK116" i="1"/>
  <c r="BZ231" i="1"/>
  <c r="BZ232" i="1" s="1"/>
  <c r="BZ240" i="1"/>
  <c r="BD125" i="1"/>
  <c r="CA230" i="1"/>
  <c r="CA228" i="1"/>
  <c r="DM192" i="1"/>
  <c r="DM84" i="1"/>
  <c r="DM21" i="1"/>
  <c r="BF122" i="1"/>
  <c r="BF120" i="1"/>
  <c r="BM267" i="1"/>
  <c r="BM268" i="1" s="1"/>
  <c r="BM183" i="1" s="1"/>
  <c r="BM187" i="1" s="1"/>
  <c r="CG213" i="1"/>
  <c r="CG207" i="1"/>
  <c r="BE132" i="1"/>
  <c r="BE123" i="1"/>
  <c r="BE124" i="1" s="1"/>
  <c r="DK146" i="1"/>
  <c r="DK184" i="1"/>
  <c r="CA227" i="1"/>
  <c r="CB222" i="1" s="1"/>
  <c r="AZ160" i="1" l="1"/>
  <c r="AY161" i="1"/>
  <c r="AY162" i="1" s="1"/>
  <c r="BI99" i="1"/>
  <c r="BI105" i="1"/>
  <c r="BI98" i="1"/>
  <c r="BJ93" i="1" s="1"/>
  <c r="BD133" i="1"/>
  <c r="BD137" i="1" s="1"/>
  <c r="BD138" i="1" s="1"/>
  <c r="BD139" i="1" s="1"/>
  <c r="BA153" i="1"/>
  <c r="BA154" i="1" s="1"/>
  <c r="BA155" i="1" s="1"/>
  <c r="BB149" i="1"/>
  <c r="BC144" i="1" s="1"/>
  <c r="BC145" i="1" s="1"/>
  <c r="BB150" i="1"/>
  <c r="DK185" i="1"/>
  <c r="BE125" i="1"/>
  <c r="BG122" i="1"/>
  <c r="BG120" i="1"/>
  <c r="DK69" i="1"/>
  <c r="DK28" i="1"/>
  <c r="DL239" i="1"/>
  <c r="DL238" i="1"/>
  <c r="DK77" i="1"/>
  <c r="CH225" i="1"/>
  <c r="CH202" i="1"/>
  <c r="DL253" i="1"/>
  <c r="DL254" i="1"/>
  <c r="BT241" i="1"/>
  <c r="DL224" i="1"/>
  <c r="DL223" i="1"/>
  <c r="DL146" i="1"/>
  <c r="BC140" i="1"/>
  <c r="BB153" i="1"/>
  <c r="CB226" i="1"/>
  <c r="CB227" i="1" s="1"/>
  <c r="CC222" i="1" s="1"/>
  <c r="BZ233" i="1"/>
  <c r="CI208" i="1"/>
  <c r="CI205" i="1"/>
  <c r="CA231" i="1"/>
  <c r="CA232" i="1" s="1"/>
  <c r="CA240" i="1"/>
  <c r="CG217" i="1"/>
  <c r="CG215" i="1"/>
  <c r="BS246" i="1"/>
  <c r="BS255" i="1"/>
  <c r="DL116" i="1"/>
  <c r="DL104" i="1"/>
  <c r="DL40" i="1" s="1"/>
  <c r="DL96" i="1"/>
  <c r="DL77" i="1" s="1"/>
  <c r="DN191" i="1"/>
  <c r="DN83" i="1"/>
  <c r="BO260" i="1"/>
  <c r="BO258" i="1"/>
  <c r="BM269" i="1"/>
  <c r="BM270" i="1" s="1"/>
  <c r="BM176" i="1"/>
  <c r="BM179" i="1" s="1"/>
  <c r="CG214" i="1"/>
  <c r="CH210" i="1" s="1"/>
  <c r="BF132" i="1"/>
  <c r="BF123" i="1"/>
  <c r="DL184" i="1"/>
  <c r="BG119" i="1"/>
  <c r="BH114" i="1" s="1"/>
  <c r="DN192" i="1"/>
  <c r="DN84" i="1"/>
  <c r="DN21" i="1"/>
  <c r="BN261" i="1"/>
  <c r="BN262" i="1" s="1"/>
  <c r="BN263" i="1" s="1"/>
  <c r="BP256" i="1"/>
  <c r="DL76" i="1"/>
  <c r="DL131" i="1"/>
  <c r="DM250" i="1"/>
  <c r="DM265" i="1"/>
  <c r="DM235" i="1"/>
  <c r="DM200" i="1"/>
  <c r="DM220" i="1"/>
  <c r="DM190" i="1"/>
  <c r="DM195" i="1" s="1"/>
  <c r="DM174" i="1"/>
  <c r="DM157" i="1"/>
  <c r="DM127" i="1"/>
  <c r="DM142" i="1"/>
  <c r="DM112" i="1"/>
  <c r="DM66" i="1"/>
  <c r="DM68" i="1" s="1"/>
  <c r="DM45" i="1"/>
  <c r="DM51" i="1" s="1"/>
  <c r="DM92" i="1"/>
  <c r="DM82" i="1"/>
  <c r="DM87" i="1" s="1"/>
  <c r="DM39" i="1"/>
  <c r="DL212" i="1"/>
  <c r="DL204" i="1"/>
  <c r="DL177" i="1" s="1"/>
  <c r="DL211" i="1"/>
  <c r="DL203" i="1"/>
  <c r="CH213" i="1"/>
  <c r="CH207" i="1"/>
  <c r="BD147" i="1" l="1"/>
  <c r="BC148" i="1"/>
  <c r="BC152" i="1" s="1"/>
  <c r="AZ75" i="1"/>
  <c r="AZ79" i="1" s="1"/>
  <c r="AZ161" i="1"/>
  <c r="AZ162" i="1" s="1"/>
  <c r="BA159" i="1"/>
  <c r="BA160" i="1" s="1"/>
  <c r="BA75" i="1" s="1"/>
  <c r="BA79" i="1" s="1"/>
  <c r="BJ95" i="1"/>
  <c r="BJ100" i="1"/>
  <c r="BJ97" i="1"/>
  <c r="BI109" i="1"/>
  <c r="BI110" i="1" s="1"/>
  <c r="BI107" i="1"/>
  <c r="BI106" i="1"/>
  <c r="BJ102" i="1" s="1"/>
  <c r="BD135" i="1"/>
  <c r="BD134" i="1"/>
  <c r="BE129" i="1" s="1"/>
  <c r="BE130" i="1" s="1"/>
  <c r="BC149" i="1"/>
  <c r="BD144" i="1" s="1"/>
  <c r="CC226" i="1"/>
  <c r="BG123" i="1"/>
  <c r="BG132" i="1"/>
  <c r="BG124" i="1"/>
  <c r="CA233" i="1"/>
  <c r="DO191" i="1"/>
  <c r="DO83" i="1"/>
  <c r="DM239" i="1"/>
  <c r="DM238" i="1"/>
  <c r="DM254" i="1"/>
  <c r="DM253" i="1"/>
  <c r="DM116" i="1"/>
  <c r="CI213" i="1"/>
  <c r="CI207" i="1"/>
  <c r="BN267" i="1"/>
  <c r="CI206" i="1"/>
  <c r="CJ201" i="1" s="1"/>
  <c r="DM146" i="1"/>
  <c r="DN250" i="1"/>
  <c r="DN265" i="1"/>
  <c r="DN235" i="1"/>
  <c r="DN174" i="1"/>
  <c r="DN200" i="1"/>
  <c r="DN220" i="1"/>
  <c r="DN190" i="1"/>
  <c r="DN195" i="1" s="1"/>
  <c r="DN157" i="1"/>
  <c r="DN142" i="1"/>
  <c r="DN127" i="1"/>
  <c r="DN66" i="1"/>
  <c r="DN68" i="1" s="1"/>
  <c r="DN112" i="1"/>
  <c r="DN45" i="1"/>
  <c r="DN51" i="1" s="1"/>
  <c r="DN92" i="1"/>
  <c r="DN82" i="1"/>
  <c r="DN87" i="1" s="1"/>
  <c r="DN39" i="1"/>
  <c r="CH217" i="1"/>
  <c r="CH215" i="1"/>
  <c r="BP260" i="1"/>
  <c r="BP258" i="1"/>
  <c r="BH115" i="1"/>
  <c r="BH118" i="1" s="1"/>
  <c r="DL69" i="1"/>
  <c r="DL28" i="1"/>
  <c r="BD140" i="1"/>
  <c r="DM76" i="1"/>
  <c r="DL185" i="1"/>
  <c r="CI225" i="1"/>
  <c r="CI202" i="1"/>
  <c r="BF124" i="1"/>
  <c r="CB230" i="1"/>
  <c r="CB228" i="1"/>
  <c r="DM224" i="1"/>
  <c r="DM223" i="1"/>
  <c r="BP257" i="1"/>
  <c r="BQ252" i="1" s="1"/>
  <c r="CH214" i="1"/>
  <c r="CI210" i="1" s="1"/>
  <c r="BT245" i="1"/>
  <c r="BT243" i="1"/>
  <c r="DM104" i="1"/>
  <c r="DM40" i="1" s="1"/>
  <c r="DM96" i="1"/>
  <c r="DM77" i="1" s="1"/>
  <c r="BB154" i="1"/>
  <c r="BB155" i="1" s="1"/>
  <c r="BO261" i="1"/>
  <c r="BS247" i="1"/>
  <c r="DM131" i="1"/>
  <c r="DO192" i="1"/>
  <c r="DO84" i="1"/>
  <c r="DO21" i="1"/>
  <c r="CG218" i="1"/>
  <c r="DM184" i="1"/>
  <c r="DM211" i="1"/>
  <c r="DM212" i="1"/>
  <c r="DM203" i="1"/>
  <c r="DM204" i="1"/>
  <c r="DM177" i="1" s="1"/>
  <c r="BT242" i="1"/>
  <c r="BU237" i="1" s="1"/>
  <c r="BC150" i="1" l="1"/>
  <c r="BJ103" i="1"/>
  <c r="BE133" i="1"/>
  <c r="BE134" i="1" s="1"/>
  <c r="BF129" i="1" s="1"/>
  <c r="BF130" i="1" s="1"/>
  <c r="BJ98" i="1"/>
  <c r="BK93" i="1" s="1"/>
  <c r="BJ105" i="1"/>
  <c r="BJ99" i="1"/>
  <c r="BJ117" i="1"/>
  <c r="BJ94" i="1"/>
  <c r="CI214" i="1"/>
  <c r="CJ210" i="1" s="1"/>
  <c r="BA68" i="1"/>
  <c r="BA71" i="1" s="1"/>
  <c r="BA161" i="1"/>
  <c r="BA162" i="1" s="1"/>
  <c r="BH122" i="1"/>
  <c r="BH120" i="1"/>
  <c r="CC230" i="1"/>
  <c r="CC228" i="1"/>
  <c r="CC227" i="1"/>
  <c r="CD222" i="1" s="1"/>
  <c r="DN184" i="1"/>
  <c r="CH218" i="1"/>
  <c r="DO265" i="1"/>
  <c r="DO250" i="1"/>
  <c r="DO220" i="1"/>
  <c r="DO235" i="1"/>
  <c r="DO200" i="1"/>
  <c r="DO190" i="1"/>
  <c r="DO195" i="1" s="1"/>
  <c r="DO157" i="1"/>
  <c r="DO174" i="1"/>
  <c r="DO127" i="1"/>
  <c r="DO142" i="1"/>
  <c r="DO112" i="1"/>
  <c r="DO92" i="1"/>
  <c r="DO82" i="1"/>
  <c r="DO87" i="1" s="1"/>
  <c r="DO66" i="1"/>
  <c r="DO68" i="1" s="1"/>
  <c r="DO39" i="1"/>
  <c r="DO45" i="1"/>
  <c r="DO51" i="1" s="1"/>
  <c r="CJ208" i="1"/>
  <c r="CJ205" i="1"/>
  <c r="CJ206" i="1" s="1"/>
  <c r="CK201" i="1" s="1"/>
  <c r="BG125" i="1"/>
  <c r="BH119" i="1"/>
  <c r="BI114" i="1" s="1"/>
  <c r="DN203" i="1"/>
  <c r="DN212" i="1"/>
  <c r="DN211" i="1"/>
  <c r="DN204" i="1"/>
  <c r="DN177" i="1" s="1"/>
  <c r="BU241" i="1"/>
  <c r="BU242" i="1" s="1"/>
  <c r="BV237" i="1" s="1"/>
  <c r="DN76" i="1"/>
  <c r="BN176" i="1"/>
  <c r="BN179" i="1" s="1"/>
  <c r="BP261" i="1"/>
  <c r="BP262" i="1"/>
  <c r="BP263" i="1" s="1"/>
  <c r="DN146" i="1"/>
  <c r="BN268" i="1"/>
  <c r="BN183" i="1" s="1"/>
  <c r="BN187" i="1" s="1"/>
  <c r="BD145" i="1"/>
  <c r="BD148" i="1" s="1"/>
  <c r="BB159" i="1"/>
  <c r="DN239" i="1"/>
  <c r="DN238" i="1"/>
  <c r="DP192" i="1"/>
  <c r="DP84" i="1"/>
  <c r="DP21" i="1"/>
  <c r="DN254" i="1"/>
  <c r="DN253" i="1"/>
  <c r="DN116" i="1"/>
  <c r="BS248" i="1"/>
  <c r="BQ256" i="1"/>
  <c r="BQ257" i="1" s="1"/>
  <c r="BR252" i="1" s="1"/>
  <c r="CB231" i="1"/>
  <c r="CB240" i="1"/>
  <c r="DN224" i="1"/>
  <c r="DN223" i="1"/>
  <c r="DN104" i="1"/>
  <c r="DN40" i="1" s="1"/>
  <c r="DN96" i="1"/>
  <c r="DN77" i="1" s="1"/>
  <c r="DP191" i="1"/>
  <c r="DP83" i="1"/>
  <c r="DM69" i="1"/>
  <c r="DM28" i="1"/>
  <c r="BT246" i="1"/>
  <c r="BT255" i="1"/>
  <c r="DN131" i="1"/>
  <c r="DM185" i="1"/>
  <c r="BO262" i="1"/>
  <c r="BO263" i="1" s="1"/>
  <c r="BF125" i="1"/>
  <c r="CI217" i="1"/>
  <c r="CI215" i="1"/>
  <c r="BC153" i="1"/>
  <c r="BE137" i="1" l="1"/>
  <c r="BE135" i="1"/>
  <c r="DN185" i="1"/>
  <c r="BJ107" i="1"/>
  <c r="BJ109" i="1"/>
  <c r="BJ110" i="1" s="1"/>
  <c r="BK95" i="1"/>
  <c r="BK97" i="1" s="1"/>
  <c r="BJ106" i="1"/>
  <c r="BK102" i="1" s="1"/>
  <c r="BK103" i="1" s="1"/>
  <c r="BR256" i="1"/>
  <c r="DQ191" i="1"/>
  <c r="DQ83" i="1"/>
  <c r="DQ192" i="1"/>
  <c r="DQ84" i="1"/>
  <c r="DQ21" i="1"/>
  <c r="BI115" i="1"/>
  <c r="BI118" i="1" s="1"/>
  <c r="BO267" i="1"/>
  <c r="BO268" i="1" s="1"/>
  <c r="BO183" i="1" s="1"/>
  <c r="BO187" i="1" s="1"/>
  <c r="CC240" i="1"/>
  <c r="CC231" i="1"/>
  <c r="CJ225" i="1"/>
  <c r="CJ202" i="1"/>
  <c r="DO104" i="1"/>
  <c r="DO40" i="1" s="1"/>
  <c r="DO96" i="1"/>
  <c r="BB68" i="1"/>
  <c r="BB71" i="1" s="1"/>
  <c r="DO146" i="1"/>
  <c r="BH123" i="1"/>
  <c r="BH124" i="1" s="1"/>
  <c r="BH132" i="1"/>
  <c r="CI218" i="1"/>
  <c r="DO203" i="1"/>
  <c r="DO212" i="1"/>
  <c r="DO211" i="1"/>
  <c r="DO204" i="1"/>
  <c r="DO177" i="1" s="1"/>
  <c r="BD152" i="1"/>
  <c r="BD150" i="1"/>
  <c r="DO76" i="1"/>
  <c r="BF133" i="1"/>
  <c r="CD226" i="1"/>
  <c r="BE138" i="1"/>
  <c r="BE139" i="1" s="1"/>
  <c r="BE147" i="1"/>
  <c r="BB160" i="1"/>
  <c r="BB75" i="1" s="1"/>
  <c r="BB79" i="1" s="1"/>
  <c r="DO184" i="1"/>
  <c r="DO239" i="1"/>
  <c r="DO238" i="1"/>
  <c r="BP267" i="1"/>
  <c r="BV241" i="1"/>
  <c r="BV242" i="1" s="1"/>
  <c r="BW237" i="1" s="1"/>
  <c r="BU245" i="1"/>
  <c r="BU243" i="1"/>
  <c r="BN269" i="1"/>
  <c r="BN270" i="1" s="1"/>
  <c r="DO116" i="1"/>
  <c r="CB232" i="1"/>
  <c r="BQ260" i="1"/>
  <c r="BQ258" i="1"/>
  <c r="DO131" i="1"/>
  <c r="BC154" i="1"/>
  <c r="BC155" i="1" s="1"/>
  <c r="BT247" i="1"/>
  <c r="DN69" i="1"/>
  <c r="DN28" i="1"/>
  <c r="CK208" i="1"/>
  <c r="CK205" i="1"/>
  <c r="CK206" i="1" s="1"/>
  <c r="CL201" i="1" s="1"/>
  <c r="DO224" i="1"/>
  <c r="DO223" i="1"/>
  <c r="DO254" i="1"/>
  <c r="DO253" i="1"/>
  <c r="DP265" i="1"/>
  <c r="DP250" i="1"/>
  <c r="DP220" i="1"/>
  <c r="DP235" i="1"/>
  <c r="DP200" i="1"/>
  <c r="DP174" i="1"/>
  <c r="DP157" i="1"/>
  <c r="DP190" i="1"/>
  <c r="DP195" i="1" s="1"/>
  <c r="DP142" i="1"/>
  <c r="DP127" i="1"/>
  <c r="DP112" i="1"/>
  <c r="DP92" i="1"/>
  <c r="DP82" i="1"/>
  <c r="DP87" i="1" s="1"/>
  <c r="DP66" i="1"/>
  <c r="DP68" i="1" s="1"/>
  <c r="DP39" i="1"/>
  <c r="DP45" i="1"/>
  <c r="DP51" i="1" s="1"/>
  <c r="BD149" i="1"/>
  <c r="BE144" i="1" s="1"/>
  <c r="CJ213" i="1"/>
  <c r="CJ207" i="1"/>
  <c r="BK100" i="1" l="1"/>
  <c r="BK94" i="1" s="1"/>
  <c r="BK99" i="1"/>
  <c r="BK105" i="1"/>
  <c r="BK98" i="1"/>
  <c r="BL93" i="1" s="1"/>
  <c r="BW241" i="1"/>
  <c r="BE140" i="1"/>
  <c r="BI122" i="1"/>
  <c r="BI120" i="1"/>
  <c r="DP184" i="1"/>
  <c r="CL208" i="1"/>
  <c r="CL205" i="1"/>
  <c r="DP76" i="1"/>
  <c r="DP204" i="1"/>
  <c r="DP177" i="1" s="1"/>
  <c r="DP203" i="1"/>
  <c r="DP212" i="1"/>
  <c r="DP211" i="1"/>
  <c r="DP239" i="1"/>
  <c r="DP238" i="1"/>
  <c r="DQ265" i="1"/>
  <c r="DQ250" i="1"/>
  <c r="DQ220" i="1"/>
  <c r="DQ235" i="1"/>
  <c r="DQ200" i="1"/>
  <c r="DQ174" i="1"/>
  <c r="DQ157" i="1"/>
  <c r="DQ190" i="1"/>
  <c r="DQ195" i="1" s="1"/>
  <c r="DQ142" i="1"/>
  <c r="DQ112" i="1"/>
  <c r="DQ127" i="1"/>
  <c r="DQ82" i="1"/>
  <c r="DQ87" i="1" s="1"/>
  <c r="DQ92" i="1"/>
  <c r="DQ66" i="1"/>
  <c r="DQ68" i="1" s="1"/>
  <c r="DQ39" i="1"/>
  <c r="DQ45" i="1"/>
  <c r="DQ51" i="1" s="1"/>
  <c r="BF137" i="1"/>
  <c r="BF135" i="1"/>
  <c r="DR192" i="1"/>
  <c r="DR84" i="1"/>
  <c r="DR21" i="1"/>
  <c r="BR260" i="1"/>
  <c r="BR258" i="1"/>
  <c r="CB233" i="1"/>
  <c r="BE145" i="1"/>
  <c r="CC232" i="1"/>
  <c r="BR257" i="1"/>
  <c r="BS252" i="1" s="1"/>
  <c r="DP223" i="1"/>
  <c r="DP224" i="1"/>
  <c r="BU246" i="1"/>
  <c r="BU255" i="1"/>
  <c r="BI119" i="1"/>
  <c r="BJ114" i="1" s="1"/>
  <c r="BT248" i="1"/>
  <c r="BP176" i="1"/>
  <c r="BP179" i="1" s="1"/>
  <c r="DP146" i="1"/>
  <c r="BB161" i="1"/>
  <c r="BB162" i="1" s="1"/>
  <c r="CJ217" i="1"/>
  <c r="CJ215" i="1"/>
  <c r="CJ214" i="1"/>
  <c r="CK210" i="1" s="1"/>
  <c r="CK214" i="1" s="1"/>
  <c r="CL210" i="1" s="1"/>
  <c r="CD230" i="1"/>
  <c r="CD228" i="1"/>
  <c r="CD227" i="1"/>
  <c r="CE222" i="1" s="1"/>
  <c r="DP116" i="1"/>
  <c r="BH125" i="1"/>
  <c r="DP131" i="1"/>
  <c r="CK207" i="1"/>
  <c r="CK213" i="1"/>
  <c r="DO185" i="1"/>
  <c r="DO77" i="1"/>
  <c r="BF134" i="1"/>
  <c r="BG129" i="1" s="1"/>
  <c r="BD153" i="1"/>
  <c r="BD154" i="1" s="1"/>
  <c r="BD155" i="1" s="1"/>
  <c r="DP254" i="1"/>
  <c r="DP253" i="1"/>
  <c r="DO28" i="1"/>
  <c r="DO69" i="1"/>
  <c r="BV245" i="1"/>
  <c r="BV243" i="1"/>
  <c r="DP96" i="1"/>
  <c r="DP77" i="1" s="1"/>
  <c r="DP104" i="1"/>
  <c r="DP40" i="1" s="1"/>
  <c r="BC159" i="1"/>
  <c r="BC160" i="1" s="1"/>
  <c r="BC75" i="1" s="1"/>
  <c r="BC79" i="1" s="1"/>
  <c r="BP268" i="1"/>
  <c r="BP183" i="1" s="1"/>
  <c r="BP187" i="1" s="1"/>
  <c r="CK225" i="1"/>
  <c r="CK202" i="1"/>
  <c r="BQ261" i="1"/>
  <c r="BO269" i="1"/>
  <c r="BO270" i="1" s="1"/>
  <c r="BO176" i="1"/>
  <c r="BO179" i="1" s="1"/>
  <c r="DR191" i="1"/>
  <c r="DR83" i="1"/>
  <c r="BK117" i="1" l="1"/>
  <c r="BL95" i="1"/>
  <c r="BL100" i="1" s="1"/>
  <c r="BK109" i="1"/>
  <c r="BK110" i="1" s="1"/>
  <c r="BK107" i="1"/>
  <c r="BE148" i="1"/>
  <c r="BE152" i="1" s="1"/>
  <c r="DP185" i="1"/>
  <c r="BK106" i="1"/>
  <c r="BL102" i="1" s="1"/>
  <c r="BL103" i="1" s="1"/>
  <c r="BE149" i="1"/>
  <c r="BF144" i="1" s="1"/>
  <c r="BE150" i="1"/>
  <c r="BD159" i="1"/>
  <c r="BD160" i="1" s="1"/>
  <c r="BD75" i="1" s="1"/>
  <c r="BD79" i="1" s="1"/>
  <c r="BV246" i="1"/>
  <c r="BV255" i="1"/>
  <c r="BS256" i="1"/>
  <c r="BS257" i="1" s="1"/>
  <c r="BT252" i="1" s="1"/>
  <c r="DQ146" i="1"/>
  <c r="DQ184" i="1"/>
  <c r="BI123" i="1"/>
  <c r="BI124" i="1" s="1"/>
  <c r="BI132" i="1"/>
  <c r="DQ116" i="1"/>
  <c r="CE226" i="1"/>
  <c r="CE227" i="1" s="1"/>
  <c r="CF222" i="1" s="1"/>
  <c r="CL213" i="1"/>
  <c r="CL207" i="1"/>
  <c r="CL225" i="1"/>
  <c r="CL202" i="1"/>
  <c r="CD240" i="1"/>
  <c r="CD231" i="1"/>
  <c r="CJ218" i="1"/>
  <c r="BF138" i="1"/>
  <c r="BF147" i="1"/>
  <c r="DQ76" i="1"/>
  <c r="DQ239" i="1"/>
  <c r="DQ238" i="1"/>
  <c r="CC233" i="1"/>
  <c r="DR265" i="1"/>
  <c r="DR250" i="1"/>
  <c r="DR235" i="1"/>
  <c r="DR220" i="1"/>
  <c r="DR200" i="1"/>
  <c r="DR174" i="1"/>
  <c r="DR190" i="1"/>
  <c r="DR195" i="1" s="1"/>
  <c r="DR142" i="1"/>
  <c r="DR112" i="1"/>
  <c r="DR157" i="1"/>
  <c r="DR127" i="1"/>
  <c r="DR82" i="1"/>
  <c r="DR87" i="1" s="1"/>
  <c r="DR92" i="1"/>
  <c r="DR66" i="1"/>
  <c r="DR68" i="1" s="1"/>
  <c r="DR45" i="1"/>
  <c r="DR51" i="1" s="1"/>
  <c r="DR39" i="1"/>
  <c r="DQ131" i="1"/>
  <c r="CL206" i="1"/>
  <c r="CM201" i="1" s="1"/>
  <c r="DQ254" i="1"/>
  <c r="DQ253" i="1"/>
  <c r="DS192" i="1"/>
  <c r="DS84" i="1"/>
  <c r="DS21" i="1"/>
  <c r="BQ262" i="1"/>
  <c r="BQ263" i="1" s="1"/>
  <c r="BG130" i="1"/>
  <c r="BG133" i="1" s="1"/>
  <c r="BJ115" i="1"/>
  <c r="BJ118" i="1" s="1"/>
  <c r="DQ223" i="1"/>
  <c r="DQ224" i="1"/>
  <c r="DS191" i="1"/>
  <c r="DS83" i="1"/>
  <c r="CK217" i="1"/>
  <c r="CK215" i="1"/>
  <c r="BP269" i="1"/>
  <c r="BP270" i="1" s="1"/>
  <c r="DQ96" i="1"/>
  <c r="DQ104" i="1"/>
  <c r="DQ40" i="1" s="1"/>
  <c r="BW245" i="1"/>
  <c r="BW243" i="1"/>
  <c r="BU247" i="1"/>
  <c r="DP69" i="1"/>
  <c r="DP28" i="1"/>
  <c r="BC161" i="1"/>
  <c r="BC162" i="1" s="1"/>
  <c r="BC68" i="1"/>
  <c r="BC71" i="1" s="1"/>
  <c r="DQ204" i="1"/>
  <c r="DQ177" i="1" s="1"/>
  <c r="DQ203" i="1"/>
  <c r="DQ212" i="1"/>
  <c r="DQ211" i="1"/>
  <c r="BR261" i="1"/>
  <c r="BR262" i="1" s="1"/>
  <c r="BR263" i="1" s="1"/>
  <c r="BW242" i="1"/>
  <c r="BX237" i="1" s="1"/>
  <c r="BL97" i="1" l="1"/>
  <c r="BL98" i="1" s="1"/>
  <c r="BM93" i="1" s="1"/>
  <c r="BM95" i="1" s="1"/>
  <c r="BM100" i="1" s="1"/>
  <c r="BJ119" i="1"/>
  <c r="BK114" i="1" s="1"/>
  <c r="BL99" i="1"/>
  <c r="BL105" i="1"/>
  <c r="BG134" i="1"/>
  <c r="BH129" i="1" s="1"/>
  <c r="BL117" i="1"/>
  <c r="BL94" i="1"/>
  <c r="BH130" i="1"/>
  <c r="BK115" i="1"/>
  <c r="CM208" i="1"/>
  <c r="CM205" i="1"/>
  <c r="DR76" i="1"/>
  <c r="DR239" i="1"/>
  <c r="DR238" i="1"/>
  <c r="DS265" i="1"/>
  <c r="DS250" i="1"/>
  <c r="DS235" i="1"/>
  <c r="DS220" i="1"/>
  <c r="DS174" i="1"/>
  <c r="DS190" i="1"/>
  <c r="DS195" i="1" s="1"/>
  <c r="DS200" i="1"/>
  <c r="DS142" i="1"/>
  <c r="DS112" i="1"/>
  <c r="DS157" i="1"/>
  <c r="DS127" i="1"/>
  <c r="DS82" i="1"/>
  <c r="DS87" i="1" s="1"/>
  <c r="DS92" i="1"/>
  <c r="DS39" i="1"/>
  <c r="DS66" i="1"/>
  <c r="DS68" i="1" s="1"/>
  <c r="DS45" i="1"/>
  <c r="DS51" i="1" s="1"/>
  <c r="CF226" i="1"/>
  <c r="CF227" i="1" s="1"/>
  <c r="CG222" i="1" s="1"/>
  <c r="BT256" i="1"/>
  <c r="BT257" i="1"/>
  <c r="BU252" i="1" s="1"/>
  <c r="DR104" i="1"/>
  <c r="DR40" i="1" s="1"/>
  <c r="DR96" i="1"/>
  <c r="DR77" i="1" s="1"/>
  <c r="CE230" i="1"/>
  <c r="CE228" i="1"/>
  <c r="BS260" i="1"/>
  <c r="BS258" i="1"/>
  <c r="BR267" i="1"/>
  <c r="BJ122" i="1"/>
  <c r="BJ120" i="1"/>
  <c r="BF139" i="1"/>
  <c r="DT191" i="1"/>
  <c r="DT83" i="1"/>
  <c r="BD161" i="1"/>
  <c r="BD162" i="1" s="1"/>
  <c r="BD68" i="1"/>
  <c r="BD71" i="1" s="1"/>
  <c r="DT192" i="1"/>
  <c r="DT84" i="1"/>
  <c r="DT21" i="1"/>
  <c r="DR116" i="1"/>
  <c r="BQ267" i="1"/>
  <c r="DR184" i="1"/>
  <c r="BI125" i="1"/>
  <c r="BF145" i="1"/>
  <c r="DR131" i="1"/>
  <c r="DQ69" i="1"/>
  <c r="DQ28" i="1"/>
  <c r="BW246" i="1"/>
  <c r="BW247" i="1" s="1"/>
  <c r="BW255" i="1"/>
  <c r="BX241" i="1"/>
  <c r="BX242" i="1" s="1"/>
  <c r="BY237" i="1" s="1"/>
  <c r="DR204" i="1"/>
  <c r="DR177" i="1" s="1"/>
  <c r="DR203" i="1"/>
  <c r="DR211" i="1"/>
  <c r="DR212" i="1"/>
  <c r="CD232" i="1"/>
  <c r="BV247" i="1"/>
  <c r="BE153" i="1"/>
  <c r="DR254" i="1"/>
  <c r="DR253" i="1"/>
  <c r="BU248" i="1"/>
  <c r="CL217" i="1"/>
  <c r="CL215" i="1"/>
  <c r="BG137" i="1"/>
  <c r="BG135" i="1"/>
  <c r="DR146" i="1"/>
  <c r="DQ77" i="1"/>
  <c r="CK218" i="1"/>
  <c r="CL214" i="1"/>
  <c r="CM210" i="1" s="1"/>
  <c r="DR223" i="1"/>
  <c r="DR224" i="1"/>
  <c r="DQ185" i="1"/>
  <c r="BK118" i="1" l="1"/>
  <c r="BL109" i="1"/>
  <c r="BL110" i="1" s="1"/>
  <c r="BL107" i="1"/>
  <c r="DR185" i="1"/>
  <c r="BM94" i="1"/>
  <c r="BM117" i="1"/>
  <c r="BK119" i="1"/>
  <c r="BL114" i="1" s="1"/>
  <c r="BM97" i="1"/>
  <c r="BL106" i="1"/>
  <c r="BM102" i="1" s="1"/>
  <c r="DS239" i="1"/>
  <c r="DS238" i="1"/>
  <c r="BK122" i="1"/>
  <c r="BK120" i="1"/>
  <c r="CG226" i="1"/>
  <c r="CG227" i="1" s="1"/>
  <c r="CH222" i="1" s="1"/>
  <c r="DS104" i="1"/>
  <c r="DS40" i="1" s="1"/>
  <c r="DS96" i="1"/>
  <c r="DS77" i="1" s="1"/>
  <c r="CF230" i="1"/>
  <c r="CF228" i="1"/>
  <c r="DS116" i="1"/>
  <c r="DS254" i="1"/>
  <c r="DS253" i="1"/>
  <c r="BS261" i="1"/>
  <c r="BS262" i="1"/>
  <c r="BS263" i="1" s="1"/>
  <c r="DS146" i="1"/>
  <c r="BH133" i="1"/>
  <c r="BH134" i="1" s="1"/>
  <c r="BI129" i="1" s="1"/>
  <c r="BU256" i="1"/>
  <c r="BU257" i="1" s="1"/>
  <c r="BV252" i="1" s="1"/>
  <c r="DS203" i="1"/>
  <c r="DS211" i="1"/>
  <c r="DS212" i="1"/>
  <c r="DS204" i="1"/>
  <c r="DS177" i="1" s="1"/>
  <c r="CM213" i="1"/>
  <c r="CM214" i="1" s="1"/>
  <c r="CN210" i="1" s="1"/>
  <c r="CM207" i="1"/>
  <c r="BQ176" i="1"/>
  <c r="BQ179" i="1" s="1"/>
  <c r="BE154" i="1"/>
  <c r="BE155" i="1" s="1"/>
  <c r="BT260" i="1"/>
  <c r="BT258" i="1"/>
  <c r="DS131" i="1"/>
  <c r="CE231" i="1"/>
  <c r="CE240" i="1"/>
  <c r="CM225" i="1"/>
  <c r="CM202" i="1"/>
  <c r="BJ132" i="1"/>
  <c r="BJ123" i="1"/>
  <c r="BJ124" i="1"/>
  <c r="BL115" i="1"/>
  <c r="BL118" i="1" s="1"/>
  <c r="BY241" i="1"/>
  <c r="BY242" i="1" s="1"/>
  <c r="BZ237" i="1" s="1"/>
  <c r="BQ268" i="1"/>
  <c r="BQ183" i="1" s="1"/>
  <c r="BQ187" i="1" s="1"/>
  <c r="DU192" i="1"/>
  <c r="Q168" i="1" s="1"/>
  <c r="DU84" i="1"/>
  <c r="Q60" i="1" s="1"/>
  <c r="DU21" i="1"/>
  <c r="L11" i="1"/>
  <c r="BV248" i="1"/>
  <c r="DU191" i="1"/>
  <c r="DU83" i="1"/>
  <c r="DS184" i="1"/>
  <c r="DS185" i="1"/>
  <c r="CM206" i="1"/>
  <c r="CN201" i="1" s="1"/>
  <c r="BF140" i="1"/>
  <c r="BF148" i="1" s="1"/>
  <c r="BR176" i="1"/>
  <c r="BR179" i="1" s="1"/>
  <c r="BG138" i="1"/>
  <c r="BG139" i="1" s="1"/>
  <c r="BG147" i="1"/>
  <c r="BX245" i="1"/>
  <c r="BX243" i="1"/>
  <c r="DT265" i="1"/>
  <c r="DT235" i="1"/>
  <c r="DT250" i="1"/>
  <c r="DT220" i="1"/>
  <c r="DT174" i="1"/>
  <c r="DT157" i="1"/>
  <c r="DT190" i="1"/>
  <c r="DT195" i="1" s="1"/>
  <c r="DT200" i="1"/>
  <c r="DT142" i="1"/>
  <c r="DT92" i="1"/>
  <c r="DT112" i="1"/>
  <c r="DT127" i="1"/>
  <c r="DT82" i="1"/>
  <c r="DT87" i="1" s="1"/>
  <c r="DT39" i="1"/>
  <c r="DT66" i="1"/>
  <c r="DT68" i="1" s="1"/>
  <c r="DT45" i="1"/>
  <c r="DT51" i="1" s="1"/>
  <c r="BR268" i="1"/>
  <c r="BR183" i="1" s="1"/>
  <c r="BR187" i="1" s="1"/>
  <c r="CD233" i="1"/>
  <c r="CL218" i="1"/>
  <c r="BW248" i="1"/>
  <c r="DR69" i="1"/>
  <c r="DR28" i="1"/>
  <c r="DS76" i="1"/>
  <c r="DS223" i="1"/>
  <c r="DS224" i="1"/>
  <c r="BM99" i="1" l="1"/>
  <c r="BM105" i="1"/>
  <c r="BM98" i="1"/>
  <c r="BN93" i="1" s="1"/>
  <c r="BM103" i="1"/>
  <c r="BR269" i="1"/>
  <c r="BR270" i="1" s="1"/>
  <c r="BZ241" i="1"/>
  <c r="BZ242" i="1"/>
  <c r="CA237" i="1" s="1"/>
  <c r="DS28" i="1"/>
  <c r="DS69" i="1"/>
  <c r="BI130" i="1"/>
  <c r="CN205" i="1"/>
  <c r="CN206" i="1" s="1"/>
  <c r="CO201" i="1" s="1"/>
  <c r="CN208" i="1"/>
  <c r="DT146" i="1"/>
  <c r="BG140" i="1"/>
  <c r="DT223" i="1"/>
  <c r="DT224" i="1"/>
  <c r="BT261" i="1"/>
  <c r="BT262" i="1" s="1"/>
  <c r="BT263" i="1" s="1"/>
  <c r="DT104" i="1"/>
  <c r="DT40" i="1" s="1"/>
  <c r="DT96" i="1"/>
  <c r="CE232" i="1"/>
  <c r="CH226" i="1"/>
  <c r="CH227" i="1" s="1"/>
  <c r="CI222" i="1" s="1"/>
  <c r="CM217" i="1"/>
  <c r="CM215" i="1"/>
  <c r="CG230" i="1"/>
  <c r="CG228" i="1"/>
  <c r="BL122" i="1"/>
  <c r="BL120" i="1"/>
  <c r="DT211" i="1"/>
  <c r="DT212" i="1"/>
  <c r="DT203" i="1"/>
  <c r="DT204" i="1"/>
  <c r="DT177" i="1" s="1"/>
  <c r="DU265" i="1"/>
  <c r="DU250" i="1"/>
  <c r="DU235" i="1"/>
  <c r="DU190" i="1"/>
  <c r="DU195" i="1" s="1"/>
  <c r="DU220" i="1"/>
  <c r="DU174" i="1"/>
  <c r="DU157" i="1"/>
  <c r="DU200" i="1"/>
  <c r="DU142" i="1"/>
  <c r="DU127" i="1"/>
  <c r="DU112" i="1"/>
  <c r="DU82" i="1"/>
  <c r="DU87" i="1" s="1"/>
  <c r="DU39" i="1"/>
  <c r="DU66" i="1"/>
  <c r="DU68" i="1" s="1"/>
  <c r="DU92" i="1"/>
  <c r="DU45" i="1"/>
  <c r="DU51" i="1" s="1"/>
  <c r="DV21" i="1"/>
  <c r="BE159" i="1"/>
  <c r="BE160" i="1" s="1"/>
  <c r="BE75" i="1" s="1"/>
  <c r="BE79" i="1" s="1"/>
  <c r="DV191" i="1"/>
  <c r="DV83" i="1"/>
  <c r="BQ269" i="1"/>
  <c r="BQ270" i="1" s="1"/>
  <c r="BH137" i="1"/>
  <c r="BH135" i="1"/>
  <c r="DT254" i="1"/>
  <c r="DT253" i="1"/>
  <c r="BV256" i="1"/>
  <c r="BV257" i="1" s="1"/>
  <c r="BW252" i="1" s="1"/>
  <c r="DT239" i="1"/>
  <c r="DT238" i="1"/>
  <c r="BU260" i="1"/>
  <c r="BU258" i="1"/>
  <c r="DT131" i="1"/>
  <c r="BF152" i="1"/>
  <c r="BF150" i="1"/>
  <c r="BL119" i="1"/>
  <c r="BM114" i="1" s="1"/>
  <c r="BS267" i="1"/>
  <c r="CF231" i="1"/>
  <c r="CF232" i="1" s="1"/>
  <c r="CF240" i="1"/>
  <c r="BK123" i="1"/>
  <c r="BK124" i="1" s="1"/>
  <c r="BK132" i="1"/>
  <c r="BF149" i="1"/>
  <c r="BG144" i="1" s="1"/>
  <c r="BJ125" i="1"/>
  <c r="DT184" i="1"/>
  <c r="DT76" i="1"/>
  <c r="BY245" i="1"/>
  <c r="BY243" i="1"/>
  <c r="DT116" i="1"/>
  <c r="BX246" i="1"/>
  <c r="BX247" i="1" s="1"/>
  <c r="BX255" i="1"/>
  <c r="BM106" i="1" l="1"/>
  <c r="BN102" i="1" s="1"/>
  <c r="BN103" i="1" s="1"/>
  <c r="DT185" i="1"/>
  <c r="BN95" i="1"/>
  <c r="BN100" i="1" s="1"/>
  <c r="BM109" i="1"/>
  <c r="BM110" i="1" s="1"/>
  <c r="BM107" i="1"/>
  <c r="CI226" i="1"/>
  <c r="CI227" i="1" s="1"/>
  <c r="CJ222" i="1" s="1"/>
  <c r="BW256" i="1"/>
  <c r="DU131" i="1"/>
  <c r="CG240" i="1"/>
  <c r="CG231" i="1"/>
  <c r="BH138" i="1"/>
  <c r="BH147" i="1"/>
  <c r="BZ245" i="1"/>
  <c r="BZ243" i="1"/>
  <c r="DU104" i="1"/>
  <c r="DU40" i="1" s="1"/>
  <c r="DU96" i="1"/>
  <c r="DU77" i="1" s="1"/>
  <c r="DU211" i="1"/>
  <c r="DU212" i="1"/>
  <c r="DU203" i="1"/>
  <c r="DU204" i="1"/>
  <c r="DU177" i="1" s="1"/>
  <c r="BL132" i="1"/>
  <c r="BL123" i="1"/>
  <c r="CN225" i="1"/>
  <c r="CN202" i="1"/>
  <c r="CO205" i="1"/>
  <c r="CO206" i="1" s="1"/>
  <c r="CP201" i="1" s="1"/>
  <c r="CO208" i="1"/>
  <c r="DT69" i="1"/>
  <c r="DT28" i="1"/>
  <c r="CM218" i="1"/>
  <c r="DU184" i="1"/>
  <c r="CA241" i="1"/>
  <c r="CA242" i="1" s="1"/>
  <c r="CB237" i="1" s="1"/>
  <c r="DU224" i="1"/>
  <c r="DU223" i="1"/>
  <c r="BM115" i="1"/>
  <c r="BM118" i="1" s="1"/>
  <c r="BK125" i="1"/>
  <c r="CN213" i="1"/>
  <c r="CN207" i="1"/>
  <c r="DU146" i="1"/>
  <c r="BS176" i="1"/>
  <c r="BS179" i="1" s="1"/>
  <c r="BS268" i="1"/>
  <c r="BS183" i="1" s="1"/>
  <c r="BS187" i="1" s="1"/>
  <c r="DU238" i="1"/>
  <c r="DU239" i="1"/>
  <c r="DT77" i="1"/>
  <c r="DU76" i="1"/>
  <c r="CH230" i="1"/>
  <c r="CH228" i="1"/>
  <c r="BF153" i="1"/>
  <c r="BF154" i="1" s="1"/>
  <c r="BF155" i="1" s="1"/>
  <c r="CE233" i="1"/>
  <c r="BI133" i="1"/>
  <c r="BI134" i="1" s="1"/>
  <c r="BJ129" i="1" s="1"/>
  <c r="BX248" i="1"/>
  <c r="CF233" i="1"/>
  <c r="BE161" i="1"/>
  <c r="BE162" i="1" s="1"/>
  <c r="BE68" i="1"/>
  <c r="BE71" i="1" s="1"/>
  <c r="BY246" i="1"/>
  <c r="BY255" i="1"/>
  <c r="BT267" i="1"/>
  <c r="BG145" i="1"/>
  <c r="DV265" i="1"/>
  <c r="DV250" i="1"/>
  <c r="DV235" i="1"/>
  <c r="DV200" i="1"/>
  <c r="DV220" i="1"/>
  <c r="DV157" i="1"/>
  <c r="DV190" i="1"/>
  <c r="DV195" i="1" s="1"/>
  <c r="F197" i="1" s="1"/>
  <c r="DV174" i="1"/>
  <c r="DV142" i="1"/>
  <c r="DV127" i="1"/>
  <c r="DV112" i="1"/>
  <c r="DV66" i="1"/>
  <c r="DV68" i="1" s="1"/>
  <c r="DV92" i="1"/>
  <c r="DV45" i="1"/>
  <c r="DV51" i="1" s="1"/>
  <c r="DV82" i="1"/>
  <c r="DV87" i="1" s="1"/>
  <c r="F89" i="1" s="1"/>
  <c r="DV39" i="1"/>
  <c r="D39" i="1" s="1"/>
  <c r="E21" i="1"/>
  <c r="DU253" i="1"/>
  <c r="DU254" i="1"/>
  <c r="BU261" i="1"/>
  <c r="BV260" i="1"/>
  <c r="BV258" i="1"/>
  <c r="DU116" i="1"/>
  <c r="BN97" i="1" l="1"/>
  <c r="DU185" i="1"/>
  <c r="BG148" i="1"/>
  <c r="BG149" i="1" s="1"/>
  <c r="BH144" i="1" s="1"/>
  <c r="BH145" i="1" s="1"/>
  <c r="BN105" i="1"/>
  <c r="BN99" i="1"/>
  <c r="BN98" i="1"/>
  <c r="BO93" i="1" s="1"/>
  <c r="BS269" i="1"/>
  <c r="BS270" i="1" s="1"/>
  <c r="BN117" i="1"/>
  <c r="BN94" i="1"/>
  <c r="BM122" i="1"/>
  <c r="BM120" i="1"/>
  <c r="CJ226" i="1"/>
  <c r="CJ227" i="1" s="1"/>
  <c r="CK222" i="1" s="1"/>
  <c r="CB241" i="1"/>
  <c r="CB242" i="1" s="1"/>
  <c r="CC237" i="1" s="1"/>
  <c r="CP208" i="1"/>
  <c r="CP205" i="1"/>
  <c r="DV223" i="1"/>
  <c r="DV224" i="1"/>
  <c r="DV253" i="1"/>
  <c r="DV254" i="1"/>
  <c r="BI137" i="1"/>
  <c r="BI135" i="1"/>
  <c r="F196" i="1"/>
  <c r="F88" i="1"/>
  <c r="F52" i="1"/>
  <c r="CN217" i="1"/>
  <c r="CN215" i="1"/>
  <c r="CN214" i="1"/>
  <c r="CO210" i="1" s="1"/>
  <c r="BT176" i="1"/>
  <c r="BT179" i="1" s="1"/>
  <c r="DV212" i="1"/>
  <c r="DV211" i="1"/>
  <c r="DV203" i="1"/>
  <c r="DV204" i="1"/>
  <c r="DV177" i="1" s="1"/>
  <c r="D177" i="1" s="1"/>
  <c r="DV77" i="1"/>
  <c r="D77" i="1" s="1"/>
  <c r="DV76" i="1"/>
  <c r="D76" i="1" s="1"/>
  <c r="BM119" i="1"/>
  <c r="BN114" i="1" s="1"/>
  <c r="BL124" i="1"/>
  <c r="DU69" i="1"/>
  <c r="DU28" i="1"/>
  <c r="CG232" i="1"/>
  <c r="D11" i="1"/>
  <c r="F53" i="1"/>
  <c r="CA245" i="1"/>
  <c r="CA243" i="1"/>
  <c r="DV238" i="1"/>
  <c r="DV239" i="1"/>
  <c r="BH139" i="1"/>
  <c r="DV131" i="1"/>
  <c r="BY247" i="1"/>
  <c r="BZ246" i="1"/>
  <c r="BZ247" i="1" s="1"/>
  <c r="BZ255" i="1"/>
  <c r="BJ130" i="1"/>
  <c r="BJ133" i="1" s="1"/>
  <c r="CI230" i="1"/>
  <c r="CI228" i="1"/>
  <c r="BU262" i="1"/>
  <c r="BU263" i="1" s="1"/>
  <c r="CH231" i="1"/>
  <c r="CH232" i="1"/>
  <c r="CH240" i="1"/>
  <c r="DV116" i="1"/>
  <c r="DV146" i="1"/>
  <c r="BG152" i="1"/>
  <c r="BW260" i="1"/>
  <c r="BW258" i="1"/>
  <c r="DV104" i="1"/>
  <c r="DV40" i="1" s="1"/>
  <c r="DV96" i="1"/>
  <c r="DV184" i="1"/>
  <c r="D184" i="1" s="1"/>
  <c r="BT268" i="1"/>
  <c r="BT183" i="1" s="1"/>
  <c r="BT187" i="1" s="1"/>
  <c r="BF159" i="1"/>
  <c r="BF160" i="1" s="1"/>
  <c r="BF75" i="1" s="1"/>
  <c r="BF79" i="1" s="1"/>
  <c r="CO225" i="1"/>
  <c r="CO202" i="1"/>
  <c r="BW257" i="1"/>
  <c r="BX252" i="1" s="1"/>
  <c r="BV261" i="1"/>
  <c r="CO213" i="1"/>
  <c r="CO207" i="1"/>
  <c r="BG150" i="1" l="1"/>
  <c r="BT269" i="1"/>
  <c r="BT270" i="1" s="1"/>
  <c r="BO95" i="1"/>
  <c r="BO97" i="1" s="1"/>
  <c r="BO98" i="1" s="1"/>
  <c r="BP93" i="1" s="1"/>
  <c r="BN107" i="1"/>
  <c r="BN109" i="1"/>
  <c r="BN110" i="1" s="1"/>
  <c r="BN106" i="1"/>
  <c r="BO102" i="1" s="1"/>
  <c r="CO214" i="1"/>
  <c r="CP210" i="1" s="1"/>
  <c r="BZ248" i="1"/>
  <c r="D40" i="1"/>
  <c r="BW261" i="1"/>
  <c r="CI240" i="1"/>
  <c r="CI231" i="1"/>
  <c r="CI232" i="1" s="1"/>
  <c r="CG233" i="1"/>
  <c r="CN218" i="1"/>
  <c r="BG153" i="1"/>
  <c r="BG154" i="1" s="1"/>
  <c r="BG155" i="1" s="1"/>
  <c r="CC241" i="1"/>
  <c r="BN115" i="1"/>
  <c r="D9" i="1"/>
  <c r="D10" i="1"/>
  <c r="DV185" i="1"/>
  <c r="BL125" i="1"/>
  <c r="CH233" i="1"/>
  <c r="CK226" i="1"/>
  <c r="CK227" i="1" s="1"/>
  <c r="CL222" i="1" s="1"/>
  <c r="BI138" i="1"/>
  <c r="BI139" i="1" s="1"/>
  <c r="BI147" i="1"/>
  <c r="CJ230" i="1"/>
  <c r="CJ228" i="1"/>
  <c r="BX256" i="1"/>
  <c r="BX257" i="1" s="1"/>
  <c r="BY252" i="1" s="1"/>
  <c r="BJ137" i="1"/>
  <c r="BJ135" i="1"/>
  <c r="BJ134" i="1"/>
  <c r="BK129" i="1" s="1"/>
  <c r="CA246" i="1"/>
  <c r="CA247" i="1" s="1"/>
  <c r="CA255" i="1"/>
  <c r="CP213" i="1"/>
  <c r="CP207" i="1"/>
  <c r="CP206" i="1"/>
  <c r="CQ201" i="1" s="1"/>
  <c r="CB245" i="1"/>
  <c r="CB243" i="1"/>
  <c r="BF161" i="1"/>
  <c r="BF162" i="1" s="1"/>
  <c r="BF68" i="1"/>
  <c r="BF71" i="1" s="1"/>
  <c r="CO215" i="1"/>
  <c r="CO217" i="1"/>
  <c r="BY248" i="1"/>
  <c r="BU267" i="1"/>
  <c r="BH140" i="1"/>
  <c r="BH148" i="1" s="1"/>
  <c r="BV262" i="1"/>
  <c r="BV263" i="1" s="1"/>
  <c r="DV69" i="1"/>
  <c r="DV28" i="1"/>
  <c r="CP225" i="1"/>
  <c r="CP202" i="1"/>
  <c r="BM123" i="1"/>
  <c r="BM132" i="1"/>
  <c r="BN118" i="1" l="1"/>
  <c r="BO100" i="1"/>
  <c r="BP95" i="1"/>
  <c r="BP100" i="1" s="1"/>
  <c r="BO94" i="1"/>
  <c r="BO117" i="1"/>
  <c r="BO103" i="1"/>
  <c r="BO99" i="1"/>
  <c r="BO105" i="1"/>
  <c r="BH152" i="1"/>
  <c r="BH150" i="1"/>
  <c r="BH149" i="1"/>
  <c r="BI144" i="1" s="1"/>
  <c r="CL226" i="1"/>
  <c r="CL227" i="1" s="1"/>
  <c r="CM222" i="1" s="1"/>
  <c r="CI233" i="1"/>
  <c r="BY256" i="1"/>
  <c r="BN122" i="1"/>
  <c r="BN120" i="1"/>
  <c r="CO218" i="1"/>
  <c r="BG159" i="1"/>
  <c r="BN119" i="1"/>
  <c r="BO114" i="1" s="1"/>
  <c r="BK130" i="1"/>
  <c r="BK133" i="1" s="1"/>
  <c r="D69" i="1"/>
  <c r="BV267" i="1"/>
  <c r="BV268" i="1" s="1"/>
  <c r="BV183" i="1" s="1"/>
  <c r="BV187" i="1" s="1"/>
  <c r="BU176" i="1"/>
  <c r="BU179" i="1" s="1"/>
  <c r="BU268" i="1"/>
  <c r="BU183" i="1" s="1"/>
  <c r="BU187" i="1" s="1"/>
  <c r="CB246" i="1"/>
  <c r="CB247" i="1" s="1"/>
  <c r="CB255" i="1"/>
  <c r="CC245" i="1"/>
  <c r="CC243" i="1"/>
  <c r="CP217" i="1"/>
  <c r="CP215" i="1"/>
  <c r="CA248" i="1"/>
  <c r="BM124" i="1"/>
  <c r="CC242" i="1"/>
  <c r="CD237" i="1" s="1"/>
  <c r="BX260" i="1"/>
  <c r="BX258" i="1"/>
  <c r="CQ208" i="1"/>
  <c r="CQ205" i="1"/>
  <c r="CQ206" i="1" s="1"/>
  <c r="CR201" i="1" s="1"/>
  <c r="CJ240" i="1"/>
  <c r="CJ231" i="1"/>
  <c r="CJ232" i="1" s="1"/>
  <c r="CP214" i="1"/>
  <c r="CQ210" i="1" s="1"/>
  <c r="D28" i="1"/>
  <c r="BI140" i="1"/>
  <c r="CK230" i="1"/>
  <c r="CK228" i="1"/>
  <c r="BJ138" i="1"/>
  <c r="BJ139" i="1" s="1"/>
  <c r="BJ147" i="1"/>
  <c r="D185" i="1"/>
  <c r="BW262" i="1"/>
  <c r="BW263" i="1" s="1"/>
  <c r="BP97" i="1" l="1"/>
  <c r="BO109" i="1"/>
  <c r="BO110" i="1" s="1"/>
  <c r="BO107" i="1"/>
  <c r="BO106" i="1"/>
  <c r="BP102" i="1" s="1"/>
  <c r="BP117" i="1"/>
  <c r="BP94" i="1"/>
  <c r="BP99" i="1"/>
  <c r="BP105" i="1"/>
  <c r="BK134" i="1"/>
  <c r="BL129" i="1" s="1"/>
  <c r="BP98" i="1"/>
  <c r="BQ93" i="1" s="1"/>
  <c r="BL130" i="1"/>
  <c r="BJ140" i="1"/>
  <c r="CR208" i="1"/>
  <c r="CR205" i="1"/>
  <c r="CR206" i="1" s="1"/>
  <c r="CS201" i="1" s="1"/>
  <c r="CK231" i="1"/>
  <c r="CK232" i="1" s="1"/>
  <c r="CK240" i="1"/>
  <c r="CL230" i="1"/>
  <c r="CL228" i="1"/>
  <c r="BY260" i="1"/>
  <c r="BY258" i="1"/>
  <c r="CC246" i="1"/>
  <c r="CC247" i="1"/>
  <c r="CC255" i="1"/>
  <c r="BG68" i="1"/>
  <c r="BG71" i="1" s="1"/>
  <c r="BI145" i="1"/>
  <c r="BO115" i="1"/>
  <c r="BO118" i="1" s="1"/>
  <c r="CJ233" i="1"/>
  <c r="BW267" i="1"/>
  <c r="BW268" i="1" s="1"/>
  <c r="BW183" i="1" s="1"/>
  <c r="BW187" i="1" s="1"/>
  <c r="CB248" i="1"/>
  <c r="BK137" i="1"/>
  <c r="BK135" i="1"/>
  <c r="CQ225" i="1"/>
  <c r="CQ202" i="1"/>
  <c r="BH153" i="1"/>
  <c r="BH154" i="1" s="1"/>
  <c r="BH155" i="1" s="1"/>
  <c r="BG160" i="1"/>
  <c r="BG75" i="1" s="1"/>
  <c r="BG79" i="1" s="1"/>
  <c r="CQ213" i="1"/>
  <c r="CQ214" i="1" s="1"/>
  <c r="CR210" i="1" s="1"/>
  <c r="CQ207" i="1"/>
  <c r="CM226" i="1"/>
  <c r="CM227" i="1" s="1"/>
  <c r="CN222" i="1" s="1"/>
  <c r="BX261" i="1"/>
  <c r="BX262" i="1" s="1"/>
  <c r="BX263" i="1" s="1"/>
  <c r="CP218" i="1"/>
  <c r="BV269" i="1"/>
  <c r="BV270" i="1" s="1"/>
  <c r="BV176" i="1"/>
  <c r="BV179" i="1" s="1"/>
  <c r="BN123" i="1"/>
  <c r="BN124" i="1" s="1"/>
  <c r="BN132" i="1"/>
  <c r="CD241" i="1"/>
  <c r="BM125" i="1"/>
  <c r="BU269" i="1"/>
  <c r="BU270" i="1" s="1"/>
  <c r="BY257" i="1"/>
  <c r="BZ252" i="1" s="1"/>
  <c r="BP107" i="1" l="1"/>
  <c r="BP109" i="1"/>
  <c r="BP110" i="1" s="1"/>
  <c r="BP103" i="1"/>
  <c r="BP106" i="1" s="1"/>
  <c r="BQ102" i="1" s="1"/>
  <c r="BQ103" i="1" s="1"/>
  <c r="BQ95" i="1"/>
  <c r="BQ97" i="1" s="1"/>
  <c r="BQ98" i="1" s="1"/>
  <c r="BR93" i="1" s="1"/>
  <c r="BI148" i="1"/>
  <c r="BI152" i="1" s="1"/>
  <c r="CS208" i="1"/>
  <c r="CS205" i="1"/>
  <c r="BO122" i="1"/>
  <c r="BO120" i="1"/>
  <c r="CK233" i="1"/>
  <c r="BZ256" i="1"/>
  <c r="BZ257" i="1" s="1"/>
  <c r="CA252" i="1" s="1"/>
  <c r="CM230" i="1"/>
  <c r="CM228" i="1"/>
  <c r="BK138" i="1"/>
  <c r="BK147" i="1"/>
  <c r="BO119" i="1"/>
  <c r="BP114" i="1" s="1"/>
  <c r="BY261" i="1"/>
  <c r="CR225" i="1"/>
  <c r="CR202" i="1"/>
  <c r="CQ217" i="1"/>
  <c r="CQ215" i="1"/>
  <c r="CL231" i="1"/>
  <c r="CL232" i="1" s="1"/>
  <c r="CL240" i="1"/>
  <c r="CC248" i="1"/>
  <c r="BL133" i="1"/>
  <c r="BL134" i="1" s="1"/>
  <c r="BM129" i="1" s="1"/>
  <c r="BX267" i="1"/>
  <c r="BN125" i="1"/>
  <c r="CN226" i="1"/>
  <c r="CR213" i="1"/>
  <c r="CR214" i="1" s="1"/>
  <c r="CS210" i="1" s="1"/>
  <c r="CR207" i="1"/>
  <c r="CD245" i="1"/>
  <c r="CD243" i="1"/>
  <c r="BH159" i="1"/>
  <c r="BH160" i="1" s="1"/>
  <c r="BH75" i="1" s="1"/>
  <c r="BH79" i="1" s="1"/>
  <c r="CD242" i="1"/>
  <c r="CE237" i="1" s="1"/>
  <c r="BW269" i="1"/>
  <c r="BW270" i="1" s="1"/>
  <c r="BW176" i="1"/>
  <c r="BW179" i="1" s="1"/>
  <c r="BG161" i="1"/>
  <c r="BG162" i="1" s="1"/>
  <c r="BQ99" i="1" l="1"/>
  <c r="BQ105" i="1"/>
  <c r="BQ100" i="1"/>
  <c r="BI150" i="1"/>
  <c r="BI149" i="1"/>
  <c r="BJ144" i="1" s="1"/>
  <c r="BJ145" i="1" s="1"/>
  <c r="BJ148" i="1" s="1"/>
  <c r="BJ150" i="1" s="1"/>
  <c r="BQ106" i="1"/>
  <c r="BR102" i="1" s="1"/>
  <c r="BR95" i="1"/>
  <c r="BR97" i="1" s="1"/>
  <c r="BR98" i="1" s="1"/>
  <c r="BS93" i="1" s="1"/>
  <c r="CM240" i="1"/>
  <c r="CM231" i="1"/>
  <c r="CM232" i="1" s="1"/>
  <c r="BO132" i="1"/>
  <c r="BO123" i="1"/>
  <c r="BX176" i="1"/>
  <c r="BX179" i="1" s="1"/>
  <c r="CQ218" i="1"/>
  <c r="BY262" i="1"/>
  <c r="BY263" i="1" s="1"/>
  <c r="CL233" i="1"/>
  <c r="CE241" i="1"/>
  <c r="CE242" i="1" s="1"/>
  <c r="CF237" i="1" s="1"/>
  <c r="BZ260" i="1"/>
  <c r="BZ258" i="1"/>
  <c r="CS213" i="1"/>
  <c r="CS207" i="1"/>
  <c r="CA256" i="1"/>
  <c r="CA257" i="1" s="1"/>
  <c r="CB252" i="1" s="1"/>
  <c r="BI153" i="1"/>
  <c r="BI154" i="1" s="1"/>
  <c r="BI155" i="1" s="1"/>
  <c r="BH161" i="1"/>
  <c r="BH162" i="1" s="1"/>
  <c r="BH68" i="1"/>
  <c r="BH71" i="1" s="1"/>
  <c r="BX268" i="1"/>
  <c r="BX183" i="1" s="1"/>
  <c r="BX187" i="1" s="1"/>
  <c r="BP115" i="1"/>
  <c r="BP118" i="1" s="1"/>
  <c r="BP119" i="1" s="1"/>
  <c r="BQ114" i="1" s="1"/>
  <c r="BM130" i="1"/>
  <c r="CD246" i="1"/>
  <c r="CD255" i="1"/>
  <c r="BL137" i="1"/>
  <c r="BL135" i="1"/>
  <c r="CS225" i="1"/>
  <c r="CS202" i="1"/>
  <c r="CN230" i="1"/>
  <c r="CN228" i="1"/>
  <c r="CN227" i="1"/>
  <c r="CO222" i="1" s="1"/>
  <c r="CR217" i="1"/>
  <c r="CR215" i="1"/>
  <c r="BK139" i="1"/>
  <c r="CS206" i="1"/>
  <c r="CT201" i="1" s="1"/>
  <c r="BJ152" i="1" l="1"/>
  <c r="BR100" i="1"/>
  <c r="BR94" i="1" s="1"/>
  <c r="BX269" i="1"/>
  <c r="BX270" i="1" s="1"/>
  <c r="BM133" i="1"/>
  <c r="BM134" i="1" s="1"/>
  <c r="BN129" i="1" s="1"/>
  <c r="BS95" i="1"/>
  <c r="BS100" i="1" s="1"/>
  <c r="BJ149" i="1"/>
  <c r="BK144" i="1" s="1"/>
  <c r="BK145" i="1" s="1"/>
  <c r="BQ94" i="1"/>
  <c r="BQ117" i="1"/>
  <c r="BQ109" i="1"/>
  <c r="BQ110" i="1" s="1"/>
  <c r="BQ107" i="1"/>
  <c r="BR99" i="1"/>
  <c r="BR105" i="1"/>
  <c r="BR103" i="1"/>
  <c r="BQ115" i="1"/>
  <c r="CT208" i="1"/>
  <c r="CT205" i="1"/>
  <c r="CT206" i="1" s="1"/>
  <c r="CU201" i="1" s="1"/>
  <c r="CR218" i="1"/>
  <c r="BJ153" i="1"/>
  <c r="BJ154" i="1" s="1"/>
  <c r="BJ155" i="1" s="1"/>
  <c r="CA260" i="1"/>
  <c r="CA258" i="1"/>
  <c r="CD247" i="1"/>
  <c r="CS217" i="1"/>
  <c r="CS215" i="1"/>
  <c r="CO226" i="1"/>
  <c r="BY267" i="1"/>
  <c r="BO124" i="1"/>
  <c r="CF241" i="1"/>
  <c r="CF242" i="1" s="1"/>
  <c r="CG237" i="1" s="1"/>
  <c r="CM233" i="1"/>
  <c r="BK140" i="1"/>
  <c r="CB256" i="1"/>
  <c r="CB257" i="1" s="1"/>
  <c r="CC252" i="1" s="1"/>
  <c r="CN240" i="1"/>
  <c r="CN231" i="1"/>
  <c r="CN232" i="1" s="1"/>
  <c r="BZ261" i="1"/>
  <c r="BZ262" i="1" s="1"/>
  <c r="BZ263" i="1" s="1"/>
  <c r="BP122" i="1"/>
  <c r="BP120" i="1"/>
  <c r="BI159" i="1"/>
  <c r="BL138" i="1"/>
  <c r="BL139" i="1" s="1"/>
  <c r="BL147" i="1"/>
  <c r="CE245" i="1"/>
  <c r="CE243" i="1"/>
  <c r="CS214" i="1"/>
  <c r="CT210" i="1" s="1"/>
  <c r="BM135" i="1" l="1"/>
  <c r="BM137" i="1"/>
  <c r="BM138" i="1" s="1"/>
  <c r="BR117" i="1"/>
  <c r="BR106" i="1"/>
  <c r="BS102" i="1" s="1"/>
  <c r="BN130" i="1"/>
  <c r="BN133" i="1" s="1"/>
  <c r="BS103" i="1"/>
  <c r="BR109" i="1"/>
  <c r="BR110" i="1" s="1"/>
  <c r="BR107" i="1"/>
  <c r="BK148" i="1"/>
  <c r="BK152" i="1" s="1"/>
  <c r="BQ118" i="1"/>
  <c r="BQ119" i="1" s="1"/>
  <c r="BR114" i="1" s="1"/>
  <c r="BS97" i="1"/>
  <c r="BS94" i="1"/>
  <c r="BS117" i="1"/>
  <c r="CC256" i="1"/>
  <c r="CC257" i="1" s="1"/>
  <c r="CD252" i="1" s="1"/>
  <c r="CU208" i="1"/>
  <c r="CU205" i="1"/>
  <c r="CU206" i="1" s="1"/>
  <c r="CV201" i="1" s="1"/>
  <c r="BL140" i="1"/>
  <c r="CG241" i="1"/>
  <c r="CG242" i="1" s="1"/>
  <c r="CH237" i="1" s="1"/>
  <c r="CT225" i="1"/>
  <c r="CT202" i="1"/>
  <c r="BJ159" i="1"/>
  <c r="BJ160" i="1" s="1"/>
  <c r="BJ75" i="1" s="1"/>
  <c r="BJ79" i="1" s="1"/>
  <c r="CN233" i="1"/>
  <c r="CB260" i="1"/>
  <c r="CB258" i="1"/>
  <c r="CE246" i="1"/>
  <c r="CE247" i="1" s="1"/>
  <c r="CE255" i="1"/>
  <c r="CD248" i="1"/>
  <c r="BM147" i="1"/>
  <c r="CT213" i="1"/>
  <c r="CT214" i="1" s="1"/>
  <c r="CU210" i="1" s="1"/>
  <c r="CT207" i="1"/>
  <c r="CS218" i="1"/>
  <c r="BP123" i="1"/>
  <c r="BP124" i="1" s="1"/>
  <c r="BP132" i="1"/>
  <c r="CF245" i="1"/>
  <c r="CF243" i="1"/>
  <c r="BZ267" i="1"/>
  <c r="CA261" i="1"/>
  <c r="CA262" i="1" s="1"/>
  <c r="CA263" i="1" s="1"/>
  <c r="CO230" i="1"/>
  <c r="CO228" i="1"/>
  <c r="CO227" i="1"/>
  <c r="CP222" i="1" s="1"/>
  <c r="BI68" i="1"/>
  <c r="BI71" i="1" s="1"/>
  <c r="BI160" i="1"/>
  <c r="BI75" i="1" s="1"/>
  <c r="BI79" i="1" s="1"/>
  <c r="BO125" i="1"/>
  <c r="BY176" i="1"/>
  <c r="BY179" i="1" s="1"/>
  <c r="BY268" i="1"/>
  <c r="BY183" i="1" s="1"/>
  <c r="BY187" i="1" s="1"/>
  <c r="BQ120" i="1" l="1"/>
  <c r="BQ122" i="1"/>
  <c r="BN134" i="1"/>
  <c r="BO129" i="1" s="1"/>
  <c r="BO130" i="1" s="1"/>
  <c r="BO133" i="1" s="1"/>
  <c r="BO135" i="1" s="1"/>
  <c r="BN137" i="1"/>
  <c r="BN135" i="1"/>
  <c r="BK149" i="1"/>
  <c r="BL144" i="1" s="1"/>
  <c r="BL145" i="1" s="1"/>
  <c r="BS98" i="1"/>
  <c r="BT93" i="1" s="1"/>
  <c r="BS99" i="1"/>
  <c r="BS105" i="1"/>
  <c r="BK150" i="1"/>
  <c r="CV208" i="1"/>
  <c r="CV205" i="1"/>
  <c r="CE248" i="1"/>
  <c r="CP226" i="1"/>
  <c r="CB261" i="1"/>
  <c r="CB262" i="1" s="1"/>
  <c r="CB263" i="1" s="1"/>
  <c r="BR115" i="1"/>
  <c r="BR118" i="1" s="1"/>
  <c r="BR119" i="1" s="1"/>
  <c r="BS114" i="1" s="1"/>
  <c r="BP125" i="1"/>
  <c r="BQ132" i="1"/>
  <c r="BQ123" i="1"/>
  <c r="BJ161" i="1"/>
  <c r="BJ162" i="1" s="1"/>
  <c r="BJ68" i="1"/>
  <c r="BJ71" i="1" s="1"/>
  <c r="BI161" i="1"/>
  <c r="BI162" i="1" s="1"/>
  <c r="CA267" i="1"/>
  <c r="CA268" i="1" s="1"/>
  <c r="CA183" i="1" s="1"/>
  <c r="CA187" i="1" s="1"/>
  <c r="CF246" i="1"/>
  <c r="CF247" i="1" s="1"/>
  <c r="CF255" i="1"/>
  <c r="CH241" i="1"/>
  <c r="CH242" i="1"/>
  <c r="CI237" i="1" s="1"/>
  <c r="CU225" i="1"/>
  <c r="CU202" i="1"/>
  <c r="BZ176" i="1"/>
  <c r="BZ179" i="1" s="1"/>
  <c r="CO231" i="1"/>
  <c r="CO240" i="1"/>
  <c r="BM139" i="1"/>
  <c r="BY269" i="1"/>
  <c r="BY270" i="1" s="1"/>
  <c r="CG245" i="1"/>
  <c r="CG243" i="1"/>
  <c r="CD256" i="1"/>
  <c r="CT217" i="1"/>
  <c r="CT215" i="1"/>
  <c r="BN138" i="1"/>
  <c r="BN147" i="1"/>
  <c r="BK153" i="1"/>
  <c r="BK154" i="1" s="1"/>
  <c r="BK155" i="1" s="1"/>
  <c r="CU213" i="1"/>
  <c r="CU207" i="1"/>
  <c r="BZ268" i="1"/>
  <c r="BZ183" i="1" s="1"/>
  <c r="BZ187" i="1" s="1"/>
  <c r="CC260" i="1"/>
  <c r="CC258" i="1"/>
  <c r="BN139" i="1" l="1"/>
  <c r="BO134" i="1"/>
  <c r="BP129" i="1" s="1"/>
  <c r="BO137" i="1"/>
  <c r="BO138" i="1" s="1"/>
  <c r="BL148" i="1"/>
  <c r="BL152" i="1" s="1"/>
  <c r="BS109" i="1"/>
  <c r="BS110" i="1" s="1"/>
  <c r="BS107" i="1"/>
  <c r="BZ269" i="1"/>
  <c r="BZ270" i="1" s="1"/>
  <c r="BT95" i="1"/>
  <c r="BT100" i="1" s="1"/>
  <c r="BS106" i="1"/>
  <c r="BT102" i="1" s="1"/>
  <c r="BS115" i="1"/>
  <c r="BS118" i="1" s="1"/>
  <c r="CB267" i="1"/>
  <c r="CB268" i="1" s="1"/>
  <c r="CB183" i="1" s="1"/>
  <c r="CB187" i="1" s="1"/>
  <c r="CG246" i="1"/>
  <c r="CG255" i="1"/>
  <c r="CD260" i="1"/>
  <c r="CD258" i="1"/>
  <c r="CP230" i="1"/>
  <c r="CP228" i="1"/>
  <c r="CU215" i="1"/>
  <c r="CU217" i="1"/>
  <c r="CF248" i="1"/>
  <c r="BL150" i="1"/>
  <c r="CV213" i="1"/>
  <c r="CV207" i="1"/>
  <c r="CD257" i="1"/>
  <c r="CE252" i="1" s="1"/>
  <c r="BQ124" i="1"/>
  <c r="BK159" i="1"/>
  <c r="BK160" i="1" s="1"/>
  <c r="BK75" i="1" s="1"/>
  <c r="BK79" i="1" s="1"/>
  <c r="CA269" i="1"/>
  <c r="CA270" i="1" s="1"/>
  <c r="CA176" i="1"/>
  <c r="CA179" i="1" s="1"/>
  <c r="CU214" i="1"/>
  <c r="CV210" i="1" s="1"/>
  <c r="BM140" i="1"/>
  <c r="CO232" i="1"/>
  <c r="CI241" i="1"/>
  <c r="CI242" i="1" s="1"/>
  <c r="CJ237" i="1" s="1"/>
  <c r="BP130" i="1"/>
  <c r="BP133" i="1" s="1"/>
  <c r="CV225" i="1"/>
  <c r="CV202" i="1"/>
  <c r="BN140" i="1"/>
  <c r="BR122" i="1"/>
  <c r="BR120" i="1"/>
  <c r="CC261" i="1"/>
  <c r="CC262" i="1" s="1"/>
  <c r="CC263" i="1" s="1"/>
  <c r="CT218" i="1"/>
  <c r="CH245" i="1"/>
  <c r="CH243" i="1"/>
  <c r="CP227" i="1"/>
  <c r="CQ222" i="1" s="1"/>
  <c r="CV206" i="1"/>
  <c r="CW201" i="1" s="1"/>
  <c r="BO147" i="1" l="1"/>
  <c r="BL149" i="1"/>
  <c r="BM144" i="1" s="1"/>
  <c r="BM145" i="1" s="1"/>
  <c r="BM148" i="1" s="1"/>
  <c r="BM152" i="1" s="1"/>
  <c r="CV214" i="1"/>
  <c r="CW210" i="1" s="1"/>
  <c r="BS119" i="1"/>
  <c r="BT114" i="1" s="1"/>
  <c r="BT115" i="1" s="1"/>
  <c r="BT97" i="1"/>
  <c r="BT98" i="1"/>
  <c r="BU93" i="1" s="1"/>
  <c r="BT103" i="1"/>
  <c r="BT117" i="1"/>
  <c r="BT94" i="1"/>
  <c r="CJ241" i="1"/>
  <c r="CJ242" i="1" s="1"/>
  <c r="CK237" i="1" s="1"/>
  <c r="CC267" i="1"/>
  <c r="CC268" i="1" s="1"/>
  <c r="CC183" i="1" s="1"/>
  <c r="CC187" i="1" s="1"/>
  <c r="BR132" i="1"/>
  <c r="BR123" i="1"/>
  <c r="CH246" i="1"/>
  <c r="CH247" i="1" s="1"/>
  <c r="CH255" i="1"/>
  <c r="BP137" i="1"/>
  <c r="BP135" i="1"/>
  <c r="BP134" i="1"/>
  <c r="BQ129" i="1" s="1"/>
  <c r="CB269" i="1"/>
  <c r="CB270" i="1" s="1"/>
  <c r="CB176" i="1"/>
  <c r="CB179" i="1" s="1"/>
  <c r="CU218" i="1"/>
  <c r="CV215" i="1"/>
  <c r="CV217" i="1"/>
  <c r="BS122" i="1"/>
  <c r="BS120" i="1"/>
  <c r="BQ125" i="1"/>
  <c r="CP231" i="1"/>
  <c r="CP232" i="1" s="1"/>
  <c r="CP240" i="1"/>
  <c r="CE256" i="1"/>
  <c r="CE257" i="1" s="1"/>
  <c r="CF252" i="1" s="1"/>
  <c r="CD261" i="1"/>
  <c r="CD262" i="1" s="1"/>
  <c r="CD263" i="1" s="1"/>
  <c r="CQ226" i="1"/>
  <c r="CQ227" i="1" s="1"/>
  <c r="CR222" i="1" s="1"/>
  <c r="BK161" i="1"/>
  <c r="BK162" i="1" s="1"/>
  <c r="BK68" i="1"/>
  <c r="BK71" i="1" s="1"/>
  <c r="CI245" i="1"/>
  <c r="CI243" i="1"/>
  <c r="CG247" i="1"/>
  <c r="CO233" i="1"/>
  <c r="BL153" i="1"/>
  <c r="BL154" i="1" s="1"/>
  <c r="BL155" i="1" s="1"/>
  <c r="BO139" i="1"/>
  <c r="CW208" i="1"/>
  <c r="CW205" i="1"/>
  <c r="CW206" i="1" s="1"/>
  <c r="CX201" i="1" s="1"/>
  <c r="BM149" i="1" l="1"/>
  <c r="BN144" i="1" s="1"/>
  <c r="BM150" i="1"/>
  <c r="BU95" i="1"/>
  <c r="BU100" i="1" s="1"/>
  <c r="BT105" i="1"/>
  <c r="BT99" i="1"/>
  <c r="CD267" i="1"/>
  <c r="CX208" i="1"/>
  <c r="CX205" i="1"/>
  <c r="CX206" i="1" s="1"/>
  <c r="CY201" i="1" s="1"/>
  <c r="CH248" i="1"/>
  <c r="CV218" i="1"/>
  <c r="BM153" i="1"/>
  <c r="BL159" i="1"/>
  <c r="BN145" i="1"/>
  <c r="BN148" i="1" s="1"/>
  <c r="BQ130" i="1"/>
  <c r="BQ133" i="1" s="1"/>
  <c r="BO140" i="1"/>
  <c r="CR226" i="1"/>
  <c r="CF256" i="1"/>
  <c r="CW213" i="1"/>
  <c r="CW207" i="1"/>
  <c r="CE260" i="1"/>
  <c r="CE258" i="1"/>
  <c r="CQ230" i="1"/>
  <c r="CQ228" i="1"/>
  <c r="CP233" i="1"/>
  <c r="BP138" i="1"/>
  <c r="BP139" i="1" s="1"/>
  <c r="BP147" i="1"/>
  <c r="CK241" i="1"/>
  <c r="CK242" i="1" s="1"/>
  <c r="CL237" i="1" s="1"/>
  <c r="CG248" i="1"/>
  <c r="BS132" i="1"/>
  <c r="BS123" i="1"/>
  <c r="BS124" i="1" s="1"/>
  <c r="CI246" i="1"/>
  <c r="CI247" i="1" s="1"/>
  <c r="CI255" i="1"/>
  <c r="CW225" i="1"/>
  <c r="CW202" i="1"/>
  <c r="CC269" i="1"/>
  <c r="CC270" i="1" s="1"/>
  <c r="CC176" i="1"/>
  <c r="CC179" i="1" s="1"/>
  <c r="BR124" i="1"/>
  <c r="CJ245" i="1"/>
  <c r="CJ243" i="1"/>
  <c r="BU97" i="1" l="1"/>
  <c r="BU98" i="1" s="1"/>
  <c r="BV93" i="1" s="1"/>
  <c r="BV95" i="1" s="1"/>
  <c r="BV97" i="1" s="1"/>
  <c r="BV98" i="1" s="1"/>
  <c r="BW93" i="1" s="1"/>
  <c r="BN149" i="1"/>
  <c r="BO144" i="1" s="1"/>
  <c r="BO145" i="1" s="1"/>
  <c r="BO148" i="1" s="1"/>
  <c r="BT107" i="1"/>
  <c r="BT109" i="1"/>
  <c r="BT110" i="1" s="1"/>
  <c r="BT118" i="1" s="1"/>
  <c r="BU99" i="1"/>
  <c r="BU117" i="1"/>
  <c r="BU94" i="1"/>
  <c r="BT106" i="1"/>
  <c r="BU102" i="1" s="1"/>
  <c r="CI248" i="1"/>
  <c r="CY205" i="1"/>
  <c r="CY206" i="1"/>
  <c r="CZ201" i="1" s="1"/>
  <c r="CY208" i="1"/>
  <c r="BS125" i="1"/>
  <c r="CD176" i="1"/>
  <c r="CD179" i="1" s="1"/>
  <c r="CL241" i="1"/>
  <c r="BM154" i="1"/>
  <c r="BM155" i="1" s="1"/>
  <c r="CD268" i="1"/>
  <c r="CD183" i="1" s="1"/>
  <c r="CD187" i="1" s="1"/>
  <c r="CE261" i="1"/>
  <c r="CE262" i="1" s="1"/>
  <c r="CE263" i="1" s="1"/>
  <c r="BQ137" i="1"/>
  <c r="BQ135" i="1"/>
  <c r="BN152" i="1"/>
  <c r="BN150" i="1"/>
  <c r="CX213" i="1"/>
  <c r="CX207" i="1"/>
  <c r="BP140" i="1"/>
  <c r="CR230" i="1"/>
  <c r="CR228" i="1"/>
  <c r="CW215" i="1"/>
  <c r="CW217" i="1"/>
  <c r="CW214" i="1"/>
  <c r="CX210" i="1" s="1"/>
  <c r="CX225" i="1"/>
  <c r="CX202" i="1"/>
  <c r="CQ240" i="1"/>
  <c r="CQ231" i="1"/>
  <c r="CR227" i="1"/>
  <c r="CS222" i="1" s="1"/>
  <c r="BL68" i="1"/>
  <c r="BL71" i="1" s="1"/>
  <c r="BR125" i="1"/>
  <c r="CK245" i="1"/>
  <c r="CK243" i="1"/>
  <c r="CF260" i="1"/>
  <c r="CF258" i="1"/>
  <c r="CF257" i="1"/>
  <c r="CG252" i="1" s="1"/>
  <c r="BQ134" i="1"/>
  <c r="BR129" i="1" s="1"/>
  <c r="CJ246" i="1"/>
  <c r="CJ255" i="1"/>
  <c r="BL160" i="1"/>
  <c r="BL75" i="1" s="1"/>
  <c r="BL79" i="1" s="1"/>
  <c r="BU105" i="1" l="1"/>
  <c r="BV100" i="1"/>
  <c r="BV117" i="1" s="1"/>
  <c r="BV99" i="1"/>
  <c r="BV105" i="1"/>
  <c r="BV109" i="1" s="1"/>
  <c r="BW95" i="1"/>
  <c r="BW100" i="1" s="1"/>
  <c r="BU107" i="1"/>
  <c r="BU109" i="1"/>
  <c r="BU110" i="1" s="1"/>
  <c r="BT119" i="1"/>
  <c r="BU114" i="1" s="1"/>
  <c r="BT122" i="1"/>
  <c r="BT120" i="1"/>
  <c r="BU103" i="1"/>
  <c r="BU106" i="1" s="1"/>
  <c r="BV102" i="1" s="1"/>
  <c r="BV103" i="1" s="1"/>
  <c r="CX214" i="1"/>
  <c r="CY210" i="1" s="1"/>
  <c r="CD269" i="1"/>
  <c r="CD270" i="1" s="1"/>
  <c r="BO152" i="1"/>
  <c r="BO150" i="1"/>
  <c r="BO149" i="1"/>
  <c r="BP144" i="1" s="1"/>
  <c r="CX217" i="1"/>
  <c r="CX215" i="1"/>
  <c r="BL161" i="1"/>
  <c r="BL162" i="1" s="1"/>
  <c r="BN153" i="1"/>
  <c r="CK246" i="1"/>
  <c r="CK247" i="1" s="1"/>
  <c r="CK255" i="1"/>
  <c r="CZ205" i="1"/>
  <c r="CZ208" i="1"/>
  <c r="CW218" i="1"/>
  <c r="BM159" i="1"/>
  <c r="BM160" i="1" s="1"/>
  <c r="BM75" i="1" s="1"/>
  <c r="BM79" i="1" s="1"/>
  <c r="CJ247" i="1"/>
  <c r="CY225" i="1"/>
  <c r="CY202" i="1"/>
  <c r="CS226" i="1"/>
  <c r="CS227" i="1" s="1"/>
  <c r="CT222" i="1" s="1"/>
  <c r="BQ138" i="1"/>
  <c r="BQ147" i="1"/>
  <c r="CY213" i="1"/>
  <c r="CY207" i="1"/>
  <c r="BR130" i="1"/>
  <c r="BR133" i="1" s="1"/>
  <c r="CG256" i="1"/>
  <c r="CL245" i="1"/>
  <c r="CL243" i="1"/>
  <c r="CR240" i="1"/>
  <c r="CR231" i="1"/>
  <c r="CL242" i="1"/>
  <c r="CM237" i="1" s="1"/>
  <c r="CF261" i="1"/>
  <c r="CE267" i="1"/>
  <c r="CE268" i="1" s="1"/>
  <c r="CE183" i="1" s="1"/>
  <c r="CE187" i="1" s="1"/>
  <c r="CQ232" i="1"/>
  <c r="BV107" i="1" l="1"/>
  <c r="BV94" i="1"/>
  <c r="BW97" i="1"/>
  <c r="BW105" i="1" s="1"/>
  <c r="BW107" i="1" s="1"/>
  <c r="BW117" i="1"/>
  <c r="BW94" i="1"/>
  <c r="BV106" i="1"/>
  <c r="BW102" i="1" s="1"/>
  <c r="BW103" i="1" s="1"/>
  <c r="BU115" i="1"/>
  <c r="BR134" i="1"/>
  <c r="BS129" i="1" s="1"/>
  <c r="BS130" i="1" s="1"/>
  <c r="BT123" i="1"/>
  <c r="BT124" i="1"/>
  <c r="BT125" i="1" s="1"/>
  <c r="BT132" i="1"/>
  <c r="CK248" i="1"/>
  <c r="CT226" i="1"/>
  <c r="CT227" i="1" s="1"/>
  <c r="CU222" i="1" s="1"/>
  <c r="CX218" i="1"/>
  <c r="BN154" i="1"/>
  <c r="BN155" i="1" s="1"/>
  <c r="BR137" i="1"/>
  <c r="BR135" i="1"/>
  <c r="CY217" i="1"/>
  <c r="CY215" i="1"/>
  <c r="CY214" i="1"/>
  <c r="CZ210" i="1" s="1"/>
  <c r="CS230" i="1"/>
  <c r="CS228" i="1"/>
  <c r="CZ225" i="1"/>
  <c r="CZ202" i="1"/>
  <c r="CG260" i="1"/>
  <c r="CG258" i="1"/>
  <c r="BQ139" i="1"/>
  <c r="BP145" i="1"/>
  <c r="BP148" i="1" s="1"/>
  <c r="CQ233" i="1"/>
  <c r="CZ213" i="1"/>
  <c r="CZ207" i="1"/>
  <c r="CE269" i="1"/>
  <c r="CE270" i="1" s="1"/>
  <c r="CE176" i="1"/>
  <c r="CE179" i="1" s="1"/>
  <c r="CL246" i="1"/>
  <c r="CL255" i="1"/>
  <c r="CM241" i="1"/>
  <c r="CG257" i="1"/>
  <c r="CH252" i="1" s="1"/>
  <c r="BM161" i="1"/>
  <c r="BM162" i="1" s="1"/>
  <c r="BM68" i="1"/>
  <c r="BM71" i="1" s="1"/>
  <c r="CR232" i="1"/>
  <c r="CZ206" i="1"/>
  <c r="DA201" i="1" s="1"/>
  <c r="BV110" i="1"/>
  <c r="CF262" i="1"/>
  <c r="CF263" i="1" s="1"/>
  <c r="CJ248" i="1"/>
  <c r="BO153" i="1"/>
  <c r="BW109" i="1" l="1"/>
  <c r="BW106" i="1"/>
  <c r="BX102" i="1" s="1"/>
  <c r="BW98" i="1"/>
  <c r="BX93" i="1" s="1"/>
  <c r="BX95" i="1" s="1"/>
  <c r="BW99" i="1"/>
  <c r="BS133" i="1"/>
  <c r="BS134" i="1" s="1"/>
  <c r="BT129" i="1" s="1"/>
  <c r="BT130" i="1" s="1"/>
  <c r="BT133" i="1" s="1"/>
  <c r="BX97" i="1"/>
  <c r="BX99" i="1" s="1"/>
  <c r="BX100" i="1"/>
  <c r="BX117" i="1" s="1"/>
  <c r="BU118" i="1"/>
  <c r="BU119" i="1" s="1"/>
  <c r="BV114" i="1" s="1"/>
  <c r="BP152" i="1"/>
  <c r="BP150" i="1"/>
  <c r="BP149" i="1"/>
  <c r="BQ144" i="1" s="1"/>
  <c r="BX103" i="1"/>
  <c r="CT230" i="1"/>
  <c r="CT228" i="1"/>
  <c r="BN159" i="1"/>
  <c r="BN160" i="1" s="1"/>
  <c r="BN75" i="1" s="1"/>
  <c r="BN79" i="1" s="1"/>
  <c r="CY218" i="1"/>
  <c r="CU226" i="1"/>
  <c r="CM245" i="1"/>
  <c r="CM243" i="1"/>
  <c r="BS137" i="1"/>
  <c r="BS135" i="1"/>
  <c r="CG261" i="1"/>
  <c r="BO154" i="1"/>
  <c r="BO155" i="1" s="1"/>
  <c r="CZ217" i="1"/>
  <c r="CZ215" i="1"/>
  <c r="BR138" i="1"/>
  <c r="BR139" i="1" s="1"/>
  <c r="BR147" i="1"/>
  <c r="DA205" i="1"/>
  <c r="DA206" i="1"/>
  <c r="DB201" i="1" s="1"/>
  <c r="DA208" i="1"/>
  <c r="BW110" i="1"/>
  <c r="CF267" i="1"/>
  <c r="CF268" i="1" s="1"/>
  <c r="CF183" i="1" s="1"/>
  <c r="CF187" i="1" s="1"/>
  <c r="CZ214" i="1"/>
  <c r="DA210" i="1" s="1"/>
  <c r="CH256" i="1"/>
  <c r="CH257" i="1" s="1"/>
  <c r="CI252" i="1" s="1"/>
  <c r="CM242" i="1"/>
  <c r="CN237" i="1" s="1"/>
  <c r="CS240" i="1"/>
  <c r="CS231" i="1"/>
  <c r="CS232" i="1" s="1"/>
  <c r="CR233" i="1"/>
  <c r="CL247" i="1"/>
  <c r="BQ140" i="1"/>
  <c r="BX98" i="1" l="1"/>
  <c r="BY93" i="1" s="1"/>
  <c r="BX105" i="1"/>
  <c r="BX94" i="1"/>
  <c r="BV115" i="1"/>
  <c r="BV118" i="1" s="1"/>
  <c r="BU122" i="1"/>
  <c r="BU120" i="1"/>
  <c r="BX106" i="1"/>
  <c r="BY102" i="1" s="1"/>
  <c r="BY103" i="1" s="1"/>
  <c r="BR140" i="1"/>
  <c r="BT137" i="1"/>
  <c r="BT135" i="1"/>
  <c r="CT240" i="1"/>
  <c r="CT231" i="1"/>
  <c r="BO159" i="1"/>
  <c r="BO160" i="1" s="1"/>
  <c r="BO75" i="1" s="1"/>
  <c r="BO79" i="1" s="1"/>
  <c r="BS138" i="1"/>
  <c r="BS139" i="1" s="1"/>
  <c r="BS147" i="1"/>
  <c r="BX109" i="1"/>
  <c r="BX107" i="1"/>
  <c r="CF269" i="1"/>
  <c r="CF270" i="1" s="1"/>
  <c r="CF176" i="1"/>
  <c r="CF179" i="1" s="1"/>
  <c r="CS233" i="1"/>
  <c r="CG262" i="1"/>
  <c r="CG263" i="1" s="1"/>
  <c r="CH260" i="1"/>
  <c r="CH258" i="1"/>
  <c r="BY95" i="1"/>
  <c r="BY100" i="1" s="1"/>
  <c r="CN241" i="1"/>
  <c r="CN242" i="1" s="1"/>
  <c r="CO237" i="1" s="1"/>
  <c r="BT134" i="1"/>
  <c r="BU129" i="1" s="1"/>
  <c r="CI256" i="1"/>
  <c r="CI257" i="1" s="1"/>
  <c r="CJ252" i="1" s="1"/>
  <c r="CL248" i="1"/>
  <c r="CM246" i="1"/>
  <c r="CM247" i="1" s="1"/>
  <c r="CM255" i="1"/>
  <c r="DB205" i="1"/>
  <c r="DB208" i="1"/>
  <c r="DB206" i="1"/>
  <c r="DC201" i="1" s="1"/>
  <c r="CZ218" i="1"/>
  <c r="CU230" i="1"/>
  <c r="CU228" i="1"/>
  <c r="BN161" i="1"/>
  <c r="BN162" i="1" s="1"/>
  <c r="BN68" i="1"/>
  <c r="BN71" i="1" s="1"/>
  <c r="DA225" i="1"/>
  <c r="DA202" i="1"/>
  <c r="BQ145" i="1"/>
  <c r="DA213" i="1"/>
  <c r="DA214" i="1" s="1"/>
  <c r="DB210" i="1" s="1"/>
  <c r="DA207" i="1"/>
  <c r="CU227" i="1"/>
  <c r="CV222" i="1" s="1"/>
  <c r="BP153" i="1"/>
  <c r="BV119" i="1" l="1"/>
  <c r="BW114" i="1" s="1"/>
  <c r="BV120" i="1"/>
  <c r="BV122" i="1"/>
  <c r="BU132" i="1"/>
  <c r="BU123" i="1"/>
  <c r="BU124" i="1" s="1"/>
  <c r="BU125" i="1" s="1"/>
  <c r="BY117" i="1"/>
  <c r="BY94" i="1"/>
  <c r="BS140" i="1"/>
  <c r="CO241" i="1"/>
  <c r="CV226" i="1"/>
  <c r="DC208" i="1"/>
  <c r="DC205" i="1"/>
  <c r="DC206" i="1" s="1"/>
  <c r="DD201" i="1" s="1"/>
  <c r="BY97" i="1"/>
  <c r="BY98" i="1" s="1"/>
  <c r="BZ93" i="1" s="1"/>
  <c r="CM248" i="1"/>
  <c r="CN245" i="1"/>
  <c r="CN243" i="1"/>
  <c r="DB213" i="1"/>
  <c r="DB207" i="1"/>
  <c r="BT138" i="1"/>
  <c r="BT139" i="1" s="1"/>
  <c r="BT147" i="1"/>
  <c r="BP154" i="1"/>
  <c r="BP155" i="1" s="1"/>
  <c r="DB225" i="1"/>
  <c r="DB202" i="1"/>
  <c r="CH261" i="1"/>
  <c r="CH262" i="1" s="1"/>
  <c r="CH263" i="1" s="1"/>
  <c r="BU130" i="1"/>
  <c r="DA217" i="1"/>
  <c r="DA215" i="1"/>
  <c r="BX110" i="1"/>
  <c r="BO161" i="1"/>
  <c r="BO162" i="1" s="1"/>
  <c r="BO68" i="1"/>
  <c r="BO71" i="1" s="1"/>
  <c r="CU231" i="1"/>
  <c r="CU240" i="1"/>
  <c r="BQ148" i="1"/>
  <c r="BQ149" i="1" s="1"/>
  <c r="BR144" i="1" s="1"/>
  <c r="CJ256" i="1"/>
  <c r="CJ257" i="1" s="1"/>
  <c r="CK252" i="1" s="1"/>
  <c r="CT232" i="1"/>
  <c r="CG267" i="1"/>
  <c r="CG268" i="1" s="1"/>
  <c r="CG183" i="1" s="1"/>
  <c r="CG187" i="1" s="1"/>
  <c r="CI260" i="1"/>
  <c r="CI258" i="1"/>
  <c r="BV123" i="1" l="1"/>
  <c r="BV124" i="1" s="1"/>
  <c r="BV132" i="1"/>
  <c r="BW115" i="1"/>
  <c r="BW118" i="1" s="1"/>
  <c r="CK256" i="1"/>
  <c r="CK257" i="1" s="1"/>
  <c r="CL252" i="1" s="1"/>
  <c r="DD208" i="1"/>
  <c r="DD205" i="1"/>
  <c r="CV230" i="1"/>
  <c r="CV228" i="1"/>
  <c r="BR145" i="1"/>
  <c r="BR148" i="1" s="1"/>
  <c r="DB217" i="1"/>
  <c r="DB215" i="1"/>
  <c r="CG269" i="1"/>
  <c r="CG270" i="1" s="1"/>
  <c r="CG176" i="1"/>
  <c r="CG179" i="1" s="1"/>
  <c r="CV227" i="1"/>
  <c r="CW222" i="1" s="1"/>
  <c r="CO245" i="1"/>
  <c r="CO243" i="1"/>
  <c r="BZ95" i="1"/>
  <c r="BZ97" i="1" s="1"/>
  <c r="CT233" i="1"/>
  <c r="DA218" i="1"/>
  <c r="BY105" i="1"/>
  <c r="BY99" i="1"/>
  <c r="BQ152" i="1"/>
  <c r="BQ150" i="1"/>
  <c r="BV125" i="1"/>
  <c r="BU133" i="1"/>
  <c r="CH267" i="1"/>
  <c r="CH268" i="1" s="1"/>
  <c r="CH183" i="1" s="1"/>
  <c r="CH187" i="1" s="1"/>
  <c r="CO242" i="1"/>
  <c r="CP237" i="1" s="1"/>
  <c r="BT140" i="1"/>
  <c r="DC225" i="1"/>
  <c r="DC202" i="1"/>
  <c r="CU232" i="1"/>
  <c r="CN246" i="1"/>
  <c r="CN247" i="1" s="1"/>
  <c r="CN255" i="1"/>
  <c r="BP159" i="1"/>
  <c r="CJ260" i="1"/>
  <c r="CJ258" i="1"/>
  <c r="DB214" i="1"/>
  <c r="DC210" i="1" s="1"/>
  <c r="DC213" i="1"/>
  <c r="DC207" i="1"/>
  <c r="CI261" i="1"/>
  <c r="CI262" i="1" s="1"/>
  <c r="CI263" i="1" s="1"/>
  <c r="BW122" i="1" l="1"/>
  <c r="BW120" i="1"/>
  <c r="BW119" i="1"/>
  <c r="BX114" i="1" s="1"/>
  <c r="BR152" i="1"/>
  <c r="BR150" i="1"/>
  <c r="BR149" i="1"/>
  <c r="BS144" i="1" s="1"/>
  <c r="BZ105" i="1"/>
  <c r="BZ99" i="1"/>
  <c r="CV240" i="1"/>
  <c r="CV231" i="1"/>
  <c r="CV232" i="1"/>
  <c r="DC214" i="1"/>
  <c r="DD210" i="1" s="1"/>
  <c r="DD213" i="1"/>
  <c r="DD207" i="1"/>
  <c r="DD206" i="1"/>
  <c r="DE201" i="1" s="1"/>
  <c r="CN248" i="1"/>
  <c r="BP68" i="1"/>
  <c r="BP71" i="1" s="1"/>
  <c r="DB218" i="1"/>
  <c r="BQ153" i="1"/>
  <c r="BZ100" i="1"/>
  <c r="DD225" i="1"/>
  <c r="DD202" i="1"/>
  <c r="DC217" i="1"/>
  <c r="DC215" i="1"/>
  <c r="CP241" i="1"/>
  <c r="CP242" i="1" s="1"/>
  <c r="CQ237" i="1" s="1"/>
  <c r="BZ98" i="1"/>
  <c r="CA93" i="1" s="1"/>
  <c r="CL256" i="1"/>
  <c r="CL257" i="1" s="1"/>
  <c r="CM252" i="1" s="1"/>
  <c r="CW226" i="1"/>
  <c r="CW227" i="1" s="1"/>
  <c r="CX222" i="1" s="1"/>
  <c r="CU233" i="1"/>
  <c r="CJ261" i="1"/>
  <c r="CJ262" i="1" s="1"/>
  <c r="CJ263" i="1" s="1"/>
  <c r="CI267" i="1"/>
  <c r="BY109" i="1"/>
  <c r="BY107" i="1"/>
  <c r="BY106" i="1"/>
  <c r="BZ102" i="1" s="1"/>
  <c r="CK260" i="1"/>
  <c r="CK258" i="1"/>
  <c r="BU137" i="1"/>
  <c r="BU135" i="1"/>
  <c r="BP160" i="1"/>
  <c r="BP75" i="1" s="1"/>
  <c r="BP79" i="1" s="1"/>
  <c r="CH269" i="1"/>
  <c r="CH270" i="1" s="1"/>
  <c r="CH176" i="1"/>
  <c r="CH179" i="1" s="1"/>
  <c r="CO246" i="1"/>
  <c r="CO247" i="1" s="1"/>
  <c r="CO255" i="1"/>
  <c r="BU134" i="1"/>
  <c r="BV129" i="1" s="1"/>
  <c r="BP161" i="1" l="1"/>
  <c r="BP162" i="1" s="1"/>
  <c r="BX115" i="1"/>
  <c r="BX118" i="1" s="1"/>
  <c r="BW132" i="1"/>
  <c r="BW123" i="1"/>
  <c r="BW124" i="1" s="1"/>
  <c r="BW125" i="1" s="1"/>
  <c r="CJ267" i="1"/>
  <c r="CJ268" i="1" s="1"/>
  <c r="CJ183" i="1" s="1"/>
  <c r="CJ187" i="1" s="1"/>
  <c r="DD217" i="1"/>
  <c r="DD215" i="1"/>
  <c r="CK261" i="1"/>
  <c r="CK262" i="1" s="1"/>
  <c r="CK263" i="1" s="1"/>
  <c r="BU138" i="1"/>
  <c r="BU139" i="1" s="1"/>
  <c r="BU147" i="1"/>
  <c r="BV130" i="1"/>
  <c r="BV133" i="1" s="1"/>
  <c r="CX226" i="1"/>
  <c r="CX227" i="1"/>
  <c r="CY222" i="1" s="1"/>
  <c r="CW230" i="1"/>
  <c r="CW228" i="1"/>
  <c r="CM256" i="1"/>
  <c r="CM257" i="1" s="1"/>
  <c r="CN252" i="1" s="1"/>
  <c r="CL260" i="1"/>
  <c r="CL258" i="1"/>
  <c r="CI176" i="1"/>
  <c r="CI179" i="1" s="1"/>
  <c r="CA95" i="1"/>
  <c r="CA100" i="1" s="1"/>
  <c r="BS145" i="1"/>
  <c r="BS148" i="1" s="1"/>
  <c r="DD214" i="1"/>
  <c r="DE210" i="1" s="1"/>
  <c r="CV233" i="1"/>
  <c r="BZ117" i="1"/>
  <c r="BZ94" i="1"/>
  <c r="CI268" i="1"/>
  <c r="CI183" i="1" s="1"/>
  <c r="CI187" i="1" s="1"/>
  <c r="CQ241" i="1"/>
  <c r="CQ242" i="1" s="1"/>
  <c r="CR237" i="1" s="1"/>
  <c r="DE205" i="1"/>
  <c r="DE206" i="1" s="1"/>
  <c r="DF201" i="1" s="1"/>
  <c r="DE208" i="1"/>
  <c r="BZ103" i="1"/>
  <c r="BZ106" i="1" s="1"/>
  <c r="CA102" i="1" s="1"/>
  <c r="CO248" i="1"/>
  <c r="DC218" i="1"/>
  <c r="BY110" i="1"/>
  <c r="BZ109" i="1"/>
  <c r="BZ107" i="1"/>
  <c r="CP245" i="1"/>
  <c r="CP243" i="1"/>
  <c r="BQ154" i="1"/>
  <c r="BQ155" i="1" s="1"/>
  <c r="BR153" i="1"/>
  <c r="BX122" i="1" l="1"/>
  <c r="BX120" i="1"/>
  <c r="BX119" i="1"/>
  <c r="BY114" i="1" s="1"/>
  <c r="BY115" i="1" s="1"/>
  <c r="BY118" i="1" s="1"/>
  <c r="CI269" i="1"/>
  <c r="CI270" i="1" s="1"/>
  <c r="CA117" i="1"/>
  <c r="CA94" i="1"/>
  <c r="BV137" i="1"/>
  <c r="BV135" i="1"/>
  <c r="BV134" i="1"/>
  <c r="BW129" i="1" s="1"/>
  <c r="BY122" i="1"/>
  <c r="BY120" i="1"/>
  <c r="BY119" i="1"/>
  <c r="BZ114" i="1" s="1"/>
  <c r="CW231" i="1"/>
  <c r="CW240" i="1"/>
  <c r="CX230" i="1"/>
  <c r="CX228" i="1"/>
  <c r="CK267" i="1"/>
  <c r="CK268" i="1" s="1"/>
  <c r="CK183" i="1" s="1"/>
  <c r="CK187" i="1" s="1"/>
  <c r="DD218" i="1"/>
  <c r="CA103" i="1"/>
  <c r="BS152" i="1"/>
  <c r="BS150" i="1"/>
  <c r="DE225" i="1"/>
  <c r="DE202" i="1"/>
  <c r="BU140" i="1"/>
  <c r="CY226" i="1"/>
  <c r="CA97" i="1"/>
  <c r="BQ159" i="1"/>
  <c r="BQ160" i="1" s="1"/>
  <c r="BQ75" i="1" s="1"/>
  <c r="BQ79" i="1" s="1"/>
  <c r="DF208" i="1"/>
  <c r="DF205" i="1"/>
  <c r="DF206" i="1" s="1"/>
  <c r="DG201" i="1" s="1"/>
  <c r="CQ245" i="1"/>
  <c r="CQ243" i="1"/>
  <c r="CM260" i="1"/>
  <c r="CM258" i="1"/>
  <c r="BR154" i="1"/>
  <c r="BR155" i="1" s="1"/>
  <c r="CP246" i="1"/>
  <c r="CP247" i="1" s="1"/>
  <c r="CP255" i="1"/>
  <c r="DE213" i="1"/>
  <c r="DE207" i="1"/>
  <c r="DE214" i="1"/>
  <c r="DF210" i="1" s="1"/>
  <c r="CL261" i="1"/>
  <c r="CL262" i="1" s="1"/>
  <c r="CL263" i="1" s="1"/>
  <c r="CR241" i="1"/>
  <c r="CN256" i="1"/>
  <c r="CN257" i="1" s="1"/>
  <c r="CO252" i="1" s="1"/>
  <c r="BZ110" i="1"/>
  <c r="BS149" i="1"/>
  <c r="BT144" i="1" s="1"/>
  <c r="CJ269" i="1"/>
  <c r="CJ270" i="1" s="1"/>
  <c r="CJ176" i="1"/>
  <c r="CJ179" i="1" s="1"/>
  <c r="BX123" i="1" l="1"/>
  <c r="BX132" i="1"/>
  <c r="BX124" i="1"/>
  <c r="BX125" i="1" s="1"/>
  <c r="CL267" i="1"/>
  <c r="CO256" i="1"/>
  <c r="CA99" i="1"/>
  <c r="CA105" i="1"/>
  <c r="BY123" i="1"/>
  <c r="BY132" i="1"/>
  <c r="BY124" i="1"/>
  <c r="BW130" i="1"/>
  <c r="BW133" i="1" s="1"/>
  <c r="CP248" i="1"/>
  <c r="BZ115" i="1"/>
  <c r="BV138" i="1"/>
  <c r="BV139" i="1" s="1"/>
  <c r="BV147" i="1"/>
  <c r="DF225" i="1"/>
  <c r="DF202" i="1"/>
  <c r="CN260" i="1"/>
  <c r="CN258" i="1"/>
  <c r="CX231" i="1"/>
  <c r="CX240" i="1"/>
  <c r="CX232" i="1"/>
  <c r="CY230" i="1"/>
  <c r="CY228" i="1"/>
  <c r="CM261" i="1"/>
  <c r="CQ246" i="1"/>
  <c r="CQ247" i="1" s="1"/>
  <c r="CQ255" i="1"/>
  <c r="CW232" i="1"/>
  <c r="DG205" i="1"/>
  <c r="DG206" i="1"/>
  <c r="DH201" i="1" s="1"/>
  <c r="DG208" i="1"/>
  <c r="CK269" i="1"/>
  <c r="CK270" i="1" s="1"/>
  <c r="CK176" i="1"/>
  <c r="CK179" i="1" s="1"/>
  <c r="CR245" i="1"/>
  <c r="CR243" i="1"/>
  <c r="BT145" i="1"/>
  <c r="BT148" i="1" s="1"/>
  <c r="DE217" i="1"/>
  <c r="DE215" i="1"/>
  <c r="BR159" i="1"/>
  <c r="BR160" i="1" s="1"/>
  <c r="BR75" i="1" s="1"/>
  <c r="BR79" i="1" s="1"/>
  <c r="CR242" i="1"/>
  <c r="CS237" i="1" s="1"/>
  <c r="BQ161" i="1"/>
  <c r="BQ162" i="1" s="1"/>
  <c r="BQ68" i="1"/>
  <c r="BQ71" i="1" s="1"/>
  <c r="BS153" i="1"/>
  <c r="BS154" i="1" s="1"/>
  <c r="BS155" i="1" s="1"/>
  <c r="CY227" i="1"/>
  <c r="CZ222" i="1" s="1"/>
  <c r="DF213" i="1"/>
  <c r="DF207" i="1"/>
  <c r="CA98" i="1"/>
  <c r="CB93" i="1" s="1"/>
  <c r="BZ118" i="1" l="1"/>
  <c r="BZ119" i="1" s="1"/>
  <c r="CA114" i="1" s="1"/>
  <c r="CA115" i="1" s="1"/>
  <c r="BT152" i="1"/>
  <c r="BT150" i="1"/>
  <c r="BT149" i="1"/>
  <c r="BU144" i="1" s="1"/>
  <c r="BW137" i="1"/>
  <c r="BW135" i="1"/>
  <c r="BW134" i="1"/>
  <c r="BX129" i="1" s="1"/>
  <c r="BV140" i="1"/>
  <c r="CQ248" i="1"/>
  <c r="CB95" i="1"/>
  <c r="CO260" i="1"/>
  <c r="CO258" i="1"/>
  <c r="CN261" i="1"/>
  <c r="CN262" i="1" s="1"/>
  <c r="CN263" i="1" s="1"/>
  <c r="BY125" i="1"/>
  <c r="CS241" i="1"/>
  <c r="CS242" i="1" s="1"/>
  <c r="CT237" i="1" s="1"/>
  <c r="DH205" i="1"/>
  <c r="DH206" i="1" s="1"/>
  <c r="DI201" i="1" s="1"/>
  <c r="DH208" i="1"/>
  <c r="CW233" i="1"/>
  <c r="DG225" i="1"/>
  <c r="DG202" i="1"/>
  <c r="CY231" i="1"/>
  <c r="CY232" i="1" s="1"/>
  <c r="CY240" i="1"/>
  <c r="DG213" i="1"/>
  <c r="DG207" i="1"/>
  <c r="CL176" i="1"/>
  <c r="CL179" i="1" s="1"/>
  <c r="BS159" i="1"/>
  <c r="CR246" i="1"/>
  <c r="CR247" i="1" s="1"/>
  <c r="CR255" i="1"/>
  <c r="CM262" i="1"/>
  <c r="CM263" i="1" s="1"/>
  <c r="CA109" i="1"/>
  <c r="CA107" i="1"/>
  <c r="BR161" i="1"/>
  <c r="BR162" i="1" s="1"/>
  <c r="BR68" i="1"/>
  <c r="BR71" i="1" s="1"/>
  <c r="CO257" i="1"/>
  <c r="CP252" i="1" s="1"/>
  <c r="DF217" i="1"/>
  <c r="DF215" i="1"/>
  <c r="CX233" i="1"/>
  <c r="CZ226" i="1"/>
  <c r="DF214" i="1"/>
  <c r="DG210" i="1" s="1"/>
  <c r="CL268" i="1"/>
  <c r="CL183" i="1" s="1"/>
  <c r="CL187" i="1" s="1"/>
  <c r="DE218" i="1"/>
  <c r="CA106" i="1"/>
  <c r="CB102" i="1" s="1"/>
  <c r="BZ120" i="1" l="1"/>
  <c r="BZ122" i="1"/>
  <c r="BZ123" i="1" s="1"/>
  <c r="BZ124" i="1" s="1"/>
  <c r="CB97" i="1"/>
  <c r="CB98" i="1" s="1"/>
  <c r="CC93" i="1" s="1"/>
  <c r="CC95" i="1" s="1"/>
  <c r="DI205" i="1"/>
  <c r="DI208" i="1"/>
  <c r="DI206" i="1"/>
  <c r="DJ201" i="1" s="1"/>
  <c r="CT241" i="1"/>
  <c r="CY233" i="1"/>
  <c r="BW138" i="1"/>
  <c r="BW147" i="1"/>
  <c r="CM267" i="1"/>
  <c r="CM268" i="1" s="1"/>
  <c r="CM183" i="1" s="1"/>
  <c r="CM187" i="1" s="1"/>
  <c r="CP256" i="1"/>
  <c r="CP257" i="1" s="1"/>
  <c r="CQ252" i="1" s="1"/>
  <c r="CB100" i="1"/>
  <c r="DG217" i="1"/>
  <c r="DG215" i="1"/>
  <c r="BX130" i="1"/>
  <c r="BX133" i="1" s="1"/>
  <c r="CN267" i="1"/>
  <c r="DH225" i="1"/>
  <c r="DH202" i="1"/>
  <c r="DF218" i="1"/>
  <c r="BS68" i="1"/>
  <c r="BS71" i="1" s="1"/>
  <c r="CB103" i="1"/>
  <c r="BU145" i="1"/>
  <c r="DH213" i="1"/>
  <c r="DH207" i="1"/>
  <c r="CO261" i="1"/>
  <c r="CO262" i="1" s="1"/>
  <c r="CO263" i="1" s="1"/>
  <c r="CZ230" i="1"/>
  <c r="CZ228" i="1"/>
  <c r="BS160" i="1"/>
  <c r="BS75" i="1" s="1"/>
  <c r="BS79" i="1" s="1"/>
  <c r="CL269" i="1"/>
  <c r="CL270" i="1" s="1"/>
  <c r="CR248" i="1"/>
  <c r="CS245" i="1"/>
  <c r="CS243" i="1"/>
  <c r="DG214" i="1"/>
  <c r="DH210" i="1" s="1"/>
  <c r="CZ227" i="1"/>
  <c r="DA222" i="1" s="1"/>
  <c r="CA110" i="1"/>
  <c r="CA118" i="1" s="1"/>
  <c r="BT153" i="1"/>
  <c r="BT154" i="1" s="1"/>
  <c r="BT155" i="1" s="1"/>
  <c r="CB99" i="1" l="1"/>
  <c r="BZ132" i="1"/>
  <c r="CB105" i="1"/>
  <c r="CB109" i="1" s="1"/>
  <c r="CB106" i="1"/>
  <c r="CC102" i="1" s="1"/>
  <c r="CC103" i="1" s="1"/>
  <c r="BS161" i="1"/>
  <c r="BS162" i="1" s="1"/>
  <c r="BX137" i="1"/>
  <c r="BX135" i="1"/>
  <c r="BX134" i="1"/>
  <c r="BY129" i="1" s="1"/>
  <c r="BZ125" i="1"/>
  <c r="CA122" i="1"/>
  <c r="CA120" i="1"/>
  <c r="CA119" i="1"/>
  <c r="CB114" i="1" s="1"/>
  <c r="CN176" i="1"/>
  <c r="CN179" i="1" s="1"/>
  <c r="CZ240" i="1"/>
  <c r="CZ231" i="1"/>
  <c r="CZ232" i="1"/>
  <c r="CC100" i="1"/>
  <c r="CQ256" i="1"/>
  <c r="BT159" i="1"/>
  <c r="BT160" i="1" s="1"/>
  <c r="BT75" i="1" s="1"/>
  <c r="BT79" i="1" s="1"/>
  <c r="CS246" i="1"/>
  <c r="CS247" i="1"/>
  <c r="CS255" i="1"/>
  <c r="CT245" i="1"/>
  <c r="CT243" i="1"/>
  <c r="DJ208" i="1"/>
  <c r="DJ205" i="1"/>
  <c r="DJ206" i="1" s="1"/>
  <c r="DK201" i="1" s="1"/>
  <c r="CO267" i="1"/>
  <c r="CM269" i="1"/>
  <c r="CM270" i="1" s="1"/>
  <c r="CM176" i="1"/>
  <c r="CM179" i="1" s="1"/>
  <c r="CC97" i="1"/>
  <c r="CC98" i="1" s="1"/>
  <c r="CD93" i="1" s="1"/>
  <c r="DH217" i="1"/>
  <c r="DH215" i="1"/>
  <c r="BW139" i="1"/>
  <c r="BU148" i="1"/>
  <c r="BU149" i="1" s="1"/>
  <c r="BV144" i="1" s="1"/>
  <c r="CB117" i="1"/>
  <c r="CB94" i="1"/>
  <c r="DI225" i="1"/>
  <c r="DI202" i="1"/>
  <c r="CN268" i="1"/>
  <c r="CN183" i="1" s="1"/>
  <c r="CN187" i="1" s="1"/>
  <c r="CT242" i="1"/>
  <c r="CU237" i="1" s="1"/>
  <c r="DG218" i="1"/>
  <c r="DA226" i="1"/>
  <c r="DA227" i="1" s="1"/>
  <c r="DB222" i="1" s="1"/>
  <c r="DH214" i="1"/>
  <c r="DI210" i="1" s="1"/>
  <c r="CP260" i="1"/>
  <c r="CP258" i="1"/>
  <c r="DI213" i="1"/>
  <c r="DI207" i="1"/>
  <c r="CB107" i="1" l="1"/>
  <c r="DI214" i="1"/>
  <c r="DJ210" i="1" s="1"/>
  <c r="DB226" i="1"/>
  <c r="CD95" i="1"/>
  <c r="CD97" i="1" s="1"/>
  <c r="BV145" i="1"/>
  <c r="BV148" i="1" s="1"/>
  <c r="CB115" i="1"/>
  <c r="CA132" i="1"/>
  <c r="CA123" i="1"/>
  <c r="CA124" i="1" s="1"/>
  <c r="CB110" i="1"/>
  <c r="CP261" i="1"/>
  <c r="DJ225" i="1"/>
  <c r="DJ202" i="1"/>
  <c r="CQ260" i="1"/>
  <c r="CQ258" i="1"/>
  <c r="CC117" i="1"/>
  <c r="CC94" i="1"/>
  <c r="CO176" i="1"/>
  <c r="CO179" i="1" s="1"/>
  <c r="CS248" i="1"/>
  <c r="DA230" i="1"/>
  <c r="DA228" i="1"/>
  <c r="CT246" i="1"/>
  <c r="CT247" i="1" s="1"/>
  <c r="CT255" i="1"/>
  <c r="CQ257" i="1"/>
  <c r="CR252" i="1" s="1"/>
  <c r="DH218" i="1"/>
  <c r="CC105" i="1"/>
  <c r="CC99" i="1"/>
  <c r="DI217" i="1"/>
  <c r="DI215" i="1"/>
  <c r="DK208" i="1"/>
  <c r="DK205" i="1"/>
  <c r="DK206" i="1"/>
  <c r="DL201" i="1" s="1"/>
  <c r="CZ233" i="1"/>
  <c r="CO268" i="1"/>
  <c r="CO183" i="1" s="1"/>
  <c r="CO187" i="1" s="1"/>
  <c r="BY130" i="1"/>
  <c r="BY133" i="1" s="1"/>
  <c r="BU152" i="1"/>
  <c r="BU150" i="1"/>
  <c r="CN269" i="1"/>
  <c r="CN270" i="1" s="1"/>
  <c r="CU241" i="1"/>
  <c r="BW140" i="1"/>
  <c r="DJ207" i="1"/>
  <c r="DJ213" i="1"/>
  <c r="BT161" i="1"/>
  <c r="BT162" i="1" s="1"/>
  <c r="BT68" i="1"/>
  <c r="BT71" i="1" s="1"/>
  <c r="BX138" i="1"/>
  <c r="BX139" i="1"/>
  <c r="BX147" i="1"/>
  <c r="CD100" i="1" l="1"/>
  <c r="BY137" i="1"/>
  <c r="BY135" i="1"/>
  <c r="BY134" i="1"/>
  <c r="BZ129" i="1" s="1"/>
  <c r="BV152" i="1"/>
  <c r="BV150" i="1"/>
  <c r="BV149" i="1"/>
  <c r="BW144" i="1" s="1"/>
  <c r="CD105" i="1"/>
  <c r="CD99" i="1"/>
  <c r="CD98" i="1"/>
  <c r="CE93" i="1" s="1"/>
  <c r="CT248" i="1"/>
  <c r="DA240" i="1"/>
  <c r="DA231" i="1"/>
  <c r="CD117" i="1"/>
  <c r="CD94" i="1"/>
  <c r="CP262" i="1"/>
  <c r="CP263" i="1" s="1"/>
  <c r="DK225" i="1"/>
  <c r="DK202" i="1"/>
  <c r="CR256" i="1"/>
  <c r="CR257" i="1"/>
  <c r="CS252" i="1" s="1"/>
  <c r="BX140" i="1"/>
  <c r="CB118" i="1"/>
  <c r="CB119" i="1" s="1"/>
  <c r="CC114" i="1" s="1"/>
  <c r="CQ261" i="1"/>
  <c r="BU153" i="1"/>
  <c r="BU154" i="1" s="1"/>
  <c r="BU155" i="1" s="1"/>
  <c r="DI218" i="1"/>
  <c r="CU245" i="1"/>
  <c r="CU243" i="1"/>
  <c r="DK213" i="1"/>
  <c r="DK207" i="1"/>
  <c r="DJ217" i="1"/>
  <c r="DJ215" i="1"/>
  <c r="CC107" i="1"/>
  <c r="CC109" i="1"/>
  <c r="CC106" i="1"/>
  <c r="CD102" i="1" s="1"/>
  <c r="CU242" i="1"/>
  <c r="CV237" i="1" s="1"/>
  <c r="DJ214" i="1"/>
  <c r="DK210" i="1" s="1"/>
  <c r="DK214" i="1" s="1"/>
  <c r="DL210" i="1" s="1"/>
  <c r="DB230" i="1"/>
  <c r="DB228" i="1"/>
  <c r="DL205" i="1"/>
  <c r="DL208" i="1"/>
  <c r="DL206" i="1"/>
  <c r="DM201" i="1" s="1"/>
  <c r="CA125" i="1"/>
  <c r="CO269" i="1"/>
  <c r="CO270" i="1" s="1"/>
  <c r="DB227" i="1"/>
  <c r="DC222" i="1" s="1"/>
  <c r="CC115" i="1" l="1"/>
  <c r="DB240" i="1"/>
  <c r="DB231" i="1"/>
  <c r="BU159" i="1"/>
  <c r="BV153" i="1"/>
  <c r="BV154" i="1" s="1"/>
  <c r="BV155" i="1" s="1"/>
  <c r="DK215" i="1"/>
  <c r="DK217" i="1"/>
  <c r="CD107" i="1"/>
  <c r="CD109" i="1"/>
  <c r="CR260" i="1"/>
  <c r="CR258" i="1"/>
  <c r="DA232" i="1"/>
  <c r="DC226" i="1"/>
  <c r="CV241" i="1"/>
  <c r="CV242" i="1" s="1"/>
  <c r="CW237" i="1" s="1"/>
  <c r="DL225" i="1"/>
  <c r="DL202" i="1"/>
  <c r="BZ130" i="1"/>
  <c r="BZ133" i="1" s="1"/>
  <c r="CE95" i="1"/>
  <c r="CQ262" i="1"/>
  <c r="CQ263" i="1" s="1"/>
  <c r="CD103" i="1"/>
  <c r="CD106" i="1" s="1"/>
  <c r="CE102" i="1" s="1"/>
  <c r="CU246" i="1"/>
  <c r="CU255" i="1"/>
  <c r="BW145" i="1"/>
  <c r="BW148" i="1" s="1"/>
  <c r="CC110" i="1"/>
  <c r="CS256" i="1"/>
  <c r="DL213" i="1"/>
  <c r="DL207" i="1"/>
  <c r="DJ218" i="1"/>
  <c r="CP267" i="1"/>
  <c r="CB122" i="1"/>
  <c r="CB120" i="1"/>
  <c r="DM205" i="1"/>
  <c r="DM208" i="1"/>
  <c r="BY138" i="1"/>
  <c r="BY139" i="1" s="1"/>
  <c r="BY147" i="1"/>
  <c r="CE103" i="1" l="1"/>
  <c r="BZ137" i="1"/>
  <c r="BZ135" i="1"/>
  <c r="BW152" i="1"/>
  <c r="BW150" i="1"/>
  <c r="BW149" i="1"/>
  <c r="BX144" i="1" s="1"/>
  <c r="DM225" i="1"/>
  <c r="DM202" i="1"/>
  <c r="DL217" i="1"/>
  <c r="DL215" i="1"/>
  <c r="CS260" i="1"/>
  <c r="CS258" i="1"/>
  <c r="BU68" i="1"/>
  <c r="BU71" i="1" s="1"/>
  <c r="CW241" i="1"/>
  <c r="CW242" i="1" s="1"/>
  <c r="CX237" i="1" s="1"/>
  <c r="CD110" i="1"/>
  <c r="DB232" i="1"/>
  <c r="BU160" i="1"/>
  <c r="BU75" i="1" s="1"/>
  <c r="BU79" i="1" s="1"/>
  <c r="BY140" i="1"/>
  <c r="CR261" i="1"/>
  <c r="CR262" i="1"/>
  <c r="CR263" i="1" s="1"/>
  <c r="CU247" i="1"/>
  <c r="CB123" i="1"/>
  <c r="CB124" i="1" s="1"/>
  <c r="CB132" i="1"/>
  <c r="CP176" i="1"/>
  <c r="CP179" i="1" s="1"/>
  <c r="CV245" i="1"/>
  <c r="CV243" i="1"/>
  <c r="CE100" i="1"/>
  <c r="DC230" i="1"/>
  <c r="DC228" i="1"/>
  <c r="BV159" i="1"/>
  <c r="DM213" i="1"/>
  <c r="DM207" i="1"/>
  <c r="CQ267" i="1"/>
  <c r="CQ268" i="1" s="1"/>
  <c r="CQ183" i="1" s="1"/>
  <c r="CQ187" i="1" s="1"/>
  <c r="CE97" i="1"/>
  <c r="BZ134" i="1"/>
  <c r="CA129" i="1" s="1"/>
  <c r="DC227" i="1"/>
  <c r="DD222" i="1" s="1"/>
  <c r="CC118" i="1"/>
  <c r="CC119" i="1" s="1"/>
  <c r="CD114" i="1" s="1"/>
  <c r="DM206" i="1"/>
  <c r="DN201" i="1" s="1"/>
  <c r="CS257" i="1"/>
  <c r="CT252" i="1" s="1"/>
  <c r="DK218" i="1"/>
  <c r="CP268" i="1"/>
  <c r="CP183" i="1" s="1"/>
  <c r="CP187" i="1" s="1"/>
  <c r="DA233" i="1"/>
  <c r="DL214" i="1"/>
  <c r="DM210" i="1" s="1"/>
  <c r="DM214" i="1" s="1"/>
  <c r="DN210" i="1" s="1"/>
  <c r="BU161" i="1" l="1"/>
  <c r="BU162" i="1" s="1"/>
  <c r="DD226" i="1"/>
  <c r="DD227" i="1"/>
  <c r="DE222" i="1" s="1"/>
  <c r="CE117" i="1"/>
  <c r="CE94" i="1"/>
  <c r="CA130" i="1"/>
  <c r="CA133" i="1" s="1"/>
  <c r="CA134" i="1" s="1"/>
  <c r="CB129" i="1" s="1"/>
  <c r="CE105" i="1"/>
  <c r="CE99" i="1"/>
  <c r="DC231" i="1"/>
  <c r="DC232" i="1" s="1"/>
  <c r="DC240" i="1"/>
  <c r="DB233" i="1"/>
  <c r="CX241" i="1"/>
  <c r="CX242" i="1" s="1"/>
  <c r="CY237" i="1" s="1"/>
  <c r="CD115" i="1"/>
  <c r="CV246" i="1"/>
  <c r="CV247" i="1" s="1"/>
  <c r="CV255" i="1"/>
  <c r="BX145" i="1"/>
  <c r="BX148" i="1" s="1"/>
  <c r="CQ269" i="1"/>
  <c r="CQ270" i="1" s="1"/>
  <c r="CQ176" i="1"/>
  <c r="CQ179" i="1" s="1"/>
  <c r="CT256" i="1"/>
  <c r="CT257" i="1" s="1"/>
  <c r="CU252" i="1" s="1"/>
  <c r="DN205" i="1"/>
  <c r="DN206" i="1" s="1"/>
  <c r="DO201" i="1" s="1"/>
  <c r="DN208" i="1"/>
  <c r="BV68" i="1"/>
  <c r="BV71" i="1" s="1"/>
  <c r="CB125" i="1"/>
  <c r="CE98" i="1"/>
  <c r="CF93" i="1" s="1"/>
  <c r="CU248" i="1"/>
  <c r="CR267" i="1"/>
  <c r="BW153" i="1"/>
  <c r="BW154" i="1" s="1"/>
  <c r="BW155" i="1" s="1"/>
  <c r="CP269" i="1"/>
  <c r="CP270" i="1" s="1"/>
  <c r="DM215" i="1"/>
  <c r="DM217" i="1"/>
  <c r="CC122" i="1"/>
  <c r="CC120" i="1"/>
  <c r="BV160" i="1"/>
  <c r="BV75" i="1" s="1"/>
  <c r="BV79" i="1" s="1"/>
  <c r="CW245" i="1"/>
  <c r="CW243" i="1"/>
  <c r="CS261" i="1"/>
  <c r="BZ138" i="1"/>
  <c r="BZ147" i="1"/>
  <c r="DL218" i="1"/>
  <c r="BX152" i="1" l="1"/>
  <c r="BX150" i="1"/>
  <c r="BX149" i="1"/>
  <c r="BY144" i="1" s="1"/>
  <c r="CB130" i="1"/>
  <c r="CB133" i="1" s="1"/>
  <c r="CY241" i="1"/>
  <c r="CY242" i="1"/>
  <c r="CZ237" i="1" s="1"/>
  <c r="DN213" i="1"/>
  <c r="DN207" i="1"/>
  <c r="CC123" i="1"/>
  <c r="CC124" i="1"/>
  <c r="CC132" i="1"/>
  <c r="DO208" i="1"/>
  <c r="DO205" i="1"/>
  <c r="CD118" i="1"/>
  <c r="CD119" i="1" s="1"/>
  <c r="CE114" i="1" s="1"/>
  <c r="BZ139" i="1"/>
  <c r="CT260" i="1"/>
  <c r="CT258" i="1"/>
  <c r="CR176" i="1"/>
  <c r="CR179" i="1" s="1"/>
  <c r="DC233" i="1"/>
  <c r="CR268" i="1"/>
  <c r="CR183" i="1" s="1"/>
  <c r="CR187" i="1" s="1"/>
  <c r="CA137" i="1"/>
  <c r="CA135" i="1"/>
  <c r="DM218" i="1"/>
  <c r="CV248" i="1"/>
  <c r="CU256" i="1"/>
  <c r="CU257" i="1" s="1"/>
  <c r="CV252" i="1" s="1"/>
  <c r="CE109" i="1"/>
  <c r="CE107" i="1"/>
  <c r="CE106" i="1"/>
  <c r="CF102" i="1" s="1"/>
  <c r="CX245" i="1"/>
  <c r="CX243" i="1"/>
  <c r="CS262" i="1"/>
  <c r="CS263" i="1" s="1"/>
  <c r="BW159" i="1"/>
  <c r="BW160" i="1" s="1"/>
  <c r="BW75" i="1" s="1"/>
  <c r="BW79" i="1" s="1"/>
  <c r="BV161" i="1"/>
  <c r="BV162" i="1" s="1"/>
  <c r="DE226" i="1"/>
  <c r="DE227" i="1"/>
  <c r="DF222" i="1" s="1"/>
  <c r="CF95" i="1"/>
  <c r="CF100" i="1" s="1"/>
  <c r="CW246" i="1"/>
  <c r="CW255" i="1"/>
  <c r="DN225" i="1"/>
  <c r="DN202" i="1"/>
  <c r="DD230" i="1"/>
  <c r="DD228" i="1"/>
  <c r="CB134" i="1" l="1"/>
  <c r="CC129" i="1" s="1"/>
  <c r="CC130" i="1" s="1"/>
  <c r="CE115" i="1"/>
  <c r="CF103" i="1"/>
  <c r="DF226" i="1"/>
  <c r="DF227" i="1" s="1"/>
  <c r="DG222" i="1" s="1"/>
  <c r="BZ140" i="1"/>
  <c r="DO213" i="1"/>
  <c r="DO207" i="1"/>
  <c r="CB137" i="1"/>
  <c r="CB135" i="1"/>
  <c r="DN217" i="1"/>
  <c r="DN215" i="1"/>
  <c r="DN214" i="1"/>
  <c r="DO210" i="1" s="1"/>
  <c r="CZ241" i="1"/>
  <c r="CZ242" i="1"/>
  <c r="DA237" i="1" s="1"/>
  <c r="CA138" i="1"/>
  <c r="CA147" i="1"/>
  <c r="CV256" i="1"/>
  <c r="CV257" i="1" s="1"/>
  <c r="CW252" i="1" s="1"/>
  <c r="CF117" i="1"/>
  <c r="CF94" i="1"/>
  <c r="CE110" i="1"/>
  <c r="CU260" i="1"/>
  <c r="CU258" i="1"/>
  <c r="BY145" i="1"/>
  <c r="CX246" i="1"/>
  <c r="CX255" i="1"/>
  <c r="CT261" i="1"/>
  <c r="CT262" i="1" s="1"/>
  <c r="CT263" i="1" s="1"/>
  <c r="CD122" i="1"/>
  <c r="CD120" i="1"/>
  <c r="DO206" i="1"/>
  <c r="DP201" i="1" s="1"/>
  <c r="DO225" i="1"/>
  <c r="DO202" i="1"/>
  <c r="BW161" i="1"/>
  <c r="BW162" i="1" s="1"/>
  <c r="BW68" i="1"/>
  <c r="BW71" i="1" s="1"/>
  <c r="CF97" i="1"/>
  <c r="CS267" i="1"/>
  <c r="DE230" i="1"/>
  <c r="DE228" i="1"/>
  <c r="CY245" i="1"/>
  <c r="CY243" i="1"/>
  <c r="CW247" i="1"/>
  <c r="CC125" i="1"/>
  <c r="DD240" i="1"/>
  <c r="DD231" i="1"/>
  <c r="DD232" i="1"/>
  <c r="CR269" i="1"/>
  <c r="CR270" i="1" s="1"/>
  <c r="BX153" i="1"/>
  <c r="BX154" i="1" s="1"/>
  <c r="BX155" i="1" s="1"/>
  <c r="CC133" i="1" l="1"/>
  <c r="CC134" i="1" s="1"/>
  <c r="CD129" i="1" s="1"/>
  <c r="BY148" i="1"/>
  <c r="BY149" i="1" s="1"/>
  <c r="BZ144" i="1" s="1"/>
  <c r="DO214" i="1"/>
  <c r="DP210" i="1" s="1"/>
  <c r="DG226" i="1"/>
  <c r="DG227" i="1"/>
  <c r="DH222" i="1" s="1"/>
  <c r="CC137" i="1"/>
  <c r="CC135" i="1"/>
  <c r="DN218" i="1"/>
  <c r="CE118" i="1"/>
  <c r="CE119" i="1" s="1"/>
  <c r="CF114" i="1" s="1"/>
  <c r="CF105" i="1"/>
  <c r="CF106" i="1" s="1"/>
  <c r="CG102" i="1" s="1"/>
  <c r="CF99" i="1"/>
  <c r="CZ245" i="1"/>
  <c r="CZ243" i="1"/>
  <c r="CY246" i="1"/>
  <c r="CY247" i="1" s="1"/>
  <c r="CY255" i="1"/>
  <c r="DP208" i="1"/>
  <c r="DP205" i="1"/>
  <c r="DP206" i="1" s="1"/>
  <c r="DQ201" i="1" s="1"/>
  <c r="CB138" i="1"/>
  <c r="CB147" i="1"/>
  <c r="CF98" i="1"/>
  <c r="CG93" i="1" s="1"/>
  <c r="BX159" i="1"/>
  <c r="CX247" i="1"/>
  <c r="CV260" i="1"/>
  <c r="CV258" i="1"/>
  <c r="DD233" i="1"/>
  <c r="CS176" i="1"/>
  <c r="CS179" i="1" s="1"/>
  <c r="DA241" i="1"/>
  <c r="DA242" i="1" s="1"/>
  <c r="DB237" i="1" s="1"/>
  <c r="CW248" i="1"/>
  <c r="CW256" i="1" s="1"/>
  <c r="CS268" i="1"/>
  <c r="CS183" i="1" s="1"/>
  <c r="CS187" i="1" s="1"/>
  <c r="CD123" i="1"/>
  <c r="CD124" i="1" s="1"/>
  <c r="CD132" i="1"/>
  <c r="CU261" i="1"/>
  <c r="CU262" i="1" s="1"/>
  <c r="CU263" i="1" s="1"/>
  <c r="DO217" i="1"/>
  <c r="DO215" i="1"/>
  <c r="CT267" i="1"/>
  <c r="DF230" i="1"/>
  <c r="DF228" i="1"/>
  <c r="DE240" i="1"/>
  <c r="DE231" i="1"/>
  <c r="CA139" i="1"/>
  <c r="BY150" i="1" l="1"/>
  <c r="CS269" i="1"/>
  <c r="CS270" i="1" s="1"/>
  <c r="BZ145" i="1"/>
  <c r="BZ148" i="1" s="1"/>
  <c r="BY152" i="1"/>
  <c r="BY153" i="1" s="1"/>
  <c r="CW260" i="1"/>
  <c r="CW258" i="1"/>
  <c r="CW257" i="1"/>
  <c r="CX252" i="1" s="1"/>
  <c r="DB241" i="1"/>
  <c r="DB242" i="1" s="1"/>
  <c r="DC237" i="1" s="1"/>
  <c r="CD130" i="1"/>
  <c r="DH226" i="1"/>
  <c r="DH227" i="1" s="1"/>
  <c r="DI222" i="1" s="1"/>
  <c r="DG230" i="1"/>
  <c r="DG228" i="1"/>
  <c r="CA140" i="1"/>
  <c r="CD125" i="1"/>
  <c r="CY248" i="1"/>
  <c r="CT176" i="1"/>
  <c r="CT179" i="1" s="1"/>
  <c r="CC138" i="1"/>
  <c r="CC139" i="1" s="1"/>
  <c r="CC147" i="1"/>
  <c r="CF107" i="1"/>
  <c r="CF109" i="1"/>
  <c r="DQ208" i="1"/>
  <c r="DQ205" i="1"/>
  <c r="DQ206" i="1" s="1"/>
  <c r="DR201" i="1" s="1"/>
  <c r="CV261" i="1"/>
  <c r="CV262" i="1" s="1"/>
  <c r="CV263" i="1" s="1"/>
  <c r="CX248" i="1"/>
  <c r="BX68" i="1"/>
  <c r="BX71" i="1" s="1"/>
  <c r="CG95" i="1"/>
  <c r="CG100" i="1" s="1"/>
  <c r="CF115" i="1"/>
  <c r="DO218" i="1"/>
  <c r="DE232" i="1"/>
  <c r="CE122" i="1"/>
  <c r="CE120" i="1"/>
  <c r="DF240" i="1"/>
  <c r="DF231" i="1"/>
  <c r="DF232" i="1" s="1"/>
  <c r="CZ246" i="1"/>
  <c r="CZ255" i="1"/>
  <c r="CG103" i="1"/>
  <c r="CB139" i="1"/>
  <c r="CU267" i="1"/>
  <c r="DP213" i="1"/>
  <c r="DP207" i="1"/>
  <c r="DP225" i="1"/>
  <c r="DP202" i="1"/>
  <c r="CT268" i="1"/>
  <c r="CT183" i="1" s="1"/>
  <c r="CT187" i="1" s="1"/>
  <c r="DA245" i="1"/>
  <c r="DA243" i="1"/>
  <c r="BX160" i="1"/>
  <c r="BX75" i="1" s="1"/>
  <c r="BX79" i="1" s="1"/>
  <c r="BZ150" i="1" l="1"/>
  <c r="BZ152" i="1"/>
  <c r="BZ153" i="1" s="1"/>
  <c r="CG97" i="1"/>
  <c r="CG98" i="1" s="1"/>
  <c r="CH93" i="1" s="1"/>
  <c r="CH95" i="1" s="1"/>
  <c r="CH97" i="1" s="1"/>
  <c r="BZ149" i="1"/>
  <c r="CA144" i="1" s="1"/>
  <c r="DF233" i="1"/>
  <c r="DI226" i="1"/>
  <c r="DI227" i="1" s="1"/>
  <c r="DJ222" i="1" s="1"/>
  <c r="CF110" i="1"/>
  <c r="CF118" i="1" s="1"/>
  <c r="CU176" i="1"/>
  <c r="CU179" i="1" s="1"/>
  <c r="DR208" i="1"/>
  <c r="DR205" i="1"/>
  <c r="DR206" i="1" s="1"/>
  <c r="DS201" i="1" s="1"/>
  <c r="BY154" i="1"/>
  <c r="BY155" i="1" s="1"/>
  <c r="CG117" i="1"/>
  <c r="CG94" i="1"/>
  <c r="BX161" i="1"/>
  <c r="BX162" i="1" s="1"/>
  <c r="CU268" i="1"/>
  <c r="CU183" i="1" s="1"/>
  <c r="CU187" i="1" s="1"/>
  <c r="DB245" i="1"/>
  <c r="DB243" i="1"/>
  <c r="CG99" i="1"/>
  <c r="CG105" i="1"/>
  <c r="DA246" i="1"/>
  <c r="DA247" i="1" s="1"/>
  <c r="DA255" i="1"/>
  <c r="CV267" i="1"/>
  <c r="CV268" i="1" s="1"/>
  <c r="CV183" i="1" s="1"/>
  <c r="CV187" i="1" s="1"/>
  <c r="CC140" i="1"/>
  <c r="DG240" i="1"/>
  <c r="DG231" i="1"/>
  <c r="CX256" i="1"/>
  <c r="CX257" i="1"/>
  <c r="CY252" i="1" s="1"/>
  <c r="DQ225" i="1"/>
  <c r="DQ202" i="1"/>
  <c r="CD133" i="1"/>
  <c r="CB140" i="1"/>
  <c r="CE132" i="1"/>
  <c r="CE123" i="1"/>
  <c r="DP217" i="1"/>
  <c r="DP215" i="1"/>
  <c r="DP214" i="1"/>
  <c r="DQ210" i="1" s="1"/>
  <c r="DC241" i="1"/>
  <c r="DC242" i="1" s="1"/>
  <c r="DD237" i="1" s="1"/>
  <c r="CZ247" i="1"/>
  <c r="DE233" i="1"/>
  <c r="DQ213" i="1"/>
  <c r="DQ207" i="1"/>
  <c r="CT269" i="1"/>
  <c r="CT270" i="1" s="1"/>
  <c r="DH230" i="1"/>
  <c r="DH228" i="1"/>
  <c r="CW261" i="1"/>
  <c r="CW262" i="1" s="1"/>
  <c r="CW263" i="1" s="1"/>
  <c r="CA145" i="1" l="1"/>
  <c r="CA148" i="1" s="1"/>
  <c r="DA248" i="1"/>
  <c r="CH105" i="1"/>
  <c r="CH99" i="1"/>
  <c r="DD241" i="1"/>
  <c r="DD242" i="1" s="1"/>
  <c r="DE237" i="1" s="1"/>
  <c r="DS205" i="1"/>
  <c r="DS206" i="1"/>
  <c r="DT201" i="1" s="1"/>
  <c r="DS208" i="1"/>
  <c r="CF122" i="1"/>
  <c r="CF120" i="1"/>
  <c r="CF119" i="1"/>
  <c r="CG114" i="1" s="1"/>
  <c r="CH100" i="1"/>
  <c r="CH98" i="1"/>
  <c r="CI93" i="1" s="1"/>
  <c r="DJ226" i="1"/>
  <c r="DJ227" i="1"/>
  <c r="DK222" i="1" s="1"/>
  <c r="DI230" i="1"/>
  <c r="DI228" i="1"/>
  <c r="CW267" i="1"/>
  <c r="CW268" i="1" s="1"/>
  <c r="CW183" i="1" s="1"/>
  <c r="CW187" i="1" s="1"/>
  <c r="CG109" i="1"/>
  <c r="CG107" i="1"/>
  <c r="CG106" i="1"/>
  <c r="CH102" i="1" s="1"/>
  <c r="DR225" i="1"/>
  <c r="DR202" i="1"/>
  <c r="CY256" i="1"/>
  <c r="CY257" i="1" s="1"/>
  <c r="CZ252" i="1" s="1"/>
  <c r="DC245" i="1"/>
  <c r="DC243" i="1"/>
  <c r="DH231" i="1"/>
  <c r="DH240" i="1"/>
  <c r="DB246" i="1"/>
  <c r="DB247" i="1"/>
  <c r="DB255" i="1"/>
  <c r="CU269" i="1"/>
  <c r="CU270" i="1" s="1"/>
  <c r="CX260" i="1"/>
  <c r="CX258" i="1"/>
  <c r="CD137" i="1"/>
  <c r="CD135" i="1"/>
  <c r="BY159" i="1"/>
  <c r="DQ217" i="1"/>
  <c r="DQ215" i="1"/>
  <c r="BZ154" i="1"/>
  <c r="BZ155" i="1" s="1"/>
  <c r="CZ248" i="1"/>
  <c r="CE124" i="1"/>
  <c r="DG232" i="1"/>
  <c r="DQ214" i="1"/>
  <c r="DR210" i="1" s="1"/>
  <c r="DP218" i="1"/>
  <c r="CV269" i="1"/>
  <c r="CV270" i="1" s="1"/>
  <c r="CV176" i="1"/>
  <c r="CV179" i="1" s="1"/>
  <c r="DR207" i="1"/>
  <c r="DR213" i="1"/>
  <c r="CD134" i="1"/>
  <c r="CE129" i="1" s="1"/>
  <c r="CA152" i="1" l="1"/>
  <c r="CA150" i="1"/>
  <c r="CA149" i="1"/>
  <c r="CB144" i="1" s="1"/>
  <c r="DE241" i="1"/>
  <c r="CE130" i="1"/>
  <c r="CF123" i="1"/>
  <c r="CF124" i="1" s="1"/>
  <c r="CF132" i="1"/>
  <c r="CY260" i="1"/>
  <c r="CY258" i="1"/>
  <c r="DH232" i="1"/>
  <c r="DT208" i="1"/>
  <c r="DT205" i="1"/>
  <c r="DT206" i="1" s="1"/>
  <c r="DU201" i="1" s="1"/>
  <c r="DC246" i="1"/>
  <c r="DC247" i="1"/>
  <c r="DC255" i="1"/>
  <c r="DR217" i="1"/>
  <c r="DR215" i="1"/>
  <c r="BZ159" i="1"/>
  <c r="CH103" i="1"/>
  <c r="CH106" i="1" s="1"/>
  <c r="CI102" i="1" s="1"/>
  <c r="CG115" i="1"/>
  <c r="CE125" i="1"/>
  <c r="CE133" i="1" s="1"/>
  <c r="DS225" i="1"/>
  <c r="DS202" i="1"/>
  <c r="CX261" i="1"/>
  <c r="CX262" i="1" s="1"/>
  <c r="CX263" i="1" s="1"/>
  <c r="DS213" i="1"/>
  <c r="DS207" i="1"/>
  <c r="DI231" i="1"/>
  <c r="DI240" i="1"/>
  <c r="DK226" i="1"/>
  <c r="DK227" i="1"/>
  <c r="DL222" i="1" s="1"/>
  <c r="CI95" i="1"/>
  <c r="CI100" i="1" s="1"/>
  <c r="DQ218" i="1"/>
  <c r="BY68" i="1"/>
  <c r="BY71" i="1" s="1"/>
  <c r="DB248" i="1"/>
  <c r="CG110" i="1"/>
  <c r="CH117" i="1"/>
  <c r="CH94" i="1"/>
  <c r="DR214" i="1"/>
  <c r="DS210" i="1" s="1"/>
  <c r="BY160" i="1"/>
  <c r="BY75" i="1" s="1"/>
  <c r="BY79" i="1" s="1"/>
  <c r="CZ256" i="1"/>
  <c r="CD138" i="1"/>
  <c r="CD147" i="1"/>
  <c r="DJ230" i="1"/>
  <c r="DJ228" i="1"/>
  <c r="DD245" i="1"/>
  <c r="DD243" i="1"/>
  <c r="CH109" i="1"/>
  <c r="CH107" i="1"/>
  <c r="DG233" i="1"/>
  <c r="CW269" i="1"/>
  <c r="CW270" i="1" s="1"/>
  <c r="CW176" i="1"/>
  <c r="CW179" i="1" s="1"/>
  <c r="CI97" i="1" l="1"/>
  <c r="CB145" i="1"/>
  <c r="CB148" i="1" s="1"/>
  <c r="CE134" i="1"/>
  <c r="CF129" i="1" s="1"/>
  <c r="CF130" i="1" s="1"/>
  <c r="CA153" i="1"/>
  <c r="CA154" i="1" s="1"/>
  <c r="CA155" i="1" s="1"/>
  <c r="CX267" i="1"/>
  <c r="CI117" i="1"/>
  <c r="CI94" i="1"/>
  <c r="DU205" i="1"/>
  <c r="DU206" i="1"/>
  <c r="DV201" i="1" s="1"/>
  <c r="DU208" i="1"/>
  <c r="CI103" i="1"/>
  <c r="CF125" i="1"/>
  <c r="CZ260" i="1"/>
  <c r="CZ258" i="1"/>
  <c r="DL226" i="1"/>
  <c r="DL227" i="1" s="1"/>
  <c r="DM222" i="1" s="1"/>
  <c r="BZ68" i="1"/>
  <c r="BZ71" i="1" s="1"/>
  <c r="DC248" i="1"/>
  <c r="DK230" i="1"/>
  <c r="DK228" i="1"/>
  <c r="DT225" i="1"/>
  <c r="DT202" i="1"/>
  <c r="CI105" i="1"/>
  <c r="CI99" i="1"/>
  <c r="BZ160" i="1"/>
  <c r="BZ75" i="1" s="1"/>
  <c r="BZ79" i="1" s="1"/>
  <c r="DH233" i="1"/>
  <c r="CE137" i="1"/>
  <c r="CE135" i="1"/>
  <c r="CG118" i="1"/>
  <c r="CG119" i="1" s="1"/>
  <c r="CH114" i="1" s="1"/>
  <c r="CD139" i="1"/>
  <c r="BY161" i="1"/>
  <c r="BY162" i="1" s="1"/>
  <c r="DD246" i="1"/>
  <c r="DD255" i="1"/>
  <c r="DS215" i="1"/>
  <c r="DS217" i="1"/>
  <c r="DT213" i="1"/>
  <c r="DT207" i="1"/>
  <c r="CZ257" i="1"/>
  <c r="DA252" i="1" s="1"/>
  <c r="CY261" i="1"/>
  <c r="CY262" i="1" s="1"/>
  <c r="CY263" i="1" s="1"/>
  <c r="DE245" i="1"/>
  <c r="DE243" i="1"/>
  <c r="CI98" i="1"/>
  <c r="CJ93" i="1" s="1"/>
  <c r="CH110" i="1"/>
  <c r="DS214" i="1"/>
  <c r="DT210" i="1" s="1"/>
  <c r="DJ231" i="1"/>
  <c r="DJ232" i="1"/>
  <c r="DJ240" i="1"/>
  <c r="DI232" i="1"/>
  <c r="DR218" i="1"/>
  <c r="DE242" i="1"/>
  <c r="DF237" i="1" s="1"/>
  <c r="CA159" i="1" l="1"/>
  <c r="CA160" i="1" s="1"/>
  <c r="CA75" i="1" s="1"/>
  <c r="CA79" i="1" s="1"/>
  <c r="CB152" i="1"/>
  <c r="CB150" i="1"/>
  <c r="CB149" i="1"/>
  <c r="CC144" i="1" s="1"/>
  <c r="DT214" i="1"/>
  <c r="DU210" i="1" s="1"/>
  <c r="CI106" i="1"/>
  <c r="CJ102" i="1" s="1"/>
  <c r="CJ103" i="1" s="1"/>
  <c r="CH115" i="1"/>
  <c r="CH118" i="1" s="1"/>
  <c r="CH119" i="1" s="1"/>
  <c r="CI114" i="1" s="1"/>
  <c r="CY267" i="1"/>
  <c r="CY268" i="1" s="1"/>
  <c r="CY183" i="1" s="1"/>
  <c r="CY187" i="1" s="1"/>
  <c r="CJ95" i="1"/>
  <c r="CJ97" i="1" s="1"/>
  <c r="CJ98" i="1" s="1"/>
  <c r="CK93" i="1" s="1"/>
  <c r="DJ233" i="1"/>
  <c r="DM226" i="1"/>
  <c r="DM227" i="1" s="1"/>
  <c r="DN222" i="1" s="1"/>
  <c r="CE138" i="1"/>
  <c r="CE147" i="1"/>
  <c r="CF133" i="1"/>
  <c r="DE246" i="1"/>
  <c r="DE255" i="1"/>
  <c r="DK231" i="1"/>
  <c r="DK232" i="1"/>
  <c r="DK240" i="1"/>
  <c r="CG122" i="1"/>
  <c r="CG120" i="1"/>
  <c r="DV208" i="1"/>
  <c r="DV205" i="1"/>
  <c r="DV206" i="1" s="1"/>
  <c r="CZ261" i="1"/>
  <c r="CZ262" i="1" s="1"/>
  <c r="CZ263" i="1" s="1"/>
  <c r="DU213" i="1"/>
  <c r="DU207" i="1"/>
  <c r="CX176" i="1"/>
  <c r="CX179" i="1" s="1"/>
  <c r="CD140" i="1"/>
  <c r="DU225" i="1"/>
  <c r="DU202" i="1"/>
  <c r="DF241" i="1"/>
  <c r="DT215" i="1"/>
  <c r="DT217" i="1"/>
  <c r="DI233" i="1"/>
  <c r="DS218" i="1"/>
  <c r="BZ161" i="1"/>
  <c r="BZ162" i="1" s="1"/>
  <c r="CX268" i="1"/>
  <c r="CX183" i="1" s="1"/>
  <c r="CX187" i="1" s="1"/>
  <c r="DD247" i="1"/>
  <c r="DA256" i="1"/>
  <c r="CI109" i="1"/>
  <c r="CI107" i="1"/>
  <c r="DL230" i="1"/>
  <c r="DL228" i="1"/>
  <c r="CC145" i="1" l="1"/>
  <c r="CC148" i="1" s="1"/>
  <c r="CC149" i="1" s="1"/>
  <c r="CD144" i="1" s="1"/>
  <c r="CD145" i="1" s="1"/>
  <c r="CD148" i="1" s="1"/>
  <c r="CX269" i="1"/>
  <c r="CX270" i="1" s="1"/>
  <c r="CJ100" i="1"/>
  <c r="CB153" i="1"/>
  <c r="CB154" i="1" s="1"/>
  <c r="CB155" i="1" s="1"/>
  <c r="CA161" i="1"/>
  <c r="CA162" i="1" s="1"/>
  <c r="CA68" i="1"/>
  <c r="CA71" i="1" s="1"/>
  <c r="CK95" i="1"/>
  <c r="DK233" i="1"/>
  <c r="CI110" i="1"/>
  <c r="CI118" i="1" s="1"/>
  <c r="DA260" i="1"/>
  <c r="DA258" i="1"/>
  <c r="CY269" i="1"/>
  <c r="CY270" i="1" s="1"/>
  <c r="CY176" i="1"/>
  <c r="CY179" i="1" s="1"/>
  <c r="CH122" i="1"/>
  <c r="CH120" i="1"/>
  <c r="CJ105" i="1"/>
  <c r="CJ99" i="1"/>
  <c r="DA257" i="1"/>
  <c r="DB252" i="1" s="1"/>
  <c r="DD248" i="1"/>
  <c r="DV213" i="1"/>
  <c r="DV207" i="1"/>
  <c r="E207" i="1" s="1"/>
  <c r="DV225" i="1"/>
  <c r="DV202" i="1"/>
  <c r="F202" i="1" s="1"/>
  <c r="CG132" i="1"/>
  <c r="CG123" i="1"/>
  <c r="CG124" i="1" s="1"/>
  <c r="CF137" i="1"/>
  <c r="CF135" i="1"/>
  <c r="CZ267" i="1"/>
  <c r="CZ268" i="1"/>
  <c r="CZ183" i="1"/>
  <c r="CZ187" i="1" s="1"/>
  <c r="CE139" i="1"/>
  <c r="DN226" i="1"/>
  <c r="DT218" i="1"/>
  <c r="DM230" i="1"/>
  <c r="DM228" i="1"/>
  <c r="DU217" i="1"/>
  <c r="DU215" i="1"/>
  <c r="DE247" i="1"/>
  <c r="CI115" i="1"/>
  <c r="DF245" i="1"/>
  <c r="DF243" i="1"/>
  <c r="DL240" i="1"/>
  <c r="DL231" i="1"/>
  <c r="DL232" i="1" s="1"/>
  <c r="DF242" i="1"/>
  <c r="DG237" i="1" s="1"/>
  <c r="DU214" i="1"/>
  <c r="DV210" i="1" s="1"/>
  <c r="CF134" i="1"/>
  <c r="CG129" i="1" s="1"/>
  <c r="CJ117" i="1" l="1"/>
  <c r="CD152" i="1"/>
  <c r="CD150" i="1"/>
  <c r="CB159" i="1"/>
  <c r="CB160" i="1" s="1"/>
  <c r="CB75" i="1" s="1"/>
  <c r="CB79" i="1" s="1"/>
  <c r="CJ94" i="1"/>
  <c r="CC152" i="1"/>
  <c r="CC150" i="1"/>
  <c r="CD149" i="1"/>
  <c r="CE144" i="1" s="1"/>
  <c r="CE145" i="1" s="1"/>
  <c r="DL233" i="1"/>
  <c r="CG125" i="1"/>
  <c r="DV217" i="1"/>
  <c r="DV215" i="1"/>
  <c r="E215" i="1" s="1"/>
  <c r="CF138" i="1"/>
  <c r="CF139" i="1" s="1"/>
  <c r="CF147" i="1"/>
  <c r="DV214" i="1"/>
  <c r="CE140" i="1"/>
  <c r="DU218" i="1"/>
  <c r="DN230" i="1"/>
  <c r="DN228" i="1"/>
  <c r="CD153" i="1"/>
  <c r="CD154" i="1" s="1"/>
  <c r="CD155" i="1" s="1"/>
  <c r="DE248" i="1"/>
  <c r="CG130" i="1"/>
  <c r="CG133" i="1" s="1"/>
  <c r="CG137" i="1" s="1"/>
  <c r="DA261" i="1"/>
  <c r="DA262" i="1"/>
  <c r="DA263" i="1" s="1"/>
  <c r="CZ269" i="1"/>
  <c r="CZ270" i="1" s="1"/>
  <c r="CZ176" i="1"/>
  <c r="CZ179" i="1" s="1"/>
  <c r="CH123" i="1"/>
  <c r="CH124" i="1" s="1"/>
  <c r="CH132" i="1"/>
  <c r="CK100" i="1"/>
  <c r="CI122" i="1"/>
  <c r="CI120" i="1"/>
  <c r="DN227" i="1"/>
  <c r="DO222" i="1" s="1"/>
  <c r="DB256" i="1"/>
  <c r="DB257" i="1" s="1"/>
  <c r="DC252" i="1" s="1"/>
  <c r="CK97" i="1"/>
  <c r="CI119" i="1"/>
  <c r="CJ114" i="1" s="1"/>
  <c r="DG241" i="1"/>
  <c r="DG242" i="1" s="1"/>
  <c r="DH237" i="1" s="1"/>
  <c r="CJ109" i="1"/>
  <c r="CJ107" i="1"/>
  <c r="CJ106" i="1"/>
  <c r="CK102" i="1" s="1"/>
  <c r="DM240" i="1"/>
  <c r="DM231" i="1"/>
  <c r="DF246" i="1"/>
  <c r="DF255" i="1"/>
  <c r="CC153" i="1" l="1"/>
  <c r="CG134" i="1"/>
  <c r="CH129" i="1" s="1"/>
  <c r="CH130" i="1" s="1"/>
  <c r="CB161" i="1"/>
  <c r="CB162" i="1" s="1"/>
  <c r="CB68" i="1"/>
  <c r="CB71" i="1" s="1"/>
  <c r="CD159" i="1"/>
  <c r="CG138" i="1"/>
  <c r="CG147" i="1"/>
  <c r="DG245" i="1"/>
  <c r="DG243" i="1"/>
  <c r="DB260" i="1"/>
  <c r="DB258" i="1"/>
  <c r="CE148" i="1"/>
  <c r="CK103" i="1"/>
  <c r="DC256" i="1"/>
  <c r="DC257" i="1"/>
  <c r="DD252" i="1" s="1"/>
  <c r="CF140" i="1"/>
  <c r="CJ115" i="1"/>
  <c r="DV218" i="1"/>
  <c r="CJ110" i="1"/>
  <c r="DA267" i="1"/>
  <c r="DH241" i="1"/>
  <c r="DH242" i="1" s="1"/>
  <c r="DI237" i="1" s="1"/>
  <c r="DM232" i="1"/>
  <c r="CK105" i="1"/>
  <c r="CK99" i="1"/>
  <c r="CH125" i="1"/>
  <c r="CG135" i="1"/>
  <c r="CI132" i="1"/>
  <c r="CI123" i="1"/>
  <c r="CI124" i="1" s="1"/>
  <c r="DN231" i="1"/>
  <c r="DN240" i="1"/>
  <c r="CK98" i="1"/>
  <c r="CL93" i="1" s="1"/>
  <c r="DO226" i="1"/>
  <c r="DF247" i="1"/>
  <c r="CK117" i="1"/>
  <c r="CK94" i="1"/>
  <c r="CH133" i="1" l="1"/>
  <c r="CH137" i="1" s="1"/>
  <c r="CH138" i="1" s="1"/>
  <c r="CK106" i="1"/>
  <c r="CL102" i="1" s="1"/>
  <c r="CH134" i="1"/>
  <c r="CI129" i="1" s="1"/>
  <c r="CI130" i="1" s="1"/>
  <c r="CJ118" i="1"/>
  <c r="CJ119" i="1" s="1"/>
  <c r="CK114" i="1" s="1"/>
  <c r="CC154" i="1"/>
  <c r="CC155" i="1" s="1"/>
  <c r="CL103" i="1"/>
  <c r="DI241" i="1"/>
  <c r="DI242" i="1" s="1"/>
  <c r="DJ237" i="1" s="1"/>
  <c r="CI125" i="1"/>
  <c r="CJ122" i="1"/>
  <c r="CJ120" i="1"/>
  <c r="DO230" i="1"/>
  <c r="DO228" i="1"/>
  <c r="CK109" i="1"/>
  <c r="CK107" i="1"/>
  <c r="DG246" i="1"/>
  <c r="DG247" i="1"/>
  <c r="DG255" i="1"/>
  <c r="DF248" i="1"/>
  <c r="DC260" i="1"/>
  <c r="DC258" i="1"/>
  <c r="DO227" i="1"/>
  <c r="DP222" i="1" s="1"/>
  <c r="CL95" i="1"/>
  <c r="CL100" i="1" s="1"/>
  <c r="DB261" i="1"/>
  <c r="DD256" i="1"/>
  <c r="DD257" i="1" s="1"/>
  <c r="DE252" i="1" s="1"/>
  <c r="DM233" i="1"/>
  <c r="CG139" i="1"/>
  <c r="DH245" i="1"/>
  <c r="DH243" i="1"/>
  <c r="CE152" i="1"/>
  <c r="CE150" i="1"/>
  <c r="CD68" i="1"/>
  <c r="CD71" i="1" s="1"/>
  <c r="DA176" i="1"/>
  <c r="DA179" i="1" s="1"/>
  <c r="CD160" i="1"/>
  <c r="CD75" i="1" s="1"/>
  <c r="CD79" i="1" s="1"/>
  <c r="DN232" i="1"/>
  <c r="DA268" i="1"/>
  <c r="DA183" i="1" s="1"/>
  <c r="DA187" i="1" s="1"/>
  <c r="CE149" i="1"/>
  <c r="CF144" i="1" s="1"/>
  <c r="CH135" i="1" l="1"/>
  <c r="CH147" i="1"/>
  <c r="CL97" i="1"/>
  <c r="CL98" i="1" s="1"/>
  <c r="CM93" i="1" s="1"/>
  <c r="CI133" i="1"/>
  <c r="CC159" i="1"/>
  <c r="DA269" i="1"/>
  <c r="DA270" i="1" s="1"/>
  <c r="CI137" i="1"/>
  <c r="CI135" i="1"/>
  <c r="CI134" i="1"/>
  <c r="CJ129" i="1" s="1"/>
  <c r="CM95" i="1"/>
  <c r="CM100" i="1" s="1"/>
  <c r="DJ241" i="1"/>
  <c r="DJ242" i="1"/>
  <c r="DK237" i="1" s="1"/>
  <c r="DG248" i="1"/>
  <c r="CD161" i="1"/>
  <c r="CD162" i="1" s="1"/>
  <c r="CL117" i="1"/>
  <c r="CL94" i="1"/>
  <c r="CF145" i="1"/>
  <c r="CF148" i="1" s="1"/>
  <c r="DH246" i="1"/>
  <c r="DH247" i="1" s="1"/>
  <c r="DH255" i="1"/>
  <c r="CK115" i="1"/>
  <c r="DD260" i="1"/>
  <c r="DD258" i="1"/>
  <c r="CJ132" i="1"/>
  <c r="CJ123" i="1"/>
  <c r="CJ124" i="1" s="1"/>
  <c r="DB262" i="1"/>
  <c r="DB263" i="1" s="1"/>
  <c r="DI245" i="1"/>
  <c r="DI243" i="1"/>
  <c r="CG140" i="1"/>
  <c r="DC261" i="1"/>
  <c r="DC262" i="1"/>
  <c r="DC263" i="1" s="1"/>
  <c r="DO231" i="1"/>
  <c r="DO232" i="1"/>
  <c r="DO240" i="1"/>
  <c r="DE256" i="1"/>
  <c r="DE257" i="1" s="1"/>
  <c r="DF252" i="1" s="1"/>
  <c r="CE153" i="1"/>
  <c r="CE154" i="1" s="1"/>
  <c r="CE155" i="1" s="1"/>
  <c r="DP226" i="1"/>
  <c r="DP227" i="1" s="1"/>
  <c r="DQ222" i="1" s="1"/>
  <c r="CK110" i="1"/>
  <c r="DN233" i="1"/>
  <c r="CH139" i="1"/>
  <c r="CK118" i="1" l="1"/>
  <c r="CL99" i="1"/>
  <c r="CL105" i="1"/>
  <c r="CL106" i="1" s="1"/>
  <c r="CM102" i="1" s="1"/>
  <c r="CM103" i="1" s="1"/>
  <c r="CK119" i="1"/>
  <c r="CL114" i="1" s="1"/>
  <c r="CF149" i="1"/>
  <c r="CG144" i="1" s="1"/>
  <c r="CC68" i="1"/>
  <c r="CC71" i="1" s="1"/>
  <c r="CC160" i="1"/>
  <c r="CC75" i="1" s="1"/>
  <c r="CC79" i="1" s="1"/>
  <c r="CJ125" i="1"/>
  <c r="CL115" i="1"/>
  <c r="CG145" i="1"/>
  <c r="CG148" i="1" s="1"/>
  <c r="DO233" i="1"/>
  <c r="DD261" i="1"/>
  <c r="DQ226" i="1"/>
  <c r="DQ227" i="1" s="1"/>
  <c r="DR222" i="1" s="1"/>
  <c r="DH248" i="1"/>
  <c r="CK122" i="1"/>
  <c r="CK120" i="1"/>
  <c r="CM97" i="1"/>
  <c r="DP230" i="1"/>
  <c r="DP228" i="1"/>
  <c r="CE159" i="1"/>
  <c r="CH140" i="1"/>
  <c r="DC267" i="1"/>
  <c r="DC268" i="1"/>
  <c r="DC183" i="1" s="1"/>
  <c r="DC187" i="1" s="1"/>
  <c r="DJ245" i="1"/>
  <c r="DJ243" i="1"/>
  <c r="DF256" i="1"/>
  <c r="DF257" i="1" s="1"/>
  <c r="DG252" i="1" s="1"/>
  <c r="CJ130" i="1"/>
  <c r="DK241" i="1"/>
  <c r="CM117" i="1"/>
  <c r="CM94" i="1"/>
  <c r="CL109" i="1"/>
  <c r="CL107" i="1"/>
  <c r="DE260" i="1"/>
  <c r="DE258" i="1"/>
  <c r="DI246" i="1"/>
  <c r="DI247" i="1"/>
  <c r="DI255" i="1"/>
  <c r="CF152" i="1"/>
  <c r="CF150" i="1"/>
  <c r="DB267" i="1"/>
  <c r="DB268" i="1"/>
  <c r="DB183" i="1" s="1"/>
  <c r="DB187" i="1" s="1"/>
  <c r="CI138" i="1"/>
  <c r="CI139" i="1" s="1"/>
  <c r="CI147" i="1"/>
  <c r="CJ133" i="1" l="1"/>
  <c r="CJ137" i="1" s="1"/>
  <c r="CJ147" i="1" s="1"/>
  <c r="CG149" i="1"/>
  <c r="CH144" i="1" s="1"/>
  <c r="CC161" i="1"/>
  <c r="CC162" i="1" s="1"/>
  <c r="CH145" i="1"/>
  <c r="CH148" i="1" s="1"/>
  <c r="CH149" i="1" s="1"/>
  <c r="CI144" i="1" s="1"/>
  <c r="CI140" i="1"/>
  <c r="DI248" i="1"/>
  <c r="CJ134" i="1"/>
  <c r="CK129" i="1" s="1"/>
  <c r="DQ230" i="1"/>
  <c r="DQ228" i="1"/>
  <c r="DK245" i="1"/>
  <c r="DK243" i="1"/>
  <c r="DC269" i="1"/>
  <c r="DC270" i="1" s="1"/>
  <c r="DC176" i="1"/>
  <c r="DC179" i="1" s="1"/>
  <c r="CE68" i="1"/>
  <c r="CE71" i="1" s="1"/>
  <c r="CG152" i="1"/>
  <c r="CG150" i="1"/>
  <c r="DB269" i="1"/>
  <c r="DB270" i="1" s="1"/>
  <c r="DB176" i="1"/>
  <c r="DB179" i="1" s="1"/>
  <c r="DG256" i="1"/>
  <c r="CE160" i="1"/>
  <c r="CE75" i="1" s="1"/>
  <c r="CE79" i="1" s="1"/>
  <c r="CM99" i="1"/>
  <c r="CM105" i="1"/>
  <c r="DE261" i="1"/>
  <c r="DE262" i="1" s="1"/>
  <c r="DE263" i="1" s="1"/>
  <c r="DR226" i="1"/>
  <c r="CF153" i="1"/>
  <c r="CF154" i="1" s="1"/>
  <c r="CF155" i="1" s="1"/>
  <c r="DJ246" i="1"/>
  <c r="DJ255" i="1"/>
  <c r="DD262" i="1"/>
  <c r="DD263" i="1" s="1"/>
  <c r="DK242" i="1"/>
  <c r="DL237" i="1" s="1"/>
  <c r="CK132" i="1"/>
  <c r="CK123" i="1"/>
  <c r="CL110" i="1"/>
  <c r="CL118" i="1" s="1"/>
  <c r="DF260" i="1"/>
  <c r="DF258" i="1"/>
  <c r="CJ135" i="1"/>
  <c r="DP231" i="1"/>
  <c r="DP232" i="1"/>
  <c r="DP240" i="1"/>
  <c r="CM98" i="1"/>
  <c r="CN93" i="1" s="1"/>
  <c r="CJ138" i="1" l="1"/>
  <c r="CJ139" i="1" s="1"/>
  <c r="CE161" i="1"/>
  <c r="CE162" i="1" s="1"/>
  <c r="CL122" i="1"/>
  <c r="CL120" i="1"/>
  <c r="CL119" i="1"/>
  <c r="CM114" i="1" s="1"/>
  <c r="DE267" i="1"/>
  <c r="DF261" i="1"/>
  <c r="CK130" i="1"/>
  <c r="CM107" i="1"/>
  <c r="CM109" i="1"/>
  <c r="CM106" i="1"/>
  <c r="CN102" i="1" s="1"/>
  <c r="DJ247" i="1"/>
  <c r="DQ231" i="1"/>
  <c r="DQ232" i="1" s="1"/>
  <c r="DQ240" i="1"/>
  <c r="CG153" i="1"/>
  <c r="DR230" i="1"/>
  <c r="DR228" i="1"/>
  <c r="CI145" i="1"/>
  <c r="CI148" i="1" s="1"/>
  <c r="CI149" i="1" s="1"/>
  <c r="CJ144" i="1" s="1"/>
  <c r="DD267" i="1"/>
  <c r="CN95" i="1"/>
  <c r="CN100" i="1" s="1"/>
  <c r="CK124" i="1"/>
  <c r="DR227" i="1"/>
  <c r="DS222" i="1" s="1"/>
  <c r="DG260" i="1"/>
  <c r="DG258" i="1"/>
  <c r="DK246" i="1"/>
  <c r="DK255" i="1"/>
  <c r="CH152" i="1"/>
  <c r="CH150" i="1"/>
  <c r="DP233" i="1"/>
  <c r="CF159" i="1"/>
  <c r="DL241" i="1"/>
  <c r="DL242" i="1"/>
  <c r="DM237" i="1" s="1"/>
  <c r="DG257" i="1"/>
  <c r="DH252" i="1" s="1"/>
  <c r="CF160" i="1" l="1"/>
  <c r="CF75" i="1" s="1"/>
  <c r="CF79" i="1" s="1"/>
  <c r="CF68" i="1"/>
  <c r="CJ145" i="1"/>
  <c r="CN117" i="1"/>
  <c r="CN94" i="1"/>
  <c r="DQ233" i="1"/>
  <c r="CK125" i="1"/>
  <c r="CK133" i="1" s="1"/>
  <c r="CN103" i="1"/>
  <c r="CJ140" i="1"/>
  <c r="CJ148" i="1" s="1"/>
  <c r="DE176" i="1"/>
  <c r="DE179" i="1" s="1"/>
  <c r="DJ248" i="1"/>
  <c r="DE268" i="1"/>
  <c r="DE183" i="1" s="1"/>
  <c r="DE187" i="1" s="1"/>
  <c r="DS226" i="1"/>
  <c r="CM115" i="1"/>
  <c r="DR240" i="1"/>
  <c r="DR231" i="1"/>
  <c r="DR232" i="1"/>
  <c r="CH153" i="1"/>
  <c r="CH154" i="1" s="1"/>
  <c r="CH155" i="1" s="1"/>
  <c r="DM241" i="1"/>
  <c r="DL245" i="1"/>
  <c r="DL243" i="1"/>
  <c r="CN97" i="1"/>
  <c r="CM110" i="1"/>
  <c r="DD176" i="1"/>
  <c r="DD179" i="1" s="1"/>
  <c r="CI152" i="1"/>
  <c r="CI150" i="1"/>
  <c r="DH256" i="1"/>
  <c r="DH257" i="1"/>
  <c r="DI252" i="1" s="1"/>
  <c r="DF262" i="1"/>
  <c r="DF263" i="1" s="1"/>
  <c r="DK247" i="1"/>
  <c r="CG154" i="1"/>
  <c r="CG155" i="1" s="1"/>
  <c r="CF161" i="1"/>
  <c r="CF162" i="1" s="1"/>
  <c r="CF71" i="1"/>
  <c r="DG261" i="1"/>
  <c r="DD268" i="1"/>
  <c r="DD183" i="1" s="1"/>
  <c r="DD187" i="1" s="1"/>
  <c r="CL123" i="1"/>
  <c r="CL124" i="1" s="1"/>
  <c r="CL132" i="1"/>
  <c r="CM118" i="1" l="1"/>
  <c r="CM122" i="1"/>
  <c r="CM120" i="1"/>
  <c r="CK137" i="1"/>
  <c r="CK135" i="1"/>
  <c r="CK134" i="1"/>
  <c r="CL129" i="1" s="1"/>
  <c r="CJ152" i="1"/>
  <c r="CJ150" i="1"/>
  <c r="CJ149" i="1"/>
  <c r="CK144" i="1" s="1"/>
  <c r="CG159" i="1"/>
  <c r="CG68" i="1" s="1"/>
  <c r="CL125" i="1"/>
  <c r="DR233" i="1"/>
  <c r="DI256" i="1"/>
  <c r="DI257" i="1"/>
  <c r="DJ252" i="1" s="1"/>
  <c r="DM245" i="1"/>
  <c r="DM243" i="1"/>
  <c r="CM119" i="1"/>
  <c r="CN114" i="1" s="1"/>
  <c r="DE269" i="1"/>
  <c r="DE270" i="1" s="1"/>
  <c r="DK248" i="1"/>
  <c r="CN105" i="1"/>
  <c r="CN99" i="1"/>
  <c r="CN98" i="1"/>
  <c r="CO93" i="1" s="1"/>
  <c r="DF267" i="1"/>
  <c r="DF268" i="1"/>
  <c r="DF183" i="1" s="1"/>
  <c r="DF187" i="1" s="1"/>
  <c r="DL246" i="1"/>
  <c r="DL247" i="1"/>
  <c r="DL255" i="1"/>
  <c r="DD269" i="1"/>
  <c r="DD270" i="1" s="1"/>
  <c r="CH159" i="1"/>
  <c r="CH68" i="1" s="1"/>
  <c r="DH260" i="1"/>
  <c r="DH258" i="1"/>
  <c r="DM242" i="1"/>
  <c r="DN237" i="1" s="1"/>
  <c r="DG262" i="1"/>
  <c r="DG263" i="1" s="1"/>
  <c r="DS230" i="1"/>
  <c r="DS228" i="1"/>
  <c r="CI153" i="1"/>
  <c r="CI154" i="1" s="1"/>
  <c r="CI155" i="1" s="1"/>
  <c r="DS227" i="1"/>
  <c r="DT222" i="1" s="1"/>
  <c r="CG160" i="1" l="1"/>
  <c r="CG75" i="1" s="1"/>
  <c r="CG79" i="1" s="1"/>
  <c r="CI159" i="1"/>
  <c r="CI68" i="1" s="1"/>
  <c r="DM246" i="1"/>
  <c r="DM255" i="1"/>
  <c r="DN241" i="1"/>
  <c r="DN242" i="1" s="1"/>
  <c r="DO237" i="1" s="1"/>
  <c r="CH71" i="1"/>
  <c r="CN115" i="1"/>
  <c r="CG161" i="1"/>
  <c r="CG162" i="1" s="1"/>
  <c r="CG71" i="1"/>
  <c r="DT226" i="1"/>
  <c r="DI260" i="1"/>
  <c r="DI258" i="1"/>
  <c r="CK138" i="1"/>
  <c r="CK147" i="1"/>
  <c r="DJ256" i="1"/>
  <c r="DJ257" i="1"/>
  <c r="DK252" i="1" s="1"/>
  <c r="CH160" i="1"/>
  <c r="CH75" i="1" s="1"/>
  <c r="CH79" i="1" s="1"/>
  <c r="CO95" i="1"/>
  <c r="CO97" i="1" s="1"/>
  <c r="DH261" i="1"/>
  <c r="DH262" i="1" s="1"/>
  <c r="DH263" i="1" s="1"/>
  <c r="DF269" i="1"/>
  <c r="DF270" i="1" s="1"/>
  <c r="DF176" i="1"/>
  <c r="DF179" i="1" s="1"/>
  <c r="CJ153" i="1"/>
  <c r="CK145" i="1"/>
  <c r="CL130" i="1"/>
  <c r="CL133" i="1" s="1"/>
  <c r="CN109" i="1"/>
  <c r="CN107" i="1"/>
  <c r="DS240" i="1"/>
  <c r="DS231" i="1"/>
  <c r="DS232" i="1" s="1"/>
  <c r="CN106" i="1"/>
  <c r="CO102" i="1" s="1"/>
  <c r="DL248" i="1"/>
  <c r="DG267" i="1"/>
  <c r="DG268" i="1"/>
  <c r="DG183" i="1" s="1"/>
  <c r="DG187" i="1" s="1"/>
  <c r="CM123" i="1"/>
  <c r="CM124" i="1" s="1"/>
  <c r="CM132" i="1"/>
  <c r="CH161" i="1" l="1"/>
  <c r="CH162" i="1" s="1"/>
  <c r="CL137" i="1"/>
  <c r="CL135" i="1"/>
  <c r="CL134" i="1"/>
  <c r="CM129" i="1" s="1"/>
  <c r="DH267" i="1"/>
  <c r="DH268" i="1" s="1"/>
  <c r="DH183" i="1" s="1"/>
  <c r="DH187" i="1" s="1"/>
  <c r="CO105" i="1"/>
  <c r="CO99" i="1"/>
  <c r="DS233" i="1"/>
  <c r="DO241" i="1"/>
  <c r="DO242" i="1"/>
  <c r="DP237" i="1" s="1"/>
  <c r="DG269" i="1"/>
  <c r="DG270" i="1" s="1"/>
  <c r="DG176" i="1"/>
  <c r="DG179" i="1" s="1"/>
  <c r="CM125" i="1"/>
  <c r="CO98" i="1"/>
  <c r="CP93" i="1" s="1"/>
  <c r="DT230" i="1"/>
  <c r="DT228" i="1"/>
  <c r="CO100" i="1"/>
  <c r="CN110" i="1"/>
  <c r="CN118" i="1" s="1"/>
  <c r="DM247" i="1"/>
  <c r="CK139" i="1"/>
  <c r="DN245" i="1"/>
  <c r="DN243" i="1"/>
  <c r="DI261" i="1"/>
  <c r="DI262" i="1"/>
  <c r="DI263" i="1" s="1"/>
  <c r="DK256" i="1"/>
  <c r="CI71" i="1"/>
  <c r="CO103" i="1"/>
  <c r="DT227" i="1"/>
  <c r="DU222" i="1" s="1"/>
  <c r="CJ154" i="1"/>
  <c r="CJ155" i="1" s="1"/>
  <c r="DJ260" i="1"/>
  <c r="DJ258" i="1"/>
  <c r="CI160" i="1"/>
  <c r="CI75" i="1" s="1"/>
  <c r="CI79" i="1" s="1"/>
  <c r="CI161" i="1" l="1"/>
  <c r="CI162" i="1" s="1"/>
  <c r="DM248" i="1"/>
  <c r="DI267" i="1"/>
  <c r="DI268" i="1" s="1"/>
  <c r="DI183" i="1" s="1"/>
  <c r="DI187" i="1" s="1"/>
  <c r="DU226" i="1"/>
  <c r="CM130" i="1"/>
  <c r="DK260" i="1"/>
  <c r="DK258" i="1"/>
  <c r="DT231" i="1"/>
  <c r="DT240" i="1"/>
  <c r="DT232" i="1"/>
  <c r="CP95" i="1"/>
  <c r="CP97" i="1" s="1"/>
  <c r="CP98" i="1" s="1"/>
  <c r="CQ93" i="1" s="1"/>
  <c r="CO109" i="1"/>
  <c r="CO107" i="1"/>
  <c r="DH269" i="1"/>
  <c r="DH270" i="1" s="1"/>
  <c r="DH176" i="1"/>
  <c r="DH179" i="1" s="1"/>
  <c r="CO106" i="1"/>
  <c r="CP102" i="1" s="1"/>
  <c r="CO117" i="1"/>
  <c r="CO94" i="1"/>
  <c r="DP241" i="1"/>
  <c r="DP242" i="1"/>
  <c r="DQ237" i="1" s="1"/>
  <c r="CK140" i="1"/>
  <c r="CK148" i="1" s="1"/>
  <c r="DK257" i="1"/>
  <c r="DL252" i="1" s="1"/>
  <c r="DJ261" i="1"/>
  <c r="DJ262" i="1" s="1"/>
  <c r="DJ263" i="1" s="1"/>
  <c r="CJ159" i="1"/>
  <c r="CJ68" i="1" s="1"/>
  <c r="CN122" i="1"/>
  <c r="CN120" i="1"/>
  <c r="CN119" i="1"/>
  <c r="CO114" i="1" s="1"/>
  <c r="DN246" i="1"/>
  <c r="DN247" i="1" s="1"/>
  <c r="DN255" i="1"/>
  <c r="DO245" i="1"/>
  <c r="DO243" i="1"/>
  <c r="CL138" i="1"/>
  <c r="CL139" i="1"/>
  <c r="CL147" i="1"/>
  <c r="CP100" i="1" l="1"/>
  <c r="CQ95" i="1"/>
  <c r="DN248" i="1"/>
  <c r="CO110" i="1"/>
  <c r="DL256" i="1"/>
  <c r="CK152" i="1"/>
  <c r="CK149" i="1"/>
  <c r="CL144" i="1" s="1"/>
  <c r="CK150" i="1"/>
  <c r="CM133" i="1"/>
  <c r="CM134" i="1" s="1"/>
  <c r="CN129" i="1" s="1"/>
  <c r="CN132" i="1"/>
  <c r="CN123" i="1"/>
  <c r="CN124" i="1" s="1"/>
  <c r="DU230" i="1"/>
  <c r="DU228" i="1"/>
  <c r="DT233" i="1"/>
  <c r="DK261" i="1"/>
  <c r="CO115" i="1"/>
  <c r="DP245" i="1"/>
  <c r="DP243" i="1"/>
  <c r="CJ71" i="1"/>
  <c r="CL140" i="1"/>
  <c r="DJ267" i="1"/>
  <c r="DJ268" i="1" s="1"/>
  <c r="DJ183" i="1" s="1"/>
  <c r="DJ187" i="1" s="1"/>
  <c r="CP99" i="1"/>
  <c r="CP105" i="1"/>
  <c r="DQ241" i="1"/>
  <c r="CP117" i="1"/>
  <c r="CP94" i="1"/>
  <c r="DU227" i="1"/>
  <c r="DV222" i="1" s="1"/>
  <c r="CJ160" i="1"/>
  <c r="CJ75" i="1" s="1"/>
  <c r="CJ79" i="1" s="1"/>
  <c r="CP103" i="1"/>
  <c r="DI269" i="1"/>
  <c r="DI270" i="1" s="1"/>
  <c r="DI176" i="1"/>
  <c r="DI179" i="1" s="1"/>
  <c r="DO246" i="1"/>
  <c r="DO255" i="1"/>
  <c r="CP106" i="1" l="1"/>
  <c r="CQ102" i="1" s="1"/>
  <c r="CN125" i="1"/>
  <c r="CQ103" i="1"/>
  <c r="CO118" i="1"/>
  <c r="CN130" i="1"/>
  <c r="CM137" i="1"/>
  <c r="CM135" i="1"/>
  <c r="DL260" i="1"/>
  <c r="DL258" i="1"/>
  <c r="DV226" i="1"/>
  <c r="CL145" i="1"/>
  <c r="CP109" i="1"/>
  <c r="CP107" i="1"/>
  <c r="DO247" i="1"/>
  <c r="CJ161" i="1"/>
  <c r="CJ162" i="1" s="1"/>
  <c r="CK153" i="1"/>
  <c r="CQ97" i="1"/>
  <c r="CQ98" i="1" s="1"/>
  <c r="CR93" i="1" s="1"/>
  <c r="DK262" i="1"/>
  <c r="DK263" i="1" s="1"/>
  <c r="DQ245" i="1"/>
  <c r="DQ243" i="1"/>
  <c r="CQ100" i="1"/>
  <c r="DU240" i="1"/>
  <c r="DU231" i="1"/>
  <c r="DU232" i="1"/>
  <c r="DJ269" i="1"/>
  <c r="DJ270" i="1" s="1"/>
  <c r="DJ176" i="1"/>
  <c r="DJ179" i="1" s="1"/>
  <c r="DQ242" i="1"/>
  <c r="DR237" i="1" s="1"/>
  <c r="DP246" i="1"/>
  <c r="DP247" i="1" s="1"/>
  <c r="DP255" i="1"/>
  <c r="DL257" i="1"/>
  <c r="DM252" i="1" s="1"/>
  <c r="CR95" i="1" l="1"/>
  <c r="CR97" i="1" s="1"/>
  <c r="CM138" i="1"/>
  <c r="CM147" i="1"/>
  <c r="CN133" i="1"/>
  <c r="CO122" i="1"/>
  <c r="CO120" i="1"/>
  <c r="CO119" i="1"/>
  <c r="CP114" i="1" s="1"/>
  <c r="DQ246" i="1"/>
  <c r="DQ255" i="1"/>
  <c r="DK267" i="1"/>
  <c r="DK268" i="1"/>
  <c r="DK183" i="1" s="1"/>
  <c r="DK187" i="1" s="1"/>
  <c r="CQ105" i="1"/>
  <c r="CQ99" i="1"/>
  <c r="CK154" i="1"/>
  <c r="CK155" i="1" s="1"/>
  <c r="DM256" i="1"/>
  <c r="DM257" i="1"/>
  <c r="DN252" i="1" s="1"/>
  <c r="CQ117" i="1"/>
  <c r="CQ94" i="1"/>
  <c r="DO248" i="1"/>
  <c r="DL261" i="1"/>
  <c r="DP248" i="1"/>
  <c r="DR241" i="1"/>
  <c r="DR242" i="1"/>
  <c r="DS237" i="1" s="1"/>
  <c r="CP110" i="1"/>
  <c r="CL148" i="1"/>
  <c r="CL149" i="1" s="1"/>
  <c r="CM144" i="1" s="1"/>
  <c r="DU233" i="1"/>
  <c r="DV230" i="1"/>
  <c r="DV228" i="1"/>
  <c r="E228" i="1" s="1"/>
  <c r="DV227" i="1"/>
  <c r="CM145" i="1" l="1"/>
  <c r="CR99" i="1"/>
  <c r="CR105" i="1"/>
  <c r="CR98" i="1"/>
  <c r="CS93" i="1" s="1"/>
  <c r="CO123" i="1"/>
  <c r="CO132" i="1"/>
  <c r="CQ109" i="1"/>
  <c r="CQ107" i="1"/>
  <c r="CQ106" i="1"/>
  <c r="CR102" i="1" s="1"/>
  <c r="DK269" i="1"/>
  <c r="DK270" i="1" s="1"/>
  <c r="DK176" i="1"/>
  <c r="DK179" i="1" s="1"/>
  <c r="CN137" i="1"/>
  <c r="CN135" i="1"/>
  <c r="DS241" i="1"/>
  <c r="DS242" i="1" s="1"/>
  <c r="DT237" i="1" s="1"/>
  <c r="CM139" i="1"/>
  <c r="DR245" i="1"/>
  <c r="DR243" i="1"/>
  <c r="DN256" i="1"/>
  <c r="DQ247" i="1"/>
  <c r="CK159" i="1"/>
  <c r="CK68" i="1" s="1"/>
  <c r="CR100" i="1"/>
  <c r="CP115" i="1"/>
  <c r="CP118" i="1" s="1"/>
  <c r="CL152" i="1"/>
  <c r="CL150" i="1"/>
  <c r="DM260" i="1"/>
  <c r="DM258" i="1"/>
  <c r="DV231" i="1"/>
  <c r="DV232" i="1" s="1"/>
  <c r="DV240" i="1"/>
  <c r="DL262" i="1"/>
  <c r="DL263" i="1" s="1"/>
  <c r="CN134" i="1"/>
  <c r="CO129" i="1" s="1"/>
  <c r="CP122" i="1" l="1"/>
  <c r="CP120" i="1"/>
  <c r="CP119" i="1"/>
  <c r="CQ114" i="1" s="1"/>
  <c r="DV233" i="1"/>
  <c r="DT241" i="1"/>
  <c r="CQ110" i="1"/>
  <c r="CR117" i="1"/>
  <c r="CR94" i="1"/>
  <c r="CL153" i="1"/>
  <c r="CL154" i="1" s="1"/>
  <c r="CL155" i="1" s="1"/>
  <c r="CR109" i="1"/>
  <c r="CR107" i="1"/>
  <c r="DS245" i="1"/>
  <c r="DS243" i="1"/>
  <c r="DM261" i="1"/>
  <c r="DM262" i="1"/>
  <c r="DM263" i="1" s="1"/>
  <c r="CN138" i="1"/>
  <c r="CN139" i="1" s="1"/>
  <c r="CN147" i="1"/>
  <c r="CO130" i="1"/>
  <c r="DR246" i="1"/>
  <c r="DR247" i="1" s="1"/>
  <c r="DR255" i="1"/>
  <c r="CR103" i="1"/>
  <c r="CR106" i="1" s="1"/>
  <c r="CS102" i="1" s="1"/>
  <c r="DN260" i="1"/>
  <c r="DN258" i="1"/>
  <c r="DN257" i="1"/>
  <c r="DO252" i="1" s="1"/>
  <c r="DL267" i="1"/>
  <c r="CM140" i="1"/>
  <c r="CM148" i="1" s="1"/>
  <c r="CK71" i="1"/>
  <c r="CK160" i="1"/>
  <c r="CK75" i="1" s="1"/>
  <c r="CK79" i="1" s="1"/>
  <c r="DQ248" i="1"/>
  <c r="CO124" i="1"/>
  <c r="CS95" i="1"/>
  <c r="CS100" i="1" s="1"/>
  <c r="CS103" i="1" l="1"/>
  <c r="CS117" i="1"/>
  <c r="CS94" i="1"/>
  <c r="CN140" i="1"/>
  <c r="DL176" i="1"/>
  <c r="DL179" i="1" s="1"/>
  <c r="DR248" i="1"/>
  <c r="DS246" i="1"/>
  <c r="DS247" i="1"/>
  <c r="DS255" i="1"/>
  <c r="DT245" i="1"/>
  <c r="DT243" i="1"/>
  <c r="DN261" i="1"/>
  <c r="DN262" i="1" s="1"/>
  <c r="DN263" i="1" s="1"/>
  <c r="CR110" i="1"/>
  <c r="DM267" i="1"/>
  <c r="DM268" i="1"/>
  <c r="DM183" i="1" s="1"/>
  <c r="DM187" i="1" s="1"/>
  <c r="CQ115" i="1"/>
  <c r="CQ118" i="1" s="1"/>
  <c r="DO256" i="1"/>
  <c r="DO257" i="1"/>
  <c r="DP252" i="1" s="1"/>
  <c r="DT242" i="1"/>
  <c r="DU237" i="1" s="1"/>
  <c r="DL268" i="1"/>
  <c r="DL183" i="1" s="1"/>
  <c r="DL187" i="1" s="1"/>
  <c r="CS97" i="1"/>
  <c r="CS98" i="1" s="1"/>
  <c r="CT93" i="1" s="1"/>
  <c r="CO125" i="1"/>
  <c r="CO133" i="1" s="1"/>
  <c r="CL159" i="1"/>
  <c r="CK161" i="1"/>
  <c r="CK162" i="1" s="1"/>
  <c r="CM152" i="1"/>
  <c r="CM149" i="1"/>
  <c r="CN144" i="1" s="1"/>
  <c r="CM150" i="1"/>
  <c r="CP132" i="1"/>
  <c r="CP123" i="1"/>
  <c r="CP124" i="1" s="1"/>
  <c r="CL160" i="1" l="1"/>
  <c r="CL75" i="1" s="1"/>
  <c r="CL79" i="1" s="1"/>
  <c r="CL68" i="1"/>
  <c r="DL269" i="1"/>
  <c r="DL270" i="1" s="1"/>
  <c r="CQ122" i="1"/>
  <c r="CQ120" i="1"/>
  <c r="CQ119" i="1"/>
  <c r="CR114" i="1" s="1"/>
  <c r="CT95" i="1"/>
  <c r="CT97" i="1" s="1"/>
  <c r="CL161" i="1"/>
  <c r="CL162" i="1" s="1"/>
  <c r="CL71" i="1"/>
  <c r="DO260" i="1"/>
  <c r="DO258" i="1"/>
  <c r="DM269" i="1"/>
  <c r="DM270" i="1" s="1"/>
  <c r="DM176" i="1"/>
  <c r="DM179" i="1" s="1"/>
  <c r="DU241" i="1"/>
  <c r="DU242" i="1" s="1"/>
  <c r="DV237" i="1" s="1"/>
  <c r="DP256" i="1"/>
  <c r="CP125" i="1"/>
  <c r="DN267" i="1"/>
  <c r="CS105" i="1"/>
  <c r="CS99" i="1"/>
  <c r="DT246" i="1"/>
  <c r="DT255" i="1"/>
  <c r="CN145" i="1"/>
  <c r="CN148" i="1" s="1"/>
  <c r="DS248" i="1"/>
  <c r="CO137" i="1"/>
  <c r="CO135" i="1"/>
  <c r="CO134" i="1"/>
  <c r="CP129" i="1" s="1"/>
  <c r="CM153" i="1"/>
  <c r="CN149" i="1" l="1"/>
  <c r="CO144" i="1" s="1"/>
  <c r="CO145" i="1" s="1"/>
  <c r="CT105" i="1"/>
  <c r="CT99" i="1"/>
  <c r="CT98" i="1"/>
  <c r="CU93" i="1" s="1"/>
  <c r="DO261" i="1"/>
  <c r="CS109" i="1"/>
  <c r="CS107" i="1"/>
  <c r="CS106" i="1"/>
  <c r="CT102" i="1" s="1"/>
  <c r="CT100" i="1"/>
  <c r="CN152" i="1"/>
  <c r="CN150" i="1"/>
  <c r="DP260" i="1"/>
  <c r="DP258" i="1"/>
  <c r="DN176" i="1"/>
  <c r="DN179" i="1" s="1"/>
  <c r="CR115" i="1"/>
  <c r="CR118" i="1" s="1"/>
  <c r="DP257" i="1"/>
  <c r="DQ252" i="1" s="1"/>
  <c r="CM154" i="1"/>
  <c r="CM155" i="1" s="1"/>
  <c r="DU245" i="1"/>
  <c r="DU243" i="1"/>
  <c r="DN268" i="1"/>
  <c r="DN183" i="1" s="1"/>
  <c r="DN187" i="1" s="1"/>
  <c r="DV241" i="1"/>
  <c r="DV242" i="1"/>
  <c r="DT247" i="1"/>
  <c r="CP130" i="1"/>
  <c r="CO138" i="1"/>
  <c r="CO139" i="1" s="1"/>
  <c r="CO147" i="1"/>
  <c r="CQ132" i="1"/>
  <c r="CQ123" i="1"/>
  <c r="CQ124" i="1" s="1"/>
  <c r="DN269" i="1" l="1"/>
  <c r="DN270" i="1" s="1"/>
  <c r="CO140" i="1"/>
  <c r="CQ125" i="1"/>
  <c r="CO148" i="1"/>
  <c r="CO152" i="1" s="1"/>
  <c r="CP133" i="1"/>
  <c r="CP134" i="1" s="1"/>
  <c r="CQ129" i="1" s="1"/>
  <c r="DP261" i="1"/>
  <c r="CN153" i="1"/>
  <c r="CM159" i="1"/>
  <c r="CM68" i="1" s="1"/>
  <c r="CT109" i="1"/>
  <c r="CT107" i="1"/>
  <c r="DQ256" i="1"/>
  <c r="CT103" i="1"/>
  <c r="CT106" i="1" s="1"/>
  <c r="CU102" i="1" s="1"/>
  <c r="CR122" i="1"/>
  <c r="CR120" i="1"/>
  <c r="DT248" i="1"/>
  <c r="DV245" i="1"/>
  <c r="DV243" i="1"/>
  <c r="E243" i="1" s="1"/>
  <c r="DO262" i="1"/>
  <c r="DO263" i="1" s="1"/>
  <c r="CU95" i="1"/>
  <c r="DU246" i="1"/>
  <c r="DU255" i="1"/>
  <c r="CT117" i="1"/>
  <c r="CT94" i="1"/>
  <c r="CR119" i="1"/>
  <c r="CS114" i="1" s="1"/>
  <c r="CS110" i="1"/>
  <c r="CM160" i="1" l="1"/>
  <c r="CM75" i="1" s="1"/>
  <c r="CM79" i="1" s="1"/>
  <c r="CO150" i="1"/>
  <c r="CQ130" i="1"/>
  <c r="CQ133" i="1" s="1"/>
  <c r="DV246" i="1"/>
  <c r="DV247" i="1"/>
  <c r="DV255" i="1"/>
  <c r="CM161" i="1"/>
  <c r="CM162" i="1" s="1"/>
  <c r="CM71" i="1"/>
  <c r="CO149" i="1"/>
  <c r="CP144" i="1" s="1"/>
  <c r="DQ260" i="1"/>
  <c r="DQ258" i="1"/>
  <c r="CR123" i="1"/>
  <c r="CR132" i="1"/>
  <c r="CO153" i="1"/>
  <c r="CO154" i="1" s="1"/>
  <c r="CO155" i="1" s="1"/>
  <c r="CU103" i="1"/>
  <c r="CN154" i="1"/>
  <c r="CN155" i="1" s="1"/>
  <c r="DO267" i="1"/>
  <c r="DO268" i="1"/>
  <c r="DO183" i="1" s="1"/>
  <c r="DO187" i="1" s="1"/>
  <c r="CT110" i="1"/>
  <c r="CU97" i="1"/>
  <c r="CU98" i="1" s="1"/>
  <c r="CV93" i="1" s="1"/>
  <c r="CP137" i="1"/>
  <c r="CP135" i="1"/>
  <c r="DU247" i="1"/>
  <c r="CU100" i="1"/>
  <c r="CS115" i="1"/>
  <c r="CS118" i="1" s="1"/>
  <c r="DQ257" i="1"/>
  <c r="DR252" i="1" s="1"/>
  <c r="DP262" i="1"/>
  <c r="DP263" i="1" s="1"/>
  <c r="CS122" i="1" l="1"/>
  <c r="CS120" i="1"/>
  <c r="CS119" i="1"/>
  <c r="CT114" i="1" s="1"/>
  <c r="CP145" i="1"/>
  <c r="DP267" i="1"/>
  <c r="DP268" i="1"/>
  <c r="DP183" i="1" s="1"/>
  <c r="DP187" i="1" s="1"/>
  <c r="DV248" i="1"/>
  <c r="CU117" i="1"/>
  <c r="CU94" i="1"/>
  <c r="CQ137" i="1"/>
  <c r="CQ135" i="1"/>
  <c r="DR256" i="1"/>
  <c r="DR257" i="1" s="1"/>
  <c r="DS252" i="1" s="1"/>
  <c r="CR124" i="1"/>
  <c r="CP138" i="1"/>
  <c r="CP147" i="1"/>
  <c r="CQ134" i="1"/>
  <c r="CR129" i="1" s="1"/>
  <c r="CO159" i="1"/>
  <c r="DO269" i="1"/>
  <c r="DO270" i="1" s="1"/>
  <c r="DO176" i="1"/>
  <c r="DO179" i="1" s="1"/>
  <c r="CN159" i="1"/>
  <c r="DU248" i="1"/>
  <c r="CV95" i="1"/>
  <c r="CU99" i="1"/>
  <c r="CU105" i="1"/>
  <c r="DQ261" i="1"/>
  <c r="CO160" i="1" l="1"/>
  <c r="CO75" i="1" s="1"/>
  <c r="CO79" i="1" s="1"/>
  <c r="CO68" i="1"/>
  <c r="CO71" i="1" s="1"/>
  <c r="CN160" i="1"/>
  <c r="CN75" i="1" s="1"/>
  <c r="CN79" i="1" s="1"/>
  <c r="CN68" i="1"/>
  <c r="CN71" i="1" s="1"/>
  <c r="DS256" i="1"/>
  <c r="CR125" i="1"/>
  <c r="CU109" i="1"/>
  <c r="CU107" i="1"/>
  <c r="DP269" i="1"/>
  <c r="DP270" i="1" s="1"/>
  <c r="DP176" i="1"/>
  <c r="DP179" i="1" s="1"/>
  <c r="CV97" i="1"/>
  <c r="CV98" i="1" s="1"/>
  <c r="CW93" i="1" s="1"/>
  <c r="CQ138" i="1"/>
  <c r="CQ139" i="1" s="1"/>
  <c r="CQ147" i="1"/>
  <c r="CT115" i="1"/>
  <c r="CS132" i="1"/>
  <c r="CS123" i="1"/>
  <c r="CS124" i="1" s="1"/>
  <c r="DQ262" i="1"/>
  <c r="DQ263" i="1" s="1"/>
  <c r="DR260" i="1"/>
  <c r="DR258" i="1"/>
  <c r="CV100" i="1"/>
  <c r="CR130" i="1"/>
  <c r="CP139" i="1"/>
  <c r="CU106" i="1"/>
  <c r="CV102" i="1" s="1"/>
  <c r="CN161" i="1" l="1"/>
  <c r="CN162" i="1" s="1"/>
  <c r="CR133" i="1"/>
  <c r="CR135" i="1" s="1"/>
  <c r="CO161" i="1"/>
  <c r="CO162" i="1" s="1"/>
  <c r="CR134" i="1"/>
  <c r="CS129" i="1" s="1"/>
  <c r="CS130" i="1" s="1"/>
  <c r="CW95" i="1"/>
  <c r="CW97" i="1" s="1"/>
  <c r="CW98" i="1" s="1"/>
  <c r="CX93" i="1" s="1"/>
  <c r="CS125" i="1"/>
  <c r="CQ140" i="1"/>
  <c r="DR261" i="1"/>
  <c r="CP140" i="1"/>
  <c r="CP148" i="1" s="1"/>
  <c r="CT118" i="1"/>
  <c r="CT119" i="1" s="1"/>
  <c r="CU114" i="1" s="1"/>
  <c r="CU110" i="1"/>
  <c r="CV103" i="1"/>
  <c r="CV117" i="1"/>
  <c r="CV94" i="1"/>
  <c r="DQ267" i="1"/>
  <c r="DQ268" i="1"/>
  <c r="DQ183" i="1" s="1"/>
  <c r="DQ187" i="1" s="1"/>
  <c r="CV105" i="1"/>
  <c r="CV99" i="1"/>
  <c r="DS260" i="1"/>
  <c r="DS258" i="1"/>
  <c r="DS257" i="1"/>
  <c r="DT252" i="1" s="1"/>
  <c r="CR137" i="1" l="1"/>
  <c r="CS133" i="1"/>
  <c r="CW100" i="1"/>
  <c r="CV106" i="1"/>
  <c r="CW102" i="1" s="1"/>
  <c r="CS137" i="1"/>
  <c r="CS134" i="1"/>
  <c r="CT129" i="1" s="1"/>
  <c r="CS135" i="1"/>
  <c r="CW103" i="1"/>
  <c r="CU115" i="1"/>
  <c r="CV109" i="1"/>
  <c r="CV107" i="1"/>
  <c r="CW117" i="1"/>
  <c r="CW105" i="1"/>
  <c r="CW99" i="1"/>
  <c r="CT122" i="1"/>
  <c r="CT120" i="1"/>
  <c r="DQ269" i="1"/>
  <c r="DQ270" i="1" s="1"/>
  <c r="DQ176" i="1"/>
  <c r="DQ179" i="1" s="1"/>
  <c r="CP152" i="1"/>
  <c r="CP149" i="1"/>
  <c r="CQ144" i="1" s="1"/>
  <c r="CP150" i="1"/>
  <c r="DS261" i="1"/>
  <c r="DR262" i="1"/>
  <c r="DR263" i="1" s="1"/>
  <c r="DT256" i="1"/>
  <c r="CX95" i="1"/>
  <c r="CX100" i="1" s="1"/>
  <c r="CR138" i="1"/>
  <c r="CR139" i="1" s="1"/>
  <c r="CR147" i="1"/>
  <c r="CW94" i="1" l="1"/>
  <c r="CW106" i="1"/>
  <c r="CX102" i="1" s="1"/>
  <c r="CX97" i="1"/>
  <c r="CX98" i="1" s="1"/>
  <c r="CY93" i="1" s="1"/>
  <c r="CY95" i="1" s="1"/>
  <c r="CQ145" i="1"/>
  <c r="CQ148" i="1" s="1"/>
  <c r="CP153" i="1"/>
  <c r="DT260" i="1"/>
  <c r="DT258" i="1"/>
  <c r="DT257" i="1"/>
  <c r="DU252" i="1" s="1"/>
  <c r="CU118" i="1"/>
  <c r="CX105" i="1"/>
  <c r="CX99" i="1"/>
  <c r="CX117" i="1"/>
  <c r="CX94" i="1"/>
  <c r="CT123" i="1"/>
  <c r="CT124" i="1" s="1"/>
  <c r="CT132" i="1"/>
  <c r="CX103" i="1"/>
  <c r="CW109" i="1"/>
  <c r="CW107" i="1"/>
  <c r="DS262" i="1"/>
  <c r="DS263" i="1" s="1"/>
  <c r="CT130" i="1"/>
  <c r="CR140" i="1"/>
  <c r="CV110" i="1"/>
  <c r="DR267" i="1"/>
  <c r="DR268" i="1"/>
  <c r="DR183" i="1" s="1"/>
  <c r="DR187" i="1" s="1"/>
  <c r="CS138" i="1"/>
  <c r="CS147" i="1"/>
  <c r="CX106" i="1" l="1"/>
  <c r="CY102" i="1" s="1"/>
  <c r="CY103" i="1"/>
  <c r="CQ152" i="1"/>
  <c r="CQ150" i="1"/>
  <c r="CQ149" i="1"/>
  <c r="CR144" i="1" s="1"/>
  <c r="CT125" i="1"/>
  <c r="CT133" i="1" s="1"/>
  <c r="CT135" i="1" s="1"/>
  <c r="CY98" i="1"/>
  <c r="CZ93" i="1" s="1"/>
  <c r="DT261" i="1"/>
  <c r="DT262" i="1" s="1"/>
  <c r="DT263" i="1" s="1"/>
  <c r="DS267" i="1"/>
  <c r="DS268" i="1" s="1"/>
  <c r="DS183" i="1" s="1"/>
  <c r="DS187" i="1" s="1"/>
  <c r="DR269" i="1"/>
  <c r="DR270" i="1" s="1"/>
  <c r="DR176" i="1"/>
  <c r="DR179" i="1" s="1"/>
  <c r="CX109" i="1"/>
  <c r="CX107" i="1"/>
  <c r="CU122" i="1"/>
  <c r="CU120" i="1"/>
  <c r="CY97" i="1"/>
  <c r="CP154" i="1"/>
  <c r="CP155" i="1" s="1"/>
  <c r="DU256" i="1"/>
  <c r="CY100" i="1"/>
  <c r="CW110" i="1"/>
  <c r="CS139" i="1"/>
  <c r="CU119" i="1"/>
  <c r="CV114" i="1" s="1"/>
  <c r="DT267" i="1" l="1"/>
  <c r="CR145" i="1"/>
  <c r="CR148" i="1" s="1"/>
  <c r="CR149" i="1" s="1"/>
  <c r="CS144" i="1" s="1"/>
  <c r="CZ95" i="1"/>
  <c r="CZ97" i="1" s="1"/>
  <c r="CZ100" i="1"/>
  <c r="CY117" i="1"/>
  <c r="CY94" i="1"/>
  <c r="DU260" i="1"/>
  <c r="DU258" i="1"/>
  <c r="CV115" i="1"/>
  <c r="CV118" i="1" s="1"/>
  <c r="CP159" i="1"/>
  <c r="CQ153" i="1"/>
  <c r="CQ154" i="1" s="1"/>
  <c r="CQ155" i="1" s="1"/>
  <c r="CX110" i="1"/>
  <c r="DU257" i="1"/>
  <c r="DV252" i="1" s="1"/>
  <c r="CU132" i="1"/>
  <c r="CU123" i="1"/>
  <c r="CU124" i="1" s="1"/>
  <c r="CT137" i="1"/>
  <c r="CT134" i="1"/>
  <c r="CU129" i="1" s="1"/>
  <c r="DS269" i="1"/>
  <c r="DS270" i="1" s="1"/>
  <c r="DS176" i="1"/>
  <c r="DS179" i="1" s="1"/>
  <c r="CS140" i="1"/>
  <c r="CY105" i="1"/>
  <c r="CY99" i="1"/>
  <c r="CP160" i="1" l="1"/>
  <c r="CP75" i="1" s="1"/>
  <c r="CP79" i="1" s="1"/>
  <c r="CP68" i="1"/>
  <c r="CV119" i="1"/>
  <c r="CW114" i="1" s="1"/>
  <c r="CU125" i="1"/>
  <c r="CW115" i="1"/>
  <c r="CW118" i="1" s="1"/>
  <c r="CZ105" i="1"/>
  <c r="CZ99" i="1"/>
  <c r="CZ98" i="1"/>
  <c r="DA93" i="1" s="1"/>
  <c r="CQ159" i="1"/>
  <c r="CQ68" i="1" s="1"/>
  <c r="CP161" i="1"/>
  <c r="CP162" i="1" s="1"/>
  <c r="CP71" i="1"/>
  <c r="DV256" i="1"/>
  <c r="DV257" i="1" s="1"/>
  <c r="DU261" i="1"/>
  <c r="DU262" i="1"/>
  <c r="DU263" i="1" s="1"/>
  <c r="DT176" i="1"/>
  <c r="DT179" i="1" s="1"/>
  <c r="CZ117" i="1"/>
  <c r="CZ94" i="1"/>
  <c r="CY109" i="1"/>
  <c r="CY107" i="1"/>
  <c r="CV122" i="1"/>
  <c r="CV120" i="1"/>
  <c r="CR152" i="1"/>
  <c r="CR150" i="1"/>
  <c r="CU130" i="1"/>
  <c r="CS145" i="1"/>
  <c r="CY106" i="1"/>
  <c r="CZ102" i="1" s="1"/>
  <c r="CT138" i="1"/>
  <c r="CT139" i="1" s="1"/>
  <c r="CT147" i="1"/>
  <c r="DT268" i="1"/>
  <c r="DT183" i="1" s="1"/>
  <c r="DT187" i="1" s="1"/>
  <c r="CU133" i="1" l="1"/>
  <c r="CU137" i="1" s="1"/>
  <c r="CW122" i="1"/>
  <c r="CW120" i="1"/>
  <c r="CU138" i="1"/>
  <c r="CU139" i="1" s="1"/>
  <c r="CU147" i="1"/>
  <c r="CQ71" i="1"/>
  <c r="DA95" i="1"/>
  <c r="DA97" i="1" s="1"/>
  <c r="DA100" i="1"/>
  <c r="CR153" i="1"/>
  <c r="CR154" i="1" s="1"/>
  <c r="CR155" i="1" s="1"/>
  <c r="DU267" i="1"/>
  <c r="DU268" i="1" s="1"/>
  <c r="DU183" i="1" s="1"/>
  <c r="DU187" i="1" s="1"/>
  <c r="CS148" i="1"/>
  <c r="CQ160" i="1"/>
  <c r="CQ75" i="1" s="1"/>
  <c r="CQ79" i="1" s="1"/>
  <c r="CT140" i="1"/>
  <c r="CZ103" i="1"/>
  <c r="CZ106" i="1" s="1"/>
  <c r="DA102" i="1" s="1"/>
  <c r="CV132" i="1"/>
  <c r="CV123" i="1"/>
  <c r="CV124" i="1" s="1"/>
  <c r="CW119" i="1"/>
  <c r="CX114" i="1" s="1"/>
  <c r="CU135" i="1"/>
  <c r="CU134" i="1"/>
  <c r="CV129" i="1" s="1"/>
  <c r="DT269" i="1"/>
  <c r="DT270" i="1" s="1"/>
  <c r="CZ109" i="1"/>
  <c r="CZ107" i="1"/>
  <c r="DV260" i="1"/>
  <c r="DV258" i="1"/>
  <c r="E258" i="1" s="1"/>
  <c r="CY110" i="1"/>
  <c r="CU140" i="1" l="1"/>
  <c r="CR159" i="1"/>
  <c r="CV125" i="1"/>
  <c r="DA105" i="1"/>
  <c r="DA99" i="1"/>
  <c r="DA98" i="1"/>
  <c r="DB93" i="1" s="1"/>
  <c r="DA103" i="1"/>
  <c r="DA106" i="1" s="1"/>
  <c r="DB102" i="1" s="1"/>
  <c r="DV261" i="1"/>
  <c r="DV262" i="1"/>
  <c r="DV263" i="1" s="1"/>
  <c r="CW132" i="1"/>
  <c r="CW123" i="1"/>
  <c r="CW124" i="1" s="1"/>
  <c r="DA117" i="1"/>
  <c r="DA94" i="1"/>
  <c r="CV130" i="1"/>
  <c r="CX115" i="1"/>
  <c r="CX118" i="1" s="1"/>
  <c r="CS152" i="1"/>
  <c r="CS150" i="1"/>
  <c r="CQ161" i="1"/>
  <c r="CQ162" i="1" s="1"/>
  <c r="DU269" i="1"/>
  <c r="DU270" i="1" s="1"/>
  <c r="DU176" i="1"/>
  <c r="DU179" i="1" s="1"/>
  <c r="CZ110" i="1"/>
  <c r="CS149" i="1"/>
  <c r="CT144" i="1" s="1"/>
  <c r="CR160" i="1" l="1"/>
  <c r="CR75" i="1" s="1"/>
  <c r="CR79" i="1" s="1"/>
  <c r="CR68" i="1"/>
  <c r="CV133" i="1"/>
  <c r="CW125" i="1"/>
  <c r="CX122" i="1"/>
  <c r="CX120" i="1"/>
  <c r="CX119" i="1"/>
  <c r="CY114" i="1" s="1"/>
  <c r="CV137" i="1"/>
  <c r="CV134" i="1"/>
  <c r="CW129" i="1" s="1"/>
  <c r="CV135" i="1"/>
  <c r="CT145" i="1"/>
  <c r="CS153" i="1"/>
  <c r="CS154" i="1" s="1"/>
  <c r="CS155" i="1" s="1"/>
  <c r="DV267" i="1"/>
  <c r="DB95" i="1"/>
  <c r="DB97" i="1" s="1"/>
  <c r="DA109" i="1"/>
  <c r="DA107" i="1"/>
  <c r="DB103" i="1"/>
  <c r="CR161" i="1"/>
  <c r="CR162" i="1" s="1"/>
  <c r="CR71" i="1"/>
  <c r="DB98" i="1" l="1"/>
  <c r="DC93" i="1" s="1"/>
  <c r="DB100" i="1"/>
  <c r="CT148" i="1"/>
  <c r="DB117" i="1"/>
  <c r="DB94" i="1"/>
  <c r="DB105" i="1"/>
  <c r="DB99" i="1"/>
  <c r="DV176" i="1"/>
  <c r="CY115" i="1"/>
  <c r="CY118" i="1" s="1"/>
  <c r="CS159" i="1"/>
  <c r="CV138" i="1"/>
  <c r="CV147" i="1"/>
  <c r="DV268" i="1"/>
  <c r="DV183" i="1" s="1"/>
  <c r="CX132" i="1"/>
  <c r="CX123" i="1"/>
  <c r="DA110" i="1"/>
  <c r="DC95" i="1"/>
  <c r="DC100" i="1" s="1"/>
  <c r="CW130" i="1"/>
  <c r="CS160" i="1" l="1"/>
  <c r="CS75" i="1" s="1"/>
  <c r="CS79" i="1" s="1"/>
  <c r="CS68" i="1"/>
  <c r="DC97" i="1"/>
  <c r="CY119" i="1"/>
  <c r="CZ114" i="1" s="1"/>
  <c r="CZ115" i="1"/>
  <c r="DC117" i="1"/>
  <c r="DC94" i="1"/>
  <c r="CY122" i="1"/>
  <c r="CY120" i="1"/>
  <c r="D176" i="1"/>
  <c r="DV179" i="1"/>
  <c r="D179" i="1" s="1"/>
  <c r="DV269" i="1"/>
  <c r="DV270" i="1" s="1"/>
  <c r="DB107" i="1"/>
  <c r="DB109" i="1"/>
  <c r="CT152" i="1"/>
  <c r="CT150" i="1"/>
  <c r="D183" i="1"/>
  <c r="DV187" i="1"/>
  <c r="D187" i="1" s="1"/>
  <c r="DC98" i="1"/>
  <c r="DD93" i="1" s="1"/>
  <c r="CV139" i="1"/>
  <c r="CW133" i="1"/>
  <c r="CW134" i="1" s="1"/>
  <c r="CX129" i="1" s="1"/>
  <c r="DB106" i="1"/>
  <c r="DC102" i="1" s="1"/>
  <c r="DC105" i="1"/>
  <c r="DC99" i="1"/>
  <c r="CS161" i="1"/>
  <c r="CS162" i="1" s="1"/>
  <c r="CS71" i="1"/>
  <c r="CX124" i="1"/>
  <c r="CT149" i="1"/>
  <c r="CU144" i="1" s="1"/>
  <c r="CV140" i="1" l="1"/>
  <c r="D178" i="1"/>
  <c r="D180" i="1"/>
  <c r="CU145" i="1"/>
  <c r="CU148" i="1" s="1"/>
  <c r="CX125" i="1"/>
  <c r="CY123" i="1"/>
  <c r="CY132" i="1"/>
  <c r="CY124" i="1"/>
  <c r="DC107" i="1"/>
  <c r="DC109" i="1"/>
  <c r="DB110" i="1"/>
  <c r="DC103" i="1"/>
  <c r="DC106" i="1" s="1"/>
  <c r="DD102" i="1" s="1"/>
  <c r="CZ118" i="1"/>
  <c r="DD95" i="1"/>
  <c r="DD97" i="1" s="1"/>
  <c r="D186" i="1"/>
  <c r="D188" i="1"/>
  <c r="CT153" i="1"/>
  <c r="CX130" i="1"/>
  <c r="CW137" i="1"/>
  <c r="CW135" i="1"/>
  <c r="CX133" i="1" l="1"/>
  <c r="CX134" i="1" s="1"/>
  <c r="CY129" i="1" s="1"/>
  <c r="CY130" i="1" s="1"/>
  <c r="CU149" i="1"/>
  <c r="CV144" i="1" s="1"/>
  <c r="DD98" i="1"/>
  <c r="DE93" i="1" s="1"/>
  <c r="DE95" i="1"/>
  <c r="DE100" i="1"/>
  <c r="DE97" i="1"/>
  <c r="CX137" i="1"/>
  <c r="CX135" i="1"/>
  <c r="CV145" i="1"/>
  <c r="CU152" i="1"/>
  <c r="CU150" i="1"/>
  <c r="DD99" i="1"/>
  <c r="DD105" i="1"/>
  <c r="CZ122" i="1"/>
  <c r="CZ120" i="1"/>
  <c r="CY125" i="1"/>
  <c r="CT154" i="1"/>
  <c r="CT155" i="1" s="1"/>
  <c r="DD100" i="1"/>
  <c r="CW138" i="1"/>
  <c r="CW139" i="1"/>
  <c r="CW147" i="1"/>
  <c r="DD103" i="1"/>
  <c r="DD106" i="1" s="1"/>
  <c r="DE102" i="1" s="1"/>
  <c r="DC110" i="1"/>
  <c r="Q167" i="1"/>
  <c r="Q166" i="1" s="1"/>
  <c r="CZ119" i="1"/>
  <c r="DA114" i="1" s="1"/>
  <c r="CY133" i="1" l="1"/>
  <c r="CY137" i="1"/>
  <c r="CY135" i="1"/>
  <c r="DD117" i="1"/>
  <c r="DD94" i="1"/>
  <c r="CT159" i="1"/>
  <c r="CT68" i="1" s="1"/>
  <c r="CV148" i="1"/>
  <c r="CX138" i="1"/>
  <c r="CX147" i="1"/>
  <c r="DE105" i="1"/>
  <c r="DE99" i="1"/>
  <c r="DE98" i="1"/>
  <c r="DF93" i="1" s="1"/>
  <c r="DE117" i="1"/>
  <c r="DE94" i="1"/>
  <c r="DA115" i="1"/>
  <c r="DA118" i="1"/>
  <c r="DA119" i="1"/>
  <c r="DB114" i="1" s="1"/>
  <c r="CW140" i="1"/>
  <c r="CY134" i="1"/>
  <c r="CZ129" i="1" s="1"/>
  <c r="DE103" i="1"/>
  <c r="CZ132" i="1"/>
  <c r="CZ123" i="1"/>
  <c r="DD109" i="1"/>
  <c r="DD107" i="1"/>
  <c r="CU153" i="1"/>
  <c r="CT160" i="1" l="1"/>
  <c r="CT75" i="1" s="1"/>
  <c r="CT79" i="1" s="1"/>
  <c r="DE106" i="1"/>
  <c r="DF102" i="1" s="1"/>
  <c r="DF103" i="1" s="1"/>
  <c r="DB115" i="1"/>
  <c r="DB118" i="1" s="1"/>
  <c r="DF95" i="1"/>
  <c r="DF100" i="1" s="1"/>
  <c r="CZ130" i="1"/>
  <c r="DE107" i="1"/>
  <c r="DE109" i="1"/>
  <c r="DA122" i="1"/>
  <c r="DA120" i="1"/>
  <c r="CY138" i="1"/>
  <c r="CY147" i="1"/>
  <c r="DD110" i="1"/>
  <c r="CX139" i="1"/>
  <c r="CV152" i="1"/>
  <c r="CV150" i="1"/>
  <c r="CT71" i="1"/>
  <c r="CZ124" i="1"/>
  <c r="CU154" i="1"/>
  <c r="CU155" i="1" s="1"/>
  <c r="CV149" i="1"/>
  <c r="CW144" i="1" s="1"/>
  <c r="CT161" i="1" l="1"/>
  <c r="CT162" i="1" s="1"/>
  <c r="DB122" i="1"/>
  <c r="DB120" i="1"/>
  <c r="DF117" i="1"/>
  <c r="DF94" i="1"/>
  <c r="CZ125" i="1"/>
  <c r="CZ133" i="1" s="1"/>
  <c r="DE110" i="1"/>
  <c r="DB119" i="1"/>
  <c r="DC114" i="1" s="1"/>
  <c r="DF97" i="1"/>
  <c r="CV153" i="1"/>
  <c r="CV154" i="1" s="1"/>
  <c r="CV155" i="1" s="1"/>
  <c r="CX140" i="1"/>
  <c r="CU159" i="1"/>
  <c r="CU68" i="1" s="1"/>
  <c r="CY139" i="1"/>
  <c r="DA132" i="1"/>
  <c r="DA123" i="1"/>
  <c r="DA124" i="1" s="1"/>
  <c r="CW145" i="1"/>
  <c r="CW148" i="1" s="1"/>
  <c r="CW152" i="1" l="1"/>
  <c r="CW150" i="1"/>
  <c r="CY140" i="1"/>
  <c r="CZ137" i="1"/>
  <c r="CZ134" i="1"/>
  <c r="DA129" i="1" s="1"/>
  <c r="CZ135" i="1"/>
  <c r="CW149" i="1"/>
  <c r="CX144" i="1" s="1"/>
  <c r="CV159" i="1"/>
  <c r="CU71" i="1"/>
  <c r="CU160" i="1"/>
  <c r="CU75" i="1" s="1"/>
  <c r="CU79" i="1" s="1"/>
  <c r="DA125" i="1"/>
  <c r="DF105" i="1"/>
  <c r="DF99" i="1"/>
  <c r="DF98" i="1"/>
  <c r="DG93" i="1" s="1"/>
  <c r="DC115" i="1"/>
  <c r="DB123" i="1"/>
  <c r="DB132" i="1"/>
  <c r="CV160" i="1" l="1"/>
  <c r="CV75" i="1" s="1"/>
  <c r="CV79" i="1" s="1"/>
  <c r="CV68" i="1"/>
  <c r="CU161" i="1"/>
  <c r="CU162" i="1" s="1"/>
  <c r="DA130" i="1"/>
  <c r="DA133" i="1"/>
  <c r="CZ138" i="1"/>
  <c r="CZ147" i="1"/>
  <c r="DF107" i="1"/>
  <c r="DF109" i="1"/>
  <c r="DF106" i="1"/>
  <c r="DG102" i="1" s="1"/>
  <c r="DG95" i="1"/>
  <c r="DG100" i="1" s="1"/>
  <c r="CX145" i="1"/>
  <c r="DB124" i="1"/>
  <c r="CV161" i="1"/>
  <c r="CV162" i="1" s="1"/>
  <c r="CV71" i="1"/>
  <c r="DC118" i="1"/>
  <c r="CW153" i="1"/>
  <c r="CW154" i="1" s="1"/>
  <c r="CW155" i="1" s="1"/>
  <c r="CX148" i="1" l="1"/>
  <c r="CX149" i="1" s="1"/>
  <c r="CY144" i="1" s="1"/>
  <c r="DA134" i="1"/>
  <c r="DB129" i="1" s="1"/>
  <c r="DG117" i="1"/>
  <c r="DG94" i="1"/>
  <c r="DB130" i="1"/>
  <c r="CW159" i="1"/>
  <c r="CW68" i="1" s="1"/>
  <c r="DG103" i="1"/>
  <c r="DB125" i="1"/>
  <c r="CX150" i="1"/>
  <c r="CZ139" i="1"/>
  <c r="DG97" i="1"/>
  <c r="DF110" i="1"/>
  <c r="DA137" i="1"/>
  <c r="DA135" i="1"/>
  <c r="DC122" i="1"/>
  <c r="DC120" i="1"/>
  <c r="DC119" i="1"/>
  <c r="DD114" i="1" s="1"/>
  <c r="CW160" i="1" l="1"/>
  <c r="CW75" i="1" s="1"/>
  <c r="CW79" i="1" s="1"/>
  <c r="CY145" i="1"/>
  <c r="CY148" i="1" s="1"/>
  <c r="DB133" i="1"/>
  <c r="CX152" i="1"/>
  <c r="DB137" i="1"/>
  <c r="DB135" i="1"/>
  <c r="DB134" i="1"/>
  <c r="DC129" i="1" s="1"/>
  <c r="CZ140" i="1"/>
  <c r="DC123" i="1"/>
  <c r="DC132" i="1"/>
  <c r="DG105" i="1"/>
  <c r="DG99" i="1"/>
  <c r="CW161" i="1"/>
  <c r="CW162" i="1" s="1"/>
  <c r="CW71" i="1"/>
  <c r="DA138" i="1"/>
  <c r="DA139" i="1" s="1"/>
  <c r="DA147" i="1"/>
  <c r="DG98" i="1"/>
  <c r="DH93" i="1" s="1"/>
  <c r="DD115" i="1"/>
  <c r="CX153" i="1"/>
  <c r="CY149" i="1" l="1"/>
  <c r="CZ144" i="1" s="1"/>
  <c r="CY152" i="1"/>
  <c r="CY150" i="1"/>
  <c r="DA140" i="1"/>
  <c r="DH95" i="1"/>
  <c r="DH97" i="1" s="1"/>
  <c r="CZ145" i="1"/>
  <c r="CZ148" i="1" s="1"/>
  <c r="DC130" i="1"/>
  <c r="DD118" i="1"/>
  <c r="CY153" i="1"/>
  <c r="DG109" i="1"/>
  <c r="DG107" i="1"/>
  <c r="DG106" i="1"/>
  <c r="DH102" i="1" s="1"/>
  <c r="DC124" i="1"/>
  <c r="CX154" i="1"/>
  <c r="CX155" i="1" s="1"/>
  <c r="DB138" i="1"/>
  <c r="DB139" i="1" s="1"/>
  <c r="DB147" i="1"/>
  <c r="DB140" i="1" l="1"/>
  <c r="CZ152" i="1"/>
  <c r="CZ150" i="1"/>
  <c r="CZ149" i="1"/>
  <c r="DA144" i="1" s="1"/>
  <c r="DH105" i="1"/>
  <c r="DH99" i="1"/>
  <c r="DH100" i="1"/>
  <c r="DH103" i="1"/>
  <c r="DH106" i="1"/>
  <c r="DI102" i="1" s="1"/>
  <c r="DH98" i="1"/>
  <c r="DI93" i="1" s="1"/>
  <c r="DG110" i="1"/>
  <c r="CY154" i="1"/>
  <c r="CY155" i="1" s="1"/>
  <c r="DC125" i="1"/>
  <c r="DC133" i="1"/>
  <c r="CX159" i="1"/>
  <c r="DD122" i="1"/>
  <c r="DD120" i="1"/>
  <c r="DD119" i="1"/>
  <c r="DE114" i="1" s="1"/>
  <c r="DC137" i="1" l="1"/>
  <c r="DC135" i="1"/>
  <c r="DE115" i="1"/>
  <c r="DE118" i="1" s="1"/>
  <c r="DC134" i="1"/>
  <c r="DD129" i="1" s="1"/>
  <c r="DH109" i="1"/>
  <c r="DH107" i="1"/>
  <c r="DI95" i="1"/>
  <c r="DI100" i="1" s="1"/>
  <c r="DI103" i="1"/>
  <c r="DH117" i="1"/>
  <c r="DH94" i="1"/>
  <c r="CY159" i="1"/>
  <c r="CY160" i="1" s="1"/>
  <c r="CY75" i="1" s="1"/>
  <c r="CY79" i="1" s="1"/>
  <c r="DA145" i="1"/>
  <c r="DD132" i="1"/>
  <c r="DD123" i="1"/>
  <c r="DD124" i="1"/>
  <c r="CZ153" i="1"/>
  <c r="CX71" i="1"/>
  <c r="CX160" i="1"/>
  <c r="CX75" i="1" s="1"/>
  <c r="CX79" i="1" s="1"/>
  <c r="DI117" i="1" l="1"/>
  <c r="DI94" i="1"/>
  <c r="DE122" i="1"/>
  <c r="DE120" i="1"/>
  <c r="DA148" i="1"/>
  <c r="DI97" i="1"/>
  <c r="CY161" i="1"/>
  <c r="CY162" i="1" s="1"/>
  <c r="CY71" i="1"/>
  <c r="CZ154" i="1"/>
  <c r="CZ155" i="1" s="1"/>
  <c r="DE119" i="1"/>
  <c r="DF114" i="1" s="1"/>
  <c r="CX161" i="1"/>
  <c r="CX162" i="1" s="1"/>
  <c r="DH110" i="1"/>
  <c r="DD130" i="1"/>
  <c r="DD125" i="1"/>
  <c r="DC138" i="1"/>
  <c r="DC139" i="1"/>
  <c r="DC147" i="1"/>
  <c r="DI99" i="1" l="1"/>
  <c r="DI105" i="1"/>
  <c r="DD133" i="1"/>
  <c r="DC140" i="1"/>
  <c r="DF115" i="1"/>
  <c r="DF118" i="1" s="1"/>
  <c r="DI98" i="1"/>
  <c r="DJ93" i="1" s="1"/>
  <c r="DA152" i="1"/>
  <c r="DA150" i="1"/>
  <c r="DE132" i="1"/>
  <c r="DE123" i="1"/>
  <c r="DE124" i="1" s="1"/>
  <c r="CZ159" i="1"/>
  <c r="CZ160" i="1"/>
  <c r="CZ75" i="1" s="1"/>
  <c r="CZ79" i="1" s="1"/>
  <c r="DA149" i="1"/>
  <c r="DB144" i="1" s="1"/>
  <c r="DA153" i="1" l="1"/>
  <c r="DJ95" i="1"/>
  <c r="DJ97" i="1"/>
  <c r="DJ98" i="1" s="1"/>
  <c r="DK93" i="1" s="1"/>
  <c r="DJ100" i="1"/>
  <c r="DF122" i="1"/>
  <c r="DF120" i="1"/>
  <c r="CZ161" i="1"/>
  <c r="CZ162" i="1" s="1"/>
  <c r="CZ71" i="1"/>
  <c r="DF119" i="1"/>
  <c r="DG114" i="1" s="1"/>
  <c r="DD137" i="1"/>
  <c r="DD135" i="1"/>
  <c r="DB145" i="1"/>
  <c r="DE125" i="1"/>
  <c r="DI109" i="1"/>
  <c r="DI107" i="1"/>
  <c r="DI106" i="1"/>
  <c r="DJ102" i="1" s="1"/>
  <c r="DD134" i="1"/>
  <c r="DE129" i="1" s="1"/>
  <c r="DK95" i="1" l="1"/>
  <c r="DK97" i="1"/>
  <c r="DK100" i="1"/>
  <c r="DJ105" i="1"/>
  <c r="DJ99" i="1"/>
  <c r="DB148" i="1"/>
  <c r="DI110" i="1"/>
  <c r="DF132" i="1"/>
  <c r="DF123" i="1"/>
  <c r="DE130" i="1"/>
  <c r="DG115" i="1"/>
  <c r="DJ103" i="1"/>
  <c r="DJ106" i="1" s="1"/>
  <c r="DK102" i="1" s="1"/>
  <c r="DJ117" i="1"/>
  <c r="DJ94" i="1"/>
  <c r="DD138" i="1"/>
  <c r="DD139" i="1" s="1"/>
  <c r="DD147" i="1"/>
  <c r="DA154" i="1"/>
  <c r="DA155" i="1" s="1"/>
  <c r="DK98" i="1" l="1"/>
  <c r="DL93" i="1" s="1"/>
  <c r="DK103" i="1"/>
  <c r="DD140" i="1"/>
  <c r="DL95" i="1"/>
  <c r="DL97" i="1" s="1"/>
  <c r="DL100" i="1"/>
  <c r="DG118" i="1"/>
  <c r="DK117" i="1"/>
  <c r="DK94" i="1"/>
  <c r="DE133" i="1"/>
  <c r="DJ109" i="1"/>
  <c r="DJ107" i="1"/>
  <c r="DF124" i="1"/>
  <c r="DA159" i="1"/>
  <c r="DB152" i="1"/>
  <c r="DB150" i="1"/>
  <c r="DK105" i="1"/>
  <c r="DK99" i="1"/>
  <c r="DB149" i="1"/>
  <c r="DC144" i="1" s="1"/>
  <c r="DL105" i="1" l="1"/>
  <c r="DL99" i="1"/>
  <c r="DL98" i="1"/>
  <c r="DM93" i="1" s="1"/>
  <c r="DF125" i="1"/>
  <c r="DG122" i="1"/>
  <c r="DG120" i="1"/>
  <c r="DL117" i="1"/>
  <c r="DL94" i="1"/>
  <c r="DJ110" i="1"/>
  <c r="DK109" i="1"/>
  <c r="DK107" i="1"/>
  <c r="DE137" i="1"/>
  <c r="DE135" i="1"/>
  <c r="DC145" i="1"/>
  <c r="DC148" i="1" s="1"/>
  <c r="DE134" i="1"/>
  <c r="DF129" i="1" s="1"/>
  <c r="DB153" i="1"/>
  <c r="DB154" i="1"/>
  <c r="DB155" i="1" s="1"/>
  <c r="DK106" i="1"/>
  <c r="DL102" i="1" s="1"/>
  <c r="DA71" i="1"/>
  <c r="DA160" i="1"/>
  <c r="DA75" i="1" s="1"/>
  <c r="DA79" i="1" s="1"/>
  <c r="DG119" i="1"/>
  <c r="DH114" i="1" s="1"/>
  <c r="DC152" i="1" l="1"/>
  <c r="DC150" i="1"/>
  <c r="DC149" i="1"/>
  <c r="DD144" i="1" s="1"/>
  <c r="DG132" i="1"/>
  <c r="DG123" i="1"/>
  <c r="DG124" i="1" s="1"/>
  <c r="DM95" i="1"/>
  <c r="DM97" i="1" s="1"/>
  <c r="DM100" i="1"/>
  <c r="DH115" i="1"/>
  <c r="DK110" i="1"/>
  <c r="DB75" i="1"/>
  <c r="DB79" i="1" s="1"/>
  <c r="DE138" i="1"/>
  <c r="DE139" i="1" s="1"/>
  <c r="DE147" i="1"/>
  <c r="DA161" i="1"/>
  <c r="DA162" i="1" s="1"/>
  <c r="DL103" i="1"/>
  <c r="DL106" i="1"/>
  <c r="DM102" i="1" s="1"/>
  <c r="DB159" i="1"/>
  <c r="DB160" i="1"/>
  <c r="DF130" i="1"/>
  <c r="DF133" i="1"/>
  <c r="DF134" i="1"/>
  <c r="DG129" i="1" s="1"/>
  <c r="DL109" i="1"/>
  <c r="DL107" i="1"/>
  <c r="DM105" i="1" l="1"/>
  <c r="DM99" i="1"/>
  <c r="DM98" i="1"/>
  <c r="DN93" i="1" s="1"/>
  <c r="DG125" i="1"/>
  <c r="DE140" i="1"/>
  <c r="DD145" i="1"/>
  <c r="DD148" i="1" s="1"/>
  <c r="DL110" i="1"/>
  <c r="DM117" i="1"/>
  <c r="DM94" i="1"/>
  <c r="DH118" i="1"/>
  <c r="DG130" i="1"/>
  <c r="DF137" i="1"/>
  <c r="DF135" i="1"/>
  <c r="DB161" i="1"/>
  <c r="DB162" i="1" s="1"/>
  <c r="DB71" i="1"/>
  <c r="DM103" i="1"/>
  <c r="DM106" i="1" s="1"/>
  <c r="DN102" i="1" s="1"/>
  <c r="DC153" i="1"/>
  <c r="DC154" i="1"/>
  <c r="DC155" i="1" s="1"/>
  <c r="DD149" i="1" l="1"/>
  <c r="DE144" i="1" s="1"/>
  <c r="DG133" i="1"/>
  <c r="DN103" i="1"/>
  <c r="DG137" i="1"/>
  <c r="DG135" i="1"/>
  <c r="DG134" i="1"/>
  <c r="DH129" i="1" s="1"/>
  <c r="DC159" i="1"/>
  <c r="DC160" i="1"/>
  <c r="DC75" i="1"/>
  <c r="DC79" i="1" s="1"/>
  <c r="DE145" i="1"/>
  <c r="DE148" i="1"/>
  <c r="DH122" i="1"/>
  <c r="DH120" i="1"/>
  <c r="DM109" i="1"/>
  <c r="DM107" i="1"/>
  <c r="DD152" i="1"/>
  <c r="DD150" i="1"/>
  <c r="DF138" i="1"/>
  <c r="DF147" i="1"/>
  <c r="DN95" i="1"/>
  <c r="DN97" i="1" s="1"/>
  <c r="DN100" i="1"/>
  <c r="DH119" i="1"/>
  <c r="DI114" i="1" s="1"/>
  <c r="DN105" i="1" l="1"/>
  <c r="DN99" i="1"/>
  <c r="DN98" i="1"/>
  <c r="DO93" i="1" s="1"/>
  <c r="DN106" i="1"/>
  <c r="DO102" i="1" s="1"/>
  <c r="DF139" i="1"/>
  <c r="DC161" i="1"/>
  <c r="DC162" i="1" s="1"/>
  <c r="DC71" i="1"/>
  <c r="DM110" i="1"/>
  <c r="DG138" i="1"/>
  <c r="DG139" i="1"/>
  <c r="DG147" i="1"/>
  <c r="DD153" i="1"/>
  <c r="DI115" i="1"/>
  <c r="DI118" i="1"/>
  <c r="DI119" i="1"/>
  <c r="DJ114" i="1" s="1"/>
  <c r="DN117" i="1"/>
  <c r="DN94" i="1"/>
  <c r="DE152" i="1"/>
  <c r="DE150" i="1"/>
  <c r="DE149" i="1"/>
  <c r="DF144" i="1" s="1"/>
  <c r="DH130" i="1"/>
  <c r="DH123" i="1"/>
  <c r="DH132" i="1"/>
  <c r="DH124" i="1"/>
  <c r="DH125" i="1" l="1"/>
  <c r="DH133" i="1" s="1"/>
  <c r="DI122" i="1"/>
  <c r="DI120" i="1"/>
  <c r="DE153" i="1"/>
  <c r="DE154" i="1" s="1"/>
  <c r="DE155" i="1" s="1"/>
  <c r="DO95" i="1"/>
  <c r="DO97" i="1" s="1"/>
  <c r="DJ115" i="1"/>
  <c r="DD154" i="1"/>
  <c r="DD155" i="1" s="1"/>
  <c r="DF145" i="1"/>
  <c r="DO103" i="1"/>
  <c r="DG140" i="1"/>
  <c r="DF140" i="1"/>
  <c r="DN109" i="1"/>
  <c r="DN107" i="1"/>
  <c r="DF148" i="1" l="1"/>
  <c r="DO98" i="1"/>
  <c r="DP93" i="1" s="1"/>
  <c r="DO100" i="1"/>
  <c r="DF152" i="1"/>
  <c r="DF150" i="1"/>
  <c r="DJ119" i="1"/>
  <c r="DK114" i="1" s="1"/>
  <c r="DP95" i="1"/>
  <c r="DP100" i="1" s="1"/>
  <c r="DP97" i="1"/>
  <c r="DE159" i="1"/>
  <c r="DE160" i="1"/>
  <c r="DE75" i="1" s="1"/>
  <c r="DE79" i="1" s="1"/>
  <c r="DH137" i="1"/>
  <c r="DH135" i="1"/>
  <c r="DH134" i="1"/>
  <c r="DI129" i="1" s="1"/>
  <c r="DJ118" i="1"/>
  <c r="DO105" i="1"/>
  <c r="DO99" i="1"/>
  <c r="DF149" i="1"/>
  <c r="DG144" i="1" s="1"/>
  <c r="DI123" i="1"/>
  <c r="DI124" i="1"/>
  <c r="DI132" i="1"/>
  <c r="DO117" i="1"/>
  <c r="DO94" i="1"/>
  <c r="DN110" i="1"/>
  <c r="DD159" i="1"/>
  <c r="DP117" i="1" l="1"/>
  <c r="DP94" i="1"/>
  <c r="DE161" i="1"/>
  <c r="DE162" i="1" s="1"/>
  <c r="DE71" i="1"/>
  <c r="DP105" i="1"/>
  <c r="DP99" i="1"/>
  <c r="DJ122" i="1"/>
  <c r="DJ120" i="1"/>
  <c r="DI125" i="1"/>
  <c r="DP98" i="1"/>
  <c r="DQ93" i="1" s="1"/>
  <c r="DI130" i="1"/>
  <c r="DI133" i="1" s="1"/>
  <c r="DF153" i="1"/>
  <c r="DH138" i="1"/>
  <c r="DH139" i="1"/>
  <c r="DH147" i="1"/>
  <c r="DD71" i="1"/>
  <c r="DD160" i="1"/>
  <c r="DD75" i="1" s="1"/>
  <c r="DD79" i="1" s="1"/>
  <c r="DG145" i="1"/>
  <c r="DG148" i="1" s="1"/>
  <c r="DO109" i="1"/>
  <c r="DO107" i="1"/>
  <c r="DK115" i="1"/>
  <c r="DK118" i="1"/>
  <c r="DO106" i="1"/>
  <c r="DP102" i="1" s="1"/>
  <c r="DK119" i="1" l="1"/>
  <c r="DL114" i="1" s="1"/>
  <c r="DI137" i="1"/>
  <c r="DI134" i="1"/>
  <c r="DJ129" i="1" s="1"/>
  <c r="DI135" i="1"/>
  <c r="DG152" i="1"/>
  <c r="DG150" i="1"/>
  <c r="DL115" i="1"/>
  <c r="DL118" i="1" s="1"/>
  <c r="DK122" i="1"/>
  <c r="DK120" i="1"/>
  <c r="DP109" i="1"/>
  <c r="DP107" i="1"/>
  <c r="DQ95" i="1"/>
  <c r="DQ100" i="1" s="1"/>
  <c r="DH140" i="1"/>
  <c r="DJ123" i="1"/>
  <c r="DJ132" i="1"/>
  <c r="DJ124" i="1"/>
  <c r="DF154" i="1"/>
  <c r="DF155" i="1" s="1"/>
  <c r="DP103" i="1"/>
  <c r="DP106" i="1"/>
  <c r="DQ102" i="1" s="1"/>
  <c r="DD161" i="1"/>
  <c r="DD162" i="1" s="1"/>
  <c r="DO110" i="1"/>
  <c r="DG149" i="1"/>
  <c r="DH144" i="1" s="1"/>
  <c r="DQ97" i="1" l="1"/>
  <c r="DQ98" i="1" s="1"/>
  <c r="DR93" i="1" s="1"/>
  <c r="DQ117" i="1"/>
  <c r="DQ94" i="1"/>
  <c r="DL122" i="1"/>
  <c r="DL120" i="1"/>
  <c r="DH145" i="1"/>
  <c r="DL119" i="1"/>
  <c r="DM114" i="1" s="1"/>
  <c r="DP110" i="1"/>
  <c r="DK132" i="1"/>
  <c r="DK123" i="1"/>
  <c r="DK124" i="1"/>
  <c r="DQ103" i="1"/>
  <c r="DF159" i="1"/>
  <c r="DF160" i="1" s="1"/>
  <c r="DF75" i="1" s="1"/>
  <c r="DF79" i="1" s="1"/>
  <c r="DJ130" i="1"/>
  <c r="DJ125" i="1"/>
  <c r="DQ105" i="1"/>
  <c r="DQ99" i="1"/>
  <c r="DG153" i="1"/>
  <c r="DG154" i="1"/>
  <c r="DG155" i="1" s="1"/>
  <c r="DI138" i="1"/>
  <c r="DI139" i="1" s="1"/>
  <c r="DI147" i="1"/>
  <c r="DR95" i="1" l="1"/>
  <c r="DR97" i="1" s="1"/>
  <c r="DR105" i="1" s="1"/>
  <c r="DR99" i="1"/>
  <c r="DR98" i="1"/>
  <c r="DS93" i="1" s="1"/>
  <c r="DQ109" i="1"/>
  <c r="DQ107" i="1"/>
  <c r="DQ106" i="1"/>
  <c r="DR102" i="1" s="1"/>
  <c r="DI140" i="1"/>
  <c r="DL132" i="1"/>
  <c r="DL123" i="1"/>
  <c r="DH148" i="1"/>
  <c r="DG159" i="1"/>
  <c r="DM115" i="1"/>
  <c r="DM118" i="1" s="1"/>
  <c r="DK125" i="1"/>
  <c r="DJ133" i="1"/>
  <c r="DJ134" i="1" s="1"/>
  <c r="DK129" i="1" s="1"/>
  <c r="DF161" i="1"/>
  <c r="DF162" i="1" s="1"/>
  <c r="DF71" i="1"/>
  <c r="DM119" i="1" l="1"/>
  <c r="DN114" i="1" s="1"/>
  <c r="DR100" i="1"/>
  <c r="DK130" i="1"/>
  <c r="DK133" i="1" s="1"/>
  <c r="DM122" i="1"/>
  <c r="DM120" i="1"/>
  <c r="DH152" i="1"/>
  <c r="DH150" i="1"/>
  <c r="DN115" i="1"/>
  <c r="DN118" i="1" s="1"/>
  <c r="DG71" i="1"/>
  <c r="DG160" i="1"/>
  <c r="DG75" i="1" s="1"/>
  <c r="DG79" i="1" s="1"/>
  <c r="DL124" i="1"/>
  <c r="DR107" i="1"/>
  <c r="DR103" i="1"/>
  <c r="DR106" i="1"/>
  <c r="DS102" i="1" s="1"/>
  <c r="DJ137" i="1"/>
  <c r="DJ135" i="1"/>
  <c r="DQ110" i="1"/>
  <c r="DS95" i="1"/>
  <c r="DS97" i="1" s="1"/>
  <c r="DH149" i="1"/>
  <c r="DI144" i="1" s="1"/>
  <c r="DG161" i="1" l="1"/>
  <c r="DG162" i="1" s="1"/>
  <c r="DR117" i="1"/>
  <c r="DR94" i="1"/>
  <c r="DR109" i="1"/>
  <c r="DS105" i="1"/>
  <c r="DS99" i="1"/>
  <c r="DN122" i="1"/>
  <c r="DN120" i="1"/>
  <c r="DK137" i="1"/>
  <c r="DK135" i="1"/>
  <c r="DK134" i="1"/>
  <c r="DL129" i="1" s="1"/>
  <c r="DN119" i="1"/>
  <c r="DO114" i="1" s="1"/>
  <c r="DI145" i="1"/>
  <c r="DI148" i="1"/>
  <c r="DS100" i="1"/>
  <c r="DL125" i="1"/>
  <c r="DJ138" i="1"/>
  <c r="DJ147" i="1"/>
  <c r="DS98" i="1"/>
  <c r="DT93" i="1" s="1"/>
  <c r="DR110" i="1"/>
  <c r="DM132" i="1"/>
  <c r="DM123" i="1"/>
  <c r="DM124" i="1" s="1"/>
  <c r="DS103" i="1"/>
  <c r="DS106" i="1"/>
  <c r="DT102" i="1" s="1"/>
  <c r="DH153" i="1"/>
  <c r="DH154" i="1"/>
  <c r="DH155" i="1" s="1"/>
  <c r="DI149" i="1" l="1"/>
  <c r="DJ144" i="1" s="1"/>
  <c r="DJ145" i="1"/>
  <c r="DM125" i="1"/>
  <c r="DI152" i="1"/>
  <c r="DI150" i="1"/>
  <c r="DH159" i="1"/>
  <c r="DH160" i="1" s="1"/>
  <c r="DH75" i="1" s="1"/>
  <c r="DH79" i="1" s="1"/>
  <c r="DT95" i="1"/>
  <c r="DT97" i="1" s="1"/>
  <c r="DL130" i="1"/>
  <c r="DN132" i="1"/>
  <c r="DN123" i="1"/>
  <c r="DT103" i="1"/>
  <c r="DK138" i="1"/>
  <c r="DK139" i="1" s="1"/>
  <c r="DK147" i="1"/>
  <c r="DJ139" i="1"/>
  <c r="DS117" i="1"/>
  <c r="DS94" i="1"/>
  <c r="DO115" i="1"/>
  <c r="DO118" i="1"/>
  <c r="DS109" i="1"/>
  <c r="DS107" i="1"/>
  <c r="DO119" i="1" l="1"/>
  <c r="DP114" i="1" s="1"/>
  <c r="DK140" i="1"/>
  <c r="DT105" i="1"/>
  <c r="DT99" i="1"/>
  <c r="DJ140" i="1"/>
  <c r="DJ148" i="1" s="1"/>
  <c r="DL133" i="1"/>
  <c r="DH161" i="1"/>
  <c r="DH162" i="1" s="1"/>
  <c r="DH71" i="1"/>
  <c r="DT100" i="1"/>
  <c r="DP115" i="1"/>
  <c r="DP118" i="1" s="1"/>
  <c r="DN124" i="1"/>
  <c r="DS110" i="1"/>
  <c r="DI153" i="1"/>
  <c r="DI154" i="1" s="1"/>
  <c r="DI155" i="1" s="1"/>
  <c r="DO122" i="1"/>
  <c r="DO120" i="1"/>
  <c r="DT98" i="1"/>
  <c r="DU93" i="1" s="1"/>
  <c r="DP122" i="1" l="1"/>
  <c r="DP120" i="1"/>
  <c r="DJ152" i="1"/>
  <c r="DJ150" i="1"/>
  <c r="DJ149" i="1"/>
  <c r="DK144" i="1" s="1"/>
  <c r="DL137" i="1"/>
  <c r="DL135" i="1"/>
  <c r="DN125" i="1"/>
  <c r="DP119" i="1"/>
  <c r="DQ114" i="1" s="1"/>
  <c r="DL134" i="1"/>
  <c r="DM129" i="1" s="1"/>
  <c r="DO132" i="1"/>
  <c r="DO123" i="1"/>
  <c r="DO124" i="1" s="1"/>
  <c r="DI159" i="1"/>
  <c r="DI160" i="1" s="1"/>
  <c r="DI75" i="1" s="1"/>
  <c r="DI79" i="1" s="1"/>
  <c r="DT117" i="1"/>
  <c r="DT94" i="1"/>
  <c r="DU95" i="1"/>
  <c r="DU97" i="1" s="1"/>
  <c r="DT109" i="1"/>
  <c r="DT107" i="1"/>
  <c r="DT106" i="1"/>
  <c r="DU102" i="1" s="1"/>
  <c r="DU100" i="1" l="1"/>
  <c r="DO125" i="1"/>
  <c r="DU105" i="1"/>
  <c r="DU99" i="1"/>
  <c r="DU98" i="1"/>
  <c r="DV93" i="1" s="1"/>
  <c r="DU117" i="1"/>
  <c r="DU94" i="1"/>
  <c r="DJ153" i="1"/>
  <c r="DJ154" i="1"/>
  <c r="DJ155" i="1" s="1"/>
  <c r="DM130" i="1"/>
  <c r="DM133" i="1"/>
  <c r="DU103" i="1"/>
  <c r="DU106" i="1" s="1"/>
  <c r="DV102" i="1" s="1"/>
  <c r="DK145" i="1"/>
  <c r="DK148" i="1" s="1"/>
  <c r="DQ115" i="1"/>
  <c r="DQ118" i="1" s="1"/>
  <c r="DI161" i="1"/>
  <c r="DI162" i="1" s="1"/>
  <c r="DI71" i="1"/>
  <c r="DL138" i="1"/>
  <c r="DL139" i="1"/>
  <c r="DL147" i="1"/>
  <c r="DT110" i="1"/>
  <c r="DP132" i="1"/>
  <c r="DP123" i="1"/>
  <c r="DP124" i="1" s="1"/>
  <c r="DM134" i="1" l="1"/>
  <c r="DN129" i="1" s="1"/>
  <c r="DP125" i="1"/>
  <c r="DN130" i="1"/>
  <c r="DN133" i="1"/>
  <c r="DK152" i="1"/>
  <c r="DK150" i="1"/>
  <c r="DK149" i="1"/>
  <c r="DL144" i="1" s="1"/>
  <c r="DQ122" i="1"/>
  <c r="DQ120" i="1"/>
  <c r="DQ119" i="1"/>
  <c r="DR114" i="1" s="1"/>
  <c r="DV95" i="1"/>
  <c r="DV97" i="1" s="1"/>
  <c r="DV98" i="1" s="1"/>
  <c r="DV100" i="1"/>
  <c r="DM137" i="1"/>
  <c r="DM135" i="1"/>
  <c r="DU109" i="1"/>
  <c r="DU107" i="1"/>
  <c r="DJ159" i="1"/>
  <c r="DV103" i="1"/>
  <c r="DL140" i="1"/>
  <c r="DQ132" i="1" l="1"/>
  <c r="DQ123" i="1"/>
  <c r="DU110" i="1"/>
  <c r="DL145" i="1"/>
  <c r="DN137" i="1"/>
  <c r="DN135" i="1"/>
  <c r="DN134" i="1"/>
  <c r="DO129" i="1" s="1"/>
  <c r="DJ71" i="1"/>
  <c r="DK153" i="1"/>
  <c r="DM138" i="1"/>
  <c r="DM139" i="1"/>
  <c r="DM147" i="1"/>
  <c r="DV105" i="1"/>
  <c r="DV99" i="1"/>
  <c r="E99" i="1" s="1"/>
  <c r="DV117" i="1"/>
  <c r="DV94" i="1"/>
  <c r="F94" i="1" s="1"/>
  <c r="DJ160" i="1"/>
  <c r="DJ75" i="1" s="1"/>
  <c r="DJ79" i="1" s="1"/>
  <c r="DR115" i="1"/>
  <c r="DR118" i="1"/>
  <c r="DR119" i="1" s="1"/>
  <c r="DS114" i="1" s="1"/>
  <c r="DS115" i="1" l="1"/>
  <c r="DS118" i="1"/>
  <c r="DL148" i="1"/>
  <c r="DM140" i="1"/>
  <c r="DK154" i="1"/>
  <c r="DK155" i="1" s="1"/>
  <c r="DR122" i="1"/>
  <c r="DR120" i="1"/>
  <c r="DJ161" i="1"/>
  <c r="DJ162" i="1" s="1"/>
  <c r="DO130" i="1"/>
  <c r="DO133" i="1" s="1"/>
  <c r="DQ124" i="1"/>
  <c r="DV109" i="1"/>
  <c r="DV107" i="1"/>
  <c r="E107" i="1" s="1"/>
  <c r="DV106" i="1"/>
  <c r="DN138" i="1"/>
  <c r="DN147" i="1"/>
  <c r="DO137" i="1" l="1"/>
  <c r="DO135" i="1"/>
  <c r="DR132" i="1"/>
  <c r="DR123" i="1"/>
  <c r="DV110" i="1"/>
  <c r="DQ125" i="1"/>
  <c r="DL152" i="1"/>
  <c r="DL150" i="1"/>
  <c r="DS122" i="1"/>
  <c r="DS120" i="1"/>
  <c r="DO134" i="1"/>
  <c r="DP129" i="1" s="1"/>
  <c r="DS119" i="1"/>
  <c r="DT114" i="1" s="1"/>
  <c r="DK159" i="1"/>
  <c r="DK160" i="1"/>
  <c r="DK75" i="1" s="1"/>
  <c r="DK79" i="1" s="1"/>
  <c r="DL149" i="1"/>
  <c r="DM144" i="1" s="1"/>
  <c r="DN139" i="1"/>
  <c r="DS132" i="1" l="1"/>
  <c r="DS123" i="1"/>
  <c r="DS124" i="1"/>
  <c r="DN140" i="1"/>
  <c r="DL153" i="1"/>
  <c r="DL154" i="1"/>
  <c r="DL155" i="1" s="1"/>
  <c r="DR124" i="1"/>
  <c r="DM145" i="1"/>
  <c r="DM148" i="1" s="1"/>
  <c r="DK161" i="1"/>
  <c r="DK162" i="1" s="1"/>
  <c r="DK71" i="1"/>
  <c r="DT115" i="1"/>
  <c r="DP130" i="1"/>
  <c r="DO138" i="1"/>
  <c r="DO147" i="1"/>
  <c r="DT118" i="1" l="1"/>
  <c r="DT119" i="1" s="1"/>
  <c r="DU114" i="1" s="1"/>
  <c r="DL159" i="1"/>
  <c r="DL160" i="1"/>
  <c r="DL75" i="1" s="1"/>
  <c r="DL79" i="1" s="1"/>
  <c r="DP133" i="1"/>
  <c r="DM152" i="1"/>
  <c r="DM150" i="1"/>
  <c r="DM149" i="1"/>
  <c r="DN144" i="1" s="1"/>
  <c r="DS125" i="1"/>
  <c r="DO139" i="1"/>
  <c r="DR125" i="1"/>
  <c r="DT120" i="1" l="1"/>
  <c r="DT122" i="1"/>
  <c r="DU115" i="1"/>
  <c r="DO140" i="1"/>
  <c r="DP137" i="1"/>
  <c r="DP135" i="1"/>
  <c r="DL161" i="1"/>
  <c r="DL162" i="1" s="1"/>
  <c r="DL71" i="1"/>
  <c r="DP134" i="1"/>
  <c r="DQ129" i="1" s="1"/>
  <c r="DM153" i="1"/>
  <c r="DM154" i="1" s="1"/>
  <c r="DM155" i="1" s="1"/>
  <c r="DT132" i="1"/>
  <c r="DT123" i="1"/>
  <c r="DN145" i="1"/>
  <c r="DN148" i="1" s="1"/>
  <c r="DU118" i="1" l="1"/>
  <c r="DN152" i="1"/>
  <c r="DN150" i="1"/>
  <c r="DM159" i="1"/>
  <c r="DN149" i="1"/>
  <c r="DO144" i="1" s="1"/>
  <c r="DT124" i="1"/>
  <c r="DQ130" i="1"/>
  <c r="DP138" i="1"/>
  <c r="DP139" i="1"/>
  <c r="DP147" i="1"/>
  <c r="DU122" i="1" l="1"/>
  <c r="DU120" i="1"/>
  <c r="DQ133" i="1"/>
  <c r="DQ134" i="1" s="1"/>
  <c r="DR129" i="1" s="1"/>
  <c r="DU119" i="1"/>
  <c r="DV114" i="1" s="1"/>
  <c r="DP140" i="1"/>
  <c r="DQ137" i="1"/>
  <c r="DQ135" i="1"/>
  <c r="DO145" i="1"/>
  <c r="DM71" i="1"/>
  <c r="DM160" i="1"/>
  <c r="DM75" i="1" s="1"/>
  <c r="DM79" i="1" s="1"/>
  <c r="DT125" i="1"/>
  <c r="DN153" i="1"/>
  <c r="DN154" i="1" s="1"/>
  <c r="DN155" i="1" s="1"/>
  <c r="DR130" i="1" l="1"/>
  <c r="DV115" i="1"/>
  <c r="DU132" i="1"/>
  <c r="DU123" i="1"/>
  <c r="DU124" i="1" s="1"/>
  <c r="DU125" i="1" s="1"/>
  <c r="DN159" i="1"/>
  <c r="DO148" i="1"/>
  <c r="DQ138" i="1"/>
  <c r="DQ139" i="1" s="1"/>
  <c r="DQ147" i="1"/>
  <c r="DM161" i="1"/>
  <c r="DM162" i="1" s="1"/>
  <c r="DV118" i="1" l="1"/>
  <c r="DR133" i="1"/>
  <c r="DR134" i="1" s="1"/>
  <c r="DS129" i="1" s="1"/>
  <c r="DQ140" i="1"/>
  <c r="DO152" i="1"/>
  <c r="DO150" i="1"/>
  <c r="DN71" i="1"/>
  <c r="DN160" i="1"/>
  <c r="DN75" i="1" s="1"/>
  <c r="DN79" i="1" s="1"/>
  <c r="DO149" i="1"/>
  <c r="DP144" i="1" s="1"/>
  <c r="DS130" i="1" l="1"/>
  <c r="DS133" i="1" s="1"/>
  <c r="DR137" i="1"/>
  <c r="DR135" i="1"/>
  <c r="DV122" i="1"/>
  <c r="DV120" i="1"/>
  <c r="E120" i="1" s="1"/>
  <c r="DV119" i="1"/>
  <c r="DO153" i="1"/>
  <c r="DO154" i="1"/>
  <c r="DO155" i="1" s="1"/>
  <c r="DP145" i="1"/>
  <c r="DN161" i="1"/>
  <c r="DN162" i="1" s="1"/>
  <c r="DS135" i="1" l="1"/>
  <c r="DS137" i="1"/>
  <c r="DS134" i="1"/>
  <c r="DT129" i="1" s="1"/>
  <c r="DT130" i="1" s="1"/>
  <c r="DT133" i="1" s="1"/>
  <c r="DR138" i="1"/>
  <c r="DR147" i="1"/>
  <c r="DV123" i="1"/>
  <c r="DV132" i="1"/>
  <c r="DV124" i="1"/>
  <c r="DV125" i="1" s="1"/>
  <c r="DR139" i="1"/>
  <c r="DR140" i="1" s="1"/>
  <c r="DT137" i="1"/>
  <c r="DT135" i="1"/>
  <c r="DT134" i="1"/>
  <c r="DU129" i="1" s="1"/>
  <c r="DP148" i="1"/>
  <c r="DO159" i="1"/>
  <c r="DS147" i="1" l="1"/>
  <c r="DS138" i="1"/>
  <c r="DS139" i="1" s="1"/>
  <c r="DS140" i="1" s="1"/>
  <c r="DO71" i="1"/>
  <c r="DU130" i="1"/>
  <c r="DT138" i="1"/>
  <c r="DT139" i="1" s="1"/>
  <c r="DT147" i="1"/>
  <c r="DO160" i="1"/>
  <c r="DO75" i="1" s="1"/>
  <c r="DO79" i="1" s="1"/>
  <c r="DP152" i="1"/>
  <c r="DP150" i="1"/>
  <c r="DP149" i="1"/>
  <c r="DQ144" i="1" s="1"/>
  <c r="DT140" i="1" l="1"/>
  <c r="DP153" i="1"/>
  <c r="DP154" i="1"/>
  <c r="DP155" i="1" s="1"/>
  <c r="DU133" i="1"/>
  <c r="DQ145" i="1"/>
  <c r="DQ148" i="1" s="1"/>
  <c r="DO161" i="1"/>
  <c r="DO162" i="1" s="1"/>
  <c r="DQ152" i="1" l="1"/>
  <c r="DQ150" i="1"/>
  <c r="DQ149" i="1"/>
  <c r="DR144" i="1" s="1"/>
  <c r="DU137" i="1"/>
  <c r="DU135" i="1"/>
  <c r="DP159" i="1"/>
  <c r="DP160" i="1"/>
  <c r="DU134" i="1"/>
  <c r="DV129" i="1" s="1"/>
  <c r="DP75" i="1"/>
  <c r="DP79" i="1" s="1"/>
  <c r="DP161" i="1" l="1"/>
  <c r="DP162" i="1" s="1"/>
  <c r="DP71" i="1"/>
  <c r="DV130" i="1"/>
  <c r="DU138" i="1"/>
  <c r="DU139" i="1" s="1"/>
  <c r="DU147" i="1"/>
  <c r="DR145" i="1"/>
  <c r="DR148" i="1" s="1"/>
  <c r="DQ153" i="1"/>
  <c r="DQ154" i="1"/>
  <c r="DQ155" i="1" s="1"/>
  <c r="DU140" i="1" l="1"/>
  <c r="DR152" i="1"/>
  <c r="DR150" i="1"/>
  <c r="DR149" i="1"/>
  <c r="DS144" i="1" s="1"/>
  <c r="DV133" i="1"/>
  <c r="DV134" i="1" s="1"/>
  <c r="DQ159" i="1"/>
  <c r="DQ71" i="1" l="1"/>
  <c r="DQ160" i="1"/>
  <c r="DQ75" i="1" s="1"/>
  <c r="DQ79" i="1" s="1"/>
  <c r="DV137" i="1"/>
  <c r="DV135" i="1"/>
  <c r="E135" i="1" s="1"/>
  <c r="DS145" i="1"/>
  <c r="DS148" i="1" s="1"/>
  <c r="DR153" i="1"/>
  <c r="DR154" i="1" s="1"/>
  <c r="DR155" i="1" s="1"/>
  <c r="DS149" i="1" l="1"/>
  <c r="DT144" i="1" s="1"/>
  <c r="DQ161" i="1"/>
  <c r="DQ162" i="1" s="1"/>
  <c r="DR159" i="1"/>
  <c r="DT145" i="1"/>
  <c r="DT148" i="1" s="1"/>
  <c r="DS152" i="1"/>
  <c r="DS150" i="1"/>
  <c r="DV138" i="1"/>
  <c r="DV139" i="1" s="1"/>
  <c r="DV147" i="1"/>
  <c r="DV140" i="1" l="1"/>
  <c r="DT152" i="1"/>
  <c r="DT150" i="1"/>
  <c r="DT149" i="1"/>
  <c r="DU144" i="1" s="1"/>
  <c r="DR71" i="1"/>
  <c r="DS153" i="1"/>
  <c r="DR160" i="1"/>
  <c r="DR75" i="1" s="1"/>
  <c r="DR79" i="1" s="1"/>
  <c r="DR161" i="1" l="1"/>
  <c r="DR162" i="1" s="1"/>
  <c r="DS154" i="1"/>
  <c r="DS155" i="1" s="1"/>
  <c r="DU145" i="1"/>
  <c r="DU148" i="1" s="1"/>
  <c r="DT153" i="1"/>
  <c r="DT154" i="1" s="1"/>
  <c r="DT155" i="1" s="1"/>
  <c r="DT159" i="1" l="1"/>
  <c r="DT160" i="1"/>
  <c r="DU152" i="1"/>
  <c r="DU150" i="1"/>
  <c r="DS159" i="1"/>
  <c r="DS160" i="1" s="1"/>
  <c r="DS75" i="1" s="1"/>
  <c r="DS79" i="1" s="1"/>
  <c r="DT75" i="1"/>
  <c r="DT79" i="1" s="1"/>
  <c r="DU149" i="1"/>
  <c r="DV144" i="1" s="1"/>
  <c r="DV145" i="1" l="1"/>
  <c r="DV148" i="1" s="1"/>
  <c r="DU153" i="1"/>
  <c r="DU154" i="1" s="1"/>
  <c r="DU155" i="1" s="1"/>
  <c r="DS161" i="1"/>
  <c r="DS162" i="1" s="1"/>
  <c r="DS71" i="1"/>
  <c r="DT161" i="1"/>
  <c r="DT162" i="1" s="1"/>
  <c r="DT71" i="1"/>
  <c r="DU159" i="1" l="1"/>
  <c r="DV152" i="1"/>
  <c r="DV150" i="1"/>
  <c r="E150" i="1" s="1"/>
  <c r="DV149" i="1"/>
  <c r="DV153" i="1" l="1"/>
  <c r="DV154" i="1" s="1"/>
  <c r="DV155" i="1" s="1"/>
  <c r="DU71" i="1"/>
  <c r="DU160" i="1"/>
  <c r="DU75" i="1" s="1"/>
  <c r="DU79" i="1" s="1"/>
  <c r="DV159" i="1" l="1"/>
  <c r="DV160" i="1"/>
  <c r="DU161" i="1"/>
  <c r="DU162" i="1" s="1"/>
  <c r="DV75" i="1"/>
  <c r="D75" i="1" l="1"/>
  <c r="DV79" i="1"/>
  <c r="D79" i="1" s="1"/>
  <c r="DV161" i="1"/>
  <c r="DV162" i="1" s="1"/>
  <c r="D68" i="1" l="1"/>
  <c r="DV71" i="1"/>
  <c r="D71" i="1" s="1"/>
  <c r="C13" i="1" s="1"/>
  <c r="D78" i="1"/>
  <c r="D80" i="1"/>
  <c r="F38" i="1" l="1"/>
  <c r="F27" i="1"/>
  <c r="G27" i="1"/>
  <c r="G38" i="1"/>
  <c r="H38" i="1"/>
  <c r="H27" i="1"/>
  <c r="I38" i="1"/>
  <c r="I27" i="1"/>
  <c r="J38" i="1"/>
  <c r="J27" i="1"/>
  <c r="K38" i="1"/>
  <c r="K27" i="1"/>
  <c r="L38" i="1"/>
  <c r="L27" i="1"/>
  <c r="M38" i="1"/>
  <c r="M27" i="1"/>
  <c r="N38" i="1"/>
  <c r="N27" i="1"/>
  <c r="O27" i="1"/>
  <c r="O38" i="1"/>
  <c r="P38" i="1"/>
  <c r="P27" i="1"/>
  <c r="Q27" i="1"/>
  <c r="Q38" i="1"/>
  <c r="R27" i="1"/>
  <c r="R38" i="1"/>
  <c r="S38" i="1"/>
  <c r="S27" i="1"/>
  <c r="T27" i="1"/>
  <c r="T38" i="1"/>
  <c r="U38" i="1"/>
  <c r="U27" i="1"/>
  <c r="V38" i="1"/>
  <c r="V27" i="1"/>
  <c r="W27" i="1"/>
  <c r="W38" i="1"/>
  <c r="X38" i="1"/>
  <c r="X27" i="1"/>
  <c r="Y38" i="1"/>
  <c r="Y27" i="1"/>
  <c r="Z38" i="1"/>
  <c r="Z27" i="1"/>
  <c r="AA38" i="1"/>
  <c r="AA27" i="1"/>
  <c r="AB38" i="1"/>
  <c r="AB27" i="1"/>
  <c r="AC27" i="1"/>
  <c r="AC38" i="1"/>
  <c r="AD27" i="1"/>
  <c r="AD38" i="1"/>
  <c r="AE38" i="1"/>
  <c r="AE27" i="1"/>
  <c r="AF38" i="1"/>
  <c r="AF27" i="1"/>
  <c r="AG27" i="1"/>
  <c r="AG38" i="1"/>
  <c r="AH38" i="1"/>
  <c r="AH27" i="1"/>
  <c r="AI38" i="1"/>
  <c r="AI27" i="1"/>
  <c r="AJ27" i="1"/>
  <c r="AJ38" i="1"/>
  <c r="AK27" i="1"/>
  <c r="AK38" i="1"/>
  <c r="AL38" i="1"/>
  <c r="AL27" i="1"/>
  <c r="AM38" i="1"/>
  <c r="AM27" i="1"/>
  <c r="AN27" i="1"/>
  <c r="AN38" i="1"/>
  <c r="AO38" i="1"/>
  <c r="AO27" i="1"/>
  <c r="AP27" i="1"/>
  <c r="AP38" i="1"/>
  <c r="AQ38" i="1"/>
  <c r="AQ27" i="1"/>
  <c r="AR38" i="1"/>
  <c r="AR27" i="1"/>
  <c r="AS38" i="1"/>
  <c r="AS27" i="1"/>
  <c r="AT38" i="1"/>
  <c r="AT27" i="1"/>
  <c r="AU27" i="1"/>
  <c r="AU38" i="1"/>
  <c r="AV38" i="1"/>
  <c r="AV27" i="1"/>
  <c r="AW27" i="1"/>
  <c r="AW38" i="1"/>
  <c r="AX27" i="1"/>
  <c r="AX38" i="1"/>
  <c r="AY38" i="1"/>
  <c r="AY27" i="1"/>
  <c r="AZ38" i="1"/>
  <c r="AZ27" i="1"/>
  <c r="BA27" i="1"/>
  <c r="BA38" i="1"/>
  <c r="BB27" i="1"/>
  <c r="BB38" i="1"/>
  <c r="BC38" i="1"/>
  <c r="BC27" i="1"/>
  <c r="BD38" i="1"/>
  <c r="BD27" i="1"/>
  <c r="BE38" i="1"/>
  <c r="BE27" i="1"/>
  <c r="BF38" i="1"/>
  <c r="BF27" i="1"/>
  <c r="BG38" i="1"/>
  <c r="BG27" i="1"/>
  <c r="BH38" i="1"/>
  <c r="BH27" i="1"/>
  <c r="BI38" i="1"/>
  <c r="BI27" i="1"/>
  <c r="BJ38" i="1"/>
  <c r="BJ27" i="1"/>
  <c r="BK27" i="1"/>
  <c r="BK38" i="1"/>
  <c r="BL27" i="1"/>
  <c r="BL38" i="1"/>
  <c r="BM38" i="1"/>
  <c r="BM27" i="1"/>
  <c r="BN38" i="1"/>
  <c r="BN27" i="1"/>
  <c r="BO27" i="1"/>
  <c r="BO38" i="1"/>
  <c r="BP27" i="1"/>
  <c r="BP38" i="1"/>
  <c r="BQ27" i="1"/>
  <c r="BQ38" i="1"/>
  <c r="BR38" i="1"/>
  <c r="BR27" i="1"/>
  <c r="BS38" i="1"/>
  <c r="BS27" i="1"/>
  <c r="BT27" i="1"/>
  <c r="BT38" i="1"/>
  <c r="BU38" i="1"/>
  <c r="BU27" i="1"/>
  <c r="BV38" i="1"/>
  <c r="BV27" i="1"/>
  <c r="BW38" i="1"/>
  <c r="BW27" i="1"/>
  <c r="BX38" i="1"/>
  <c r="BX27" i="1"/>
  <c r="BY27" i="1"/>
  <c r="BY38" i="1"/>
  <c r="BZ38" i="1"/>
  <c r="BZ27" i="1"/>
  <c r="CA38" i="1"/>
  <c r="CA27" i="1"/>
  <c r="CB27" i="1"/>
  <c r="CB38" i="1"/>
  <c r="CC27" i="1"/>
  <c r="CC38" i="1"/>
  <c r="CD38" i="1"/>
  <c r="CD27" i="1"/>
  <c r="CE38" i="1"/>
  <c r="CE27" i="1"/>
  <c r="CF27" i="1"/>
  <c r="CF38" i="1"/>
  <c r="CG38" i="1"/>
  <c r="CG27" i="1"/>
  <c r="CH38" i="1"/>
  <c r="CH27" i="1"/>
  <c r="CI27" i="1"/>
  <c r="CI38" i="1"/>
  <c r="CJ38" i="1"/>
  <c r="CJ27" i="1"/>
  <c r="CK27" i="1"/>
  <c r="CK38" i="1"/>
  <c r="CL38" i="1"/>
  <c r="CL27" i="1"/>
  <c r="CM27" i="1"/>
  <c r="CM38" i="1"/>
  <c r="CN38" i="1"/>
  <c r="CN27" i="1"/>
  <c r="CO38" i="1"/>
  <c r="CO27" i="1"/>
  <c r="CP27" i="1"/>
  <c r="CP38" i="1"/>
  <c r="CQ38" i="1"/>
  <c r="CQ27" i="1"/>
  <c r="CR38" i="1"/>
  <c r="CR27" i="1"/>
  <c r="CS27" i="1"/>
  <c r="CS38" i="1"/>
  <c r="CT27" i="1"/>
  <c r="CT38" i="1"/>
  <c r="CU27" i="1"/>
  <c r="CU38" i="1"/>
  <c r="CV38" i="1"/>
  <c r="CV27" i="1"/>
  <c r="CW38" i="1"/>
  <c r="CW27" i="1"/>
  <c r="CX27" i="1"/>
  <c r="CX38" i="1"/>
  <c r="CY38" i="1"/>
  <c r="CY27" i="1"/>
  <c r="CZ38" i="1"/>
  <c r="CZ27" i="1"/>
  <c r="DA27" i="1"/>
  <c r="DA38" i="1"/>
  <c r="DB38" i="1"/>
  <c r="DB27" i="1"/>
  <c r="DC27" i="1"/>
  <c r="DC38" i="1"/>
  <c r="DD38" i="1"/>
  <c r="DD27" i="1"/>
  <c r="DE27" i="1"/>
  <c r="DE38" i="1"/>
  <c r="DF27" i="1"/>
  <c r="DF38" i="1"/>
  <c r="DG38" i="1"/>
  <c r="DG27" i="1"/>
  <c r="DH38" i="1"/>
  <c r="DH27" i="1"/>
  <c r="DI27" i="1"/>
  <c r="DI38" i="1"/>
  <c r="DJ27" i="1"/>
  <c r="DJ38" i="1"/>
  <c r="DK27" i="1"/>
  <c r="DK38" i="1"/>
  <c r="DL27" i="1"/>
  <c r="DL38" i="1"/>
  <c r="DM38" i="1"/>
  <c r="DM27" i="1"/>
  <c r="DN27" i="1"/>
  <c r="DN38" i="1"/>
  <c r="DO27" i="1"/>
  <c r="DO38" i="1"/>
  <c r="DP27" i="1"/>
  <c r="DP38" i="1"/>
  <c r="DQ38" i="1"/>
  <c r="DQ27" i="1"/>
  <c r="DR38" i="1"/>
  <c r="DR27" i="1"/>
  <c r="DS27" i="1"/>
  <c r="DS38" i="1"/>
  <c r="DT27" i="1"/>
  <c r="DT38" i="1"/>
  <c r="DU38" i="1"/>
  <c r="DU27" i="1"/>
  <c r="DV27" i="1"/>
  <c r="DV38" i="1"/>
  <c r="D72" i="1"/>
  <c r="D70" i="1"/>
  <c r="Q59" i="1" s="1"/>
  <c r="Q58" i="1" s="1"/>
  <c r="DN42" i="1" l="1"/>
  <c r="CV30" i="1"/>
  <c r="CJ30" i="1"/>
  <c r="BX30" i="1"/>
  <c r="BL42" i="1"/>
  <c r="BF30" i="1"/>
  <c r="AT30" i="1"/>
  <c r="AN42" i="1"/>
  <c r="AB30" i="1"/>
  <c r="P30" i="1"/>
  <c r="DT30" i="1"/>
  <c r="DH42" i="1"/>
  <c r="CP30" i="1"/>
  <c r="CD42" i="1"/>
  <c r="BL30" i="1"/>
  <c r="AZ42" i="1"/>
  <c r="AH42" i="1"/>
  <c r="DT42" i="1"/>
  <c r="BR30" i="1"/>
  <c r="DN30" i="1"/>
  <c r="DB42" i="1"/>
  <c r="CV42" i="1"/>
  <c r="CJ42" i="1"/>
  <c r="BX42" i="1"/>
  <c r="BR42" i="1"/>
  <c r="BF42" i="1"/>
  <c r="AT42" i="1"/>
  <c r="AN30" i="1"/>
  <c r="P42" i="1"/>
  <c r="DS42" i="1"/>
  <c r="DM30" i="1"/>
  <c r="DG30" i="1"/>
  <c r="DA42" i="1"/>
  <c r="CU42" i="1"/>
  <c r="CO30" i="1"/>
  <c r="CI42" i="1"/>
  <c r="CC42" i="1"/>
  <c r="BW30" i="1"/>
  <c r="BQ42" i="1"/>
  <c r="BK42" i="1"/>
  <c r="BE30" i="1"/>
  <c r="AY30" i="1"/>
  <c r="AS30" i="1"/>
  <c r="AM30" i="1"/>
  <c r="AG42" i="1"/>
  <c r="AA30" i="1"/>
  <c r="U30" i="1"/>
  <c r="O42" i="1"/>
  <c r="I30" i="1"/>
  <c r="V30" i="1"/>
  <c r="J42" i="1"/>
  <c r="DS30" i="1"/>
  <c r="DM42" i="1"/>
  <c r="DG42" i="1"/>
  <c r="DA30" i="1"/>
  <c r="CU30" i="1"/>
  <c r="CO42" i="1"/>
  <c r="CI30" i="1"/>
  <c r="CC30" i="1"/>
  <c r="BW42" i="1"/>
  <c r="BQ30" i="1"/>
  <c r="BK30" i="1"/>
  <c r="BE42" i="1"/>
  <c r="AY42" i="1"/>
  <c r="AS42" i="1"/>
  <c r="AM42" i="1"/>
  <c r="AG30" i="1"/>
  <c r="AA42" i="1"/>
  <c r="U42" i="1"/>
  <c r="O30" i="1"/>
  <c r="I42" i="1"/>
  <c r="DH30" i="1"/>
  <c r="DB30" i="1"/>
  <c r="CP42" i="1"/>
  <c r="CD30" i="1"/>
  <c r="AZ30" i="1"/>
  <c r="J30" i="1"/>
  <c r="V42" i="1"/>
  <c r="DR30" i="1"/>
  <c r="DL42" i="1"/>
  <c r="DF42" i="1"/>
  <c r="CZ30" i="1"/>
  <c r="CT42" i="1"/>
  <c r="CN30" i="1"/>
  <c r="CH30" i="1"/>
  <c r="CB42" i="1"/>
  <c r="BV30" i="1"/>
  <c r="BP42" i="1"/>
  <c r="BJ30" i="1"/>
  <c r="BD30" i="1"/>
  <c r="AX42" i="1"/>
  <c r="AR30" i="1"/>
  <c r="AL30" i="1"/>
  <c r="AF30" i="1"/>
  <c r="Z30" i="1"/>
  <c r="T42" i="1"/>
  <c r="N30" i="1"/>
  <c r="H30" i="1"/>
  <c r="AH30" i="1"/>
  <c r="AB42" i="1"/>
  <c r="DR42" i="1"/>
  <c r="DL30" i="1"/>
  <c r="DF30" i="1"/>
  <c r="CZ42" i="1"/>
  <c r="CT30" i="1"/>
  <c r="CN42" i="1"/>
  <c r="CH42" i="1"/>
  <c r="CB30" i="1"/>
  <c r="BV42" i="1"/>
  <c r="BP30" i="1"/>
  <c r="BJ42" i="1"/>
  <c r="BD42" i="1"/>
  <c r="AX30" i="1"/>
  <c r="AR42" i="1"/>
  <c r="AL42" i="1"/>
  <c r="AF42" i="1"/>
  <c r="Z42" i="1"/>
  <c r="T30" i="1"/>
  <c r="N42" i="1"/>
  <c r="H42" i="1"/>
  <c r="G42" i="1"/>
  <c r="G30" i="1"/>
  <c r="DK42" i="1"/>
  <c r="DE42" i="1"/>
  <c r="CY30" i="1"/>
  <c r="CS42" i="1"/>
  <c r="CM42" i="1"/>
  <c r="CG30" i="1"/>
  <c r="CA30" i="1"/>
  <c r="BU30" i="1"/>
  <c r="BO42" i="1"/>
  <c r="BI30" i="1"/>
  <c r="BC30" i="1"/>
  <c r="AW42" i="1"/>
  <c r="AQ30" i="1"/>
  <c r="AK42" i="1"/>
  <c r="AE30" i="1"/>
  <c r="Y30" i="1"/>
  <c r="M30" i="1"/>
  <c r="DQ42" i="1"/>
  <c r="DK30" i="1"/>
  <c r="DE30" i="1"/>
  <c r="CY42" i="1"/>
  <c r="CS30" i="1"/>
  <c r="CM30" i="1"/>
  <c r="CG42" i="1"/>
  <c r="CA42" i="1"/>
  <c r="BU42" i="1"/>
  <c r="BO30" i="1"/>
  <c r="BI42" i="1"/>
  <c r="BC42" i="1"/>
  <c r="AW30" i="1"/>
  <c r="AQ42" i="1"/>
  <c r="AK30" i="1"/>
  <c r="M42" i="1"/>
  <c r="DP42" i="1"/>
  <c r="DD30" i="1"/>
  <c r="CR30" i="1"/>
  <c r="CL30" i="1"/>
  <c r="CF42" i="1"/>
  <c r="BZ30" i="1"/>
  <c r="BT42" i="1"/>
  <c r="BN30" i="1"/>
  <c r="BH30" i="1"/>
  <c r="BB42" i="1"/>
  <c r="AV30" i="1"/>
  <c r="AP42" i="1"/>
  <c r="AD42" i="1"/>
  <c r="R42" i="1"/>
  <c r="D27" i="1"/>
  <c r="F30" i="1"/>
  <c r="AE42" i="1"/>
  <c r="L30" i="1"/>
  <c r="DV30" i="1"/>
  <c r="DP30" i="1"/>
  <c r="DJ30" i="1"/>
  <c r="DD42" i="1"/>
  <c r="CX30" i="1"/>
  <c r="CR42" i="1"/>
  <c r="CL42" i="1"/>
  <c r="CF30" i="1"/>
  <c r="BZ42" i="1"/>
  <c r="BT30" i="1"/>
  <c r="BN42" i="1"/>
  <c r="BH42" i="1"/>
  <c r="BB30" i="1"/>
  <c r="AV42" i="1"/>
  <c r="AP30" i="1"/>
  <c r="AJ30" i="1"/>
  <c r="AD30" i="1"/>
  <c r="X42" i="1"/>
  <c r="R30" i="1"/>
  <c r="L42" i="1"/>
  <c r="DQ30" i="1"/>
  <c r="S30" i="1"/>
  <c r="S42" i="1"/>
  <c r="DV42" i="1"/>
  <c r="X30" i="1"/>
  <c r="DU30" i="1"/>
  <c r="DO42" i="1"/>
  <c r="DI42" i="1"/>
  <c r="DC42" i="1"/>
  <c r="CW30" i="1"/>
  <c r="CQ30" i="1"/>
  <c r="CK42" i="1"/>
  <c r="CE30" i="1"/>
  <c r="BY42" i="1"/>
  <c r="BS30" i="1"/>
  <c r="BM30" i="1"/>
  <c r="BG30" i="1"/>
  <c r="BA42" i="1"/>
  <c r="AU42" i="1"/>
  <c r="AO30" i="1"/>
  <c r="AI30" i="1"/>
  <c r="AC42" i="1"/>
  <c r="W42" i="1"/>
  <c r="Q42" i="1"/>
  <c r="K30" i="1"/>
  <c r="Y42" i="1"/>
  <c r="DJ42" i="1"/>
  <c r="CX42" i="1"/>
  <c r="AJ42" i="1"/>
  <c r="DU42" i="1"/>
  <c r="DO30" i="1"/>
  <c r="DI30" i="1"/>
  <c r="DC30" i="1"/>
  <c r="CW42" i="1"/>
  <c r="CQ42" i="1"/>
  <c r="CK30" i="1"/>
  <c r="CE42" i="1"/>
  <c r="BY30" i="1"/>
  <c r="BS42" i="1"/>
  <c r="BM42" i="1"/>
  <c r="BG42" i="1"/>
  <c r="BA30" i="1"/>
  <c r="AU30" i="1"/>
  <c r="AO42" i="1"/>
  <c r="AI42" i="1"/>
  <c r="AC30" i="1"/>
  <c r="W30" i="1"/>
  <c r="Q30" i="1"/>
  <c r="K42" i="1"/>
  <c r="D38" i="1"/>
  <c r="F42" i="1"/>
  <c r="D30" i="1" l="1"/>
  <c r="D43" i="1"/>
  <c r="D35" i="1"/>
  <c r="D41" i="1"/>
  <c r="D31" i="1"/>
  <c r="D29" i="1"/>
  <c r="D25" i="1"/>
  <c r="D42" i="1"/>
  <c r="L10" i="1" l="1"/>
  <c r="L9" i="1" s="1"/>
  <c r="D24" i="1"/>
  <c r="D26" i="1" s="1"/>
  <c r="D34" i="1"/>
  <c r="F24" i="1" l="1"/>
  <c r="F25" i="1" s="1"/>
  <c r="D37" i="1"/>
  <c r="F34" i="1"/>
  <c r="F35" i="1" s="1"/>
  <c r="G24" i="1" l="1"/>
  <c r="G25" i="1" s="1"/>
  <c r="G34" i="1"/>
  <c r="G35" i="1" s="1"/>
  <c r="D36" i="1"/>
  <c r="F26" i="1"/>
  <c r="G26" i="1" l="1"/>
  <c r="G37" i="1" s="1"/>
  <c r="G36" i="1" s="1"/>
  <c r="H34" i="1"/>
  <c r="I34" i="1" s="1"/>
  <c r="J34" i="1" s="1"/>
  <c r="H24" i="1"/>
  <c r="I24" i="1" s="1"/>
  <c r="F37" i="1"/>
  <c r="H25" i="1" l="1"/>
  <c r="H35" i="1"/>
  <c r="I35" i="1" s="1"/>
  <c r="J24" i="1"/>
  <c r="K34" i="1"/>
  <c r="L34" i="1" s="1"/>
  <c r="F36" i="1"/>
  <c r="M34" i="1" l="1"/>
  <c r="N34" i="1" s="1"/>
  <c r="H26" i="1"/>
  <c r="H37" i="1" s="1"/>
  <c r="H36" i="1" s="1"/>
  <c r="I25" i="1"/>
  <c r="J25" i="1" s="1"/>
  <c r="J26" i="1" s="1"/>
  <c r="J37" i="1" s="1"/>
  <c r="J35" i="1"/>
  <c r="K24" i="1"/>
  <c r="O34" i="1"/>
  <c r="K25" i="1" l="1"/>
  <c r="K26" i="1" s="1"/>
  <c r="K37" i="1" s="1"/>
  <c r="L24" i="1"/>
  <c r="M24" i="1" s="1"/>
  <c r="N24" i="1" s="1"/>
  <c r="J36" i="1"/>
  <c r="K35" i="1"/>
  <c r="P34" i="1"/>
  <c r="I26" i="1"/>
  <c r="I37" i="1" s="1"/>
  <c r="I36" i="1" s="1"/>
  <c r="L25" i="1" l="1"/>
  <c r="L26" i="1" s="1"/>
  <c r="L37" i="1" s="1"/>
  <c r="K36" i="1"/>
  <c r="O24" i="1"/>
  <c r="P24" i="1" s="1"/>
  <c r="Q24" i="1" s="1"/>
  <c r="L35" i="1"/>
  <c r="M35" i="1" s="1"/>
  <c r="Q34" i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M25" i="1" l="1"/>
  <c r="N25" i="1" s="1"/>
  <c r="N26" i="1" s="1"/>
  <c r="N37" i="1" s="1"/>
  <c r="L36" i="1"/>
  <c r="AD34" i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R24" i="1"/>
  <c r="S24" i="1" s="1"/>
  <c r="N35" i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l="1"/>
  <c r="AI35" i="1" s="1"/>
  <c r="AJ35" i="1" s="1"/>
  <c r="AK35" i="1" s="1"/>
  <c r="AL35" i="1" s="1"/>
  <c r="AM35" i="1" s="1"/>
  <c r="AN35" i="1" s="1"/>
  <c r="AO35" i="1" s="1"/>
  <c r="AP35" i="1" s="1"/>
  <c r="O25" i="1"/>
  <c r="P25" i="1" s="1"/>
  <c r="P26" i="1" s="1"/>
  <c r="P37" i="1" s="1"/>
  <c r="M26" i="1"/>
  <c r="M37" i="1" s="1"/>
  <c r="M36" i="1" s="1"/>
  <c r="N36" i="1"/>
  <c r="T24" i="1"/>
  <c r="U24" i="1" s="1"/>
  <c r="V24" i="1" s="1"/>
  <c r="AQ34" i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34" i="1" s="1"/>
  <c r="BH34" i="1" s="1"/>
  <c r="BI34" i="1" s="1"/>
  <c r="BJ34" i="1" s="1"/>
  <c r="BK34" i="1" s="1"/>
  <c r="BL34" i="1" s="1"/>
  <c r="BM34" i="1" s="1"/>
  <c r="BN34" i="1" s="1"/>
  <c r="BO34" i="1" s="1"/>
  <c r="BP34" i="1" s="1"/>
  <c r="BQ34" i="1" s="1"/>
  <c r="BR34" i="1" s="1"/>
  <c r="BS34" i="1" s="1"/>
  <c r="BT34" i="1" s="1"/>
  <c r="BU34" i="1" s="1"/>
  <c r="BV34" i="1" s="1"/>
  <c r="BW34" i="1" s="1"/>
  <c r="BX34" i="1" s="1"/>
  <c r="BY34" i="1" s="1"/>
  <c r="BZ34" i="1" s="1"/>
  <c r="CA34" i="1" s="1"/>
  <c r="CB34" i="1" s="1"/>
  <c r="CC34" i="1" s="1"/>
  <c r="CD34" i="1" s="1"/>
  <c r="CE34" i="1" s="1"/>
  <c r="CF34" i="1" s="1"/>
  <c r="CG34" i="1" s="1"/>
  <c r="CH34" i="1" s="1"/>
  <c r="CI34" i="1" s="1"/>
  <c r="CJ34" i="1" s="1"/>
  <c r="CK34" i="1" s="1"/>
  <c r="CL34" i="1" s="1"/>
  <c r="CM34" i="1" s="1"/>
  <c r="CN34" i="1" s="1"/>
  <c r="CO34" i="1" s="1"/>
  <c r="CP34" i="1" s="1"/>
  <c r="CQ34" i="1" s="1"/>
  <c r="CR34" i="1" s="1"/>
  <c r="CS34" i="1" s="1"/>
  <c r="CT34" i="1" s="1"/>
  <c r="CU34" i="1" s="1"/>
  <c r="CV34" i="1" s="1"/>
  <c r="CW34" i="1" s="1"/>
  <c r="CX34" i="1" s="1"/>
  <c r="CY34" i="1" s="1"/>
  <c r="CZ34" i="1" s="1"/>
  <c r="DA34" i="1" s="1"/>
  <c r="DB34" i="1" s="1"/>
  <c r="DC34" i="1" s="1"/>
  <c r="DD34" i="1" s="1"/>
  <c r="DE34" i="1" s="1"/>
  <c r="DF34" i="1" s="1"/>
  <c r="DG34" i="1" s="1"/>
  <c r="DH34" i="1" s="1"/>
  <c r="DI34" i="1" s="1"/>
  <c r="DJ34" i="1" s="1"/>
  <c r="DK34" i="1" s="1"/>
  <c r="DL34" i="1" s="1"/>
  <c r="DM34" i="1" s="1"/>
  <c r="O26" i="1" l="1"/>
  <c r="O37" i="1" s="1"/>
  <c r="O36" i="1" s="1"/>
  <c r="AQ35" i="1"/>
  <c r="Q25" i="1"/>
  <c r="Q26" i="1" s="1"/>
  <c r="Q37" i="1" s="1"/>
  <c r="Q36" i="1" s="1"/>
  <c r="W24" i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BG24" i="1" s="1"/>
  <c r="BH24" i="1" s="1"/>
  <c r="BI24" i="1" s="1"/>
  <c r="BJ24" i="1" s="1"/>
  <c r="BK24" i="1" s="1"/>
  <c r="BL24" i="1" s="1"/>
  <c r="BM24" i="1" s="1"/>
  <c r="BN24" i="1" s="1"/>
  <c r="BO24" i="1" s="1"/>
  <c r="BP24" i="1" s="1"/>
  <c r="BQ24" i="1" s="1"/>
  <c r="BR24" i="1" s="1"/>
  <c r="BS24" i="1" s="1"/>
  <c r="BT24" i="1" s="1"/>
  <c r="BU24" i="1" s="1"/>
  <c r="BV24" i="1" s="1"/>
  <c r="BW24" i="1" s="1"/>
  <c r="BX24" i="1" s="1"/>
  <c r="BY24" i="1" s="1"/>
  <c r="BZ24" i="1" s="1"/>
  <c r="CA24" i="1" s="1"/>
  <c r="CB24" i="1" s="1"/>
  <c r="CC24" i="1" s="1"/>
  <c r="CD24" i="1" s="1"/>
  <c r="CE24" i="1" s="1"/>
  <c r="CF24" i="1" s="1"/>
  <c r="CG24" i="1" s="1"/>
  <c r="CH24" i="1" s="1"/>
  <c r="CI24" i="1" s="1"/>
  <c r="CJ24" i="1" s="1"/>
  <c r="CK24" i="1" s="1"/>
  <c r="CL24" i="1" s="1"/>
  <c r="CM24" i="1" s="1"/>
  <c r="CN24" i="1" s="1"/>
  <c r="CO24" i="1" s="1"/>
  <c r="CP24" i="1" s="1"/>
  <c r="CQ24" i="1" s="1"/>
  <c r="CR24" i="1" s="1"/>
  <c r="CS24" i="1" s="1"/>
  <c r="CT24" i="1" s="1"/>
  <c r="CU24" i="1" s="1"/>
  <c r="CV24" i="1" s="1"/>
  <c r="CW24" i="1" s="1"/>
  <c r="CX24" i="1" s="1"/>
  <c r="CY24" i="1" s="1"/>
  <c r="CZ24" i="1" s="1"/>
  <c r="DA24" i="1" s="1"/>
  <c r="DB24" i="1" s="1"/>
  <c r="DC24" i="1" s="1"/>
  <c r="DD24" i="1" s="1"/>
  <c r="DE24" i="1" s="1"/>
  <c r="DF24" i="1" s="1"/>
  <c r="DG24" i="1" s="1"/>
  <c r="DH24" i="1" s="1"/>
  <c r="DI24" i="1" s="1"/>
  <c r="DJ24" i="1" s="1"/>
  <c r="DK24" i="1" s="1"/>
  <c r="DL24" i="1" s="1"/>
  <c r="DM24" i="1" s="1"/>
  <c r="DN24" i="1" s="1"/>
  <c r="DO24" i="1" s="1"/>
  <c r="DP24" i="1" s="1"/>
  <c r="DQ24" i="1" s="1"/>
  <c r="DR24" i="1" s="1"/>
  <c r="DS24" i="1" s="1"/>
  <c r="DT24" i="1" s="1"/>
  <c r="DU24" i="1" s="1"/>
  <c r="DV24" i="1" s="1"/>
  <c r="C24" i="1" s="1"/>
  <c r="AR35" i="1"/>
  <c r="DN34" i="1"/>
  <c r="DO34" i="1" s="1"/>
  <c r="DP34" i="1" s="1"/>
  <c r="DQ34" i="1" s="1"/>
  <c r="DR34" i="1" s="1"/>
  <c r="DS34" i="1" s="1"/>
  <c r="DT34" i="1" s="1"/>
  <c r="DU34" i="1" s="1"/>
  <c r="DV34" i="1" s="1"/>
  <c r="C34" i="1" s="1"/>
  <c r="R25" i="1"/>
  <c r="R26" i="1" s="1"/>
  <c r="R37" i="1" s="1"/>
  <c r="R36" i="1" s="1"/>
  <c r="P36" i="1"/>
  <c r="S25" i="1" l="1"/>
  <c r="S26" i="1" s="1"/>
  <c r="S37" i="1" s="1"/>
  <c r="S36" i="1" s="1"/>
  <c r="AS35" i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BG35" i="1" s="1"/>
  <c r="BH35" i="1" s="1"/>
  <c r="BI35" i="1" s="1"/>
  <c r="BJ35" i="1" s="1"/>
  <c r="BK35" i="1" s="1"/>
  <c r="BL35" i="1" s="1"/>
  <c r="BM35" i="1" s="1"/>
  <c r="BN35" i="1" s="1"/>
  <c r="BO35" i="1" s="1"/>
  <c r="BP35" i="1" s="1"/>
  <c r="BQ35" i="1" s="1"/>
  <c r="BR35" i="1" s="1"/>
  <c r="BS35" i="1" s="1"/>
  <c r="BT35" i="1" s="1"/>
  <c r="BU35" i="1" s="1"/>
  <c r="BV35" i="1" s="1"/>
  <c r="BW35" i="1" s="1"/>
  <c r="BX35" i="1" s="1"/>
  <c r="BY35" i="1" s="1"/>
  <c r="BZ35" i="1" s="1"/>
  <c r="CA35" i="1" s="1"/>
  <c r="CB35" i="1" s="1"/>
  <c r="CC35" i="1" s="1"/>
  <c r="CD35" i="1" s="1"/>
  <c r="CE35" i="1" s="1"/>
  <c r="CF35" i="1" s="1"/>
  <c r="CG35" i="1" s="1"/>
  <c r="CH35" i="1" s="1"/>
  <c r="CI35" i="1" s="1"/>
  <c r="CJ35" i="1" s="1"/>
  <c r="CK35" i="1" s="1"/>
  <c r="CL35" i="1" s="1"/>
  <c r="CM35" i="1" s="1"/>
  <c r="CN35" i="1" s="1"/>
  <c r="CO35" i="1" s="1"/>
  <c r="CP35" i="1" s="1"/>
  <c r="CQ35" i="1" s="1"/>
  <c r="CR35" i="1" s="1"/>
  <c r="CS35" i="1" s="1"/>
  <c r="CT35" i="1" s="1"/>
  <c r="CU35" i="1" s="1"/>
  <c r="CV35" i="1" s="1"/>
  <c r="CW35" i="1" s="1"/>
  <c r="CX35" i="1" s="1"/>
  <c r="CY35" i="1" s="1"/>
  <c r="CZ35" i="1" s="1"/>
  <c r="DA35" i="1" s="1"/>
  <c r="DB35" i="1" s="1"/>
  <c r="DC35" i="1" s="1"/>
  <c r="DD35" i="1" s="1"/>
  <c r="DE35" i="1" s="1"/>
  <c r="DF35" i="1" s="1"/>
  <c r="DG35" i="1" s="1"/>
  <c r="DH35" i="1" s="1"/>
  <c r="DI35" i="1" s="1"/>
  <c r="DJ35" i="1" s="1"/>
  <c r="DK35" i="1" s="1"/>
  <c r="DL35" i="1" s="1"/>
  <c r="DM35" i="1" s="1"/>
  <c r="DN35" i="1" s="1"/>
  <c r="DO35" i="1" s="1"/>
  <c r="DP35" i="1" s="1"/>
  <c r="DQ35" i="1" s="1"/>
  <c r="DR35" i="1" s="1"/>
  <c r="DS35" i="1" s="1"/>
  <c r="DT35" i="1" s="1"/>
  <c r="DU35" i="1" s="1"/>
  <c r="DV35" i="1" s="1"/>
  <c r="T25" i="1" l="1"/>
  <c r="C35" i="1"/>
  <c r="T26" i="1"/>
  <c r="T37" i="1" s="1"/>
  <c r="T36" i="1" s="1"/>
  <c r="U25" i="1"/>
  <c r="U26" i="1" l="1"/>
  <c r="U37" i="1" s="1"/>
  <c r="U36" i="1" s="1"/>
  <c r="V25" i="1"/>
  <c r="V26" i="1" l="1"/>
  <c r="V37" i="1" s="1"/>
  <c r="V36" i="1" s="1"/>
  <c r="W25" i="1"/>
  <c r="W26" i="1" l="1"/>
  <c r="W37" i="1" s="1"/>
  <c r="W36" i="1" s="1"/>
  <c r="X25" i="1"/>
  <c r="X26" i="1" l="1"/>
  <c r="X37" i="1" s="1"/>
  <c r="X36" i="1" s="1"/>
  <c r="Y25" i="1"/>
  <c r="Y26" i="1" l="1"/>
  <c r="Y37" i="1" s="1"/>
  <c r="Y36" i="1" s="1"/>
  <c r="Z25" i="1"/>
  <c r="Z26" i="1" l="1"/>
  <c r="Z37" i="1" s="1"/>
  <c r="Z36" i="1" s="1"/>
  <c r="AA25" i="1"/>
  <c r="AA26" i="1" l="1"/>
  <c r="AA37" i="1" s="1"/>
  <c r="AA36" i="1" s="1"/>
  <c r="AB25" i="1"/>
  <c r="AB26" i="1" l="1"/>
  <c r="AB37" i="1" s="1"/>
  <c r="AB36" i="1" s="1"/>
  <c r="AC25" i="1"/>
  <c r="AC26" i="1" l="1"/>
  <c r="AC37" i="1" s="1"/>
  <c r="AC36" i="1" s="1"/>
  <c r="AD25" i="1"/>
  <c r="AD26" i="1" l="1"/>
  <c r="AD37" i="1" s="1"/>
  <c r="AD36" i="1" s="1"/>
  <c r="AE25" i="1"/>
  <c r="AE26" i="1" l="1"/>
  <c r="AE37" i="1" s="1"/>
  <c r="AE36" i="1" s="1"/>
  <c r="AF25" i="1"/>
  <c r="AF26" i="1" l="1"/>
  <c r="AF37" i="1" s="1"/>
  <c r="AF36" i="1" s="1"/>
  <c r="AG25" i="1"/>
  <c r="AG26" i="1" l="1"/>
  <c r="AG37" i="1" s="1"/>
  <c r="AG36" i="1" s="1"/>
  <c r="AH25" i="1"/>
  <c r="AH26" i="1" l="1"/>
  <c r="AH37" i="1" s="1"/>
  <c r="AH36" i="1" s="1"/>
  <c r="AI25" i="1"/>
  <c r="AI26" i="1" l="1"/>
  <c r="AI37" i="1" s="1"/>
  <c r="AI36" i="1" s="1"/>
  <c r="AJ25" i="1"/>
  <c r="AJ26" i="1" l="1"/>
  <c r="AJ37" i="1" s="1"/>
  <c r="AJ36" i="1" s="1"/>
  <c r="AK25" i="1"/>
  <c r="AK26" i="1" l="1"/>
  <c r="AK37" i="1" s="1"/>
  <c r="AK36" i="1" s="1"/>
  <c r="AL25" i="1"/>
  <c r="AL26" i="1" l="1"/>
  <c r="AL37" i="1" s="1"/>
  <c r="AL36" i="1" s="1"/>
  <c r="AM25" i="1"/>
  <c r="AM26" i="1" l="1"/>
  <c r="AM37" i="1" s="1"/>
  <c r="AM36" i="1" s="1"/>
  <c r="AN25" i="1"/>
  <c r="AN26" i="1" l="1"/>
  <c r="AN37" i="1" s="1"/>
  <c r="AN36" i="1" s="1"/>
  <c r="AO25" i="1"/>
  <c r="AO26" i="1" l="1"/>
  <c r="AO37" i="1" s="1"/>
  <c r="AO36" i="1" s="1"/>
  <c r="AP25" i="1"/>
  <c r="AP26" i="1" l="1"/>
  <c r="AP37" i="1" s="1"/>
  <c r="AP36" i="1" s="1"/>
  <c r="AQ25" i="1"/>
  <c r="AQ26" i="1" l="1"/>
  <c r="AQ37" i="1" s="1"/>
  <c r="AQ36" i="1" s="1"/>
  <c r="AR25" i="1"/>
  <c r="AR26" i="1" l="1"/>
  <c r="AR37" i="1" s="1"/>
  <c r="AR36" i="1" s="1"/>
  <c r="AS25" i="1"/>
  <c r="AS26" i="1" l="1"/>
  <c r="AS37" i="1" s="1"/>
  <c r="AS36" i="1" s="1"/>
  <c r="AT25" i="1"/>
  <c r="AT26" i="1" l="1"/>
  <c r="AT37" i="1" s="1"/>
  <c r="AT36" i="1" s="1"/>
  <c r="AU25" i="1"/>
  <c r="AU26" i="1" l="1"/>
  <c r="AU37" i="1" s="1"/>
  <c r="AU36" i="1" s="1"/>
  <c r="AV25" i="1"/>
  <c r="AV26" i="1" l="1"/>
  <c r="AV37" i="1" s="1"/>
  <c r="AV36" i="1" s="1"/>
  <c r="AW25" i="1"/>
  <c r="AW26" i="1" l="1"/>
  <c r="AW37" i="1" s="1"/>
  <c r="AW36" i="1" s="1"/>
  <c r="AX25" i="1"/>
  <c r="AX26" i="1" l="1"/>
  <c r="AX37" i="1" s="1"/>
  <c r="AX36" i="1" s="1"/>
  <c r="AY25" i="1"/>
  <c r="AY26" i="1" l="1"/>
  <c r="AY37" i="1" s="1"/>
  <c r="AY36" i="1" s="1"/>
  <c r="AZ25" i="1"/>
  <c r="AZ26" i="1" l="1"/>
  <c r="AZ37" i="1" s="1"/>
  <c r="AZ36" i="1" s="1"/>
  <c r="BA25" i="1"/>
  <c r="BA26" i="1" l="1"/>
  <c r="BA37" i="1" s="1"/>
  <c r="BA36" i="1" s="1"/>
  <c r="BB25" i="1"/>
  <c r="BB26" i="1" l="1"/>
  <c r="BB37" i="1" s="1"/>
  <c r="BB36" i="1" s="1"/>
  <c r="BC25" i="1"/>
  <c r="BC26" i="1" l="1"/>
  <c r="BC37" i="1" s="1"/>
  <c r="BC36" i="1" s="1"/>
  <c r="BD25" i="1"/>
  <c r="BD26" i="1" l="1"/>
  <c r="BD37" i="1" s="1"/>
  <c r="BD36" i="1" s="1"/>
  <c r="BE25" i="1"/>
  <c r="BE26" i="1" l="1"/>
  <c r="BE37" i="1" s="1"/>
  <c r="BE36" i="1" s="1"/>
  <c r="BF25" i="1"/>
  <c r="BF26" i="1" l="1"/>
  <c r="BF37" i="1" s="1"/>
  <c r="BF36" i="1" s="1"/>
  <c r="BG25" i="1"/>
  <c r="BG26" i="1" l="1"/>
  <c r="BG37" i="1" s="1"/>
  <c r="BG36" i="1" s="1"/>
  <c r="BH25" i="1"/>
  <c r="BH26" i="1" l="1"/>
  <c r="BH37" i="1" s="1"/>
  <c r="BH36" i="1" s="1"/>
  <c r="BI25" i="1"/>
  <c r="BI26" i="1" l="1"/>
  <c r="BI37" i="1" s="1"/>
  <c r="BI36" i="1" s="1"/>
  <c r="BJ25" i="1"/>
  <c r="BJ26" i="1" l="1"/>
  <c r="BJ37" i="1" s="1"/>
  <c r="BJ36" i="1" s="1"/>
  <c r="BK25" i="1"/>
  <c r="BK26" i="1" l="1"/>
  <c r="BK37" i="1" s="1"/>
  <c r="BK36" i="1" s="1"/>
  <c r="BL25" i="1"/>
  <c r="BL26" i="1" l="1"/>
  <c r="BL37" i="1" s="1"/>
  <c r="BL36" i="1" s="1"/>
  <c r="BM25" i="1"/>
  <c r="BM26" i="1" l="1"/>
  <c r="BM37" i="1" s="1"/>
  <c r="BM36" i="1" s="1"/>
  <c r="BN25" i="1"/>
  <c r="BN26" i="1" l="1"/>
  <c r="BN37" i="1" s="1"/>
  <c r="BN36" i="1" s="1"/>
  <c r="BO25" i="1"/>
  <c r="BO26" i="1" l="1"/>
  <c r="BO37" i="1" s="1"/>
  <c r="BO36" i="1" s="1"/>
  <c r="BP25" i="1"/>
  <c r="BP26" i="1" l="1"/>
  <c r="BP37" i="1" s="1"/>
  <c r="BP36" i="1" s="1"/>
  <c r="BQ25" i="1"/>
  <c r="BQ26" i="1" l="1"/>
  <c r="BQ37" i="1" s="1"/>
  <c r="BQ36" i="1" s="1"/>
  <c r="BR25" i="1"/>
  <c r="BR26" i="1" l="1"/>
  <c r="BR37" i="1" s="1"/>
  <c r="BR36" i="1" s="1"/>
  <c r="BS25" i="1"/>
  <c r="BS26" i="1" l="1"/>
  <c r="BS37" i="1" s="1"/>
  <c r="BS36" i="1" s="1"/>
  <c r="BT25" i="1"/>
  <c r="BT26" i="1" l="1"/>
  <c r="BT37" i="1" s="1"/>
  <c r="BT36" i="1" s="1"/>
  <c r="BU25" i="1"/>
  <c r="BU26" i="1" l="1"/>
  <c r="BU37" i="1" s="1"/>
  <c r="BU36" i="1" s="1"/>
  <c r="BV25" i="1"/>
  <c r="BV26" i="1" l="1"/>
  <c r="BV37" i="1" s="1"/>
  <c r="BV36" i="1" s="1"/>
  <c r="BW25" i="1"/>
  <c r="BW26" i="1" l="1"/>
  <c r="BW37" i="1" s="1"/>
  <c r="BW36" i="1" s="1"/>
  <c r="BX25" i="1"/>
  <c r="BX26" i="1" l="1"/>
  <c r="BX37" i="1" s="1"/>
  <c r="BX36" i="1" s="1"/>
  <c r="BY25" i="1"/>
  <c r="BY26" i="1" l="1"/>
  <c r="BY37" i="1" s="1"/>
  <c r="BY36" i="1" s="1"/>
  <c r="BZ25" i="1"/>
  <c r="BZ26" i="1" l="1"/>
  <c r="BZ37" i="1" s="1"/>
  <c r="BZ36" i="1" s="1"/>
  <c r="CA25" i="1"/>
  <c r="CA26" i="1" l="1"/>
  <c r="CA37" i="1" s="1"/>
  <c r="CA36" i="1" s="1"/>
  <c r="CB25" i="1"/>
  <c r="CB26" i="1" l="1"/>
  <c r="CB37" i="1" s="1"/>
  <c r="CB36" i="1" s="1"/>
  <c r="CC25" i="1"/>
  <c r="CC26" i="1" l="1"/>
  <c r="CC37" i="1" s="1"/>
  <c r="CC36" i="1" s="1"/>
  <c r="CD25" i="1"/>
  <c r="CD26" i="1" l="1"/>
  <c r="CD37" i="1" s="1"/>
  <c r="CD36" i="1" s="1"/>
  <c r="CE25" i="1"/>
  <c r="CE26" i="1" l="1"/>
  <c r="CE37" i="1" s="1"/>
  <c r="CE36" i="1" s="1"/>
  <c r="CF25" i="1"/>
  <c r="CF26" i="1" l="1"/>
  <c r="CF37" i="1" s="1"/>
  <c r="CF36" i="1" s="1"/>
  <c r="CG25" i="1"/>
  <c r="CG26" i="1" l="1"/>
  <c r="CG37" i="1" s="1"/>
  <c r="CG36" i="1" s="1"/>
  <c r="CH25" i="1"/>
  <c r="CH26" i="1" l="1"/>
  <c r="CH37" i="1" s="1"/>
  <c r="CH36" i="1" s="1"/>
  <c r="CI25" i="1"/>
  <c r="CI26" i="1" l="1"/>
  <c r="CI37" i="1" s="1"/>
  <c r="CI36" i="1" s="1"/>
  <c r="CJ25" i="1"/>
  <c r="CJ26" i="1" l="1"/>
  <c r="CJ37" i="1" s="1"/>
  <c r="CJ36" i="1" s="1"/>
  <c r="CK25" i="1"/>
  <c r="CK26" i="1" l="1"/>
  <c r="CK37" i="1" s="1"/>
  <c r="CK36" i="1" s="1"/>
  <c r="CL25" i="1"/>
  <c r="CL26" i="1" l="1"/>
  <c r="CL37" i="1" s="1"/>
  <c r="CL36" i="1" s="1"/>
  <c r="CM25" i="1"/>
  <c r="CM26" i="1" l="1"/>
  <c r="CM37" i="1" s="1"/>
  <c r="CM36" i="1" s="1"/>
  <c r="CN25" i="1"/>
  <c r="CN26" i="1" l="1"/>
  <c r="CN37" i="1" s="1"/>
  <c r="CN36" i="1" s="1"/>
  <c r="CO25" i="1"/>
  <c r="CO26" i="1" l="1"/>
  <c r="CO37" i="1" s="1"/>
  <c r="CO36" i="1" s="1"/>
  <c r="CP25" i="1"/>
  <c r="CP26" i="1" l="1"/>
  <c r="CP37" i="1" s="1"/>
  <c r="CP36" i="1" s="1"/>
  <c r="CQ25" i="1"/>
  <c r="CQ26" i="1" l="1"/>
  <c r="CQ37" i="1" s="1"/>
  <c r="CQ36" i="1" s="1"/>
  <c r="CR25" i="1"/>
  <c r="CR26" i="1" l="1"/>
  <c r="CR37" i="1" s="1"/>
  <c r="CR36" i="1" s="1"/>
  <c r="CS25" i="1"/>
  <c r="CS26" i="1" l="1"/>
  <c r="CS37" i="1" s="1"/>
  <c r="CS36" i="1" s="1"/>
  <c r="CT25" i="1"/>
  <c r="CT26" i="1" l="1"/>
  <c r="CT37" i="1" s="1"/>
  <c r="CT36" i="1" s="1"/>
  <c r="CU25" i="1"/>
  <c r="CU26" i="1" l="1"/>
  <c r="CU37" i="1" s="1"/>
  <c r="CU36" i="1" s="1"/>
  <c r="CV25" i="1"/>
  <c r="CV26" i="1" l="1"/>
  <c r="CV37" i="1" s="1"/>
  <c r="CV36" i="1" s="1"/>
  <c r="CW25" i="1"/>
  <c r="CW26" i="1" l="1"/>
  <c r="CW37" i="1" s="1"/>
  <c r="CW36" i="1" s="1"/>
  <c r="CX25" i="1"/>
  <c r="CX26" i="1" l="1"/>
  <c r="CX37" i="1" s="1"/>
  <c r="CX36" i="1" s="1"/>
  <c r="CY25" i="1"/>
  <c r="CY26" i="1" l="1"/>
  <c r="CY37" i="1" s="1"/>
  <c r="CY36" i="1" s="1"/>
  <c r="CZ25" i="1"/>
  <c r="CZ26" i="1" l="1"/>
  <c r="CZ37" i="1" s="1"/>
  <c r="CZ36" i="1" s="1"/>
  <c r="DA25" i="1"/>
  <c r="DA26" i="1" l="1"/>
  <c r="DA37" i="1" s="1"/>
  <c r="DA36" i="1" s="1"/>
  <c r="DB25" i="1"/>
  <c r="DB26" i="1" l="1"/>
  <c r="DB37" i="1" s="1"/>
  <c r="DB36" i="1" s="1"/>
  <c r="DC25" i="1"/>
  <c r="DC26" i="1" l="1"/>
  <c r="DC37" i="1" s="1"/>
  <c r="DC36" i="1" s="1"/>
  <c r="DD25" i="1"/>
  <c r="DD26" i="1" l="1"/>
  <c r="DD37" i="1" s="1"/>
  <c r="DD36" i="1" s="1"/>
  <c r="DE25" i="1"/>
  <c r="DE26" i="1" l="1"/>
  <c r="DE37" i="1" s="1"/>
  <c r="DE36" i="1" s="1"/>
  <c r="DF25" i="1"/>
  <c r="DF26" i="1" l="1"/>
  <c r="DF37" i="1" s="1"/>
  <c r="DF36" i="1" s="1"/>
  <c r="DG25" i="1"/>
  <c r="DG26" i="1" l="1"/>
  <c r="DG37" i="1" s="1"/>
  <c r="DG36" i="1" s="1"/>
  <c r="DH25" i="1"/>
  <c r="DH26" i="1" l="1"/>
  <c r="DH37" i="1" s="1"/>
  <c r="DH36" i="1" s="1"/>
  <c r="DI25" i="1"/>
  <c r="DI26" i="1" l="1"/>
  <c r="DI37" i="1" s="1"/>
  <c r="DI36" i="1" s="1"/>
  <c r="DJ25" i="1"/>
  <c r="DJ26" i="1" l="1"/>
  <c r="DJ37" i="1" s="1"/>
  <c r="DJ36" i="1" s="1"/>
  <c r="DK25" i="1"/>
  <c r="DK26" i="1" l="1"/>
  <c r="DK37" i="1" s="1"/>
  <c r="DK36" i="1" s="1"/>
  <c r="DL25" i="1"/>
  <c r="DL26" i="1" l="1"/>
  <c r="DL37" i="1" s="1"/>
  <c r="DL36" i="1" s="1"/>
  <c r="DM25" i="1"/>
  <c r="DM26" i="1" l="1"/>
  <c r="DM37" i="1" s="1"/>
  <c r="DM36" i="1" s="1"/>
  <c r="DN25" i="1"/>
  <c r="DN26" i="1" l="1"/>
  <c r="DN37" i="1" s="1"/>
  <c r="DN36" i="1" s="1"/>
  <c r="DO25" i="1"/>
  <c r="DO26" i="1" l="1"/>
  <c r="DO37" i="1" s="1"/>
  <c r="DO36" i="1" s="1"/>
  <c r="DP25" i="1"/>
  <c r="DP26" i="1" l="1"/>
  <c r="DP37" i="1" s="1"/>
  <c r="DP36" i="1" s="1"/>
  <c r="DQ25" i="1"/>
  <c r="DQ26" i="1" l="1"/>
  <c r="DQ37" i="1" s="1"/>
  <c r="DQ36" i="1" s="1"/>
  <c r="DR25" i="1"/>
  <c r="DR26" i="1" l="1"/>
  <c r="DR37" i="1" s="1"/>
  <c r="DR36" i="1" s="1"/>
  <c r="DS25" i="1"/>
  <c r="DS26" i="1" l="1"/>
  <c r="DS37" i="1" s="1"/>
  <c r="DS36" i="1" s="1"/>
  <c r="DT25" i="1"/>
  <c r="DT26" i="1" l="1"/>
  <c r="DT37" i="1" s="1"/>
  <c r="DT36" i="1" s="1"/>
  <c r="DU25" i="1"/>
  <c r="DU26" i="1" l="1"/>
  <c r="DU37" i="1" s="1"/>
  <c r="DU36" i="1" s="1"/>
  <c r="DV25" i="1"/>
  <c r="DV26" i="1" l="1"/>
  <c r="C25" i="1"/>
  <c r="DV37" i="1" l="1"/>
  <c r="C26" i="1"/>
  <c r="DV36" i="1" l="1"/>
  <c r="C36" i="1" s="1"/>
  <c r="C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<sst xmlns="http://schemas.openxmlformats.org/spreadsheetml/2006/main" count="226" uniqueCount="85">
  <si>
    <t>PARTNERSHIP LEVEL RETURNS - EQUITY WATERFALL (IRR &amp; EQUITY MULTIPLE HURDLES)</t>
  </si>
  <si>
    <t>Promote Hurdle Method</t>
  </si>
  <si>
    <t>GP Catch Up</t>
  </si>
  <si>
    <t># of Tiers</t>
  </si>
  <si>
    <t>5-Tier</t>
  </si>
  <si>
    <t>Return of Capital</t>
  </si>
  <si>
    <t>Yes</t>
  </si>
  <si>
    <t>Equity Contributions</t>
  </si>
  <si>
    <t>%</t>
  </si>
  <si>
    <t>Amount</t>
  </si>
  <si>
    <t>General Partner (GP)</t>
  </si>
  <si>
    <t>Error Check:</t>
  </si>
  <si>
    <t>Limited Partner (LP)</t>
  </si>
  <si>
    <t>Profit Dist.:</t>
  </si>
  <si>
    <t>Total Equity</t>
  </si>
  <si>
    <t>Net BTCF:</t>
  </si>
  <si>
    <t>Hurdle Rate Method Used:</t>
  </si>
  <si>
    <t>Promote Structure Incentive Breakdown</t>
  </si>
  <si>
    <t>Distribution as %</t>
  </si>
  <si>
    <t>GP %</t>
  </si>
  <si>
    <t>LP %</t>
  </si>
  <si>
    <t>Notes</t>
  </si>
  <si>
    <t>Equity Multiple</t>
  </si>
  <si>
    <t>IRR</t>
  </si>
  <si>
    <t>GP Promote</t>
  </si>
  <si>
    <t>Tier 2 (Promote)</t>
  </si>
  <si>
    <t>Summary of Partnership-Level Returns</t>
  </si>
  <si>
    <t>Analysis Period</t>
  </si>
  <si>
    <t>Limited Partner (LP) Returns</t>
  </si>
  <si>
    <t/>
  </si>
  <si>
    <t>Check</t>
  </si>
  <si>
    <t>Preferred Return</t>
  </si>
  <si>
    <t>Excess Cash Flow</t>
  </si>
  <si>
    <t>Total LP Distributions</t>
  </si>
  <si>
    <t>Total LP Contributions</t>
  </si>
  <si>
    <t>Total LP Profit</t>
  </si>
  <si>
    <t>LP IRR</t>
  </si>
  <si>
    <t>LP Equity Multiple</t>
  </si>
  <si>
    <t>GP Returns</t>
  </si>
  <si>
    <t>Promote</t>
  </si>
  <si>
    <t>Total GP Distributions</t>
  </si>
  <si>
    <t>Total GP Fees</t>
  </si>
  <si>
    <t>Total GP Contributions</t>
  </si>
  <si>
    <t>Total GP Profit (Including Fees)</t>
  </si>
  <si>
    <t>GP IRR</t>
  </si>
  <si>
    <t>GP Equity Multiple</t>
  </si>
  <si>
    <t>Property-Level Cash and GP Fees</t>
  </si>
  <si>
    <t>Net Property-Level Cash Flow</t>
  </si>
  <si>
    <t>Asset Management Fees</t>
  </si>
  <si>
    <t>Acquisition/Disposition Fees</t>
  </si>
  <si>
    <t>Adjusted Net Property-Level Cash Flow</t>
  </si>
  <si>
    <t>Levered IRR</t>
  </si>
  <si>
    <t>PARTNERSHIP LEVEL RETURNS - IRR EQUITY WATERFALL</t>
  </si>
  <si>
    <t>Total GP Profit</t>
  </si>
  <si>
    <t>Month Ending</t>
  </si>
  <si>
    <t>Tier 1 - Preferred Return + Return of Capital</t>
  </si>
  <si>
    <t>Return Threshold - Up to:</t>
  </si>
  <si>
    <t>Beginning Balance (LP Capital Account)</t>
  </si>
  <si>
    <t>LP Return of Capital</t>
  </si>
  <si>
    <t>Req'd Return by LP to hit Hurdle 1</t>
  </si>
  <si>
    <t>Contributions from LP</t>
  </si>
  <si>
    <t>Distributions to LP (Hurdle 1)</t>
  </si>
  <si>
    <t>Ending Balance (LP Capital Account)</t>
  </si>
  <si>
    <t>Distribution to LP</t>
  </si>
  <si>
    <t>Beginning Balance (GP Capital Account)</t>
  </si>
  <si>
    <t>Req'd Return by GP (Pref)</t>
  </si>
  <si>
    <t>Contributions from GP</t>
  </si>
  <si>
    <t>Distribution to GP</t>
  </si>
  <si>
    <t>Ending Balance (GP Capital Account)</t>
  </si>
  <si>
    <t>Cash Flow Remaining</t>
  </si>
  <si>
    <t>Tier 2</t>
  </si>
  <si>
    <t>Req'd Return by LP to hit Hurdle 2</t>
  </si>
  <si>
    <t>Prior Distributions</t>
  </si>
  <si>
    <t>Tier 3</t>
  </si>
  <si>
    <t>Req'd Return by LP to hit Hurdle 3</t>
  </si>
  <si>
    <t>Tier 4</t>
  </si>
  <si>
    <t>Req'd Return by LP to hit Hurdle 4</t>
  </si>
  <si>
    <t>Tier 5</t>
  </si>
  <si>
    <t>Return Threshold - Greater than:</t>
  </si>
  <si>
    <t>PARTNERSHIP LEVEL RETURNS - EMx EQUITY WATERFALL</t>
  </si>
  <si>
    <t>2-Tier</t>
  </si>
  <si>
    <t>3-Tier</t>
  </si>
  <si>
    <t>4-Tier</t>
  </si>
  <si>
    <t>Total</t>
  </si>
  <si>
    <t>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</si>
</sst>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$&quot;#,##0_);[Red]\(&quot;$&quot;#,##0\)"/>
    <numFmt numFmtId="41" formatCode="_(* #,##0_);_(* \(#,##0\);_(* &quot;-&quot;_);_(@_)"/>
    <numFmt numFmtId="164" formatCode="&quot;v&quot;0.00"/>
    <numFmt numFmtId="165" formatCode="0.0%"/>
    <numFmt numFmtId="166" formatCode="0.000&quot;MM&quot;"/>
    <numFmt numFmtId="167" formatCode="&quot; Up to &quot;0.0%\ \I\R\R&quot; to LP&quot;"/>
    <numFmt numFmtId="168" formatCode="&quot;&gt;&quot;\ 0.00&quot;X EM to LP&quot;"/>
    <numFmt numFmtId="169" formatCode="&quot;&gt;&quot;\ 0.0%\ \I\R\R&quot; to LP&quot;"/>
    <numFmt numFmtId="170" formatCode="&quot; up to &quot;0.0%\ \I\R\R&quot; to LP&quot;"/>
    <numFmt numFmtId="171" formatCode="0\ &quot;months&quot;"/>
    <numFmt numFmtId="172" formatCode="&quot;Month&quot;\ 0"/>
    <numFmt numFmtId="173" formatCode="0.00&quot;x&quot;"/>
    <numFmt numFmtId="174" formatCode="[$-409]d\-mmm\-yy;@"/>
    <numFmt numFmtId="175" formatCode="0.00&quot;X&quot;"/>
    <numFmt numFmtId="176" formatCode="&quot;Year&quot;\ 0"/>
    <numFmt numFmtId="177" formatCode="&quot;IRR Error Check -&quot;\ 0.0%"/>
    <numFmt numFmtId="178" formatCode="&quot; Up to &quot;0.00\X&quot; EMx to LP&quot;"/>
  </numFmts>
  <fonts count="2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color indexed="12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u/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u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u val="singleAccounting"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2"/>
      <color rgb="FF0F172A"/>
      <name val="Helvetica Neue"/>
      <family val="2"/>
    </font>
    <font>
      <sz val="12"/>
      <color rgb="FF475569"/>
      <name val="Helvetica Neue"/>
      <family val="2"/>
    </font>
    <font>
      <sz val="12"/>
      <color rgb="FF0F172A"/>
      <name val="Helvetica Neue"/>
      <family val="2"/>
    </font>
    <font>
      <b/>
      <sz val="11"/>
      <color rgb="FF0432FF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54">
    <xf numFmtId="0" fontId="0" fillId="0" borderId="0" xfId="0"/>
    <xf numFmtId="0" fontId="2" fillId="2" borderId="0" xfId="1" applyFill="1"/>
    <xf numFmtId="0" fontId="2" fillId="2" borderId="0" xfId="1" applyFill="1" applyAlignment="1">
      <alignment horizontal="center"/>
    </xf>
    <xf numFmtId="0" fontId="2" fillId="0" borderId="0" xfId="1"/>
    <xf numFmtId="0" fontId="3" fillId="3" borderId="0" xfId="1" applyFont="1" applyFill="1"/>
    <xf numFmtId="0" fontId="4" fillId="3" borderId="0" xfId="1" applyFont="1" applyFill="1"/>
    <xf numFmtId="0" fontId="4" fillId="3" borderId="0" xfId="1" applyFont="1" applyFill="1" applyAlignment="1">
      <alignment horizontal="center"/>
    </xf>
    <xf numFmtId="164" fontId="4" fillId="0" borderId="0" xfId="1" applyNumberFormat="1" applyFont="1" applyAlignment="1">
      <alignment horizontal="right"/>
    </xf>
    <xf numFmtId="0" fontId="5" fillId="4" borderId="0" xfId="1" applyFont="1" applyFill="1"/>
    <xf numFmtId="0" fontId="4" fillId="4" borderId="0" xfId="1" applyFont="1" applyFill="1"/>
    <xf numFmtId="0" fontId="4" fillId="4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7" fillId="4" borderId="0" xfId="1" applyFont="1" applyFill="1" applyAlignment="1">
      <alignment horizontal="center"/>
    </xf>
    <xf numFmtId="0" fontId="8" fillId="0" borderId="0" xfId="1" applyFont="1" applyAlignment="1">
      <alignment horizontal="right"/>
    </xf>
    <xf numFmtId="0" fontId="6" fillId="0" borderId="0" xfId="1" applyFont="1" applyAlignment="1">
      <alignment horizontal="center"/>
    </xf>
    <xf numFmtId="0" fontId="2" fillId="4" borderId="0" xfId="1" applyFill="1"/>
    <xf numFmtId="0" fontId="2" fillId="0" borderId="0" xfId="1" applyAlignment="1">
      <alignment horizontal="right"/>
    </xf>
    <xf numFmtId="0" fontId="2" fillId="0" borderId="0" xfId="1" applyAlignment="1">
      <alignment horizontal="center"/>
    </xf>
    <xf numFmtId="0" fontId="2" fillId="4" borderId="0" xfId="1" applyFill="1" applyAlignment="1">
      <alignment horizontal="center"/>
    </xf>
    <xf numFmtId="0" fontId="1" fillId="5" borderId="0" xfId="1" applyFont="1" applyFill="1"/>
    <xf numFmtId="0" fontId="9" fillId="5" borderId="0" xfId="1" applyFont="1" applyFill="1" applyAlignment="1">
      <alignment horizontal="right"/>
    </xf>
    <xf numFmtId="0" fontId="1" fillId="0" borderId="0" xfId="1" applyFont="1" applyAlignment="1">
      <alignment horizontal="left"/>
    </xf>
    <xf numFmtId="165" fontId="6" fillId="0" borderId="0" xfId="1" applyNumberFormat="1" applyFont="1" applyAlignment="1" applyProtection="1">
      <alignment horizontal="right"/>
      <protection locked="0"/>
    </xf>
    <xf numFmtId="41" fontId="8" fillId="4" borderId="0" xfId="1" applyNumberFormat="1" applyFont="1" applyFill="1" applyAlignment="1">
      <alignment horizontal="right"/>
    </xf>
    <xf numFmtId="0" fontId="2" fillId="4" borderId="0" xfId="1" applyFill="1" applyAlignment="1">
      <alignment horizontal="left"/>
    </xf>
    <xf numFmtId="9" fontId="6" fillId="4" borderId="0" xfId="1" applyNumberFormat="1" applyFont="1" applyFill="1" applyAlignment="1">
      <alignment horizontal="center"/>
    </xf>
    <xf numFmtId="0" fontId="10" fillId="4" borderId="1" xfId="1" applyFont="1" applyFill="1" applyBorder="1" applyAlignment="1">
      <alignment horizontal="right" vertical="center"/>
    </xf>
    <xf numFmtId="0" fontId="11" fillId="4" borderId="2" xfId="1" applyFont="1" applyFill="1" applyBorder="1" applyAlignment="1">
      <alignment horizontal="left" vertical="center"/>
    </xf>
    <xf numFmtId="165" fontId="2" fillId="4" borderId="0" xfId="1" applyNumberFormat="1" applyFill="1" applyAlignment="1">
      <alignment horizontal="right"/>
    </xf>
    <xf numFmtId="41" fontId="12" fillId="4" borderId="0" xfId="1" applyNumberFormat="1" applyFont="1" applyFill="1" applyAlignment="1">
      <alignment horizontal="right"/>
    </xf>
    <xf numFmtId="0" fontId="10" fillId="4" borderId="3" xfId="1" applyFont="1" applyFill="1" applyBorder="1" applyAlignment="1">
      <alignment horizontal="right" vertical="center"/>
    </xf>
    <xf numFmtId="166" fontId="10" fillId="4" borderId="4" xfId="1" applyNumberFormat="1" applyFont="1" applyFill="1" applyBorder="1" applyAlignment="1">
      <alignment horizontal="left" vertical="center"/>
    </xf>
    <xf numFmtId="165" fontId="2" fillId="4" borderId="0" xfId="1" applyNumberFormat="1" applyFill="1" applyAlignment="1">
      <alignment horizontal="center"/>
    </xf>
    <xf numFmtId="0" fontId="10" fillId="4" borderId="5" xfId="1" applyFont="1" applyFill="1" applyBorder="1" applyAlignment="1">
      <alignment horizontal="right" vertical="center"/>
    </xf>
    <xf numFmtId="166" fontId="10" fillId="4" borderId="6" xfId="1" applyNumberFormat="1" applyFont="1" applyFill="1" applyBorder="1" applyAlignment="1">
      <alignment horizontal="left" vertical="center"/>
    </xf>
    <xf numFmtId="6" fontId="8" fillId="4" borderId="0" xfId="1" applyNumberFormat="1" applyFont="1" applyFill="1" applyAlignment="1">
      <alignment horizontal="right"/>
    </xf>
    <xf numFmtId="0" fontId="13" fillId="5" borderId="0" xfId="1" applyFont="1" applyFill="1" applyAlignment="1">
      <alignment horizontal="right"/>
    </xf>
    <xf numFmtId="0" fontId="13" fillId="5" borderId="0" xfId="1" applyFont="1" applyFill="1"/>
    <xf numFmtId="0" fontId="2" fillId="5" borderId="0" xfId="1" applyFill="1" applyAlignment="1">
      <alignment horizontal="right"/>
    </xf>
    <xf numFmtId="0" fontId="2" fillId="5" borderId="0" xfId="1" applyFill="1"/>
    <xf numFmtId="0" fontId="2" fillId="5" borderId="0" xfId="1" applyFill="1" applyAlignment="1">
      <alignment horizontal="center"/>
    </xf>
    <xf numFmtId="0" fontId="9" fillId="5" borderId="0" xfId="1" applyFont="1" applyFill="1" applyAlignment="1">
      <alignment horizontal="left"/>
    </xf>
    <xf numFmtId="0" fontId="14" fillId="4" borderId="0" xfId="1" applyFont="1" applyFill="1" applyAlignment="1">
      <alignment horizontal="center"/>
    </xf>
    <xf numFmtId="0" fontId="14" fillId="4" borderId="0" xfId="1" applyFont="1" applyFill="1" applyAlignment="1">
      <alignment horizontal="right"/>
    </xf>
    <xf numFmtId="167" fontId="8" fillId="4" borderId="0" xfId="1" applyNumberFormat="1" applyFont="1" applyFill="1" applyAlignment="1">
      <alignment horizontal="left"/>
    </xf>
    <xf numFmtId="165" fontId="15" fillId="4" borderId="0" xfId="1" applyNumberFormat="1" applyFont="1" applyFill="1" applyAlignment="1">
      <alignment horizontal="left"/>
    </xf>
    <xf numFmtId="165" fontId="15" fillId="4" borderId="0" xfId="1" applyNumberFormat="1" applyFont="1" applyFill="1" applyAlignment="1">
      <alignment horizontal="center"/>
    </xf>
    <xf numFmtId="165" fontId="6" fillId="0" borderId="0" xfId="1" applyNumberFormat="1" applyFont="1" applyAlignment="1">
      <alignment horizontal="center"/>
    </xf>
    <xf numFmtId="0" fontId="13" fillId="4" borderId="0" xfId="1" applyFont="1" applyFill="1" applyAlignment="1">
      <alignment horizontal="left"/>
    </xf>
    <xf numFmtId="168" fontId="6" fillId="0" borderId="0" xfId="1" applyNumberFormat="1" applyFont="1" applyAlignment="1">
      <alignment horizontal="right"/>
    </xf>
    <xf numFmtId="169" fontId="6" fillId="0" borderId="0" xfId="1" applyNumberFormat="1" applyFont="1" applyAlignment="1" applyProtection="1">
      <alignment horizontal="right"/>
      <protection locked="0"/>
    </xf>
    <xf numFmtId="170" fontId="8" fillId="4" borderId="0" xfId="1" applyNumberFormat="1" applyFont="1" applyFill="1" applyAlignment="1">
      <alignment horizontal="left"/>
    </xf>
    <xf numFmtId="165" fontId="8" fillId="0" borderId="0" xfId="1" applyNumberFormat="1" applyFont="1" applyAlignment="1">
      <alignment horizontal="center"/>
    </xf>
    <xf numFmtId="169" fontId="6" fillId="4" borderId="0" xfId="1" applyNumberFormat="1" applyFont="1" applyFill="1"/>
    <xf numFmtId="9" fontId="8" fillId="4" borderId="0" xfId="1" applyNumberFormat="1" applyFont="1" applyFill="1" applyAlignment="1">
      <alignment horizontal="center"/>
    </xf>
    <xf numFmtId="10" fontId="2" fillId="4" borderId="0" xfId="1" applyNumberFormat="1" applyFill="1" applyAlignment="1">
      <alignment horizontal="center"/>
    </xf>
    <xf numFmtId="169" fontId="16" fillId="5" borderId="0" xfId="1" applyNumberFormat="1" applyFont="1" applyFill="1" applyAlignment="1">
      <alignment horizontal="right"/>
    </xf>
    <xf numFmtId="171" fontId="17" fillId="5" borderId="0" xfId="1" applyNumberFormat="1" applyFont="1" applyFill="1" applyAlignment="1">
      <alignment horizontal="left"/>
    </xf>
    <xf numFmtId="172" fontId="2" fillId="5" borderId="0" xfId="1" applyNumberFormat="1" applyFill="1" applyAlignment="1">
      <alignment horizontal="right"/>
    </xf>
    <xf numFmtId="172" fontId="2" fillId="0" borderId="0" xfId="1" applyNumberFormat="1" applyAlignment="1">
      <alignment horizontal="right"/>
    </xf>
    <xf numFmtId="0" fontId="18" fillId="4" borderId="0" xfId="1" applyFont="1" applyFill="1" applyAlignment="1">
      <alignment horizontal="left"/>
    </xf>
    <xf numFmtId="169" fontId="6" fillId="4" borderId="0" xfId="1" quotePrefix="1" applyNumberFormat="1" applyFont="1" applyFill="1"/>
    <xf numFmtId="9" fontId="6" fillId="4" borderId="0" xfId="1" applyNumberFormat="1" applyFont="1" applyFill="1" applyAlignment="1">
      <alignment horizontal="right"/>
    </xf>
    <xf numFmtId="9" fontId="8" fillId="4" borderId="0" xfId="1" applyNumberFormat="1" applyFont="1" applyFill="1" applyAlignment="1">
      <alignment horizontal="right"/>
    </xf>
    <xf numFmtId="10" fontId="2" fillId="4" borderId="0" xfId="1" applyNumberFormat="1" applyFill="1" applyAlignment="1">
      <alignment horizontal="right"/>
    </xf>
    <xf numFmtId="0" fontId="2" fillId="4" borderId="0" xfId="1" applyFill="1" applyAlignment="1">
      <alignment horizontal="right"/>
    </xf>
    <xf numFmtId="0" fontId="2" fillId="4" borderId="0" xfId="1" applyFill="1" applyAlignment="1">
      <alignment horizontal="left" indent="1"/>
    </xf>
    <xf numFmtId="0" fontId="19" fillId="4" borderId="0" xfId="1" applyFont="1" applyFill="1" applyAlignment="1">
      <alignment horizontal="right"/>
    </xf>
    <xf numFmtId="41" fontId="8" fillId="4" borderId="0" xfId="1" applyNumberFormat="1" applyFont="1" applyFill="1"/>
    <xf numFmtId="41" fontId="8" fillId="0" borderId="0" xfId="1" applyNumberFormat="1" applyFont="1" applyAlignment="1">
      <alignment horizontal="right"/>
    </xf>
    <xf numFmtId="0" fontId="20" fillId="4" borderId="0" xfId="1" applyFont="1" applyFill="1" applyAlignment="1">
      <alignment horizontal="right"/>
    </xf>
    <xf numFmtId="41" fontId="21" fillId="4" borderId="0" xfId="1" applyNumberFormat="1" applyFont="1" applyFill="1"/>
    <xf numFmtId="41" fontId="21" fillId="4" borderId="0" xfId="1" applyNumberFormat="1" applyFont="1" applyFill="1" applyAlignment="1">
      <alignment horizontal="right"/>
    </xf>
    <xf numFmtId="41" fontId="21" fillId="0" borderId="0" xfId="1" applyNumberFormat="1" applyFont="1" applyAlignment="1">
      <alignment horizontal="right"/>
    </xf>
    <xf numFmtId="0" fontId="20" fillId="4" borderId="0" xfId="1" applyFont="1" applyFill="1"/>
    <xf numFmtId="41" fontId="6" fillId="4" borderId="0" xfId="1" applyNumberFormat="1" applyFont="1" applyFill="1" applyAlignment="1">
      <alignment horizontal="right"/>
    </xf>
    <xf numFmtId="41" fontId="2" fillId="4" borderId="0" xfId="1" applyNumberFormat="1" applyFill="1" applyAlignment="1">
      <alignment horizontal="right"/>
    </xf>
    <xf numFmtId="41" fontId="2" fillId="0" borderId="0" xfId="1" applyNumberFormat="1" applyAlignment="1">
      <alignment horizontal="right"/>
    </xf>
    <xf numFmtId="10" fontId="8" fillId="4" borderId="0" xfId="1" applyNumberFormat="1" applyFont="1" applyFill="1"/>
    <xf numFmtId="173" fontId="8" fillId="4" borderId="0" xfId="1" applyNumberFormat="1" applyFont="1" applyFill="1"/>
    <xf numFmtId="10" fontId="8" fillId="4" borderId="0" xfId="1" applyNumberFormat="1" applyFont="1" applyFill="1" applyAlignment="1">
      <alignment horizontal="right"/>
    </xf>
    <xf numFmtId="173" fontId="8" fillId="4" borderId="0" xfId="1" applyNumberFormat="1" applyFont="1" applyFill="1" applyAlignment="1">
      <alignment horizontal="right"/>
    </xf>
    <xf numFmtId="0" fontId="22" fillId="4" borderId="0" xfId="1" applyFont="1" applyFill="1" applyAlignment="1">
      <alignment horizontal="left" indent="1"/>
    </xf>
    <xf numFmtId="0" fontId="22" fillId="4" borderId="0" xfId="1" applyFont="1" applyFill="1"/>
    <xf numFmtId="6" fontId="22" fillId="4" borderId="0" xfId="1" applyNumberFormat="1" applyFont="1" applyFill="1"/>
    <xf numFmtId="0" fontId="8" fillId="2" borderId="0" xfId="1" applyFont="1" applyFill="1"/>
    <xf numFmtId="174" fontId="6" fillId="0" borderId="0" xfId="1" applyNumberFormat="1" applyFont="1" applyAlignment="1" applyProtection="1">
      <alignment horizontal="right"/>
      <protection locked="0"/>
    </xf>
    <xf numFmtId="174" fontId="2" fillId="4" borderId="0" xfId="1" applyNumberFormat="1" applyFill="1" applyAlignment="1">
      <alignment horizontal="right"/>
    </xf>
    <xf numFmtId="174" fontId="2" fillId="0" borderId="0" xfId="1" applyNumberFormat="1" applyAlignment="1">
      <alignment horizontal="right"/>
    </xf>
    <xf numFmtId="0" fontId="8" fillId="4" borderId="0" xfId="1" applyFont="1" applyFill="1"/>
    <xf numFmtId="3" fontId="2" fillId="4" borderId="0" xfId="1" applyNumberFormat="1" applyFill="1"/>
    <xf numFmtId="41" fontId="6" fillId="0" borderId="0" xfId="1" applyNumberFormat="1" applyFont="1" applyAlignment="1" applyProtection="1">
      <alignment horizontal="right"/>
      <protection locked="0"/>
    </xf>
    <xf numFmtId="0" fontId="6" fillId="0" borderId="0" xfId="1" applyFont="1" applyAlignment="1">
      <alignment horizontal="left" indent="1"/>
    </xf>
    <xf numFmtId="41" fontId="8" fillId="0" borderId="0" xfId="1" applyNumberFormat="1" applyFont="1" applyAlignment="1" applyProtection="1">
      <alignment horizontal="right"/>
      <protection locked="0"/>
    </xf>
    <xf numFmtId="175" fontId="2" fillId="4" borderId="0" xfId="1" applyNumberFormat="1" applyFill="1" applyAlignment="1">
      <alignment horizontal="right"/>
    </xf>
    <xf numFmtId="3" fontId="22" fillId="4" borderId="0" xfId="1" applyNumberFormat="1" applyFont="1" applyFill="1" applyAlignment="1">
      <alignment horizontal="right"/>
    </xf>
    <xf numFmtId="0" fontId="3" fillId="6" borderId="0" xfId="1" applyFont="1" applyFill="1"/>
    <xf numFmtId="0" fontId="4" fillId="6" borderId="0" xfId="1" applyFont="1" applyFill="1"/>
    <xf numFmtId="0" fontId="4" fillId="6" borderId="0" xfId="1" applyFont="1" applyFill="1" applyAlignment="1">
      <alignment horizontal="center"/>
    </xf>
    <xf numFmtId="0" fontId="2" fillId="7" borderId="0" xfId="1" applyFill="1"/>
    <xf numFmtId="0" fontId="2" fillId="7" borderId="0" xfId="1" applyFill="1" applyAlignment="1">
      <alignment horizontal="right"/>
    </xf>
    <xf numFmtId="0" fontId="2" fillId="7" borderId="0" xfId="1" applyFill="1" applyAlignment="1">
      <alignment horizontal="center"/>
    </xf>
    <xf numFmtId="0" fontId="10" fillId="4" borderId="0" xfId="1" applyFont="1" applyFill="1" applyAlignment="1">
      <alignment horizontal="right" vertical="center"/>
    </xf>
    <xf numFmtId="0" fontId="11" fillId="4" borderId="0" xfId="1" applyFont="1" applyFill="1" applyAlignment="1">
      <alignment horizontal="left" vertical="center"/>
    </xf>
    <xf numFmtId="0" fontId="1" fillId="7" borderId="0" xfId="1" applyFont="1" applyFill="1"/>
    <xf numFmtId="0" fontId="9" fillId="7" borderId="0" xfId="1" applyFont="1" applyFill="1" applyAlignment="1">
      <alignment horizontal="right"/>
    </xf>
    <xf numFmtId="0" fontId="9" fillId="7" borderId="0" xfId="1" applyFont="1" applyFill="1" applyAlignment="1">
      <alignment horizontal="left"/>
    </xf>
    <xf numFmtId="166" fontId="10" fillId="4" borderId="0" xfId="1" applyNumberFormat="1" applyFont="1" applyFill="1" applyAlignment="1">
      <alignment horizontal="left" vertical="center"/>
    </xf>
    <xf numFmtId="165" fontId="23" fillId="0" borderId="0" xfId="1" applyNumberFormat="1" applyFont="1" applyAlignment="1">
      <alignment horizontal="center"/>
    </xf>
    <xf numFmtId="169" fontId="23" fillId="0" borderId="0" xfId="1" applyNumberFormat="1" applyFont="1" applyAlignment="1" applyProtection="1">
      <alignment horizontal="right"/>
      <protection locked="0"/>
    </xf>
    <xf numFmtId="169" fontId="6" fillId="7" borderId="0" xfId="1" applyNumberFormat="1" applyFont="1" applyFill="1"/>
    <xf numFmtId="170" fontId="8" fillId="7" borderId="0" xfId="1" applyNumberFormat="1" applyFont="1" applyFill="1" applyAlignment="1">
      <alignment horizontal="left"/>
    </xf>
    <xf numFmtId="172" fontId="2" fillId="7" borderId="0" xfId="1" applyNumberFormat="1" applyFill="1" applyAlignment="1">
      <alignment horizontal="right"/>
    </xf>
    <xf numFmtId="176" fontId="2" fillId="7" borderId="0" xfId="1" applyNumberFormat="1" applyFill="1" applyAlignment="1">
      <alignment horizontal="right"/>
    </xf>
    <xf numFmtId="176" fontId="2" fillId="0" borderId="0" xfId="1" applyNumberFormat="1" applyAlignment="1">
      <alignment horizontal="right"/>
    </xf>
    <xf numFmtId="174" fontId="23" fillId="0" borderId="0" xfId="1" applyNumberFormat="1" applyFont="1" applyAlignment="1" applyProtection="1">
      <alignment horizontal="right"/>
      <protection locked="0"/>
    </xf>
    <xf numFmtId="174" fontId="23" fillId="4" borderId="0" xfId="1" applyNumberFormat="1" applyFont="1" applyFill="1" applyAlignment="1">
      <alignment horizontal="right"/>
    </xf>
    <xf numFmtId="174" fontId="23" fillId="0" borderId="0" xfId="1" applyNumberFormat="1" applyFont="1" applyAlignment="1">
      <alignment horizontal="right"/>
    </xf>
    <xf numFmtId="41" fontId="23" fillId="0" borderId="0" xfId="1" applyNumberFormat="1" applyFont="1" applyAlignment="1" applyProtection="1">
      <alignment horizontal="right"/>
      <protection locked="0"/>
    </xf>
    <xf numFmtId="0" fontId="23" fillId="0" borderId="0" xfId="1" applyFont="1" applyAlignment="1">
      <alignment horizontal="left" indent="1"/>
    </xf>
    <xf numFmtId="0" fontId="13" fillId="7" borderId="0" xfId="1" applyFont="1" applyFill="1" applyAlignment="1">
      <alignment horizontal="right"/>
    </xf>
    <xf numFmtId="165" fontId="13" fillId="7" borderId="0" xfId="1" applyNumberFormat="1" applyFont="1" applyFill="1" applyAlignment="1">
      <alignment horizontal="left"/>
    </xf>
    <xf numFmtId="41" fontId="24" fillId="4" borderId="0" xfId="1" applyNumberFormat="1" applyFont="1" applyFill="1" applyAlignment="1">
      <alignment horizontal="right"/>
    </xf>
    <xf numFmtId="4" fontId="2" fillId="4" borderId="0" xfId="1" applyNumberFormat="1" applyFill="1" applyAlignment="1">
      <alignment horizontal="left"/>
    </xf>
    <xf numFmtId="0" fontId="13" fillId="4" borderId="0" xfId="1" applyFont="1" applyFill="1" applyAlignment="1">
      <alignment horizontal="right"/>
    </xf>
    <xf numFmtId="165" fontId="13" fillId="4" borderId="0" xfId="1" applyNumberFormat="1" applyFont="1" applyFill="1" applyAlignment="1">
      <alignment horizontal="left"/>
    </xf>
    <xf numFmtId="176" fontId="2" fillId="4" borderId="0" xfId="1" applyNumberFormat="1" applyFill="1" applyAlignment="1">
      <alignment horizontal="right"/>
    </xf>
    <xf numFmtId="177" fontId="2" fillId="4" borderId="0" xfId="1" applyNumberFormat="1" applyFill="1" applyAlignment="1">
      <alignment horizontal="left"/>
    </xf>
    <xf numFmtId="41" fontId="4" fillId="4" borderId="0" xfId="1" applyNumberFormat="1" applyFont="1" applyFill="1" applyAlignment="1">
      <alignment horizontal="right"/>
    </xf>
    <xf numFmtId="41" fontId="4" fillId="0" borderId="0" xfId="1" applyNumberFormat="1" applyFont="1" applyAlignment="1">
      <alignment horizontal="right"/>
    </xf>
    <xf numFmtId="178" fontId="8" fillId="4" borderId="0" xfId="1" applyNumberFormat="1" applyFont="1" applyFill="1" applyAlignment="1">
      <alignment horizontal="left"/>
    </xf>
    <xf numFmtId="168" fontId="23" fillId="0" borderId="0" xfId="1" applyNumberFormat="1" applyFont="1" applyAlignment="1">
      <alignment horizontal="right"/>
    </xf>
    <xf numFmtId="0" fontId="23" fillId="4" borderId="0" xfId="1" applyFont="1" applyFill="1"/>
    <xf numFmtId="0" fontId="23" fillId="4" borderId="0" xfId="1" applyFont="1" applyFill="1" applyAlignment="1">
      <alignment horizontal="right"/>
    </xf>
    <xf numFmtId="3" fontId="23" fillId="4" borderId="0" xfId="1" applyNumberFormat="1" applyFont="1" applyFill="1"/>
    <xf numFmtId="175" fontId="13" fillId="7" borderId="0" xfId="1" applyNumberFormat="1" applyFont="1" applyFill="1" applyAlignment="1">
      <alignment horizontal="left"/>
    </xf>
    <xf numFmtId="175" fontId="24" fillId="0" borderId="0" xfId="1" applyNumberFormat="1" applyFont="1" applyAlignment="1">
      <alignment horizontal="right"/>
    </xf>
    <xf numFmtId="175" fontId="13" fillId="4" borderId="0" xfId="1" applyNumberFormat="1" applyFont="1" applyFill="1" applyAlignment="1">
      <alignment horizontal="left"/>
    </xf>
    <xf numFmtId="0" fontId="2" fillId="2" borderId="0" xfId="1" applyFill="1" applyAlignment="1">
      <alignment horizontal="right"/>
    </xf>
    <xf numFmtId="0" fontId="25" fillId="0" borderId="0" xfId="0" applyFont="1"/>
    <xf numFmtId="17" fontId="25" fillId="0" borderId="0" xfId="0" applyNumberFormat="1" applyFont="1"/>
    <xf numFmtId="6" fontId="25" fillId="0" borderId="0" xfId="0" applyNumberFormat="1" applyFont="1"/>
    <xf numFmtId="0" fontId="26" fillId="0" borderId="0" xfId="0" applyFont="1"/>
    <xf numFmtId="3" fontId="25" fillId="0" borderId="0" xfId="0" applyNumberFormat="1" applyFont="1"/>
    <xf numFmtId="10" fontId="25" fillId="0" borderId="0" xfId="0" applyNumberFormat="1" applyFont="1"/>
    <xf numFmtId="0" fontId="27" fillId="0" borderId="0" xfId="0" applyFont="1"/>
    <xf numFmtId="6" fontId="27" fillId="0" borderId="0" xfId="0" applyNumberFormat="1" applyFont="1"/>
    <xf numFmtId="41" fontId="28" fillId="0" borderId="0" xfId="1" applyNumberFormat="1" applyFont="1" applyAlignment="1">
      <alignment horizontal="right"/>
    </xf>
    <xf numFmtId="0" fontId="13" fillId="4" borderId="0" xfId="1" applyFont="1" applyFill="1" applyAlignment="1">
      <alignment horizontal="left"/>
    </xf>
    <xf numFmtId="0" fontId="9" fillId="7" borderId="0" xfId="1" applyFont="1" applyFill="1" applyAlignment="1">
      <alignment horizontal="center" wrapText="1"/>
    </xf>
    <xf numFmtId="0" fontId="14" fillId="7" borderId="0" xfId="1" applyFont="1" applyFill="1" applyAlignment="1">
      <alignment horizontal="center"/>
    </xf>
    <xf numFmtId="0" fontId="9" fillId="5" borderId="0" xfId="1" applyFont="1" applyFill="1" applyAlignment="1">
      <alignment horizontal="center" wrapText="1"/>
    </xf>
    <xf numFmtId="0" fontId="14" fillId="5" borderId="0" xfId="1" applyFont="1" applyFill="1" applyAlignment="1">
      <alignment horizontal="center"/>
    </xf>
  </cellXfs>
  <cellStyles count="2">
    <cellStyle name="Normal" xfId="0" builtinId="0"/>
    <cellStyle name="Normal 18" xfId="1" xr:uid="{5ABF1FB6-C326-CC4E-9617-DF2EEBB7B2A5}"/>
  </cellStyles>
  <dxfs count="6">
    <dxf>
      <font>
        <color theme="9" tint="-0.24994659260841701"/>
      </font>
    </dxf>
    <dxf>
      <font>
        <color theme="0"/>
      </font>
    </dxf>
    <dxf>
      <numFmt numFmtId="179" formatCode="&quot; up to &quot;0.00&quot;X EM to LP&quot;"/>
    </dxf>
    <dxf>
      <font>
        <color theme="0"/>
      </font>
    </dxf>
    <dxf>
      <font>
        <color theme="0"/>
      </font>
      <numFmt numFmtId="0" formatCode="General"/>
      <fill>
        <patternFill patternType="none">
          <bgColor auto="1"/>
        </patternFill>
      </fill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126</xdr:col>
      <xdr:colOff>67235</xdr:colOff>
      <xdr:row>45</xdr:row>
      <xdr:rowOff>168089</xdr:rowOff>
    </xdr:from>
    <xdr:to>
      <xdr:col>134</xdr:col>
      <xdr:colOff>168087</xdr:colOff>
      <xdr:row>47</xdr:row>
      <xdr:rowOff>33618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97573E1-4F99-634D-B545-439FD90AB580}"/>
            </a:ext>
          </a:extLst>
        </xdr:cNvPr>
        <xdr:cNvSpPr txBox="1"/>
      </xdr:nvSpPr>
      <xdr:spPr>
        <a:xfrm>
          <a:off x="112678135" y="8105589"/>
          <a:ext cx="5955552" cy="24652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Bring in your equity</a:t>
          </a:r>
          <a:r>
            <a:rPr lang="en-US" sz="1100" b="1" baseline="0"/>
            <a:t> cashflow here (Before tax cash flow, but after debt service.)</a:t>
          </a:r>
        </a:p>
        <a:p>
          <a:endParaRPr lang="en-US" sz="1100"/>
        </a:p>
      </xdr:txBody>
    </xdr:sp>
    <xdr:clientData fPrintsWithSheet="0"/>
  </xdr:twoCellAnchor>
  <xdr:twoCellAnchor>
    <xdr:from>
      <xdr:col>4</xdr:col>
      <xdr:colOff>67236</xdr:colOff>
      <xdr:row>8</xdr:row>
      <xdr:rowOff>1</xdr:rowOff>
    </xdr:from>
    <xdr:to>
      <xdr:col>8</xdr:col>
      <xdr:colOff>685238</xdr:colOff>
      <xdr:row>10</xdr:row>
      <xdr:rowOff>179294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542353-E350-9348-A39D-242D886CBDE3}"/>
            </a:ext>
          </a:extLst>
        </xdr:cNvPr>
        <xdr:cNvSpPr txBox="1"/>
      </xdr:nvSpPr>
      <xdr:spPr>
        <a:xfrm>
          <a:off x="4829736" y="1270001"/>
          <a:ext cx="5050302" cy="560293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Bring in equity contribution, by partner,</a:t>
          </a:r>
          <a:r>
            <a:rPr lang="en-US" sz="1100" b="1" baseline="0"/>
            <a:t> here.</a:t>
          </a:r>
          <a:endParaRPr lang="en-US" sz="1100" baseline="0"/>
        </a:p>
        <a:p>
          <a:endParaRPr lang="en-US" sz="1100"/>
        </a:p>
      </xdr:txBody>
    </xdr:sp>
    <xdr:clientData fPrintsWithSheet="0"/>
  </xdr:twoCellAnchor>
  <xdr:twoCellAnchor>
    <xdr:from>
      <xdr:col>9</xdr:col>
      <xdr:colOff>11207</xdr:colOff>
      <xdr:row>14</xdr:row>
      <xdr:rowOff>22410</xdr:rowOff>
    </xdr:from>
    <xdr:to>
      <xdr:col>15</xdr:col>
      <xdr:colOff>212912</xdr:colOff>
      <xdr:row>20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B8D6EDF-369B-4941-A4C1-5C3CC22D7DF4}"/>
            </a:ext>
          </a:extLst>
        </xdr:cNvPr>
        <xdr:cNvSpPr txBox="1"/>
      </xdr:nvSpPr>
      <xdr:spPr>
        <a:xfrm>
          <a:off x="10082307" y="2333810"/>
          <a:ext cx="5459505" cy="99359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Input</a:t>
          </a:r>
          <a:r>
            <a:rPr lang="en-US" sz="1100" b="1" baseline="0"/>
            <a:t> hurdle rates and partnership distribution/promote assumptions here.</a:t>
          </a:r>
        </a:p>
        <a:p>
          <a:endParaRPr lang="en-US" sz="1100"/>
        </a:p>
      </xdr:txBody>
    </xdr:sp>
    <xdr:clientData fPrintsWithSheet="0"/>
  </xdr:twoCellAnchor>
  <xdr:twoCellAnchor>
    <xdr:from>
      <xdr:col>4</xdr:col>
      <xdr:colOff>22411</xdr:colOff>
      <xdr:row>21</xdr:row>
      <xdr:rowOff>33618</xdr:rowOff>
    </xdr:from>
    <xdr:to>
      <xdr:col>4</xdr:col>
      <xdr:colOff>1333500</xdr:colOff>
      <xdr:row>43</xdr:row>
      <xdr:rowOff>55469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0471B2F-65F8-BD4F-BB8D-ED6A01FB1D3F}"/>
            </a:ext>
          </a:extLst>
        </xdr:cNvPr>
        <xdr:cNvSpPr txBox="1"/>
      </xdr:nvSpPr>
      <xdr:spPr>
        <a:xfrm>
          <a:off x="4784911" y="3564218"/>
          <a:ext cx="1311089" cy="4162051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Return results based</a:t>
          </a:r>
          <a:r>
            <a:rPr lang="en-US" sz="1100" b="1" baseline="0"/>
            <a:t> on assumed promote structure, equity contribution split, and equity cashflow stream.</a:t>
          </a:r>
        </a:p>
        <a:p>
          <a:r>
            <a:rPr lang="en-US" sz="1100" b="1" baseline="0"/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</a:t>
          </a:r>
          <a:endParaRPr lang="en-US" sz="1100" b="1" baseline="0"/>
        </a:p>
        <a:p>
          <a:endParaRPr lang="en-US" sz="1100"/>
        </a:p>
      </xdr:txBody>
    </xdr:sp>
    <xdr:clientData fPrintsWithSheet="0"/>
  </xdr:twoCellAnchor>
  <xdr:twoCellAnchor>
    <xdr:from>
      <xdr:col>5</xdr:col>
      <xdr:colOff>67235</xdr:colOff>
      <xdr:row>3</xdr:row>
      <xdr:rowOff>22412</xdr:rowOff>
    </xdr:from>
    <xdr:to>
      <xdr:col>12</xdr:col>
      <xdr:colOff>369795</xdr:colOff>
      <xdr:row>7</xdr:row>
      <xdr:rowOff>145676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65E7462-232F-A148-9C9F-D8599322E65F}"/>
            </a:ext>
          </a:extLst>
        </xdr:cNvPr>
        <xdr:cNvSpPr txBox="1"/>
      </xdr:nvSpPr>
      <xdr:spPr>
        <a:xfrm>
          <a:off x="6493435" y="403412"/>
          <a:ext cx="6576360" cy="79636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&lt;---- Select IRR or Equity Multiple hurdles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&lt;---- Select # of Tiers</a:t>
          </a:r>
          <a:endParaRPr lang="en-US" sz="1100" b="1"/>
        </a:p>
        <a:p>
          <a:r>
            <a:rPr lang="en-US" sz="1100" b="1" baseline="0"/>
            <a:t>&lt;---- If GP Dist. % Hurdle 1 &lt; GP Equity Contribution, enter whether GP to Catch Up with LP</a:t>
          </a:r>
          <a:endParaRPr lang="en-US" sz="1100" baseline="0"/>
        </a:p>
        <a:p>
          <a:endParaRPr lang="en-US" sz="1100"/>
        </a:p>
      </xdr:txBody>
    </xdr:sp>
    <xdr:clientData fPrintsWithSheet="0"/>
  </xdr:twoCellAnchor>
  <xdr:twoCellAnchor>
    <xdr:from>
      <xdr:col>3</xdr:col>
      <xdr:colOff>268940</xdr:colOff>
      <xdr:row>46</xdr:row>
      <xdr:rowOff>156881</xdr:rowOff>
    </xdr:from>
    <xdr:to>
      <xdr:col>4</xdr:col>
      <xdr:colOff>1355912</xdr:colOff>
      <xdr:row>49</xdr:row>
      <xdr:rowOff>78441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EF431FA-B7EB-3E44-81B0-67C7EA49DA13}"/>
            </a:ext>
          </a:extLst>
        </xdr:cNvPr>
        <xdr:cNvSpPr txBox="1"/>
      </xdr:nvSpPr>
      <xdr:spPr>
        <a:xfrm>
          <a:off x="3799540" y="8284881"/>
          <a:ext cx="2318872" cy="4930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n-US" sz="1100" b="1"/>
            <a:t>Add GP</a:t>
          </a:r>
          <a:r>
            <a:rPr lang="en-US" sz="1100" b="1" baseline="0"/>
            <a:t> fees ---&gt; </a:t>
          </a:r>
        </a:p>
        <a:p>
          <a:pPr algn="r"/>
          <a:r>
            <a:rPr lang="en-US" sz="1100" b="1" baseline="0"/>
            <a:t>(Enter as positive values)  </a:t>
          </a:r>
        </a:p>
        <a:p>
          <a:endParaRPr lang="en-US" sz="1100"/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scentbayholdings-my.sharepoint.com/personal/wolin_crescentbayholdings_com/Documents/5Models/2Excel/1Testing/Lotbank/Lotbank_2025.xlsm" TargetMode="External"/><Relationship Id="rId1" Type="http://schemas.openxmlformats.org/officeDocument/2006/relationships/externalLinkPath" Target="https://crescentbayholdings-my.sharepoint.com/personal/wolin_crescentbayholdings_com/Documents/5Models/2Excel/1Testing/Lotbank/Lotbank_202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scentbayholdings-my.sharepoint.com/personal/wolin_crescentbayholdings_com/Documents/5Models/2Excel/7Help/advcre/Real-Estate-Equity-Waterfall-Combined-v1.951.xlsx" TargetMode="External"/><Relationship Id="rId1" Type="http://schemas.openxmlformats.org/officeDocument/2006/relationships/externalLinkPath" Target="https://crescentbayholdings-my.sharepoint.com/personal/wolin_crescentbayholdings_com/Documents/5Models/2Excel/7Help/advcre/Real-Estate-Equity-Waterfall-Combined-v1.95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FR"/>
      <sheetName val="Assumptions"/>
      <sheetName val="Tables"/>
      <sheetName val="BorrowingBase"/>
      <sheetName val="CALCS"/>
      <sheetName val="ERRORS"/>
      <sheetName val="r.SourceUse"/>
      <sheetName val="r.Projects"/>
      <sheetName val="r.CFm"/>
      <sheetName val="r.CFA"/>
      <sheetName val="Partnership Returns - Monthly"/>
      <sheetName val="r.SeniorLoan"/>
      <sheetName val="r.Leverage"/>
    </sheetNames>
    <sheetDataSet>
      <sheetData sheetId="0">
        <row r="2">
          <cell r="B2" t="str">
            <v>2025-04-30</v>
          </cell>
        </row>
      </sheetData>
      <sheetData sheetId="1">
        <row r="12">
          <cell r="E12">
            <v>45809</v>
          </cell>
        </row>
      </sheetData>
      <sheetData sheetId="2">
        <row r="7">
          <cell r="C7">
            <v>1</v>
          </cell>
          <cell r="D7">
            <v>1</v>
          </cell>
          <cell r="E7">
            <v>1</v>
          </cell>
        </row>
        <row r="56">
          <cell r="H56">
            <v>31</v>
          </cell>
          <cell r="I56">
            <v>36</v>
          </cell>
          <cell r="J56">
            <v>36</v>
          </cell>
          <cell r="K56">
            <v>40</v>
          </cell>
          <cell r="L56">
            <v>39</v>
          </cell>
        </row>
      </sheetData>
      <sheetData sheetId="3"/>
      <sheetData sheetId="4">
        <row r="10">
          <cell r="AE10">
            <v>71485450</v>
          </cell>
        </row>
      </sheetData>
      <sheetData sheetId="5">
        <row r="10">
          <cell r="A10" t="str">
            <v>Assumptions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"/>
      <sheetName val="Partnership Returns - Annual"/>
      <sheetName val="Partnership Returns - Monthly"/>
    </sheetNames>
    <sheetDataSet>
      <sheetData sheetId="0"/>
      <sheetData sheetId="1">
        <row r="6">
          <cell r="A6" t="b">
            <v>0</v>
          </cell>
        </row>
        <row r="9">
          <cell r="C9">
            <v>0.05</v>
          </cell>
        </row>
        <row r="10">
          <cell r="C10">
            <v>0.95</v>
          </cell>
        </row>
        <row r="11">
          <cell r="D11">
            <v>12550082.606821099</v>
          </cell>
        </row>
        <row r="15">
          <cell r="E15">
            <v>0.1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0A2A2-9010-CD44-A3FB-59344D84E392}">
  <sheetPr>
    <tabColor theme="4" tint="0.79998168889431442"/>
    <pageSetUpPr fitToPage="1"/>
  </sheetPr>
  <dimension ref="A1:EG369"/>
  <sheetViews>
    <sheetView showGridLines="0" tabSelected="1" zoomScale="173" zoomScaleNormal="173" zoomScaleSheetLayoutView="85" workbookViewId="0">
      <selection activeCell="B21" sqref="B21:D270"/>
    </sheetView>
  </sheetViews>
  <sheetFormatPr baseColWidth="10" defaultColWidth="0" defaultRowHeight="15" customHeight="1" outlineLevelRow="1" x14ac:dyDescent="0.2"/>
  <cols>
    <col min="1" max="1" width="1.1640625" style="1" customWidth="1"/>
    <col min="2" max="2" width="29.6640625" style="1" customWidth="1"/>
    <col min="3" max="3" width="13.6640625" style="1" bestFit="1" customWidth="1"/>
    <col min="4" max="4" width="16.1640625" style="1" bestFit="1" customWidth="1"/>
    <col min="5" max="5" width="21.83203125" style="1" bestFit="1" customWidth="1"/>
    <col min="6" max="6" width="17.83203125" style="2" bestFit="1" customWidth="1"/>
    <col min="7" max="7" width="12.33203125" style="2" bestFit="1" customWidth="1"/>
    <col min="8" max="8" width="11.5" style="2" bestFit="1" customWidth="1"/>
    <col min="9" max="9" width="14.83203125" style="2" bestFit="1" customWidth="1"/>
    <col min="10" max="16" width="11.5" style="2" bestFit="1" customWidth="1"/>
    <col min="17" max="113" width="11.5" style="2" customWidth="1"/>
    <col min="114" max="114" width="11.5" style="1" bestFit="1" customWidth="1"/>
    <col min="115" max="125" width="11.5" style="1" customWidth="1"/>
    <col min="126" max="126" width="11.6640625" style="1" bestFit="1" customWidth="1"/>
    <col min="127" max="128" width="10.33203125" style="1" bestFit="1" customWidth="1"/>
    <col min="129" max="129" width="10.33203125" style="3" bestFit="1" customWidth="1"/>
    <col min="130" max="137" width="9.1640625" style="1" customWidth="1"/>
    <col min="138" max="16384" width="9.1640625" style="1" hidden="1"/>
  </cols>
  <sheetData>
    <row r="1" spans="1:129" ht="6.75" customHeight="1" x14ac:dyDescent="0.2"/>
    <row r="2" spans="1:129" ht="19" x14ac:dyDescent="0.25">
      <c r="B2" s="4" t="s">
        <v>0</v>
      </c>
      <c r="C2" s="5"/>
      <c r="D2" s="5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7"/>
    </row>
    <row r="3" spans="1:129" ht="5" customHeight="1" x14ac:dyDescent="0.2">
      <c r="B3" s="8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1"/>
    </row>
    <row r="4" spans="1:129" ht="16" x14ac:dyDescent="0.2">
      <c r="B4" s="8" t="s">
        <v>1</v>
      </c>
      <c r="C4" s="9"/>
      <c r="D4" s="12" t="s">
        <v>23</v>
      </c>
      <c r="E4" s="13" t="s">
        <v>2</v>
      </c>
      <c r="F4" s="11"/>
      <c r="G4" s="11"/>
      <c r="H4" s="11"/>
      <c r="I4" s="1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1"/>
    </row>
    <row r="5" spans="1:129" ht="16" x14ac:dyDescent="0.2">
      <c r="B5" s="8" t="s">
        <v>3</v>
      </c>
      <c r="C5" s="9"/>
      <c r="D5" s="12" t="s">
        <v>81</v>
      </c>
      <c r="E5" s="13"/>
      <c r="F5" s="11"/>
      <c r="G5" s="11"/>
      <c r="H5" s="11"/>
      <c r="I5" s="11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10"/>
      <c r="DR5" s="10"/>
      <c r="DS5" s="10"/>
      <c r="DT5" s="10"/>
      <c r="DU5" s="10"/>
      <c r="DV5" s="10"/>
      <c r="DW5" s="10"/>
      <c r="DX5" s="10"/>
      <c r="DY5" s="11"/>
    </row>
    <row r="6" spans="1:129" ht="16" x14ac:dyDescent="0.2">
      <c r="A6" s="1" t="b">
        <f>AND(E6="Yes", H15&lt;Equity_Share_GP)</f>
        <v>0</v>
      </c>
      <c r="B6" s="8" t="s">
        <v>5</v>
      </c>
      <c r="C6" s="9"/>
      <c r="D6" s="14" t="str">
        <f>IF(H15&lt;Equity_Share_GP,"LP 1st","Pari Passu")</f>
        <v>Pari Passu</v>
      </c>
      <c r="E6" s="15" t="s">
        <v>6</v>
      </c>
      <c r="F6" s="11"/>
      <c r="G6" s="11"/>
      <c r="H6" s="11"/>
      <c r="I6" s="11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10"/>
      <c r="DN6" s="10"/>
      <c r="DO6" s="10"/>
      <c r="DP6" s="10"/>
      <c r="DQ6" s="10"/>
      <c r="DR6" s="10"/>
      <c r="DS6" s="10"/>
      <c r="DT6" s="10"/>
      <c r="DU6" s="10"/>
      <c r="DV6" s="10"/>
      <c r="DW6" s="10"/>
      <c r="DX6" s="10"/>
      <c r="DY6" s="11"/>
    </row>
    <row r="7" spans="1:129" ht="5" customHeight="1" x14ac:dyDescent="0.2">
      <c r="B7" s="16"/>
      <c r="C7" s="16"/>
      <c r="D7" s="17"/>
      <c r="E7" s="3"/>
      <c r="F7" s="18"/>
      <c r="G7" s="18"/>
      <c r="H7" s="18"/>
      <c r="I7" s="18"/>
      <c r="J7" s="19"/>
      <c r="K7" s="19"/>
      <c r="L7" s="19"/>
      <c r="M7" s="10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6"/>
      <c r="DK7" s="16"/>
      <c r="DL7" s="16"/>
      <c r="DM7" s="16"/>
      <c r="DN7" s="16"/>
      <c r="DO7" s="16"/>
      <c r="DP7" s="16"/>
      <c r="DQ7" s="16"/>
      <c r="DR7" s="16"/>
      <c r="DS7" s="16"/>
      <c r="DT7" s="16"/>
      <c r="DU7" s="16"/>
      <c r="DV7" s="16"/>
      <c r="DW7" s="16"/>
      <c r="DX7" s="16"/>
    </row>
    <row r="8" spans="1:129" ht="17" thickBot="1" x14ac:dyDescent="0.25">
      <c r="B8" s="20" t="s">
        <v>7</v>
      </c>
      <c r="C8" s="21" t="s">
        <v>8</v>
      </c>
      <c r="D8" s="21" t="s">
        <v>9</v>
      </c>
      <c r="E8" s="3"/>
      <c r="F8" s="22"/>
      <c r="G8" s="18"/>
      <c r="H8" s="18"/>
      <c r="I8" s="18"/>
      <c r="J8" s="19"/>
      <c r="K8" s="19"/>
      <c r="L8" s="19"/>
      <c r="M8" s="1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6"/>
      <c r="DK8" s="16"/>
      <c r="DL8" s="16"/>
      <c r="DM8" s="16"/>
      <c r="DN8" s="16"/>
      <c r="DO8" s="16"/>
      <c r="DP8" s="16"/>
      <c r="DQ8" s="16"/>
      <c r="DR8" s="16"/>
      <c r="DS8" s="16"/>
      <c r="DT8" s="16"/>
      <c r="DU8" s="16"/>
      <c r="DV8" s="16"/>
      <c r="DW8" s="16"/>
      <c r="DX8" s="16"/>
    </row>
    <row r="9" spans="1:129" x14ac:dyDescent="0.2">
      <c r="B9" s="16" t="s">
        <v>10</v>
      </c>
      <c r="C9" s="23">
        <v>0.1</v>
      </c>
      <c r="D9" s="24">
        <f>Equity_Share_GP*Total_Equity</f>
        <v>13971642.4</v>
      </c>
      <c r="E9" s="16"/>
      <c r="F9" s="25"/>
      <c r="G9" s="26"/>
      <c r="H9" s="19"/>
      <c r="I9" s="19"/>
      <c r="J9" s="19"/>
      <c r="K9" s="27" t="s">
        <v>11</v>
      </c>
      <c r="L9" s="28" t="str">
        <f>IF(ROUND(L11,0)=ROUND(L10,0),"OK","Error")</f>
        <v>OK</v>
      </c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</row>
    <row r="10" spans="1:129" x14ac:dyDescent="0.2">
      <c r="B10" s="16" t="s">
        <v>12</v>
      </c>
      <c r="C10" s="29">
        <f>1-C9</f>
        <v>0.9</v>
      </c>
      <c r="D10" s="30">
        <f>Total_Equity*Equity_Share_LP</f>
        <v>125744781.60000001</v>
      </c>
      <c r="E10" s="16"/>
      <c r="F10" s="25"/>
      <c r="G10" s="26"/>
      <c r="H10" s="19"/>
      <c r="I10" s="19"/>
      <c r="J10" s="19"/>
      <c r="K10" s="31" t="s">
        <v>13</v>
      </c>
      <c r="L10" s="32">
        <f>(D29+D41)/1000000</f>
        <v>155.10234899999989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6"/>
      <c r="DK10" s="16"/>
      <c r="DL10" s="16"/>
      <c r="DM10" s="16"/>
      <c r="DN10" s="16"/>
      <c r="DO10" s="16"/>
      <c r="DP10" s="16"/>
      <c r="DQ10" s="16"/>
      <c r="DR10" s="16"/>
      <c r="DS10" s="16"/>
      <c r="DT10" s="16"/>
      <c r="DU10" s="16"/>
      <c r="DV10" s="16"/>
      <c r="DW10" s="16"/>
      <c r="DX10" s="16"/>
    </row>
    <row r="11" spans="1:129" ht="16" thickBot="1" x14ac:dyDescent="0.25">
      <c r="B11" s="16" t="s">
        <v>14</v>
      </c>
      <c r="C11" s="33"/>
      <c r="D11" s="24">
        <f>-SUMIF(F51:DY51,"&lt;0")</f>
        <v>139716424</v>
      </c>
      <c r="E11" s="16"/>
      <c r="F11" s="25"/>
      <c r="G11" s="26"/>
      <c r="H11" s="19"/>
      <c r="I11" s="19"/>
      <c r="J11" s="19"/>
      <c r="K11" s="34" t="s">
        <v>15</v>
      </c>
      <c r="L11" s="35">
        <f>SUM(F47:DY47)/1000000</f>
        <v>155.102349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6"/>
      <c r="DK11" s="16"/>
      <c r="DL11" s="16"/>
      <c r="DM11" s="16"/>
      <c r="DN11" s="16"/>
      <c r="DO11" s="16"/>
      <c r="DP11" s="16"/>
      <c r="DQ11" s="16"/>
      <c r="DR11" s="16"/>
      <c r="DS11" s="16"/>
      <c r="DT11" s="16"/>
      <c r="DU11" s="16"/>
      <c r="DV11" s="16"/>
      <c r="DW11" s="16"/>
      <c r="DX11" s="16"/>
    </row>
    <row r="12" spans="1:129" ht="5" customHeight="1" x14ac:dyDescent="0.2">
      <c r="B12" s="16"/>
      <c r="C12" s="33"/>
      <c r="D12" s="36"/>
      <c r="E12" s="16"/>
      <c r="F12" s="25"/>
      <c r="G12" s="26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6"/>
      <c r="DK12" s="16"/>
      <c r="DL12" s="16"/>
      <c r="DM12" s="16"/>
      <c r="DN12" s="16"/>
      <c r="DO12" s="16"/>
      <c r="DP12" s="16"/>
      <c r="DQ12" s="16"/>
      <c r="DR12" s="16"/>
      <c r="DS12" s="16"/>
      <c r="DT12" s="16"/>
      <c r="DU12" s="16"/>
      <c r="DV12" s="16"/>
      <c r="DW12" s="16"/>
      <c r="DX12" s="16"/>
    </row>
    <row r="13" spans="1:129" x14ac:dyDescent="0.2">
      <c r="B13" s="37" t="s">
        <v>16</v>
      </c>
      <c r="C13" s="38" t="str">
        <f>IF(D4="IRR","IRR",IF(D4="Equity Multiple","Equity Multiple",IF(D4&lt;&gt;"IRR + EMx","",IF(D71&gt;D179,"IRR","Equity Multiple"))))</f>
        <v>IRR</v>
      </c>
      <c r="D13" s="39"/>
      <c r="E13" s="40"/>
      <c r="F13" s="152" t="s">
        <v>17</v>
      </c>
      <c r="G13" s="152"/>
      <c r="H13" s="153" t="s">
        <v>18</v>
      </c>
      <c r="I13" s="153"/>
      <c r="J13" s="41"/>
      <c r="K13" s="41"/>
      <c r="L13" s="41"/>
      <c r="M13" s="41"/>
      <c r="N13" s="41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6"/>
      <c r="DK13" s="16"/>
      <c r="DL13" s="16"/>
      <c r="DM13" s="16"/>
      <c r="DN13" s="16"/>
      <c r="DO13" s="16"/>
      <c r="DP13" s="16"/>
      <c r="DQ13" s="16"/>
      <c r="DR13" s="16"/>
      <c r="DS13" s="16"/>
      <c r="DT13" s="16"/>
      <c r="DU13" s="16"/>
      <c r="DV13" s="16"/>
      <c r="DW13" s="16"/>
      <c r="DX13" s="16"/>
    </row>
    <row r="14" spans="1:129" ht="16" x14ac:dyDescent="0.2">
      <c r="B14" s="20" t="str">
        <f>IF(D4="Equity Multiple","Partnership Distribution Assumptions (Equity Multiple Hurdles)",IF(D4="IRR","Partnership Distribution Assumptions (IRR Hurdles)","Partnership Distribution Assumptions (Max of IRR or Emx Hurdles)"))</f>
        <v>Partnership Distribution Assumptions (IRR Hurdles)</v>
      </c>
      <c r="C14" s="40"/>
      <c r="D14" s="39"/>
      <c r="E14" s="40"/>
      <c r="F14" s="152"/>
      <c r="G14" s="152"/>
      <c r="H14" s="21" t="s">
        <v>19</v>
      </c>
      <c r="I14" s="42" t="s">
        <v>20</v>
      </c>
      <c r="J14" s="42" t="s">
        <v>21</v>
      </c>
      <c r="K14" s="41"/>
      <c r="L14" s="41"/>
      <c r="M14" s="41"/>
      <c r="N14" s="41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6"/>
      <c r="DK14" s="16"/>
      <c r="DL14" s="16"/>
      <c r="DM14" s="16"/>
      <c r="DN14" s="16"/>
      <c r="DO14" s="16"/>
      <c r="DP14" s="16"/>
      <c r="DQ14" s="16"/>
      <c r="DR14" s="16"/>
      <c r="DS14" s="16"/>
      <c r="DT14" s="16"/>
      <c r="DU14" s="16"/>
      <c r="DV14" s="16"/>
      <c r="DW14" s="16"/>
      <c r="DX14" s="16"/>
    </row>
    <row r="15" spans="1:129" x14ac:dyDescent="0.2">
      <c r="B15" s="16" t="s">
        <v>84</v>
      </c>
      <c r="C15" s="43" t="s">
        <v>22</v>
      </c>
      <c r="D15" s="44" t="s">
        <v>23</v>
      </c>
      <c r="E15" s="45">
        <f>IF($D$4="Equity Multiple",C16,D16)</f>
        <v>0.08</v>
      </c>
      <c r="F15" s="46" t="s">
        <v>24</v>
      </c>
      <c r="G15" s="47"/>
      <c r="H15" s="48">
        <f>Equity_Share_GP</f>
        <v>0.1</v>
      </c>
      <c r="I15" s="33">
        <f>1-H15</f>
        <v>0.9</v>
      </c>
      <c r="J15" s="149" t="str">
        <f>IF(I15=Equity_Share_LP,"Pref prorata to LP/GP, then Pro rata return of capital",IF(CU?,"Return of capital and Pref NOT pro rata + GP Catch Up","Return of capital and Pref NOT pro rata"))</f>
        <v>Pref prorata to LP/GP, then Pro rata return of capital</v>
      </c>
      <c r="K15" s="149"/>
      <c r="L15" s="149"/>
      <c r="M15" s="149"/>
      <c r="N15" s="14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6"/>
      <c r="DK15" s="16"/>
      <c r="DL15" s="16"/>
      <c r="DM15" s="16"/>
      <c r="DN15" s="16"/>
      <c r="DO15" s="16"/>
      <c r="DP15" s="16"/>
      <c r="DQ15" s="16"/>
      <c r="DR15" s="16"/>
      <c r="DS15" s="16"/>
      <c r="DT15" s="16"/>
      <c r="DU15" s="16"/>
      <c r="DV15" s="16"/>
      <c r="DW15" s="16"/>
      <c r="DX15" s="16"/>
    </row>
    <row r="16" spans="1:129" x14ac:dyDescent="0.2">
      <c r="B16" s="16" t="s">
        <v>25</v>
      </c>
      <c r="C16" s="50">
        <v>1</v>
      </c>
      <c r="D16" s="51">
        <v>0.08</v>
      </c>
      <c r="E16" s="52">
        <f>IF($D$4="Equity Multiple",IF(B277&lt;3,"",C17),IF(B277&lt;3,"",D17))</f>
        <v>0.15</v>
      </c>
      <c r="F16" s="48">
        <v>0.2</v>
      </c>
      <c r="G16" s="33"/>
      <c r="H16" s="53">
        <f>1-(Equity_Share_LP*(1-F16))</f>
        <v>0.27999999999999992</v>
      </c>
      <c r="I16" s="33">
        <f t="shared" ref="I16:I19" si="0">1-H16</f>
        <v>0.72000000000000008</v>
      </c>
      <c r="J16" s="149" t="str">
        <f>IF(Equity_Share_GP&lt;&gt;H15,TEXT(I15,"0.0%")&amp;"/"&amp;TEXT(H15,"0.0%")&amp;" to "&amp;(IF(D4="IRR",TEXT(E15,"0.0%"),TEXT(E15,"0.0X")))&amp;", then "&amp;TEXT(I16,"0.0%")&amp;"/"&amp;TEXT(H16,"0.0%")&amp;" to "&amp;(IF(D4="IRR",TEXT(E16,"0.0%"),TEXT(E16,"0.0X"))),"Prorata to LP/GP to "&amp;(IF(D4="IRR",TEXT(E15,"0.0%"),TEXT(E15,"0.0X")))&amp;", then "&amp;TEXT(I16,"0.0%")&amp;"/"&amp;TEXT(H16,"0.0%")&amp;" to "&amp;(IF(D4="IRR",TEXT(E16,"0.0%"),TEXT(E16,"0.0X"))))</f>
        <v>Prorata to LP/GP to 8.0%, then 72.0%/28.0% to 15.0%</v>
      </c>
      <c r="K16" s="149"/>
      <c r="L16" s="149"/>
      <c r="M16" s="149"/>
      <c r="N16" s="14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</row>
    <row r="17" spans="2:129" x14ac:dyDescent="0.2">
      <c r="B17" s="16" t="str">
        <f>IF(B277&lt;3,"NOT USED","Tier 3 (Promote)")</f>
        <v>Tier 3 (Promote)</v>
      </c>
      <c r="C17" s="50">
        <v>1.5</v>
      </c>
      <c r="D17" s="51">
        <v>0.15</v>
      </c>
      <c r="E17" s="52" t="str">
        <f>IF($D$4="Equity Multiple",IF(B277&lt;4,"",C18),IF(B277&lt;4,"",D18))</f>
        <v/>
      </c>
      <c r="F17" s="48">
        <v>0.5</v>
      </c>
      <c r="G17" s="33"/>
      <c r="H17" s="53">
        <f>1-(Equity_Share_LP*(1-F17))</f>
        <v>0.55000000000000004</v>
      </c>
      <c r="I17" s="33">
        <f t="shared" si="0"/>
        <v>0.44999999999999996</v>
      </c>
      <c r="J17" s="149" t="str">
        <f>TEXT(I16,"0.0%")&amp;"/"&amp;TEXT(H16,"0.0%")&amp;" to "&amp;(IF(D4="IRR",TEXT(E16,"0.0%"),TEXT(E16,"0.0X")))&amp;", then "&amp;TEXT(I17,"0.0%")&amp;"/"&amp;TEXT(H17,"0.0%")&amp;" to "&amp;(IF(D4="IRR",TEXT(E17,"0.0%"),TEXT(E17,"0.0X")))</f>
        <v xml:space="preserve">72.0%/28.0% to 15.0%, then 45.0%/55.0% to </v>
      </c>
      <c r="K17" s="149"/>
      <c r="L17" s="149"/>
      <c r="M17" s="149"/>
      <c r="N17" s="14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</row>
    <row r="18" spans="2:129" x14ac:dyDescent="0.2">
      <c r="B18" s="16" t="str">
        <f>IF(B277&lt;4,"NOT USED","Tier 4 (Promote)")</f>
        <v>NOT USED</v>
      </c>
      <c r="C18" s="50">
        <v>0</v>
      </c>
      <c r="D18" s="51">
        <v>0</v>
      </c>
      <c r="E18" s="52" t="str">
        <f>IF($D$4="Equity Multiple",IF(B277&lt;5,"",C19),IF(B277&lt;5,"",D19))</f>
        <v/>
      </c>
      <c r="F18" s="48">
        <v>0</v>
      </c>
      <c r="G18" s="33"/>
      <c r="H18" s="53">
        <f>1-(Equity_Share_LP*(1-F18))</f>
        <v>9.9999999999999978E-2</v>
      </c>
      <c r="I18" s="33">
        <f t="shared" si="0"/>
        <v>0.9</v>
      </c>
      <c r="J18" s="49" t="str">
        <f t="shared" ref="J18:J19" si="1">TEXT(I17,"0.0%")&amp;"/"&amp;TEXT(H17,"0.0%")&amp;" to "&amp;(IF(D6="IRR",TEXT(E17,"0.0%"),TEXT(E17,"0.0X")))&amp;", then "&amp;TEXT(I18,"0.0%")&amp;"/"&amp;TEXT(H18,"0.0%")&amp;" to "&amp;(IF(D6="IRR",TEXT(E18,"0.0%"),TEXT(E18,"0.0X")))</f>
        <v xml:space="preserve">45.0%/55.0% to , then 90.0%/10.0% to </v>
      </c>
      <c r="K18" s="49"/>
      <c r="L18" s="49"/>
      <c r="M18" s="49"/>
      <c r="N18" s="4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</row>
    <row r="19" spans="2:129" x14ac:dyDescent="0.2">
      <c r="B19" s="16" t="str">
        <f>IF(B277&lt;5,"NOT USED","Tier 5 (Promote)")</f>
        <v>NOT USED</v>
      </c>
      <c r="C19" s="50">
        <v>0</v>
      </c>
      <c r="D19" s="51">
        <v>0</v>
      </c>
      <c r="E19" s="52"/>
      <c r="F19" s="48">
        <v>0</v>
      </c>
      <c r="G19" s="33"/>
      <c r="H19" s="53">
        <f>1-(Equity_Share_LP*(1-F19))</f>
        <v>9.9999999999999978E-2</v>
      </c>
      <c r="I19" s="33">
        <f t="shared" si="0"/>
        <v>0.9</v>
      </c>
      <c r="J19" s="149" t="str">
        <f t="shared" si="1"/>
        <v>90.0%/10.0% to , then 90.0%/10.0% to 0.0X</v>
      </c>
      <c r="K19" s="149"/>
      <c r="L19" s="149"/>
      <c r="M19" s="149"/>
      <c r="N19" s="14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6"/>
      <c r="DK19" s="16"/>
      <c r="DL19" s="16"/>
      <c r="DM19" s="16"/>
      <c r="DN19" s="16"/>
      <c r="DO19" s="16"/>
      <c r="DP19" s="16"/>
      <c r="DQ19" s="16"/>
      <c r="DR19" s="16"/>
      <c r="DS19" s="16"/>
      <c r="DT19" s="16"/>
      <c r="DU19" s="16"/>
      <c r="DV19" s="16"/>
      <c r="DW19" s="16"/>
      <c r="DX19" s="16"/>
    </row>
    <row r="20" spans="2:129" ht="5" customHeight="1" x14ac:dyDescent="0.2">
      <c r="B20" s="16"/>
      <c r="C20" s="16"/>
      <c r="D20" s="54"/>
      <c r="E20" s="52"/>
      <c r="F20" s="26"/>
      <c r="G20" s="55"/>
      <c r="H20" s="56"/>
      <c r="I20" s="56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6"/>
      <c r="DK20" s="16"/>
      <c r="DL20" s="16"/>
      <c r="DM20" s="16"/>
      <c r="DN20" s="16"/>
      <c r="DO20" s="16"/>
      <c r="DP20" s="16"/>
      <c r="DQ20" s="16"/>
      <c r="DR20" s="16"/>
      <c r="DS20" s="16"/>
      <c r="DT20" s="16"/>
      <c r="DU20" s="16"/>
      <c r="DV20" s="16"/>
      <c r="DW20" s="16"/>
      <c r="DX20" s="16"/>
    </row>
    <row r="21" spans="2:129" ht="16" x14ac:dyDescent="0.2">
      <c r="B21" s="20" t="s">
        <v>26</v>
      </c>
      <c r="C21" s="40"/>
      <c r="D21" s="57" t="s">
        <v>27</v>
      </c>
      <c r="E21" s="58">
        <f>MAX(F21:DV21)</f>
        <v>95</v>
      </c>
      <c r="F21" s="59">
        <v>0</v>
      </c>
      <c r="G21" s="59">
        <f t="shared" ref="G21:BR21" si="2">IF(G47="","",F21+1)</f>
        <v>1</v>
      </c>
      <c r="H21" s="59">
        <f t="shared" si="2"/>
        <v>2</v>
      </c>
      <c r="I21" s="59">
        <f t="shared" si="2"/>
        <v>3</v>
      </c>
      <c r="J21" s="59">
        <f t="shared" si="2"/>
        <v>4</v>
      </c>
      <c r="K21" s="59">
        <f t="shared" si="2"/>
        <v>5</v>
      </c>
      <c r="L21" s="59">
        <f t="shared" si="2"/>
        <v>6</v>
      </c>
      <c r="M21" s="59">
        <f t="shared" si="2"/>
        <v>7</v>
      </c>
      <c r="N21" s="59">
        <f t="shared" si="2"/>
        <v>8</v>
      </c>
      <c r="O21" s="59">
        <f t="shared" si="2"/>
        <v>9</v>
      </c>
      <c r="P21" s="59">
        <f t="shared" si="2"/>
        <v>10</v>
      </c>
      <c r="Q21" s="59">
        <f t="shared" si="2"/>
        <v>11</v>
      </c>
      <c r="R21" s="59">
        <f t="shared" si="2"/>
        <v>12</v>
      </c>
      <c r="S21" s="59">
        <f t="shared" si="2"/>
        <v>13</v>
      </c>
      <c r="T21" s="59">
        <f t="shared" si="2"/>
        <v>14</v>
      </c>
      <c r="U21" s="59">
        <f t="shared" si="2"/>
        <v>15</v>
      </c>
      <c r="V21" s="59">
        <f t="shared" si="2"/>
        <v>16</v>
      </c>
      <c r="W21" s="59">
        <f t="shared" si="2"/>
        <v>17</v>
      </c>
      <c r="X21" s="59">
        <f t="shared" si="2"/>
        <v>18</v>
      </c>
      <c r="Y21" s="59">
        <f t="shared" si="2"/>
        <v>19</v>
      </c>
      <c r="Z21" s="59">
        <f t="shared" si="2"/>
        <v>20</v>
      </c>
      <c r="AA21" s="59">
        <f t="shared" si="2"/>
        <v>21</v>
      </c>
      <c r="AB21" s="59">
        <f t="shared" si="2"/>
        <v>22</v>
      </c>
      <c r="AC21" s="59">
        <f t="shared" si="2"/>
        <v>23</v>
      </c>
      <c r="AD21" s="59">
        <f t="shared" si="2"/>
        <v>24</v>
      </c>
      <c r="AE21" s="59">
        <f t="shared" si="2"/>
        <v>25</v>
      </c>
      <c r="AF21" s="59">
        <f t="shared" si="2"/>
        <v>26</v>
      </c>
      <c r="AG21" s="59">
        <f t="shared" si="2"/>
        <v>27</v>
      </c>
      <c r="AH21" s="59">
        <f t="shared" si="2"/>
        <v>28</v>
      </c>
      <c r="AI21" s="59">
        <f t="shared" si="2"/>
        <v>29</v>
      </c>
      <c r="AJ21" s="59">
        <f t="shared" si="2"/>
        <v>30</v>
      </c>
      <c r="AK21" s="59">
        <f t="shared" si="2"/>
        <v>31</v>
      </c>
      <c r="AL21" s="59">
        <f t="shared" si="2"/>
        <v>32</v>
      </c>
      <c r="AM21" s="59">
        <f t="shared" si="2"/>
        <v>33</v>
      </c>
      <c r="AN21" s="59">
        <f t="shared" si="2"/>
        <v>34</v>
      </c>
      <c r="AO21" s="59">
        <f t="shared" si="2"/>
        <v>35</v>
      </c>
      <c r="AP21" s="59">
        <f t="shared" si="2"/>
        <v>36</v>
      </c>
      <c r="AQ21" s="59">
        <f t="shared" si="2"/>
        <v>37</v>
      </c>
      <c r="AR21" s="59">
        <f t="shared" si="2"/>
        <v>38</v>
      </c>
      <c r="AS21" s="59">
        <f t="shared" si="2"/>
        <v>39</v>
      </c>
      <c r="AT21" s="59">
        <f t="shared" si="2"/>
        <v>40</v>
      </c>
      <c r="AU21" s="59">
        <f t="shared" si="2"/>
        <v>41</v>
      </c>
      <c r="AV21" s="59">
        <f t="shared" si="2"/>
        <v>42</v>
      </c>
      <c r="AW21" s="59">
        <f t="shared" si="2"/>
        <v>43</v>
      </c>
      <c r="AX21" s="59">
        <f t="shared" si="2"/>
        <v>44</v>
      </c>
      <c r="AY21" s="59">
        <f t="shared" si="2"/>
        <v>45</v>
      </c>
      <c r="AZ21" s="59">
        <f t="shared" si="2"/>
        <v>46</v>
      </c>
      <c r="BA21" s="59">
        <f t="shared" si="2"/>
        <v>47</v>
      </c>
      <c r="BB21" s="59">
        <f t="shared" si="2"/>
        <v>48</v>
      </c>
      <c r="BC21" s="59">
        <f t="shared" si="2"/>
        <v>49</v>
      </c>
      <c r="BD21" s="59">
        <f t="shared" si="2"/>
        <v>50</v>
      </c>
      <c r="BE21" s="59">
        <f t="shared" si="2"/>
        <v>51</v>
      </c>
      <c r="BF21" s="59">
        <f t="shared" si="2"/>
        <v>52</v>
      </c>
      <c r="BG21" s="59">
        <f t="shared" si="2"/>
        <v>53</v>
      </c>
      <c r="BH21" s="59">
        <f t="shared" si="2"/>
        <v>54</v>
      </c>
      <c r="BI21" s="59">
        <f t="shared" si="2"/>
        <v>55</v>
      </c>
      <c r="BJ21" s="59">
        <f t="shared" si="2"/>
        <v>56</v>
      </c>
      <c r="BK21" s="59">
        <f t="shared" si="2"/>
        <v>57</v>
      </c>
      <c r="BL21" s="59">
        <f t="shared" si="2"/>
        <v>58</v>
      </c>
      <c r="BM21" s="59">
        <f t="shared" si="2"/>
        <v>59</v>
      </c>
      <c r="BN21" s="59">
        <f t="shared" si="2"/>
        <v>60</v>
      </c>
      <c r="BO21" s="59">
        <f t="shared" si="2"/>
        <v>61</v>
      </c>
      <c r="BP21" s="59">
        <f t="shared" si="2"/>
        <v>62</v>
      </c>
      <c r="BQ21" s="59">
        <f t="shared" si="2"/>
        <v>63</v>
      </c>
      <c r="BR21" s="59">
        <f t="shared" si="2"/>
        <v>64</v>
      </c>
      <c r="BS21" s="59">
        <f t="shared" ref="BS21:DV21" si="3">IF(BS47="","",BR21+1)</f>
        <v>65</v>
      </c>
      <c r="BT21" s="59">
        <f t="shared" si="3"/>
        <v>66</v>
      </c>
      <c r="BU21" s="59">
        <f t="shared" si="3"/>
        <v>67</v>
      </c>
      <c r="BV21" s="59">
        <f t="shared" si="3"/>
        <v>68</v>
      </c>
      <c r="BW21" s="59">
        <f t="shared" si="3"/>
        <v>69</v>
      </c>
      <c r="BX21" s="59">
        <f t="shared" si="3"/>
        <v>70</v>
      </c>
      <c r="BY21" s="59">
        <f t="shared" si="3"/>
        <v>71</v>
      </c>
      <c r="BZ21" s="59">
        <f t="shared" si="3"/>
        <v>72</v>
      </c>
      <c r="CA21" s="59">
        <f t="shared" si="3"/>
        <v>73</v>
      </c>
      <c r="CB21" s="59">
        <f t="shared" si="3"/>
        <v>74</v>
      </c>
      <c r="CC21" s="59">
        <f t="shared" si="3"/>
        <v>75</v>
      </c>
      <c r="CD21" s="59">
        <f t="shared" si="3"/>
        <v>76</v>
      </c>
      <c r="CE21" s="59">
        <f t="shared" si="3"/>
        <v>77</v>
      </c>
      <c r="CF21" s="59">
        <f t="shared" si="3"/>
        <v>78</v>
      </c>
      <c r="CG21" s="59">
        <f t="shared" si="3"/>
        <v>79</v>
      </c>
      <c r="CH21" s="59">
        <f t="shared" si="3"/>
        <v>80</v>
      </c>
      <c r="CI21" s="59">
        <f t="shared" si="3"/>
        <v>81</v>
      </c>
      <c r="CJ21" s="59">
        <f t="shared" si="3"/>
        <v>82</v>
      </c>
      <c r="CK21" s="59">
        <f t="shared" si="3"/>
        <v>83</v>
      </c>
      <c r="CL21" s="59">
        <f t="shared" si="3"/>
        <v>84</v>
      </c>
      <c r="CM21" s="59">
        <f t="shared" si="3"/>
        <v>85</v>
      </c>
      <c r="CN21" s="59">
        <f t="shared" si="3"/>
        <v>86</v>
      </c>
      <c r="CO21" s="59">
        <f t="shared" si="3"/>
        <v>87</v>
      </c>
      <c r="CP21" s="59">
        <f t="shared" si="3"/>
        <v>88</v>
      </c>
      <c r="CQ21" s="59">
        <f t="shared" si="3"/>
        <v>89</v>
      </c>
      <c r="CR21" s="59">
        <f t="shared" si="3"/>
        <v>90</v>
      </c>
      <c r="CS21" s="59">
        <f t="shared" si="3"/>
        <v>91</v>
      </c>
      <c r="CT21" s="59">
        <f t="shared" si="3"/>
        <v>92</v>
      </c>
      <c r="CU21" s="59">
        <f t="shared" si="3"/>
        <v>93</v>
      </c>
      <c r="CV21" s="59">
        <f t="shared" si="3"/>
        <v>94</v>
      </c>
      <c r="CW21" s="59">
        <f t="shared" si="3"/>
        <v>95</v>
      </c>
      <c r="CX21" s="59" t="str">
        <f t="shared" si="3"/>
        <v/>
      </c>
      <c r="CY21" s="59" t="str">
        <f t="shared" si="3"/>
        <v/>
      </c>
      <c r="CZ21" s="59" t="str">
        <f t="shared" si="3"/>
        <v/>
      </c>
      <c r="DA21" s="59" t="str">
        <f t="shared" si="3"/>
        <v/>
      </c>
      <c r="DB21" s="59" t="str">
        <f t="shared" si="3"/>
        <v/>
      </c>
      <c r="DC21" s="59" t="str">
        <f t="shared" si="3"/>
        <v/>
      </c>
      <c r="DD21" s="59" t="str">
        <f t="shared" si="3"/>
        <v/>
      </c>
      <c r="DE21" s="59" t="str">
        <f t="shared" si="3"/>
        <v/>
      </c>
      <c r="DF21" s="59" t="str">
        <f t="shared" si="3"/>
        <v/>
      </c>
      <c r="DG21" s="59" t="str">
        <f t="shared" si="3"/>
        <v/>
      </c>
      <c r="DH21" s="59" t="str">
        <f t="shared" si="3"/>
        <v/>
      </c>
      <c r="DI21" s="59" t="str">
        <f t="shared" si="3"/>
        <v/>
      </c>
      <c r="DJ21" s="59" t="str">
        <f t="shared" si="3"/>
        <v/>
      </c>
      <c r="DK21" s="59" t="str">
        <f t="shared" si="3"/>
        <v/>
      </c>
      <c r="DL21" s="59" t="str">
        <f t="shared" si="3"/>
        <v/>
      </c>
      <c r="DM21" s="59" t="str">
        <f t="shared" si="3"/>
        <v/>
      </c>
      <c r="DN21" s="59" t="str">
        <f t="shared" si="3"/>
        <v/>
      </c>
      <c r="DO21" s="59" t="str">
        <f t="shared" si="3"/>
        <v/>
      </c>
      <c r="DP21" s="59" t="str">
        <f t="shared" si="3"/>
        <v/>
      </c>
      <c r="DQ21" s="59" t="str">
        <f t="shared" si="3"/>
        <v/>
      </c>
      <c r="DR21" s="59" t="str">
        <f t="shared" si="3"/>
        <v/>
      </c>
      <c r="DS21" s="59" t="str">
        <f t="shared" si="3"/>
        <v/>
      </c>
      <c r="DT21" s="59" t="str">
        <f t="shared" si="3"/>
        <v/>
      </c>
      <c r="DU21" s="59" t="str">
        <f t="shared" si="3"/>
        <v/>
      </c>
      <c r="DV21" s="59" t="str">
        <f t="shared" si="3"/>
        <v/>
      </c>
      <c r="DW21" s="59"/>
      <c r="DX21" s="59"/>
      <c r="DY21" s="60"/>
    </row>
    <row r="22" spans="2:129" x14ac:dyDescent="0.2">
      <c r="B22" s="61" t="s">
        <v>28</v>
      </c>
      <c r="C22" s="16"/>
      <c r="D22" s="62" t="s">
        <v>29</v>
      </c>
      <c r="E22" s="52"/>
      <c r="F22" s="63"/>
      <c r="G22" s="64"/>
      <c r="H22" s="65"/>
      <c r="I22" s="65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/>
      <c r="BJ22" s="66"/>
      <c r="BK22" s="66"/>
      <c r="BL22" s="66"/>
      <c r="BM22" s="66"/>
      <c r="BN22" s="66"/>
      <c r="BO22" s="66"/>
      <c r="BP22" s="66"/>
      <c r="BQ22" s="66"/>
      <c r="BR22" s="66"/>
      <c r="BS22" s="66"/>
      <c r="BT22" s="66"/>
      <c r="BU22" s="66"/>
      <c r="BV22" s="66"/>
      <c r="BW22" s="66"/>
      <c r="BX22" s="66"/>
      <c r="BY22" s="66"/>
      <c r="BZ22" s="66"/>
      <c r="CA22" s="66"/>
      <c r="CB22" s="66"/>
      <c r="CC22" s="66"/>
      <c r="CD22" s="66"/>
      <c r="CE22" s="66"/>
      <c r="CF22" s="66"/>
      <c r="CG22" s="66"/>
      <c r="CH22" s="66"/>
      <c r="CI22" s="66"/>
      <c r="CJ22" s="66"/>
      <c r="CK22" s="66"/>
      <c r="CL22" s="66"/>
      <c r="CM22" s="66"/>
      <c r="CN22" s="66"/>
      <c r="CO22" s="66"/>
      <c r="CP22" s="66"/>
      <c r="CQ22" s="66"/>
      <c r="CR22" s="66"/>
      <c r="CS22" s="66"/>
      <c r="CT22" s="66"/>
      <c r="CU22" s="66"/>
      <c r="CV22" s="66"/>
      <c r="CW22" s="66"/>
      <c r="CX22" s="66"/>
      <c r="CY22" s="66"/>
      <c r="CZ22" s="66"/>
      <c r="DA22" s="66"/>
      <c r="DB22" s="66"/>
      <c r="DC22" s="66"/>
      <c r="DD22" s="66"/>
      <c r="DE22" s="66"/>
      <c r="DF22" s="66"/>
      <c r="DG22" s="66"/>
      <c r="DH22" s="66"/>
      <c r="DI22" s="66"/>
      <c r="DJ22" s="66"/>
      <c r="DK22" s="66"/>
      <c r="DL22" s="66"/>
      <c r="DM22" s="66"/>
      <c r="DN22" s="66"/>
      <c r="DO22" s="66"/>
      <c r="DP22" s="66"/>
      <c r="DQ22" s="66"/>
      <c r="DR22" s="66"/>
      <c r="DS22" s="66"/>
      <c r="DT22" s="66"/>
      <c r="DU22" s="66"/>
      <c r="DV22" s="66"/>
      <c r="DW22" s="66"/>
      <c r="DX22" s="66"/>
      <c r="DY22" s="17"/>
    </row>
    <row r="23" spans="2:129" x14ac:dyDescent="0.2">
      <c r="B23" s="67"/>
      <c r="C23" s="68" t="s">
        <v>30</v>
      </c>
      <c r="D23" s="69"/>
      <c r="E23" s="52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4"/>
      <c r="DV23" s="24"/>
      <c r="DW23" s="24"/>
      <c r="DX23" s="24"/>
      <c r="DY23" s="70"/>
    </row>
    <row r="24" spans="2:129" x14ac:dyDescent="0.2">
      <c r="B24" s="67" t="s">
        <v>31</v>
      </c>
      <c r="C24" s="71" t="str">
        <f>IF(ROUND(D24,0)=ROUND(SUM(F24:DY24),0),"OK","ERROR")</f>
        <v>OK</v>
      </c>
      <c r="D24" s="69">
        <f>(C13="IRR")*(SUM(F97:DY97)-D25)+(C13="Equity Multiple")*(SUM(F205:DY205)-D25)</f>
        <v>30243875.293580174</v>
      </c>
      <c r="E24" s="52"/>
      <c r="F24" s="24">
        <f>IF(F21="","",MIN($D24-SUM($E24:E24),F27))</f>
        <v>0</v>
      </c>
      <c r="G24" s="24">
        <f>IF(G21="","",MIN($D24-SUM($E24:F24),G27))</f>
        <v>0</v>
      </c>
      <c r="H24" s="24">
        <f>IF(H21="","",MIN($D24-SUM($E24:G24),H27))</f>
        <v>0</v>
      </c>
      <c r="I24" s="24">
        <f>IF(I21="","",MIN($D24-SUM($E24:H24),I27))</f>
        <v>0</v>
      </c>
      <c r="J24" s="24">
        <f>IF(J21="","",MIN($D24-SUM($E24:I24),J27))</f>
        <v>0</v>
      </c>
      <c r="K24" s="24">
        <f>IF(K21="","",MIN($D24-SUM($E24:J24),K27))</f>
        <v>0</v>
      </c>
      <c r="L24" s="24">
        <f>IF(L21="","",MIN($D24-SUM($E24:K24),L27))</f>
        <v>0</v>
      </c>
      <c r="M24" s="24">
        <f>IF(M21="","",MIN($D24-SUM($E24:L24),M27))</f>
        <v>0</v>
      </c>
      <c r="N24" s="24">
        <f>IF(N21="","",MIN($D24-SUM($E24:M24),N27))</f>
        <v>0</v>
      </c>
      <c r="O24" s="24">
        <f>IF(O21="","",MIN($D24-SUM($E24:N24),O27))</f>
        <v>0</v>
      </c>
      <c r="P24" s="24">
        <f>IF(P21="","",MIN($D24-SUM($E24:O24),P27))</f>
        <v>0</v>
      </c>
      <c r="Q24" s="24">
        <f>IF(Q21="","",MIN($D24-SUM($E24:P24),Q27))</f>
        <v>0</v>
      </c>
      <c r="R24" s="24">
        <f>IF(R21="","",MIN($D24-SUM($E24:Q24),R27))</f>
        <v>0</v>
      </c>
      <c r="S24" s="24">
        <f>IF(S21="","",MIN($D24-SUM($E24:R24),S27))</f>
        <v>0</v>
      </c>
      <c r="T24" s="24">
        <f>IF(T21="","",MIN($D24-SUM($E24:S24),T27))</f>
        <v>0</v>
      </c>
      <c r="U24" s="24">
        <f>IF(U21="","",MIN($D24-SUM($E24:T24),U27))</f>
        <v>0</v>
      </c>
      <c r="V24" s="24">
        <f>IF(V21="","",MIN($D24-SUM($E24:U24),V27))</f>
        <v>0</v>
      </c>
      <c r="W24" s="24">
        <f>IF(W21="","",MIN($D24-SUM($E24:V24),W27))</f>
        <v>0</v>
      </c>
      <c r="X24" s="24">
        <f>IF(X21="","",MIN($D24-SUM($E24:W24),X27))</f>
        <v>0</v>
      </c>
      <c r="Y24" s="24">
        <f>IF(Y21="","",MIN($D24-SUM($E24:X24),Y27))</f>
        <v>0</v>
      </c>
      <c r="Z24" s="24">
        <f>IF(Z21="","",MIN($D24-SUM($E24:Y24),Z27))</f>
        <v>0</v>
      </c>
      <c r="AA24" s="24">
        <f>IF(AA21="","",MIN($D24-SUM($E24:Z24),AA27))</f>
        <v>0</v>
      </c>
      <c r="AB24" s="24">
        <f>IF(AB21="","",MIN($D24-SUM($E24:AA24),AB27))</f>
        <v>0</v>
      </c>
      <c r="AC24" s="24">
        <f>IF(AC21="","",MIN($D24-SUM($E24:AB24),AC27))</f>
        <v>0</v>
      </c>
      <c r="AD24" s="24">
        <f>IF(AD21="","",MIN($D24-SUM($E24:AC24),AD27))</f>
        <v>0</v>
      </c>
      <c r="AE24" s="24">
        <f>IF(AE21="","",MIN($D24-SUM($E24:AD24),AE27))</f>
        <v>25591908.600000001</v>
      </c>
      <c r="AF24" s="24">
        <f>IF(AF21="","",MIN($D24-SUM($E24:AE24),AF27))</f>
        <v>0</v>
      </c>
      <c r="AG24" s="24">
        <f>IF(AG21="","",MIN($D24-SUM($E24:AF24),AG27))</f>
        <v>0</v>
      </c>
      <c r="AH24" s="24">
        <f>IF(AH21="","",MIN($D24-SUM($E24:AG24),AH27))</f>
        <v>0</v>
      </c>
      <c r="AI24" s="24">
        <f>IF(AI21="","",MIN($D24-SUM($E24:AH24),AI27))</f>
        <v>0</v>
      </c>
      <c r="AJ24" s="24">
        <f>IF(AJ21="","",MIN($D24-SUM($E24:AI24),AJ27))</f>
        <v>0</v>
      </c>
      <c r="AK24" s="24">
        <f>IF(AK21="","",MIN($D24-SUM($E24:AJ24),AK27))</f>
        <v>0</v>
      </c>
      <c r="AL24" s="24">
        <f>IF(AL21="","",MIN($D24-SUM($E24:AK24),AL27))</f>
        <v>0</v>
      </c>
      <c r="AM24" s="24">
        <f>IF(AM21="","",MIN($D24-SUM($E24:AL24),AM27))</f>
        <v>0</v>
      </c>
      <c r="AN24" s="24">
        <f>IF(AN21="","",MIN($D24-SUM($E24:AM24),AN27))</f>
        <v>0</v>
      </c>
      <c r="AO24" s="24">
        <f>IF(AO21="","",MIN($D24-SUM($E24:AN24),AO27))</f>
        <v>0</v>
      </c>
      <c r="AP24" s="24">
        <f>IF(AP21="","",MIN($D24-SUM($E24:AO24),AP27))</f>
        <v>0</v>
      </c>
      <c r="AQ24" s="24">
        <f>IF(AQ21="","",MIN($D24-SUM($E24:AP24),AQ27))</f>
        <v>0</v>
      </c>
      <c r="AR24" s="24">
        <f>IF(AR21="","",MIN($D24-SUM($E24:AQ24),AR27))</f>
        <v>0</v>
      </c>
      <c r="AS24" s="24">
        <f>IF(AS21="","",MIN($D24-SUM($E24:AR24),AS27))</f>
        <v>0</v>
      </c>
      <c r="AT24" s="24">
        <f>IF(AT21="","",MIN($D24-SUM($E24:AS24),AT27))</f>
        <v>0</v>
      </c>
      <c r="AU24" s="24">
        <f>IF(AU21="","",MIN($D24-SUM($E24:AT24),AU27))</f>
        <v>4651966.693580173</v>
      </c>
      <c r="AV24" s="24">
        <f>IF(AV21="","",MIN($D24-SUM($E24:AU24),AV27))</f>
        <v>0</v>
      </c>
      <c r="AW24" s="24">
        <f>IF(AW21="","",MIN($D24-SUM($E24:AV24),AW27))</f>
        <v>0</v>
      </c>
      <c r="AX24" s="24">
        <f>IF(AX21="","",MIN($D24-SUM($E24:AW24),AX27))</f>
        <v>0</v>
      </c>
      <c r="AY24" s="24">
        <f>IF(AY21="","",MIN($D24-SUM($E24:AX24),AY27))</f>
        <v>0</v>
      </c>
      <c r="AZ24" s="24">
        <f>IF(AZ21="","",MIN($D24-SUM($E24:AY24),AZ27))</f>
        <v>0</v>
      </c>
      <c r="BA24" s="24">
        <f>IF(BA21="","",MIN($D24-SUM($E24:AZ24),BA27))</f>
        <v>0</v>
      </c>
      <c r="BB24" s="24">
        <f>IF(BB21="","",MIN($D24-SUM($E24:BA24),BB27))</f>
        <v>0</v>
      </c>
      <c r="BC24" s="24">
        <f>IF(BC21="","",MIN($D24-SUM($E24:BB24),BC27))</f>
        <v>0</v>
      </c>
      <c r="BD24" s="24">
        <f>IF(BD21="","",MIN($D24-SUM($E24:BC24),BD27))</f>
        <v>0</v>
      </c>
      <c r="BE24" s="24">
        <f>IF(BE21="","",MIN($D24-SUM($E24:BD24),BE27))</f>
        <v>0</v>
      </c>
      <c r="BF24" s="24">
        <f>IF(BF21="","",MIN($D24-SUM($E24:BE24),BF27))</f>
        <v>0</v>
      </c>
      <c r="BG24" s="24">
        <f>IF(BG21="","",MIN($D24-SUM($E24:BF24),BG27))</f>
        <v>0</v>
      </c>
      <c r="BH24" s="24">
        <f>IF(BH21="","",MIN($D24-SUM($E24:BG24),BH27))</f>
        <v>0</v>
      </c>
      <c r="BI24" s="24">
        <f>IF(BI21="","",MIN($D24-SUM($E24:BH24),BI27))</f>
        <v>0</v>
      </c>
      <c r="BJ24" s="24">
        <f>IF(BJ21="","",MIN($D24-SUM($E24:BI24),BJ27))</f>
        <v>0</v>
      </c>
      <c r="BK24" s="24">
        <f>IF(BK21="","",MIN($D24-SUM($E24:BJ24),BK27))</f>
        <v>0</v>
      </c>
      <c r="BL24" s="24">
        <f>IF(BL21="","",MIN($D24-SUM($E24:BK24),BL27))</f>
        <v>0</v>
      </c>
      <c r="BM24" s="24">
        <f>IF(BM21="","",MIN($D24-SUM($E24:BL24),BM27))</f>
        <v>0</v>
      </c>
      <c r="BN24" s="24">
        <f>IF(BN21="","",MIN($D24-SUM($E24:BM24),BN27))</f>
        <v>0</v>
      </c>
      <c r="BO24" s="24">
        <f>IF(BO21="","",MIN($D24-SUM($E24:BN24),BO27))</f>
        <v>0</v>
      </c>
      <c r="BP24" s="24">
        <f>IF(BP21="","",MIN($D24-SUM($E24:BO24),BP27))</f>
        <v>0</v>
      </c>
      <c r="BQ24" s="24">
        <f>IF(BQ21="","",MIN($D24-SUM($E24:BP24),BQ27))</f>
        <v>0</v>
      </c>
      <c r="BR24" s="24">
        <f>IF(BR21="","",MIN($D24-SUM($E24:BQ24),BR27))</f>
        <v>0</v>
      </c>
      <c r="BS24" s="24">
        <f>IF(BS21="","",MIN($D24-SUM($E24:BR24),BS27))</f>
        <v>0</v>
      </c>
      <c r="BT24" s="24">
        <f>IF(BT21="","",MIN($D24-SUM($E24:BS24),BT27))</f>
        <v>0</v>
      </c>
      <c r="BU24" s="24">
        <f>IF(BU21="","",MIN($D24-SUM($E24:BT24),BU27))</f>
        <v>0</v>
      </c>
      <c r="BV24" s="24">
        <f>IF(BV21="","",MIN($D24-SUM($E24:BU24),BV27))</f>
        <v>0</v>
      </c>
      <c r="BW24" s="24">
        <f>IF(BW21="","",MIN($D24-SUM($E24:BV24),BW27))</f>
        <v>0</v>
      </c>
      <c r="BX24" s="24">
        <f>IF(BX21="","",MIN($D24-SUM($E24:BW24),BX27))</f>
        <v>0</v>
      </c>
      <c r="BY24" s="24">
        <f>IF(BY21="","",MIN($D24-SUM($E24:BX24),BY27))</f>
        <v>0</v>
      </c>
      <c r="BZ24" s="24">
        <f>IF(BZ21="","",MIN($D24-SUM($E24:BY24),BZ27))</f>
        <v>0</v>
      </c>
      <c r="CA24" s="24">
        <f>IF(CA21="","",MIN($D24-SUM($E24:BZ24),CA27))</f>
        <v>0</v>
      </c>
      <c r="CB24" s="24">
        <f>IF(CB21="","",MIN($D24-SUM($E24:CA24),CB27))</f>
        <v>0</v>
      </c>
      <c r="CC24" s="24">
        <f>IF(CC21="","",MIN($D24-SUM($E24:CB24),CC27))</f>
        <v>0</v>
      </c>
      <c r="CD24" s="24">
        <f>IF(CD21="","",MIN($D24-SUM($E24:CC24),CD27))</f>
        <v>0</v>
      </c>
      <c r="CE24" s="24">
        <f>IF(CE21="","",MIN($D24-SUM($E24:CD24),CE27))</f>
        <v>0</v>
      </c>
      <c r="CF24" s="24">
        <f>IF(CF21="","",MIN($D24-SUM($E24:CE24),CF27))</f>
        <v>0</v>
      </c>
      <c r="CG24" s="24">
        <f>IF(CG21="","",MIN($D24-SUM($E24:CF24),CG27))</f>
        <v>0</v>
      </c>
      <c r="CH24" s="24">
        <f>IF(CH21="","",MIN($D24-SUM($E24:CG24),CH27))</f>
        <v>0</v>
      </c>
      <c r="CI24" s="24">
        <f>IF(CI21="","",MIN($D24-SUM($E24:CH24),CI27))</f>
        <v>0</v>
      </c>
      <c r="CJ24" s="24">
        <f>IF(CJ21="","",MIN($D24-SUM($E24:CI24),CJ27))</f>
        <v>0</v>
      </c>
      <c r="CK24" s="24">
        <f>IF(CK21="","",MIN($D24-SUM($E24:CJ24),CK27))</f>
        <v>0</v>
      </c>
      <c r="CL24" s="24">
        <f>IF(CL21="","",MIN($D24-SUM($E24:CK24),CL27))</f>
        <v>0</v>
      </c>
      <c r="CM24" s="24">
        <f>IF(CM21="","",MIN($D24-SUM($E24:CL24),CM27))</f>
        <v>0</v>
      </c>
      <c r="CN24" s="24">
        <f>IF(CN21="","",MIN($D24-SUM($E24:CM24),CN27))</f>
        <v>0</v>
      </c>
      <c r="CO24" s="24">
        <f>IF(CO21="","",MIN($D24-SUM($E24:CN24),CO27))</f>
        <v>0</v>
      </c>
      <c r="CP24" s="24">
        <f>IF(CP21="","",MIN($D24-SUM($E24:CO24),CP27))</f>
        <v>0</v>
      </c>
      <c r="CQ24" s="24">
        <f>IF(CQ21="","",MIN($D24-SUM($E24:CP24),CQ27))</f>
        <v>0</v>
      </c>
      <c r="CR24" s="24">
        <f>IF(CR21="","",MIN($D24-SUM($E24:CQ24),CR27))</f>
        <v>0</v>
      </c>
      <c r="CS24" s="24">
        <f>IF(CS21="","",MIN($D24-SUM($E24:CR24),CS27))</f>
        <v>0</v>
      </c>
      <c r="CT24" s="24">
        <f>IF(CT21="","",MIN($D24-SUM($E24:CS24),CT27))</f>
        <v>0</v>
      </c>
      <c r="CU24" s="24">
        <f>IF(CU21="","",MIN($D24-SUM($E24:CT24),CU27))</f>
        <v>0</v>
      </c>
      <c r="CV24" s="24">
        <f>IF(CV21="","",MIN($D24-SUM($E24:CU24),CV27))</f>
        <v>0</v>
      </c>
      <c r="CW24" s="24">
        <f>IF(CW21="","",MIN($D24-SUM($E24:CV24),CW27))</f>
        <v>0</v>
      </c>
      <c r="CX24" s="24" t="str">
        <f>IF(CX21="","",MIN($D24-SUM($E24:CW24),CX27))</f>
        <v/>
      </c>
      <c r="CY24" s="24" t="str">
        <f>IF(CY21="","",MIN($D24-SUM($E24:CX24),CY27))</f>
        <v/>
      </c>
      <c r="CZ24" s="24" t="str">
        <f>IF(CZ21="","",MIN($D24-SUM($E24:CY24),CZ27))</f>
        <v/>
      </c>
      <c r="DA24" s="24" t="str">
        <f>IF(DA21="","",MIN($D24-SUM($E24:CZ24),DA27))</f>
        <v/>
      </c>
      <c r="DB24" s="24" t="str">
        <f>IF(DB21="","",MIN($D24-SUM($E24:DA24),DB27))</f>
        <v/>
      </c>
      <c r="DC24" s="24" t="str">
        <f>IF(DC21="","",MIN($D24-SUM($E24:DB24),DC27))</f>
        <v/>
      </c>
      <c r="DD24" s="24" t="str">
        <f>IF(DD21="","",MIN($D24-SUM($E24:DC24),DD27))</f>
        <v/>
      </c>
      <c r="DE24" s="24" t="str">
        <f>IF(DE21="","",MIN($D24-SUM($E24:DD24),DE27))</f>
        <v/>
      </c>
      <c r="DF24" s="24" t="str">
        <f>IF(DF21="","",MIN($D24-SUM($E24:DE24),DF27))</f>
        <v/>
      </c>
      <c r="DG24" s="24" t="str">
        <f>IF(DG21="","",MIN($D24-SUM($E24:DF24),DG27))</f>
        <v/>
      </c>
      <c r="DH24" s="24" t="str">
        <f>IF(DH21="","",MIN($D24-SUM($E24:DG24),DH27))</f>
        <v/>
      </c>
      <c r="DI24" s="24" t="str">
        <f>IF(DI21="","",MIN($D24-SUM($E24:DH24),DI27))</f>
        <v/>
      </c>
      <c r="DJ24" s="24" t="str">
        <f>IF(DJ21="","",MIN($D24-SUM($E24:DI24),DJ27))</f>
        <v/>
      </c>
      <c r="DK24" s="24" t="str">
        <f>IF(DK21="","",MIN($D24-SUM($E24:DJ24),DK27))</f>
        <v/>
      </c>
      <c r="DL24" s="24" t="str">
        <f>IF(DL21="","",MIN($D24-SUM($E24:DK24),DL27))</f>
        <v/>
      </c>
      <c r="DM24" s="24" t="str">
        <f>IF(DM21="","",MIN($D24-SUM($E24:DL24),DM27))</f>
        <v/>
      </c>
      <c r="DN24" s="24" t="str">
        <f>IF(DN21="","",MIN($D24-SUM($E24:DM24),DN27))</f>
        <v/>
      </c>
      <c r="DO24" s="24" t="str">
        <f>IF(DO21="","",MIN($D24-SUM($E24:DN24),DO27))</f>
        <v/>
      </c>
      <c r="DP24" s="24" t="str">
        <f>IF(DP21="","",MIN($D24-SUM($E24:DO24),DP27))</f>
        <v/>
      </c>
      <c r="DQ24" s="24" t="str">
        <f>IF(DQ21="","",MIN($D24-SUM($E24:DP24),DQ27))</f>
        <v/>
      </c>
      <c r="DR24" s="24" t="str">
        <f>IF(DR21="","",MIN($D24-SUM($E24:DQ24),DR27))</f>
        <v/>
      </c>
      <c r="DS24" s="24" t="str">
        <f>IF(DS21="","",MIN($D24-SUM($E24:DR24),DS27))</f>
        <v/>
      </c>
      <c r="DT24" s="24" t="str">
        <f>IF(DT21="","",MIN($D24-SUM($E24:DS24),DT27))</f>
        <v/>
      </c>
      <c r="DU24" s="24" t="str">
        <f>IF(DU21="","",MIN($D24-SUM($E24:DT24),DU27))</f>
        <v/>
      </c>
      <c r="DV24" s="24" t="str">
        <f>IF(DV21="","",MIN($D24-SUM($E24:DU24),DV27))</f>
        <v/>
      </c>
      <c r="DW24" s="24"/>
      <c r="DX24" s="24"/>
      <c r="DY24" s="70"/>
    </row>
    <row r="25" spans="2:129" x14ac:dyDescent="0.2">
      <c r="B25" s="67" t="s">
        <v>5</v>
      </c>
      <c r="C25" s="71" t="str">
        <f>IF(ROUND(D25,0)=ROUND(SUM(F25:DY25),0),"OK","ERROR")</f>
        <v>OK</v>
      </c>
      <c r="D25" s="69">
        <f>MIN(D28,D27)</f>
        <v>125744781.60000014</v>
      </c>
      <c r="E25" s="52"/>
      <c r="F25" s="24">
        <f>IF(F21="","",MIN($D25-SUM($E25:E25),F27-F24))</f>
        <v>0</v>
      </c>
      <c r="G25" s="24">
        <f>IF(G21="","",MIN($D25-SUM($E25:F25),G27-G24))</f>
        <v>0</v>
      </c>
      <c r="H25" s="24">
        <f>IF(H21="","",MIN($D25-SUM($E25:G25),H27-H24))</f>
        <v>0</v>
      </c>
      <c r="I25" s="24">
        <f>IF(I21="","",MIN($D25-SUM($E25:H25),I27-I24))</f>
        <v>0</v>
      </c>
      <c r="J25" s="24">
        <f>IF(J21="","",MIN($D25-SUM($E25:I25),J27-J24))</f>
        <v>0</v>
      </c>
      <c r="K25" s="24">
        <f>IF(K21="","",MIN($D25-SUM($E25:J25),K27-K24))</f>
        <v>0</v>
      </c>
      <c r="L25" s="24">
        <f>IF(L21="","",MIN($D25-SUM($E25:K25),L27-L24))</f>
        <v>0</v>
      </c>
      <c r="M25" s="24">
        <f>IF(M21="","",MIN($D25-SUM($E25:L25),M27-M24))</f>
        <v>0</v>
      </c>
      <c r="N25" s="24">
        <f>IF(N21="","",MIN($D25-SUM($E25:M25),N27-N24))</f>
        <v>0</v>
      </c>
      <c r="O25" s="24">
        <f>IF(O21="","",MIN($D25-SUM($E25:N25),O27-O24))</f>
        <v>0</v>
      </c>
      <c r="P25" s="24">
        <f>IF(P21="","",MIN($D25-SUM($E25:O25),P27-P24))</f>
        <v>0</v>
      </c>
      <c r="Q25" s="24">
        <f>IF(Q21="","",MIN($D25-SUM($E25:P25),Q27-Q24))</f>
        <v>0</v>
      </c>
      <c r="R25" s="24">
        <f>IF(R21="","",MIN($D25-SUM($E25:Q25),R27-R24))</f>
        <v>0</v>
      </c>
      <c r="S25" s="24">
        <f>IF(S21="","",MIN($D25-SUM($E25:R25),S27-S24))</f>
        <v>0</v>
      </c>
      <c r="T25" s="24">
        <f>IF(T21="","",MIN($D25-SUM($E25:S25),T27-T24))</f>
        <v>0</v>
      </c>
      <c r="U25" s="24">
        <f>IF(U21="","",MIN($D25-SUM($E25:T25),U27-U24))</f>
        <v>0</v>
      </c>
      <c r="V25" s="24">
        <f>IF(V21="","",MIN($D25-SUM($E25:U25),V27-V24))</f>
        <v>0</v>
      </c>
      <c r="W25" s="24">
        <f>IF(W21="","",MIN($D25-SUM($E25:V25),W27-W24))</f>
        <v>0</v>
      </c>
      <c r="X25" s="24">
        <f>IF(X21="","",MIN($D25-SUM($E25:W25),X27-X24))</f>
        <v>0</v>
      </c>
      <c r="Y25" s="24">
        <f>IF(Y21="","",MIN($D25-SUM($E25:X25),Y27-Y24))</f>
        <v>0</v>
      </c>
      <c r="Z25" s="24">
        <f>IF(Z21="","",MIN($D25-SUM($E25:Y25),Z27-Z24))</f>
        <v>0</v>
      </c>
      <c r="AA25" s="24">
        <f>IF(AA21="","",MIN($D25-SUM($E25:Z25),AA27-AA24))</f>
        <v>0</v>
      </c>
      <c r="AB25" s="24">
        <f>IF(AB21="","",MIN($D25-SUM($E25:AA25),AB27-AB24))</f>
        <v>0</v>
      </c>
      <c r="AC25" s="24">
        <f>IF(AC21="","",MIN($D25-SUM($E25:AB25),AC27-AC24))</f>
        <v>0</v>
      </c>
      <c r="AD25" s="24">
        <f>IF(AD21="","",MIN($D25-SUM($E25:AC25),AD27-AD24))</f>
        <v>0</v>
      </c>
      <c r="AE25" s="24">
        <f>IF(AE21="","",MIN($D25-SUM($E25:AD25),AE27-AE24))</f>
        <v>0</v>
      </c>
      <c r="AF25" s="24">
        <f>IF(AF21="","",MIN($D25-SUM($E25:AE25),AF27-AF24))</f>
        <v>0</v>
      </c>
      <c r="AG25" s="24">
        <f>IF(AG21="","",MIN($D25-SUM($E25:AF25),AG27-AG24))</f>
        <v>0</v>
      </c>
      <c r="AH25" s="24">
        <f>IF(AH21="","",MIN($D25-SUM($E25:AG25),AH27-AH24))</f>
        <v>0</v>
      </c>
      <c r="AI25" s="24">
        <f>IF(AI21="","",MIN($D25-SUM($E25:AH25),AI27-AI24))</f>
        <v>0</v>
      </c>
      <c r="AJ25" s="24">
        <f>IF(AJ21="","",MIN($D25-SUM($E25:AI25),AJ27-AJ24))</f>
        <v>0</v>
      </c>
      <c r="AK25" s="24">
        <f>IF(AK21="","",MIN($D25-SUM($E25:AJ25),AK27-AK24))</f>
        <v>0</v>
      </c>
      <c r="AL25" s="24">
        <f>IF(AL21="","",MIN($D25-SUM($E25:AK25),AL27-AL24))</f>
        <v>0</v>
      </c>
      <c r="AM25" s="24">
        <f>IF(AM21="","",MIN($D25-SUM($E25:AL25),AM27-AM24))</f>
        <v>0</v>
      </c>
      <c r="AN25" s="24">
        <f>IF(AN21="","",MIN($D25-SUM($E25:AM25),AN27-AN24))</f>
        <v>0</v>
      </c>
      <c r="AO25" s="24">
        <f>IF(AO21="","",MIN($D25-SUM($E25:AN25),AO27-AO24))</f>
        <v>0</v>
      </c>
      <c r="AP25" s="24">
        <f>IF(AP21="","",MIN($D25-SUM($E25:AO25),AP27-AP24))</f>
        <v>0</v>
      </c>
      <c r="AQ25" s="24">
        <f>IF(AQ21="","",MIN($D25-SUM($E25:AP25),AQ27-AQ24))</f>
        <v>0</v>
      </c>
      <c r="AR25" s="24">
        <f>IF(AR21="","",MIN($D25-SUM($E25:AQ25),AR27-AR24))</f>
        <v>0</v>
      </c>
      <c r="AS25" s="24">
        <f>IF(AS21="","",MIN($D25-SUM($E25:AR25),AS27-AS24))</f>
        <v>0</v>
      </c>
      <c r="AT25" s="24">
        <f>IF(AT21="","",MIN($D25-SUM($E25:AS25),AT27-AT24))</f>
        <v>0</v>
      </c>
      <c r="AU25" s="24">
        <f>IF(AU21="","",MIN($D25-SUM($E25:AT25),AU27-AU24))</f>
        <v>32605118.206419826</v>
      </c>
      <c r="AV25" s="24">
        <f>IF(AV21="","",MIN($D25-SUM($E25:AU25),AV27-AV24))</f>
        <v>0</v>
      </c>
      <c r="AW25" s="24">
        <f>IF(AW21="","",MIN($D25-SUM($E25:AV25),AW27-AW24))</f>
        <v>0</v>
      </c>
      <c r="AX25" s="24">
        <f>IF(AX21="","",MIN($D25-SUM($E25:AW25),AX27-AX24))</f>
        <v>0</v>
      </c>
      <c r="AY25" s="24">
        <f>IF(AY21="","",MIN($D25-SUM($E25:AX25),AY27-AY24))</f>
        <v>0</v>
      </c>
      <c r="AZ25" s="24">
        <f>IF(AZ21="","",MIN($D25-SUM($E25:AY25),AZ27-AZ24))</f>
        <v>0</v>
      </c>
      <c r="BA25" s="24">
        <f>IF(BA21="","",MIN($D25-SUM($E25:AZ25),BA27-BA24))</f>
        <v>93139663.393580317</v>
      </c>
      <c r="BB25" s="24">
        <f>IF(BB21="","",MIN($D25-SUM($E25:BA25),BB27-BB24))</f>
        <v>0</v>
      </c>
      <c r="BC25" s="24">
        <f>IF(BC21="","",MIN($D25-SUM($E25:BB25),BC27-BC24))</f>
        <v>0</v>
      </c>
      <c r="BD25" s="24">
        <f>IF(BD21="","",MIN($D25-SUM($E25:BC25),BD27-BD24))</f>
        <v>0</v>
      </c>
      <c r="BE25" s="24">
        <f>IF(BE21="","",MIN($D25-SUM($E25:BD25),BE27-BE24))</f>
        <v>0</v>
      </c>
      <c r="BF25" s="24">
        <f>IF(BF21="","",MIN($D25-SUM($E25:BE25),BF27-BF24))</f>
        <v>0</v>
      </c>
      <c r="BG25" s="24">
        <f>IF(BG21="","",MIN($D25-SUM($E25:BF25),BG27-BG24))</f>
        <v>0</v>
      </c>
      <c r="BH25" s="24">
        <f>IF(BH21="","",MIN($D25-SUM($E25:BG25),BH27-BH24))</f>
        <v>0</v>
      </c>
      <c r="BI25" s="24">
        <f>IF(BI21="","",MIN($D25-SUM($E25:BH25),BI27-BI24))</f>
        <v>0</v>
      </c>
      <c r="BJ25" s="24">
        <f>IF(BJ21="","",MIN($D25-SUM($E25:BI25),BJ27-BJ24))</f>
        <v>0</v>
      </c>
      <c r="BK25" s="24">
        <f>IF(BK21="","",MIN($D25-SUM($E25:BJ25),BK27-BK24))</f>
        <v>0</v>
      </c>
      <c r="BL25" s="24">
        <f>IF(BL21="","",MIN($D25-SUM($E25:BK25),BL27-BL24))</f>
        <v>0</v>
      </c>
      <c r="BM25" s="24">
        <f>IF(BM21="","",MIN($D25-SUM($E25:BL25),BM27-BM24))</f>
        <v>0</v>
      </c>
      <c r="BN25" s="24">
        <f>IF(BN21="","",MIN($D25-SUM($E25:BM25),BN27-BN24))</f>
        <v>0</v>
      </c>
      <c r="BO25" s="24">
        <f>IF(BO21="","",MIN($D25-SUM($E25:BN25),BO27-BO24))</f>
        <v>0</v>
      </c>
      <c r="BP25" s="24">
        <f>IF(BP21="","",MIN($D25-SUM($E25:BO25),BP27-BP24))</f>
        <v>0</v>
      </c>
      <c r="BQ25" s="24">
        <f>IF(BQ21="","",MIN($D25-SUM($E25:BP25),BQ27-BQ24))</f>
        <v>0</v>
      </c>
      <c r="BR25" s="24">
        <f>IF(BR21="","",MIN($D25-SUM($E25:BQ25),BR27-BR24))</f>
        <v>0</v>
      </c>
      <c r="BS25" s="24">
        <f>IF(BS21="","",MIN($D25-SUM($E25:BR25),BS27-BS24))</f>
        <v>0</v>
      </c>
      <c r="BT25" s="24">
        <f>IF(BT21="","",MIN($D25-SUM($E25:BS25),BT27-BT24))</f>
        <v>0</v>
      </c>
      <c r="BU25" s="24">
        <f>IF(BU21="","",MIN($D25-SUM($E25:BT25),BU27-BU24))</f>
        <v>0</v>
      </c>
      <c r="BV25" s="24">
        <f>IF(BV21="","",MIN($D25-SUM($E25:BU25),BV27-BV24))</f>
        <v>0</v>
      </c>
      <c r="BW25" s="24">
        <f>IF(BW21="","",MIN($D25-SUM($E25:BV25),BW27-BW24))</f>
        <v>0</v>
      </c>
      <c r="BX25" s="24">
        <f>IF(BX21="","",MIN($D25-SUM($E25:BW25),BX27-BX24))</f>
        <v>0</v>
      </c>
      <c r="BY25" s="24">
        <f>IF(BY21="","",MIN($D25-SUM($E25:BX25),BY27-BY24))</f>
        <v>0</v>
      </c>
      <c r="BZ25" s="24">
        <f>IF(BZ21="","",MIN($D25-SUM($E25:BY25),BZ27-BZ24))</f>
        <v>0</v>
      </c>
      <c r="CA25" s="24">
        <f>IF(CA21="","",MIN($D25-SUM($E25:BZ25),CA27-CA24))</f>
        <v>0</v>
      </c>
      <c r="CB25" s="24">
        <f>IF(CB21="","",MIN($D25-SUM($E25:CA25),CB27-CB24))</f>
        <v>0</v>
      </c>
      <c r="CC25" s="24">
        <f>IF(CC21="","",MIN($D25-SUM($E25:CB25),CC27-CC24))</f>
        <v>0</v>
      </c>
      <c r="CD25" s="24">
        <f>IF(CD21="","",MIN($D25-SUM($E25:CC25),CD27-CD24))</f>
        <v>0</v>
      </c>
      <c r="CE25" s="24">
        <f>IF(CE21="","",MIN($D25-SUM($E25:CD25),CE27-CE24))</f>
        <v>0</v>
      </c>
      <c r="CF25" s="24">
        <f>IF(CF21="","",MIN($D25-SUM($E25:CE25),CF27-CF24))</f>
        <v>0</v>
      </c>
      <c r="CG25" s="24">
        <f>IF(CG21="","",MIN($D25-SUM($E25:CF25),CG27-CG24))</f>
        <v>0</v>
      </c>
      <c r="CH25" s="24">
        <f>IF(CH21="","",MIN($D25-SUM($E25:CG25),CH27-CH24))</f>
        <v>0</v>
      </c>
      <c r="CI25" s="24">
        <f>IF(CI21="","",MIN($D25-SUM($E25:CH25),CI27-CI24))</f>
        <v>0</v>
      </c>
      <c r="CJ25" s="24">
        <f>IF(CJ21="","",MIN($D25-SUM($E25:CI25),CJ27-CJ24))</f>
        <v>0</v>
      </c>
      <c r="CK25" s="24">
        <f>IF(CK21="","",MIN($D25-SUM($E25:CJ25),CK27-CK24))</f>
        <v>0</v>
      </c>
      <c r="CL25" s="24">
        <f>IF(CL21="","",MIN($D25-SUM($E25:CK25),CL27-CL24))</f>
        <v>0</v>
      </c>
      <c r="CM25" s="24">
        <f>IF(CM21="","",MIN($D25-SUM($E25:CL25),CM27-CM24))</f>
        <v>0</v>
      </c>
      <c r="CN25" s="24">
        <f>IF(CN21="","",MIN($D25-SUM($E25:CM25),CN27-CN24))</f>
        <v>0</v>
      </c>
      <c r="CO25" s="24">
        <f>IF(CO21="","",MIN($D25-SUM($E25:CN25),CO27-CO24))</f>
        <v>0</v>
      </c>
      <c r="CP25" s="24">
        <f>IF(CP21="","",MIN($D25-SUM($E25:CO25),CP27-CP24))</f>
        <v>0</v>
      </c>
      <c r="CQ25" s="24">
        <f>IF(CQ21="","",MIN($D25-SUM($E25:CP25),CQ27-CQ24))</f>
        <v>0</v>
      </c>
      <c r="CR25" s="24">
        <f>IF(CR21="","",MIN($D25-SUM($E25:CQ25),CR27-CR24))</f>
        <v>0</v>
      </c>
      <c r="CS25" s="24">
        <f>IF(CS21="","",MIN($D25-SUM($E25:CR25),CS27-CS24))</f>
        <v>0</v>
      </c>
      <c r="CT25" s="24">
        <f>IF(CT21="","",MIN($D25-SUM($E25:CS25),CT27-CT24))</f>
        <v>0</v>
      </c>
      <c r="CU25" s="24">
        <f>IF(CU21="","",MIN($D25-SUM($E25:CT25),CU27-CU24))</f>
        <v>0</v>
      </c>
      <c r="CV25" s="24">
        <f>IF(CV21="","",MIN($D25-SUM($E25:CU25),CV27-CV24))</f>
        <v>0</v>
      </c>
      <c r="CW25" s="24">
        <f>IF(CW21="","",MIN($D25-SUM($E25:CV25),CW27-CW24))</f>
        <v>0</v>
      </c>
      <c r="CX25" s="24" t="str">
        <f>IF(CX21="","",MIN($D25-SUM($E25:CW25),CX27-CX24))</f>
        <v/>
      </c>
      <c r="CY25" s="24" t="str">
        <f>IF(CY21="","",MIN($D25-SUM($E25:CX25),CY27-CY24))</f>
        <v/>
      </c>
      <c r="CZ25" s="24" t="str">
        <f>IF(CZ21="","",MIN($D25-SUM($E25:CY25),CZ27-CZ24))</f>
        <v/>
      </c>
      <c r="DA25" s="24" t="str">
        <f>IF(DA21="","",MIN($D25-SUM($E25:CZ25),DA27-DA24))</f>
        <v/>
      </c>
      <c r="DB25" s="24" t="str">
        <f>IF(DB21="","",MIN($D25-SUM($E25:DA25),DB27-DB24))</f>
        <v/>
      </c>
      <c r="DC25" s="24" t="str">
        <f>IF(DC21="","",MIN($D25-SUM($E25:DB25),DC27-DC24))</f>
        <v/>
      </c>
      <c r="DD25" s="24" t="str">
        <f>IF(DD21="","",MIN($D25-SUM($E25:DC25),DD27-DD24))</f>
        <v/>
      </c>
      <c r="DE25" s="24" t="str">
        <f>IF(DE21="","",MIN($D25-SUM($E25:DD25),DE27-DE24))</f>
        <v/>
      </c>
      <c r="DF25" s="24" t="str">
        <f>IF(DF21="","",MIN($D25-SUM($E25:DE25),DF27-DF24))</f>
        <v/>
      </c>
      <c r="DG25" s="24" t="str">
        <f>IF(DG21="","",MIN($D25-SUM($E25:DF25),DG27-DG24))</f>
        <v/>
      </c>
      <c r="DH25" s="24" t="str">
        <f>IF(DH21="","",MIN($D25-SUM($E25:DG25),DH27-DH24))</f>
        <v/>
      </c>
      <c r="DI25" s="24" t="str">
        <f>IF(DI21="","",MIN($D25-SUM($E25:DH25),DI27-DI24))</f>
        <v/>
      </c>
      <c r="DJ25" s="24" t="str">
        <f>IF(DJ21="","",MIN($D25-SUM($E25:DI25),DJ27-DJ24))</f>
        <v/>
      </c>
      <c r="DK25" s="24" t="str">
        <f>IF(DK21="","",MIN($D25-SUM($E25:DJ25),DK27-DK24))</f>
        <v/>
      </c>
      <c r="DL25" s="24" t="str">
        <f>IF(DL21="","",MIN($D25-SUM($E25:DK25),DL27-DL24))</f>
        <v/>
      </c>
      <c r="DM25" s="24" t="str">
        <f>IF(DM21="","",MIN($D25-SUM($E25:DL25),DM27-DM24))</f>
        <v/>
      </c>
      <c r="DN25" s="24" t="str">
        <f>IF(DN21="","",MIN($D25-SUM($E25:DM25),DN27-DN24))</f>
        <v/>
      </c>
      <c r="DO25" s="24" t="str">
        <f>IF(DO21="","",MIN($D25-SUM($E25:DN25),DO27-DO24))</f>
        <v/>
      </c>
      <c r="DP25" s="24" t="str">
        <f>IF(DP21="","",MIN($D25-SUM($E25:DO25),DP27-DP24))</f>
        <v/>
      </c>
      <c r="DQ25" s="24" t="str">
        <f>IF(DQ21="","",MIN($D25-SUM($E25:DP25),DQ27-DQ24))</f>
        <v/>
      </c>
      <c r="DR25" s="24" t="str">
        <f>IF(DR21="","",MIN($D25-SUM($E25:DQ25),DR27-DR24))</f>
        <v/>
      </c>
      <c r="DS25" s="24" t="str">
        <f>IF(DS21="","",MIN($D25-SUM($E25:DR25),DS27-DS24))</f>
        <v/>
      </c>
      <c r="DT25" s="24" t="str">
        <f>IF(DT21="","",MIN($D25-SUM($E25:DS25),DT27-DT24))</f>
        <v/>
      </c>
      <c r="DU25" s="24" t="str">
        <f>IF(DU21="","",MIN($D25-SUM($E25:DT25),DU27-DU24))</f>
        <v/>
      </c>
      <c r="DV25" s="24" t="str">
        <f>IF(DV21="","",MIN($D25-SUM($E25:DU25),DV27-DV24))</f>
        <v/>
      </c>
      <c r="DW25" s="24"/>
      <c r="DX25" s="24"/>
      <c r="DY25" s="70"/>
    </row>
    <row r="26" spans="2:129" ht="18" x14ac:dyDescent="0.35">
      <c r="B26" s="67" t="s">
        <v>32</v>
      </c>
      <c r="C26" s="71" t="str">
        <f>IF(ROUND(D26,0)=ROUND(SUM(F26:DY26),0),"OK","ERROR")</f>
        <v>OK</v>
      </c>
      <c r="D26" s="72">
        <f>D27-D25-D24</f>
        <v>67012060.850312918</v>
      </c>
      <c r="E26" s="52"/>
      <c r="F26" s="73">
        <f>IF(F21="","",F27-F25-F24)</f>
        <v>0</v>
      </c>
      <c r="G26" s="73">
        <f t="shared" ref="G26:BR26" si="4">IF(G21="","",G27-G25-G24)</f>
        <v>0</v>
      </c>
      <c r="H26" s="73">
        <f t="shared" si="4"/>
        <v>0</v>
      </c>
      <c r="I26" s="73">
        <f t="shared" si="4"/>
        <v>0</v>
      </c>
      <c r="J26" s="73">
        <f t="shared" si="4"/>
        <v>0</v>
      </c>
      <c r="K26" s="73">
        <f t="shared" si="4"/>
        <v>0</v>
      </c>
      <c r="L26" s="73">
        <f t="shared" si="4"/>
        <v>0</v>
      </c>
      <c r="M26" s="73">
        <f t="shared" si="4"/>
        <v>0</v>
      </c>
      <c r="N26" s="73">
        <f t="shared" si="4"/>
        <v>0</v>
      </c>
      <c r="O26" s="73">
        <f t="shared" si="4"/>
        <v>0</v>
      </c>
      <c r="P26" s="73">
        <f t="shared" si="4"/>
        <v>0</v>
      </c>
      <c r="Q26" s="73">
        <f t="shared" si="4"/>
        <v>0</v>
      </c>
      <c r="R26" s="73">
        <f t="shared" si="4"/>
        <v>0</v>
      </c>
      <c r="S26" s="73">
        <f t="shared" si="4"/>
        <v>0</v>
      </c>
      <c r="T26" s="73">
        <f t="shared" si="4"/>
        <v>0</v>
      </c>
      <c r="U26" s="73">
        <f t="shared" si="4"/>
        <v>0</v>
      </c>
      <c r="V26" s="73">
        <f t="shared" si="4"/>
        <v>0</v>
      </c>
      <c r="W26" s="73">
        <f t="shared" si="4"/>
        <v>0</v>
      </c>
      <c r="X26" s="73">
        <f t="shared" si="4"/>
        <v>0</v>
      </c>
      <c r="Y26" s="73">
        <f t="shared" si="4"/>
        <v>0</v>
      </c>
      <c r="Z26" s="73">
        <f t="shared" si="4"/>
        <v>0</v>
      </c>
      <c r="AA26" s="73">
        <f t="shared" si="4"/>
        <v>0</v>
      </c>
      <c r="AB26" s="73">
        <f t="shared" si="4"/>
        <v>0</v>
      </c>
      <c r="AC26" s="73">
        <f t="shared" si="4"/>
        <v>0</v>
      </c>
      <c r="AD26" s="73">
        <f t="shared" si="4"/>
        <v>0</v>
      </c>
      <c r="AE26" s="73">
        <f t="shared" si="4"/>
        <v>0</v>
      </c>
      <c r="AF26" s="73">
        <f t="shared" si="4"/>
        <v>0</v>
      </c>
      <c r="AG26" s="73">
        <f t="shared" si="4"/>
        <v>0</v>
      </c>
      <c r="AH26" s="73">
        <f t="shared" si="4"/>
        <v>0</v>
      </c>
      <c r="AI26" s="73">
        <f t="shared" si="4"/>
        <v>0</v>
      </c>
      <c r="AJ26" s="73">
        <f t="shared" si="4"/>
        <v>0</v>
      </c>
      <c r="AK26" s="73">
        <f t="shared" si="4"/>
        <v>0</v>
      </c>
      <c r="AL26" s="73">
        <f t="shared" si="4"/>
        <v>0</v>
      </c>
      <c r="AM26" s="73">
        <f t="shared" si="4"/>
        <v>0</v>
      </c>
      <c r="AN26" s="73">
        <f t="shared" si="4"/>
        <v>0</v>
      </c>
      <c r="AO26" s="73">
        <f t="shared" si="4"/>
        <v>0</v>
      </c>
      <c r="AP26" s="73">
        <f t="shared" si="4"/>
        <v>0</v>
      </c>
      <c r="AQ26" s="73">
        <f t="shared" si="4"/>
        <v>0</v>
      </c>
      <c r="AR26" s="73">
        <f t="shared" si="4"/>
        <v>0</v>
      </c>
      <c r="AS26" s="73">
        <f t="shared" si="4"/>
        <v>0</v>
      </c>
      <c r="AT26" s="73">
        <f t="shared" si="4"/>
        <v>0</v>
      </c>
      <c r="AU26" s="73">
        <f t="shared" si="4"/>
        <v>0</v>
      </c>
      <c r="AV26" s="73">
        <f t="shared" si="4"/>
        <v>0</v>
      </c>
      <c r="AW26" s="73">
        <f t="shared" si="4"/>
        <v>0</v>
      </c>
      <c r="AX26" s="73">
        <f t="shared" si="4"/>
        <v>0</v>
      </c>
      <c r="AY26" s="73">
        <f t="shared" si="4"/>
        <v>0</v>
      </c>
      <c r="AZ26" s="73">
        <f t="shared" si="4"/>
        <v>0</v>
      </c>
      <c r="BA26" s="73">
        <f t="shared" si="4"/>
        <v>34686472.890750885</v>
      </c>
      <c r="BB26" s="73">
        <f t="shared" si="4"/>
        <v>0</v>
      </c>
      <c r="BC26" s="73">
        <f t="shared" si="4"/>
        <v>0</v>
      </c>
      <c r="BD26" s="73">
        <f t="shared" si="4"/>
        <v>0</v>
      </c>
      <c r="BE26" s="73">
        <f t="shared" si="4"/>
        <v>0</v>
      </c>
      <c r="BF26" s="73">
        <f t="shared" si="4"/>
        <v>0</v>
      </c>
      <c r="BG26" s="73">
        <f t="shared" si="4"/>
        <v>0</v>
      </c>
      <c r="BH26" s="73">
        <f t="shared" si="4"/>
        <v>0</v>
      </c>
      <c r="BI26" s="73">
        <f t="shared" si="4"/>
        <v>0</v>
      </c>
      <c r="BJ26" s="73">
        <f t="shared" si="4"/>
        <v>0</v>
      </c>
      <c r="BK26" s="73">
        <f t="shared" si="4"/>
        <v>0</v>
      </c>
      <c r="BL26" s="73">
        <f t="shared" si="4"/>
        <v>0</v>
      </c>
      <c r="BM26" s="73">
        <f t="shared" si="4"/>
        <v>0</v>
      </c>
      <c r="BN26" s="73">
        <f t="shared" si="4"/>
        <v>0</v>
      </c>
      <c r="BO26" s="73">
        <f t="shared" si="4"/>
        <v>0</v>
      </c>
      <c r="BP26" s="73">
        <f t="shared" si="4"/>
        <v>0</v>
      </c>
      <c r="BQ26" s="73">
        <f t="shared" si="4"/>
        <v>0</v>
      </c>
      <c r="BR26" s="73">
        <f t="shared" si="4"/>
        <v>0</v>
      </c>
      <c r="BS26" s="73">
        <f t="shared" ref="BS26:DV26" si="5">IF(BS21="","",BS27-BS25-BS24)</f>
        <v>0</v>
      </c>
      <c r="BT26" s="73">
        <f t="shared" si="5"/>
        <v>0</v>
      </c>
      <c r="BU26" s="73">
        <f t="shared" si="5"/>
        <v>0</v>
      </c>
      <c r="BV26" s="73">
        <f t="shared" si="5"/>
        <v>0</v>
      </c>
      <c r="BW26" s="73">
        <f t="shared" si="5"/>
        <v>0</v>
      </c>
      <c r="BX26" s="73">
        <f t="shared" si="5"/>
        <v>0</v>
      </c>
      <c r="BY26" s="73">
        <f t="shared" si="5"/>
        <v>5316225.3</v>
      </c>
      <c r="BZ26" s="73">
        <f t="shared" si="5"/>
        <v>3855975.3000000003</v>
      </c>
      <c r="CA26" s="73">
        <f t="shared" si="5"/>
        <v>0</v>
      </c>
      <c r="CB26" s="73">
        <f t="shared" si="5"/>
        <v>0</v>
      </c>
      <c r="CC26" s="73">
        <f t="shared" si="5"/>
        <v>0</v>
      </c>
      <c r="CD26" s="73">
        <f t="shared" si="5"/>
        <v>0</v>
      </c>
      <c r="CE26" s="73">
        <f t="shared" si="5"/>
        <v>7616577.9996649548</v>
      </c>
      <c r="CF26" s="73">
        <f t="shared" si="5"/>
        <v>0</v>
      </c>
      <c r="CG26" s="73">
        <f t="shared" si="5"/>
        <v>0</v>
      </c>
      <c r="CH26" s="73">
        <f t="shared" si="5"/>
        <v>0</v>
      </c>
      <c r="CI26" s="73">
        <f t="shared" si="5"/>
        <v>0</v>
      </c>
      <c r="CJ26" s="73">
        <f t="shared" si="5"/>
        <v>0</v>
      </c>
      <c r="CK26" s="73">
        <f t="shared" si="5"/>
        <v>0</v>
      </c>
      <c r="CL26" s="73">
        <f t="shared" si="5"/>
        <v>0</v>
      </c>
      <c r="CM26" s="73">
        <f t="shared" si="5"/>
        <v>0</v>
      </c>
      <c r="CN26" s="73">
        <f t="shared" si="5"/>
        <v>0</v>
      </c>
      <c r="CO26" s="73">
        <f t="shared" si="5"/>
        <v>0</v>
      </c>
      <c r="CP26" s="73">
        <f t="shared" si="5"/>
        <v>0</v>
      </c>
      <c r="CQ26" s="73">
        <f t="shared" si="5"/>
        <v>0</v>
      </c>
      <c r="CR26" s="73">
        <f t="shared" si="5"/>
        <v>0</v>
      </c>
      <c r="CS26" s="73">
        <f t="shared" si="5"/>
        <v>0</v>
      </c>
      <c r="CT26" s="73">
        <f t="shared" si="5"/>
        <v>0</v>
      </c>
      <c r="CU26" s="73">
        <f t="shared" si="5"/>
        <v>0</v>
      </c>
      <c r="CV26" s="73">
        <f t="shared" si="5"/>
        <v>0</v>
      </c>
      <c r="CW26" s="73">
        <f t="shared" si="5"/>
        <v>15536809.359897047</v>
      </c>
      <c r="CX26" s="73" t="str">
        <f t="shared" si="5"/>
        <v/>
      </c>
      <c r="CY26" s="73" t="str">
        <f t="shared" si="5"/>
        <v/>
      </c>
      <c r="CZ26" s="73" t="str">
        <f t="shared" si="5"/>
        <v/>
      </c>
      <c r="DA26" s="73" t="str">
        <f t="shared" si="5"/>
        <v/>
      </c>
      <c r="DB26" s="73" t="str">
        <f t="shared" si="5"/>
        <v/>
      </c>
      <c r="DC26" s="73" t="str">
        <f t="shared" si="5"/>
        <v/>
      </c>
      <c r="DD26" s="73" t="str">
        <f t="shared" si="5"/>
        <v/>
      </c>
      <c r="DE26" s="73" t="str">
        <f t="shared" si="5"/>
        <v/>
      </c>
      <c r="DF26" s="73" t="str">
        <f t="shared" si="5"/>
        <v/>
      </c>
      <c r="DG26" s="73" t="str">
        <f t="shared" si="5"/>
        <v/>
      </c>
      <c r="DH26" s="73" t="str">
        <f t="shared" si="5"/>
        <v/>
      </c>
      <c r="DI26" s="73" t="str">
        <f t="shared" si="5"/>
        <v/>
      </c>
      <c r="DJ26" s="73" t="str">
        <f t="shared" si="5"/>
        <v/>
      </c>
      <c r="DK26" s="73" t="str">
        <f t="shared" si="5"/>
        <v/>
      </c>
      <c r="DL26" s="73" t="str">
        <f t="shared" si="5"/>
        <v/>
      </c>
      <c r="DM26" s="73" t="str">
        <f t="shared" si="5"/>
        <v/>
      </c>
      <c r="DN26" s="73" t="str">
        <f t="shared" si="5"/>
        <v/>
      </c>
      <c r="DO26" s="73" t="str">
        <f t="shared" si="5"/>
        <v/>
      </c>
      <c r="DP26" s="73" t="str">
        <f t="shared" si="5"/>
        <v/>
      </c>
      <c r="DQ26" s="73" t="str">
        <f t="shared" si="5"/>
        <v/>
      </c>
      <c r="DR26" s="73" t="str">
        <f t="shared" si="5"/>
        <v/>
      </c>
      <c r="DS26" s="73" t="str">
        <f t="shared" si="5"/>
        <v/>
      </c>
      <c r="DT26" s="73" t="str">
        <f t="shared" si="5"/>
        <v/>
      </c>
      <c r="DU26" s="73" t="str">
        <f t="shared" si="5"/>
        <v/>
      </c>
      <c r="DV26" s="73" t="str">
        <f t="shared" si="5"/>
        <v/>
      </c>
      <c r="DW26" s="73"/>
      <c r="DX26" s="73"/>
      <c r="DY26" s="74"/>
    </row>
    <row r="27" spans="2:129" x14ac:dyDescent="0.2">
      <c r="B27" s="67" t="s">
        <v>33</v>
      </c>
      <c r="C27" s="75"/>
      <c r="D27" s="69">
        <f>SUM(F27:DY27)</f>
        <v>223000717.74389324</v>
      </c>
      <c r="E27" s="52"/>
      <c r="F27" s="24">
        <f t="shared" ref="F27:BQ27" si="6">IF(F$21="","",($C$13="IRR")*F68+($C$13="Equity Multiple")*F176)</f>
        <v>0</v>
      </c>
      <c r="G27" s="24">
        <f t="shared" si="6"/>
        <v>0</v>
      </c>
      <c r="H27" s="24">
        <f t="shared" si="6"/>
        <v>0</v>
      </c>
      <c r="I27" s="24">
        <f t="shared" si="6"/>
        <v>0</v>
      </c>
      <c r="J27" s="24">
        <f t="shared" si="6"/>
        <v>0</v>
      </c>
      <c r="K27" s="24">
        <f t="shared" si="6"/>
        <v>0</v>
      </c>
      <c r="L27" s="24">
        <f t="shared" si="6"/>
        <v>0</v>
      </c>
      <c r="M27" s="24">
        <f t="shared" si="6"/>
        <v>0</v>
      </c>
      <c r="N27" s="24">
        <f t="shared" si="6"/>
        <v>0</v>
      </c>
      <c r="O27" s="24">
        <f t="shared" si="6"/>
        <v>0</v>
      </c>
      <c r="P27" s="24">
        <f t="shared" si="6"/>
        <v>0</v>
      </c>
      <c r="Q27" s="24">
        <f t="shared" si="6"/>
        <v>0</v>
      </c>
      <c r="R27" s="24">
        <f t="shared" si="6"/>
        <v>0</v>
      </c>
      <c r="S27" s="24">
        <f t="shared" si="6"/>
        <v>0</v>
      </c>
      <c r="T27" s="24">
        <f t="shared" si="6"/>
        <v>0</v>
      </c>
      <c r="U27" s="24">
        <f t="shared" si="6"/>
        <v>0</v>
      </c>
      <c r="V27" s="24">
        <f t="shared" si="6"/>
        <v>0</v>
      </c>
      <c r="W27" s="24">
        <f t="shared" si="6"/>
        <v>0</v>
      </c>
      <c r="X27" s="24">
        <f t="shared" si="6"/>
        <v>0</v>
      </c>
      <c r="Y27" s="24">
        <f t="shared" si="6"/>
        <v>0</v>
      </c>
      <c r="Z27" s="24">
        <f t="shared" si="6"/>
        <v>0</v>
      </c>
      <c r="AA27" s="24">
        <f t="shared" si="6"/>
        <v>0</v>
      </c>
      <c r="AB27" s="24">
        <f t="shared" si="6"/>
        <v>0</v>
      </c>
      <c r="AC27" s="24">
        <f t="shared" si="6"/>
        <v>0</v>
      </c>
      <c r="AD27" s="24">
        <f t="shared" si="6"/>
        <v>0</v>
      </c>
      <c r="AE27" s="24">
        <f t="shared" si="6"/>
        <v>25591908.600000001</v>
      </c>
      <c r="AF27" s="24">
        <f t="shared" si="6"/>
        <v>0</v>
      </c>
      <c r="AG27" s="24">
        <f t="shared" si="6"/>
        <v>0</v>
      </c>
      <c r="AH27" s="24">
        <f t="shared" si="6"/>
        <v>0</v>
      </c>
      <c r="AI27" s="24">
        <f t="shared" si="6"/>
        <v>0</v>
      </c>
      <c r="AJ27" s="24">
        <f t="shared" si="6"/>
        <v>0</v>
      </c>
      <c r="AK27" s="24">
        <f t="shared" si="6"/>
        <v>0</v>
      </c>
      <c r="AL27" s="24">
        <f t="shared" si="6"/>
        <v>0</v>
      </c>
      <c r="AM27" s="24">
        <f t="shared" si="6"/>
        <v>0</v>
      </c>
      <c r="AN27" s="24">
        <f t="shared" si="6"/>
        <v>0</v>
      </c>
      <c r="AO27" s="24">
        <f t="shared" si="6"/>
        <v>0</v>
      </c>
      <c r="AP27" s="24">
        <f t="shared" si="6"/>
        <v>0</v>
      </c>
      <c r="AQ27" s="24">
        <f t="shared" si="6"/>
        <v>0</v>
      </c>
      <c r="AR27" s="24">
        <f t="shared" si="6"/>
        <v>0</v>
      </c>
      <c r="AS27" s="24">
        <f t="shared" si="6"/>
        <v>0</v>
      </c>
      <c r="AT27" s="24">
        <f t="shared" si="6"/>
        <v>0</v>
      </c>
      <c r="AU27" s="24">
        <f t="shared" si="6"/>
        <v>37257084.899999999</v>
      </c>
      <c r="AV27" s="24">
        <f t="shared" si="6"/>
        <v>0</v>
      </c>
      <c r="AW27" s="24">
        <f t="shared" si="6"/>
        <v>0</v>
      </c>
      <c r="AX27" s="24">
        <f t="shared" si="6"/>
        <v>0</v>
      </c>
      <c r="AY27" s="24">
        <f t="shared" si="6"/>
        <v>0</v>
      </c>
      <c r="AZ27" s="24">
        <f t="shared" si="6"/>
        <v>0</v>
      </c>
      <c r="BA27" s="24">
        <f t="shared" si="6"/>
        <v>127826136.2843312</v>
      </c>
      <c r="BB27" s="24">
        <f t="shared" si="6"/>
        <v>0</v>
      </c>
      <c r="BC27" s="24">
        <f t="shared" si="6"/>
        <v>0</v>
      </c>
      <c r="BD27" s="24">
        <f t="shared" si="6"/>
        <v>0</v>
      </c>
      <c r="BE27" s="24">
        <f t="shared" si="6"/>
        <v>0</v>
      </c>
      <c r="BF27" s="24">
        <f t="shared" si="6"/>
        <v>0</v>
      </c>
      <c r="BG27" s="24">
        <f t="shared" si="6"/>
        <v>0</v>
      </c>
      <c r="BH27" s="24">
        <f t="shared" si="6"/>
        <v>0</v>
      </c>
      <c r="BI27" s="24">
        <f t="shared" si="6"/>
        <v>0</v>
      </c>
      <c r="BJ27" s="24">
        <f t="shared" si="6"/>
        <v>0</v>
      </c>
      <c r="BK27" s="24">
        <f t="shared" si="6"/>
        <v>0</v>
      </c>
      <c r="BL27" s="24">
        <f t="shared" si="6"/>
        <v>0</v>
      </c>
      <c r="BM27" s="24">
        <f t="shared" si="6"/>
        <v>0</v>
      </c>
      <c r="BN27" s="24">
        <f t="shared" si="6"/>
        <v>0</v>
      </c>
      <c r="BO27" s="24">
        <f t="shared" si="6"/>
        <v>0</v>
      </c>
      <c r="BP27" s="24">
        <f t="shared" si="6"/>
        <v>0</v>
      </c>
      <c r="BQ27" s="24">
        <f t="shared" si="6"/>
        <v>0</v>
      </c>
      <c r="BR27" s="24">
        <f t="shared" ref="BR27:DV27" si="7">IF(BR$21="","",($C$13="IRR")*BR68+($C$13="Equity Multiple")*BR176)</f>
        <v>0</v>
      </c>
      <c r="BS27" s="24">
        <f t="shared" si="7"/>
        <v>0</v>
      </c>
      <c r="BT27" s="24">
        <f t="shared" si="7"/>
        <v>0</v>
      </c>
      <c r="BU27" s="24">
        <f t="shared" si="7"/>
        <v>0</v>
      </c>
      <c r="BV27" s="24">
        <f t="shared" si="7"/>
        <v>0</v>
      </c>
      <c r="BW27" s="24">
        <f t="shared" si="7"/>
        <v>0</v>
      </c>
      <c r="BX27" s="24">
        <f t="shared" si="7"/>
        <v>0</v>
      </c>
      <c r="BY27" s="24">
        <f t="shared" si="7"/>
        <v>5316225.3</v>
      </c>
      <c r="BZ27" s="24">
        <f t="shared" si="7"/>
        <v>3855975.3000000003</v>
      </c>
      <c r="CA27" s="24">
        <f t="shared" si="7"/>
        <v>0</v>
      </c>
      <c r="CB27" s="24">
        <f t="shared" si="7"/>
        <v>0</v>
      </c>
      <c r="CC27" s="24">
        <f t="shared" si="7"/>
        <v>0</v>
      </c>
      <c r="CD27" s="24">
        <f t="shared" si="7"/>
        <v>0</v>
      </c>
      <c r="CE27" s="24">
        <f t="shared" si="7"/>
        <v>7616577.9996649548</v>
      </c>
      <c r="CF27" s="24">
        <f t="shared" si="7"/>
        <v>0</v>
      </c>
      <c r="CG27" s="24">
        <f t="shared" si="7"/>
        <v>0</v>
      </c>
      <c r="CH27" s="24">
        <f t="shared" si="7"/>
        <v>0</v>
      </c>
      <c r="CI27" s="24">
        <f t="shared" si="7"/>
        <v>0</v>
      </c>
      <c r="CJ27" s="24">
        <f t="shared" si="7"/>
        <v>0</v>
      </c>
      <c r="CK27" s="24">
        <f t="shared" si="7"/>
        <v>0</v>
      </c>
      <c r="CL27" s="24">
        <f t="shared" si="7"/>
        <v>0</v>
      </c>
      <c r="CM27" s="24">
        <f t="shared" si="7"/>
        <v>0</v>
      </c>
      <c r="CN27" s="24">
        <f t="shared" si="7"/>
        <v>0</v>
      </c>
      <c r="CO27" s="24">
        <f t="shared" si="7"/>
        <v>0</v>
      </c>
      <c r="CP27" s="24">
        <f t="shared" si="7"/>
        <v>0</v>
      </c>
      <c r="CQ27" s="24">
        <f t="shared" si="7"/>
        <v>0</v>
      </c>
      <c r="CR27" s="24">
        <f t="shared" si="7"/>
        <v>0</v>
      </c>
      <c r="CS27" s="24">
        <f t="shared" si="7"/>
        <v>0</v>
      </c>
      <c r="CT27" s="24">
        <f t="shared" si="7"/>
        <v>0</v>
      </c>
      <c r="CU27" s="24">
        <f t="shared" si="7"/>
        <v>0</v>
      </c>
      <c r="CV27" s="24">
        <f t="shared" si="7"/>
        <v>0</v>
      </c>
      <c r="CW27" s="24">
        <f t="shared" si="7"/>
        <v>15536809.359897047</v>
      </c>
      <c r="CX27" s="24" t="str">
        <f t="shared" si="7"/>
        <v/>
      </c>
      <c r="CY27" s="24" t="str">
        <f t="shared" si="7"/>
        <v/>
      </c>
      <c r="CZ27" s="24" t="str">
        <f t="shared" si="7"/>
        <v/>
      </c>
      <c r="DA27" s="24" t="str">
        <f t="shared" si="7"/>
        <v/>
      </c>
      <c r="DB27" s="24" t="str">
        <f t="shared" si="7"/>
        <v/>
      </c>
      <c r="DC27" s="24" t="str">
        <f t="shared" si="7"/>
        <v/>
      </c>
      <c r="DD27" s="24" t="str">
        <f t="shared" si="7"/>
        <v/>
      </c>
      <c r="DE27" s="24" t="str">
        <f t="shared" si="7"/>
        <v/>
      </c>
      <c r="DF27" s="24" t="str">
        <f t="shared" si="7"/>
        <v/>
      </c>
      <c r="DG27" s="24" t="str">
        <f t="shared" si="7"/>
        <v/>
      </c>
      <c r="DH27" s="24" t="str">
        <f t="shared" si="7"/>
        <v/>
      </c>
      <c r="DI27" s="24" t="str">
        <f t="shared" si="7"/>
        <v/>
      </c>
      <c r="DJ27" s="24" t="str">
        <f t="shared" si="7"/>
        <v/>
      </c>
      <c r="DK27" s="24" t="str">
        <f t="shared" si="7"/>
        <v/>
      </c>
      <c r="DL27" s="24" t="str">
        <f t="shared" si="7"/>
        <v/>
      </c>
      <c r="DM27" s="24" t="str">
        <f t="shared" si="7"/>
        <v/>
      </c>
      <c r="DN27" s="24" t="str">
        <f t="shared" si="7"/>
        <v/>
      </c>
      <c r="DO27" s="24" t="str">
        <f t="shared" si="7"/>
        <v/>
      </c>
      <c r="DP27" s="24" t="str">
        <f t="shared" si="7"/>
        <v/>
      </c>
      <c r="DQ27" s="24" t="str">
        <f t="shared" si="7"/>
        <v/>
      </c>
      <c r="DR27" s="24" t="str">
        <f t="shared" si="7"/>
        <v/>
      </c>
      <c r="DS27" s="24" t="str">
        <f t="shared" si="7"/>
        <v/>
      </c>
      <c r="DT27" s="24" t="str">
        <f t="shared" si="7"/>
        <v/>
      </c>
      <c r="DU27" s="24" t="str">
        <f t="shared" si="7"/>
        <v/>
      </c>
      <c r="DV27" s="24" t="str">
        <f t="shared" si="7"/>
        <v/>
      </c>
      <c r="DW27" s="24"/>
      <c r="DX27" s="24"/>
      <c r="DY27" s="70"/>
    </row>
    <row r="28" spans="2:129" x14ac:dyDescent="0.2">
      <c r="B28" s="67" t="s">
        <v>34</v>
      </c>
      <c r="C28" s="75"/>
      <c r="D28" s="69">
        <f>SUM(F28:DY28)</f>
        <v>125744781.60000014</v>
      </c>
      <c r="E28" s="52"/>
      <c r="F28" s="24">
        <f>F96</f>
        <v>93624225.299999997</v>
      </c>
      <c r="G28" s="24">
        <f t="shared" ref="G28:BR28" si="8">G96</f>
        <v>24225.3</v>
      </c>
      <c r="H28" s="24">
        <f t="shared" si="8"/>
        <v>24225.3</v>
      </c>
      <c r="I28" s="24">
        <f t="shared" si="8"/>
        <v>24225.3</v>
      </c>
      <c r="J28" s="24">
        <f t="shared" si="8"/>
        <v>24225.3</v>
      </c>
      <c r="K28" s="24">
        <f t="shared" si="8"/>
        <v>24225.3</v>
      </c>
      <c r="L28" s="24">
        <f t="shared" si="8"/>
        <v>24225.3</v>
      </c>
      <c r="M28" s="24">
        <f t="shared" si="8"/>
        <v>24225.3</v>
      </c>
      <c r="N28" s="24">
        <f t="shared" si="8"/>
        <v>24225.3</v>
      </c>
      <c r="O28" s="24">
        <f t="shared" si="8"/>
        <v>24225.3</v>
      </c>
      <c r="P28" s="24">
        <f t="shared" si="8"/>
        <v>24225.3</v>
      </c>
      <c r="Q28" s="24">
        <f t="shared" si="8"/>
        <v>24225.3</v>
      </c>
      <c r="R28" s="24">
        <f t="shared" si="8"/>
        <v>24225.3</v>
      </c>
      <c r="S28" s="24">
        <f t="shared" si="8"/>
        <v>24225.3</v>
      </c>
      <c r="T28" s="24">
        <f t="shared" si="8"/>
        <v>24225.3</v>
      </c>
      <c r="U28" s="24">
        <f t="shared" si="8"/>
        <v>24225.3</v>
      </c>
      <c r="V28" s="24">
        <f t="shared" si="8"/>
        <v>24225.3</v>
      </c>
      <c r="W28" s="24">
        <f t="shared" si="8"/>
        <v>24225.3</v>
      </c>
      <c r="X28" s="24">
        <f t="shared" si="8"/>
        <v>24225.3</v>
      </c>
      <c r="Y28" s="24">
        <f t="shared" si="8"/>
        <v>24225.3</v>
      </c>
      <c r="Z28" s="24">
        <f t="shared" si="8"/>
        <v>24225.3</v>
      </c>
      <c r="AA28" s="24">
        <f t="shared" si="8"/>
        <v>24225.3</v>
      </c>
      <c r="AB28" s="24">
        <f t="shared" si="8"/>
        <v>24225.3</v>
      </c>
      <c r="AC28" s="24">
        <f t="shared" si="8"/>
        <v>347943.60000000003</v>
      </c>
      <c r="AD28" s="24">
        <f t="shared" si="8"/>
        <v>842081.4</v>
      </c>
      <c r="AE28" s="24">
        <f t="shared" si="8"/>
        <v>0</v>
      </c>
      <c r="AF28" s="24">
        <f t="shared" si="8"/>
        <v>842081.4</v>
      </c>
      <c r="AG28" s="24">
        <f t="shared" si="8"/>
        <v>842081.4</v>
      </c>
      <c r="AH28" s="24">
        <f t="shared" si="8"/>
        <v>842081.4</v>
      </c>
      <c r="AI28" s="24">
        <f t="shared" si="8"/>
        <v>842081.4</v>
      </c>
      <c r="AJ28" s="24">
        <f t="shared" si="8"/>
        <v>842081.4</v>
      </c>
      <c r="AK28" s="24">
        <f t="shared" si="8"/>
        <v>842081.4</v>
      </c>
      <c r="AL28" s="24">
        <f t="shared" si="8"/>
        <v>842081.4</v>
      </c>
      <c r="AM28" s="24">
        <f t="shared" si="8"/>
        <v>678031.20000000007</v>
      </c>
      <c r="AN28" s="24">
        <f t="shared" si="8"/>
        <v>678031.20000000007</v>
      </c>
      <c r="AO28" s="24">
        <f t="shared" si="8"/>
        <v>884093.4</v>
      </c>
      <c r="AP28" s="24">
        <f t="shared" si="8"/>
        <v>608580.9</v>
      </c>
      <c r="AQ28" s="24">
        <f t="shared" si="8"/>
        <v>608580.9</v>
      </c>
      <c r="AR28" s="24">
        <f t="shared" si="8"/>
        <v>608580.9</v>
      </c>
      <c r="AS28" s="24">
        <f t="shared" si="8"/>
        <v>608580.9</v>
      </c>
      <c r="AT28" s="24">
        <f t="shared" si="8"/>
        <v>608580.9</v>
      </c>
      <c r="AU28" s="24">
        <f t="shared" si="8"/>
        <v>0</v>
      </c>
      <c r="AV28" s="24">
        <f t="shared" si="8"/>
        <v>670845.6</v>
      </c>
      <c r="AW28" s="24">
        <f t="shared" si="8"/>
        <v>670845.6</v>
      </c>
      <c r="AX28" s="24">
        <f t="shared" si="8"/>
        <v>670845.6</v>
      </c>
      <c r="AY28" s="24">
        <f t="shared" si="8"/>
        <v>670845.6</v>
      </c>
      <c r="AZ28" s="24">
        <f t="shared" si="8"/>
        <v>670845.6</v>
      </c>
      <c r="BA28" s="24">
        <f t="shared" si="8"/>
        <v>0</v>
      </c>
      <c r="BB28" s="24">
        <f t="shared" si="8"/>
        <v>501548.4</v>
      </c>
      <c r="BC28" s="24">
        <f t="shared" si="8"/>
        <v>501548.4</v>
      </c>
      <c r="BD28" s="24">
        <f t="shared" si="8"/>
        <v>501548.4</v>
      </c>
      <c r="BE28" s="24">
        <f t="shared" si="8"/>
        <v>501548.4</v>
      </c>
      <c r="BF28" s="24">
        <f t="shared" si="8"/>
        <v>501548.4</v>
      </c>
      <c r="BG28" s="24">
        <f t="shared" si="8"/>
        <v>501548.4</v>
      </c>
      <c r="BH28" s="24">
        <f t="shared" si="8"/>
        <v>501548.4</v>
      </c>
      <c r="BI28" s="24">
        <f t="shared" si="8"/>
        <v>501548.4</v>
      </c>
      <c r="BJ28" s="24">
        <f t="shared" si="8"/>
        <v>501548.4</v>
      </c>
      <c r="BK28" s="24">
        <f t="shared" si="8"/>
        <v>501548.4</v>
      </c>
      <c r="BL28" s="24">
        <f t="shared" si="8"/>
        <v>501548.4</v>
      </c>
      <c r="BM28" s="24">
        <f t="shared" si="8"/>
        <v>368838.9</v>
      </c>
      <c r="BN28" s="24">
        <f t="shared" si="8"/>
        <v>368838.9</v>
      </c>
      <c r="BO28" s="24">
        <f t="shared" si="8"/>
        <v>368838.9</v>
      </c>
      <c r="BP28" s="24">
        <f t="shared" si="8"/>
        <v>227774.7</v>
      </c>
      <c r="BQ28" s="24">
        <f t="shared" si="8"/>
        <v>227774.7</v>
      </c>
      <c r="BR28" s="24">
        <f t="shared" si="8"/>
        <v>227774.7</v>
      </c>
      <c r="BS28" s="24">
        <f t="shared" ref="BS28:DV28" si="9">BS96</f>
        <v>227774.7</v>
      </c>
      <c r="BT28" s="24">
        <f t="shared" si="9"/>
        <v>227774.7</v>
      </c>
      <c r="BU28" s="24">
        <f t="shared" si="9"/>
        <v>227774.7</v>
      </c>
      <c r="BV28" s="24">
        <f t="shared" si="9"/>
        <v>227774.7</v>
      </c>
      <c r="BW28" s="24">
        <f t="shared" si="9"/>
        <v>227774.7</v>
      </c>
      <c r="BX28" s="24">
        <f t="shared" si="9"/>
        <v>227774.7</v>
      </c>
      <c r="BY28" s="24">
        <f t="shared" si="9"/>
        <v>0</v>
      </c>
      <c r="BZ28" s="24">
        <f t="shared" si="9"/>
        <v>0</v>
      </c>
      <c r="CA28" s="24">
        <f t="shared" si="9"/>
        <v>227774.7</v>
      </c>
      <c r="CB28" s="24">
        <f t="shared" si="9"/>
        <v>227774.7</v>
      </c>
      <c r="CC28" s="24">
        <f t="shared" si="9"/>
        <v>227774.7</v>
      </c>
      <c r="CD28" s="24">
        <f t="shared" si="9"/>
        <v>227774.7</v>
      </c>
      <c r="CE28" s="24">
        <f t="shared" si="9"/>
        <v>0</v>
      </c>
      <c r="CF28" s="24">
        <f t="shared" si="9"/>
        <v>0</v>
      </c>
      <c r="CG28" s="24">
        <f t="shared" si="9"/>
        <v>0</v>
      </c>
      <c r="CH28" s="24">
        <f t="shared" si="9"/>
        <v>0</v>
      </c>
      <c r="CI28" s="24">
        <f t="shared" si="9"/>
        <v>0</v>
      </c>
      <c r="CJ28" s="24">
        <f t="shared" si="9"/>
        <v>0</v>
      </c>
      <c r="CK28" s="24">
        <f t="shared" si="9"/>
        <v>523424.7</v>
      </c>
      <c r="CL28" s="24">
        <f t="shared" si="9"/>
        <v>523424.7</v>
      </c>
      <c r="CM28" s="24">
        <f t="shared" si="9"/>
        <v>523424.7</v>
      </c>
      <c r="CN28" s="24">
        <f t="shared" si="9"/>
        <v>523424.7</v>
      </c>
      <c r="CO28" s="24">
        <f t="shared" si="9"/>
        <v>523424.7</v>
      </c>
      <c r="CP28" s="24">
        <f t="shared" si="9"/>
        <v>523424.7</v>
      </c>
      <c r="CQ28" s="24">
        <f t="shared" si="9"/>
        <v>523424.7</v>
      </c>
      <c r="CR28" s="24">
        <f t="shared" si="9"/>
        <v>523424.7</v>
      </c>
      <c r="CS28" s="24">
        <f t="shared" si="9"/>
        <v>523424.7</v>
      </c>
      <c r="CT28" s="24">
        <f t="shared" si="9"/>
        <v>523424.7</v>
      </c>
      <c r="CU28" s="24">
        <f t="shared" si="9"/>
        <v>523424.7</v>
      </c>
      <c r="CV28" s="24">
        <f t="shared" si="9"/>
        <v>523424.7</v>
      </c>
      <c r="CW28" s="24">
        <f t="shared" si="9"/>
        <v>0</v>
      </c>
      <c r="CX28" s="24" t="str">
        <f t="shared" si="9"/>
        <v/>
      </c>
      <c r="CY28" s="24" t="str">
        <f t="shared" si="9"/>
        <v/>
      </c>
      <c r="CZ28" s="24" t="str">
        <f t="shared" si="9"/>
        <v/>
      </c>
      <c r="DA28" s="24" t="str">
        <f t="shared" si="9"/>
        <v/>
      </c>
      <c r="DB28" s="24" t="str">
        <f t="shared" si="9"/>
        <v/>
      </c>
      <c r="DC28" s="24" t="str">
        <f t="shared" si="9"/>
        <v/>
      </c>
      <c r="DD28" s="24" t="str">
        <f t="shared" si="9"/>
        <v/>
      </c>
      <c r="DE28" s="24" t="str">
        <f t="shared" si="9"/>
        <v/>
      </c>
      <c r="DF28" s="24" t="str">
        <f t="shared" si="9"/>
        <v/>
      </c>
      <c r="DG28" s="24" t="str">
        <f t="shared" si="9"/>
        <v/>
      </c>
      <c r="DH28" s="24" t="str">
        <f t="shared" si="9"/>
        <v/>
      </c>
      <c r="DI28" s="24" t="str">
        <f t="shared" si="9"/>
        <v/>
      </c>
      <c r="DJ28" s="24" t="str">
        <f t="shared" si="9"/>
        <v/>
      </c>
      <c r="DK28" s="24" t="str">
        <f t="shared" si="9"/>
        <v/>
      </c>
      <c r="DL28" s="24" t="str">
        <f t="shared" si="9"/>
        <v/>
      </c>
      <c r="DM28" s="24" t="str">
        <f t="shared" si="9"/>
        <v/>
      </c>
      <c r="DN28" s="24" t="str">
        <f t="shared" si="9"/>
        <v/>
      </c>
      <c r="DO28" s="24" t="str">
        <f t="shared" si="9"/>
        <v/>
      </c>
      <c r="DP28" s="24" t="str">
        <f t="shared" si="9"/>
        <v/>
      </c>
      <c r="DQ28" s="24" t="str">
        <f t="shared" si="9"/>
        <v/>
      </c>
      <c r="DR28" s="24" t="str">
        <f t="shared" si="9"/>
        <v/>
      </c>
      <c r="DS28" s="24" t="str">
        <f t="shared" si="9"/>
        <v/>
      </c>
      <c r="DT28" s="24" t="str">
        <f t="shared" si="9"/>
        <v/>
      </c>
      <c r="DU28" s="24" t="str">
        <f t="shared" si="9"/>
        <v/>
      </c>
      <c r="DV28" s="24" t="str">
        <f t="shared" si="9"/>
        <v/>
      </c>
      <c r="DW28" s="24"/>
      <c r="DX28" s="24"/>
      <c r="DY28" s="70"/>
    </row>
    <row r="29" spans="2:129" x14ac:dyDescent="0.2">
      <c r="B29" s="67" t="s">
        <v>35</v>
      </c>
      <c r="C29" s="75"/>
      <c r="D29" s="69">
        <f>D27-D28</f>
        <v>97255936.143893093</v>
      </c>
      <c r="E29" s="52"/>
      <c r="F29" s="76"/>
      <c r="G29" s="24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  <c r="Z29" s="77"/>
      <c r="AA29" s="77"/>
      <c r="AB29" s="77"/>
      <c r="AC29" s="77"/>
      <c r="AD29" s="77"/>
      <c r="AE29" s="77"/>
      <c r="AF29" s="77"/>
      <c r="AG29" s="77"/>
      <c r="AH29" s="77"/>
      <c r="AI29" s="77"/>
      <c r="AJ29" s="77"/>
      <c r="AK29" s="77"/>
      <c r="AL29" s="77"/>
      <c r="AM29" s="77"/>
      <c r="AN29" s="77"/>
      <c r="AO29" s="77"/>
      <c r="AP29" s="77"/>
      <c r="AQ29" s="77"/>
      <c r="AR29" s="77"/>
      <c r="AS29" s="77"/>
      <c r="AT29" s="77"/>
      <c r="AU29" s="77"/>
      <c r="AV29" s="77"/>
      <c r="AW29" s="77"/>
      <c r="AX29" s="77"/>
      <c r="AY29" s="77"/>
      <c r="AZ29" s="77"/>
      <c r="BA29" s="77"/>
      <c r="BB29" s="77"/>
      <c r="BC29" s="77"/>
      <c r="BD29" s="77"/>
      <c r="BE29" s="77"/>
      <c r="BF29" s="77"/>
      <c r="BG29" s="77"/>
      <c r="BH29" s="77"/>
      <c r="BI29" s="77"/>
      <c r="BJ29" s="77"/>
      <c r="BK29" s="77"/>
      <c r="BL29" s="77"/>
      <c r="BM29" s="77"/>
      <c r="BN29" s="77"/>
      <c r="BO29" s="77"/>
      <c r="BP29" s="77"/>
      <c r="BQ29" s="77"/>
      <c r="BR29" s="77"/>
      <c r="BS29" s="77"/>
      <c r="BT29" s="77"/>
      <c r="BU29" s="77"/>
      <c r="BV29" s="77"/>
      <c r="BW29" s="77"/>
      <c r="BX29" s="77"/>
      <c r="BY29" s="77"/>
      <c r="BZ29" s="77"/>
      <c r="CA29" s="77"/>
      <c r="CB29" s="77"/>
      <c r="CC29" s="77"/>
      <c r="CD29" s="77"/>
      <c r="CE29" s="77"/>
      <c r="CF29" s="77"/>
      <c r="CG29" s="77"/>
      <c r="CH29" s="77"/>
      <c r="CI29" s="77"/>
      <c r="CJ29" s="77"/>
      <c r="CK29" s="77"/>
      <c r="CL29" s="77"/>
      <c r="CM29" s="77"/>
      <c r="CN29" s="77"/>
      <c r="CO29" s="77"/>
      <c r="CP29" s="77"/>
      <c r="CQ29" s="77"/>
      <c r="CR29" s="77"/>
      <c r="CS29" s="77"/>
      <c r="CT29" s="77"/>
      <c r="CU29" s="77"/>
      <c r="CV29" s="77"/>
      <c r="CW29" s="77"/>
      <c r="CX29" s="77"/>
      <c r="CY29" s="77"/>
      <c r="CZ29" s="77"/>
      <c r="DA29" s="77"/>
      <c r="DB29" s="77"/>
      <c r="DC29" s="77"/>
      <c r="DD29" s="77"/>
      <c r="DE29" s="77"/>
      <c r="DF29" s="77"/>
      <c r="DG29" s="77"/>
      <c r="DH29" s="77"/>
      <c r="DI29" s="77"/>
      <c r="DJ29" s="77"/>
      <c r="DK29" s="77"/>
      <c r="DL29" s="77"/>
      <c r="DM29" s="77"/>
      <c r="DN29" s="77"/>
      <c r="DO29" s="77"/>
      <c r="DP29" s="77"/>
      <c r="DQ29" s="77"/>
      <c r="DR29" s="77"/>
      <c r="DS29" s="77"/>
      <c r="DT29" s="77"/>
      <c r="DU29" s="77"/>
      <c r="DV29" s="77"/>
      <c r="DW29" s="77"/>
      <c r="DX29" s="77"/>
      <c r="DY29" s="78"/>
    </row>
    <row r="30" spans="2:129" x14ac:dyDescent="0.2">
      <c r="B30" s="67" t="s">
        <v>36</v>
      </c>
      <c r="C30" s="75"/>
      <c r="D30" s="79">
        <f ca="1">XIRR(OFFSET(F30,0,0,1,$E$21+1),OFFSET($F$46,0,0,1,$E$21+1))</f>
        <v>0.20042605996131899</v>
      </c>
      <c r="E30" s="52"/>
      <c r="F30" s="24">
        <f t="shared" ref="F30:BQ30" si="10">IF(F21="","",(-F28)+F27)</f>
        <v>-93624225.299999997</v>
      </c>
      <c r="G30" s="24">
        <f t="shared" si="10"/>
        <v>-24225.3</v>
      </c>
      <c r="H30" s="24">
        <f t="shared" si="10"/>
        <v>-24225.3</v>
      </c>
      <c r="I30" s="24">
        <f t="shared" si="10"/>
        <v>-24225.3</v>
      </c>
      <c r="J30" s="24">
        <f t="shared" si="10"/>
        <v>-24225.3</v>
      </c>
      <c r="K30" s="24">
        <f t="shared" si="10"/>
        <v>-24225.3</v>
      </c>
      <c r="L30" s="24">
        <f t="shared" si="10"/>
        <v>-24225.3</v>
      </c>
      <c r="M30" s="24">
        <f t="shared" si="10"/>
        <v>-24225.3</v>
      </c>
      <c r="N30" s="24">
        <f t="shared" si="10"/>
        <v>-24225.3</v>
      </c>
      <c r="O30" s="24">
        <f t="shared" si="10"/>
        <v>-24225.3</v>
      </c>
      <c r="P30" s="24">
        <f t="shared" si="10"/>
        <v>-24225.3</v>
      </c>
      <c r="Q30" s="24">
        <f t="shared" si="10"/>
        <v>-24225.3</v>
      </c>
      <c r="R30" s="24">
        <f t="shared" si="10"/>
        <v>-24225.3</v>
      </c>
      <c r="S30" s="24">
        <f t="shared" si="10"/>
        <v>-24225.3</v>
      </c>
      <c r="T30" s="24">
        <f t="shared" si="10"/>
        <v>-24225.3</v>
      </c>
      <c r="U30" s="24">
        <f t="shared" si="10"/>
        <v>-24225.3</v>
      </c>
      <c r="V30" s="24">
        <f t="shared" si="10"/>
        <v>-24225.3</v>
      </c>
      <c r="W30" s="24">
        <f t="shared" si="10"/>
        <v>-24225.3</v>
      </c>
      <c r="X30" s="24">
        <f t="shared" si="10"/>
        <v>-24225.3</v>
      </c>
      <c r="Y30" s="24">
        <f t="shared" si="10"/>
        <v>-24225.3</v>
      </c>
      <c r="Z30" s="24">
        <f t="shared" si="10"/>
        <v>-24225.3</v>
      </c>
      <c r="AA30" s="24">
        <f t="shared" si="10"/>
        <v>-24225.3</v>
      </c>
      <c r="AB30" s="24">
        <f t="shared" si="10"/>
        <v>-24225.3</v>
      </c>
      <c r="AC30" s="24">
        <f t="shared" si="10"/>
        <v>-347943.60000000003</v>
      </c>
      <c r="AD30" s="24">
        <f t="shared" si="10"/>
        <v>-842081.4</v>
      </c>
      <c r="AE30" s="24">
        <f t="shared" si="10"/>
        <v>25591908.600000001</v>
      </c>
      <c r="AF30" s="24">
        <f t="shared" si="10"/>
        <v>-842081.4</v>
      </c>
      <c r="AG30" s="24">
        <f t="shared" si="10"/>
        <v>-842081.4</v>
      </c>
      <c r="AH30" s="24">
        <f t="shared" si="10"/>
        <v>-842081.4</v>
      </c>
      <c r="AI30" s="24">
        <f t="shared" si="10"/>
        <v>-842081.4</v>
      </c>
      <c r="AJ30" s="24">
        <f t="shared" si="10"/>
        <v>-842081.4</v>
      </c>
      <c r="AK30" s="24">
        <f t="shared" si="10"/>
        <v>-842081.4</v>
      </c>
      <c r="AL30" s="24">
        <f t="shared" si="10"/>
        <v>-842081.4</v>
      </c>
      <c r="AM30" s="24">
        <f t="shared" si="10"/>
        <v>-678031.20000000007</v>
      </c>
      <c r="AN30" s="24">
        <f t="shared" si="10"/>
        <v>-678031.20000000007</v>
      </c>
      <c r="AO30" s="24">
        <f t="shared" si="10"/>
        <v>-884093.4</v>
      </c>
      <c r="AP30" s="24">
        <f t="shared" si="10"/>
        <v>-608580.9</v>
      </c>
      <c r="AQ30" s="24">
        <f t="shared" si="10"/>
        <v>-608580.9</v>
      </c>
      <c r="AR30" s="24">
        <f t="shared" si="10"/>
        <v>-608580.9</v>
      </c>
      <c r="AS30" s="24">
        <f t="shared" si="10"/>
        <v>-608580.9</v>
      </c>
      <c r="AT30" s="24">
        <f t="shared" si="10"/>
        <v>-608580.9</v>
      </c>
      <c r="AU30" s="24">
        <f t="shared" si="10"/>
        <v>37257084.899999999</v>
      </c>
      <c r="AV30" s="24">
        <f t="shared" si="10"/>
        <v>-670845.6</v>
      </c>
      <c r="AW30" s="24">
        <f t="shared" si="10"/>
        <v>-670845.6</v>
      </c>
      <c r="AX30" s="24">
        <f t="shared" si="10"/>
        <v>-670845.6</v>
      </c>
      <c r="AY30" s="24">
        <f t="shared" si="10"/>
        <v>-670845.6</v>
      </c>
      <c r="AZ30" s="24">
        <f t="shared" si="10"/>
        <v>-670845.6</v>
      </c>
      <c r="BA30" s="24">
        <f t="shared" si="10"/>
        <v>127826136.2843312</v>
      </c>
      <c r="BB30" s="24">
        <f t="shared" si="10"/>
        <v>-501548.4</v>
      </c>
      <c r="BC30" s="24">
        <f t="shared" si="10"/>
        <v>-501548.4</v>
      </c>
      <c r="BD30" s="24">
        <f t="shared" si="10"/>
        <v>-501548.4</v>
      </c>
      <c r="BE30" s="24">
        <f t="shared" si="10"/>
        <v>-501548.4</v>
      </c>
      <c r="BF30" s="24">
        <f t="shared" si="10"/>
        <v>-501548.4</v>
      </c>
      <c r="BG30" s="24">
        <f t="shared" si="10"/>
        <v>-501548.4</v>
      </c>
      <c r="BH30" s="24">
        <f t="shared" si="10"/>
        <v>-501548.4</v>
      </c>
      <c r="BI30" s="24">
        <f t="shared" si="10"/>
        <v>-501548.4</v>
      </c>
      <c r="BJ30" s="24">
        <f t="shared" si="10"/>
        <v>-501548.4</v>
      </c>
      <c r="BK30" s="24">
        <f t="shared" si="10"/>
        <v>-501548.4</v>
      </c>
      <c r="BL30" s="24">
        <f t="shared" si="10"/>
        <v>-501548.4</v>
      </c>
      <c r="BM30" s="24">
        <f t="shared" si="10"/>
        <v>-368838.9</v>
      </c>
      <c r="BN30" s="24">
        <f t="shared" si="10"/>
        <v>-368838.9</v>
      </c>
      <c r="BO30" s="24">
        <f t="shared" si="10"/>
        <v>-368838.9</v>
      </c>
      <c r="BP30" s="24">
        <f t="shared" si="10"/>
        <v>-227774.7</v>
      </c>
      <c r="BQ30" s="24">
        <f t="shared" si="10"/>
        <v>-227774.7</v>
      </c>
      <c r="BR30" s="24">
        <f t="shared" ref="BR30:DV30" si="11">IF(BR21="","",(-BR28)+BR27)</f>
        <v>-227774.7</v>
      </c>
      <c r="BS30" s="24">
        <f t="shared" si="11"/>
        <v>-227774.7</v>
      </c>
      <c r="BT30" s="24">
        <f t="shared" si="11"/>
        <v>-227774.7</v>
      </c>
      <c r="BU30" s="24">
        <f t="shared" si="11"/>
        <v>-227774.7</v>
      </c>
      <c r="BV30" s="24">
        <f t="shared" si="11"/>
        <v>-227774.7</v>
      </c>
      <c r="BW30" s="24">
        <f t="shared" si="11"/>
        <v>-227774.7</v>
      </c>
      <c r="BX30" s="24">
        <f t="shared" si="11"/>
        <v>-227774.7</v>
      </c>
      <c r="BY30" s="24">
        <f t="shared" si="11"/>
        <v>5316225.3</v>
      </c>
      <c r="BZ30" s="24">
        <f t="shared" si="11"/>
        <v>3855975.3000000003</v>
      </c>
      <c r="CA30" s="24">
        <f t="shared" si="11"/>
        <v>-227774.7</v>
      </c>
      <c r="CB30" s="24">
        <f t="shared" si="11"/>
        <v>-227774.7</v>
      </c>
      <c r="CC30" s="24">
        <f t="shared" si="11"/>
        <v>-227774.7</v>
      </c>
      <c r="CD30" s="24">
        <f t="shared" si="11"/>
        <v>-227774.7</v>
      </c>
      <c r="CE30" s="24">
        <f t="shared" si="11"/>
        <v>7616577.9996649548</v>
      </c>
      <c r="CF30" s="24">
        <f t="shared" si="11"/>
        <v>0</v>
      </c>
      <c r="CG30" s="24">
        <f t="shared" si="11"/>
        <v>0</v>
      </c>
      <c r="CH30" s="24">
        <f t="shared" si="11"/>
        <v>0</v>
      </c>
      <c r="CI30" s="24">
        <f t="shared" si="11"/>
        <v>0</v>
      </c>
      <c r="CJ30" s="24">
        <f t="shared" si="11"/>
        <v>0</v>
      </c>
      <c r="CK30" s="24">
        <f t="shared" si="11"/>
        <v>-523424.7</v>
      </c>
      <c r="CL30" s="24">
        <f t="shared" si="11"/>
        <v>-523424.7</v>
      </c>
      <c r="CM30" s="24">
        <f t="shared" si="11"/>
        <v>-523424.7</v>
      </c>
      <c r="CN30" s="24">
        <f t="shared" si="11"/>
        <v>-523424.7</v>
      </c>
      <c r="CO30" s="24">
        <f t="shared" si="11"/>
        <v>-523424.7</v>
      </c>
      <c r="CP30" s="24">
        <f t="shared" si="11"/>
        <v>-523424.7</v>
      </c>
      <c r="CQ30" s="24">
        <f t="shared" si="11"/>
        <v>-523424.7</v>
      </c>
      <c r="CR30" s="24">
        <f t="shared" si="11"/>
        <v>-523424.7</v>
      </c>
      <c r="CS30" s="24">
        <f t="shared" si="11"/>
        <v>-523424.7</v>
      </c>
      <c r="CT30" s="24">
        <f t="shared" si="11"/>
        <v>-523424.7</v>
      </c>
      <c r="CU30" s="24">
        <f t="shared" si="11"/>
        <v>-523424.7</v>
      </c>
      <c r="CV30" s="24">
        <f t="shared" si="11"/>
        <v>-523424.7</v>
      </c>
      <c r="CW30" s="24">
        <f t="shared" si="11"/>
        <v>15536809.359897047</v>
      </c>
      <c r="CX30" s="24" t="str">
        <f t="shared" si="11"/>
        <v/>
      </c>
      <c r="CY30" s="24" t="str">
        <f t="shared" si="11"/>
        <v/>
      </c>
      <c r="CZ30" s="24" t="str">
        <f t="shared" si="11"/>
        <v/>
      </c>
      <c r="DA30" s="24" t="str">
        <f t="shared" si="11"/>
        <v/>
      </c>
      <c r="DB30" s="24" t="str">
        <f t="shared" si="11"/>
        <v/>
      </c>
      <c r="DC30" s="24" t="str">
        <f t="shared" si="11"/>
        <v/>
      </c>
      <c r="DD30" s="24" t="str">
        <f t="shared" si="11"/>
        <v/>
      </c>
      <c r="DE30" s="24" t="str">
        <f t="shared" si="11"/>
        <v/>
      </c>
      <c r="DF30" s="24" t="str">
        <f t="shared" si="11"/>
        <v/>
      </c>
      <c r="DG30" s="24" t="str">
        <f t="shared" si="11"/>
        <v/>
      </c>
      <c r="DH30" s="24" t="str">
        <f t="shared" si="11"/>
        <v/>
      </c>
      <c r="DI30" s="24" t="str">
        <f t="shared" si="11"/>
        <v/>
      </c>
      <c r="DJ30" s="24" t="str">
        <f t="shared" si="11"/>
        <v/>
      </c>
      <c r="DK30" s="24" t="str">
        <f t="shared" si="11"/>
        <v/>
      </c>
      <c r="DL30" s="24" t="str">
        <f t="shared" si="11"/>
        <v/>
      </c>
      <c r="DM30" s="24" t="str">
        <f t="shared" si="11"/>
        <v/>
      </c>
      <c r="DN30" s="24" t="str">
        <f t="shared" si="11"/>
        <v/>
      </c>
      <c r="DO30" s="24" t="str">
        <f t="shared" si="11"/>
        <v/>
      </c>
      <c r="DP30" s="24" t="str">
        <f t="shared" si="11"/>
        <v/>
      </c>
      <c r="DQ30" s="24" t="str">
        <f t="shared" si="11"/>
        <v/>
      </c>
      <c r="DR30" s="24" t="str">
        <f t="shared" si="11"/>
        <v/>
      </c>
      <c r="DS30" s="24" t="str">
        <f t="shared" si="11"/>
        <v/>
      </c>
      <c r="DT30" s="24" t="str">
        <f t="shared" si="11"/>
        <v/>
      </c>
      <c r="DU30" s="24" t="str">
        <f t="shared" si="11"/>
        <v/>
      </c>
      <c r="DV30" s="24" t="str">
        <f t="shared" si="11"/>
        <v/>
      </c>
      <c r="DW30" s="24"/>
      <c r="DX30" s="24"/>
      <c r="DY30" s="70"/>
    </row>
    <row r="31" spans="2:129" x14ac:dyDescent="0.2">
      <c r="B31" s="67" t="s">
        <v>37</v>
      </c>
      <c r="C31" s="75"/>
      <c r="D31" s="80">
        <f>D27/D28</f>
        <v>1.7734391432104804</v>
      </c>
      <c r="E31" s="52"/>
      <c r="F31" s="76"/>
      <c r="G31" s="24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77"/>
      <c r="AT31" s="77"/>
      <c r="AU31" s="77"/>
      <c r="AV31" s="77"/>
      <c r="AW31" s="77"/>
      <c r="AX31" s="77"/>
      <c r="AY31" s="77"/>
      <c r="AZ31" s="77"/>
      <c r="BA31" s="77"/>
      <c r="BB31" s="77"/>
      <c r="BC31" s="77"/>
      <c r="BD31" s="77"/>
      <c r="BE31" s="77"/>
      <c r="BF31" s="77"/>
      <c r="BG31" s="77"/>
      <c r="BH31" s="77"/>
      <c r="BI31" s="77"/>
      <c r="BJ31" s="77"/>
      <c r="BK31" s="77"/>
      <c r="BL31" s="77"/>
      <c r="BM31" s="77"/>
      <c r="BN31" s="77"/>
      <c r="BO31" s="77"/>
      <c r="BP31" s="77"/>
      <c r="BQ31" s="77"/>
      <c r="BR31" s="77"/>
      <c r="BS31" s="77"/>
      <c r="BT31" s="77"/>
      <c r="BU31" s="77"/>
      <c r="BV31" s="77"/>
      <c r="BW31" s="77"/>
      <c r="BX31" s="77"/>
      <c r="BY31" s="77"/>
      <c r="BZ31" s="77"/>
      <c r="CA31" s="77"/>
      <c r="CB31" s="77"/>
      <c r="CC31" s="77"/>
      <c r="CD31" s="77"/>
      <c r="CE31" s="77"/>
      <c r="CF31" s="77"/>
      <c r="CG31" s="77"/>
      <c r="CH31" s="77"/>
      <c r="CI31" s="77"/>
      <c r="CJ31" s="77"/>
      <c r="CK31" s="77"/>
      <c r="CL31" s="77"/>
      <c r="CM31" s="77"/>
      <c r="CN31" s="77"/>
      <c r="CO31" s="77"/>
      <c r="CP31" s="77"/>
      <c r="CQ31" s="77"/>
      <c r="CR31" s="77"/>
      <c r="CS31" s="77"/>
      <c r="CT31" s="77"/>
      <c r="CU31" s="77"/>
      <c r="CV31" s="77"/>
      <c r="CW31" s="77"/>
      <c r="CX31" s="77"/>
      <c r="CY31" s="77"/>
      <c r="CZ31" s="77"/>
      <c r="DA31" s="77"/>
      <c r="DB31" s="77"/>
      <c r="DC31" s="77"/>
      <c r="DD31" s="77"/>
      <c r="DE31" s="77"/>
      <c r="DF31" s="77"/>
      <c r="DG31" s="77"/>
      <c r="DH31" s="77"/>
      <c r="DI31" s="77"/>
      <c r="DJ31" s="77"/>
      <c r="DK31" s="77"/>
      <c r="DL31" s="77"/>
      <c r="DM31" s="77"/>
      <c r="DN31" s="77"/>
      <c r="DO31" s="77"/>
      <c r="DP31" s="77"/>
      <c r="DQ31" s="77"/>
      <c r="DR31" s="77"/>
      <c r="DS31" s="77"/>
      <c r="DT31" s="77"/>
      <c r="DU31" s="77"/>
      <c r="DV31" s="77"/>
      <c r="DW31" s="77"/>
      <c r="DX31" s="77"/>
      <c r="DY31" s="78"/>
    </row>
    <row r="32" spans="2:129" ht="5" customHeight="1" x14ac:dyDescent="0.2">
      <c r="B32" s="67"/>
      <c r="C32" s="75"/>
      <c r="D32" s="54"/>
      <c r="E32" s="52"/>
      <c r="F32" s="76"/>
      <c r="G32" s="24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77"/>
      <c r="AF32" s="77"/>
      <c r="AG32" s="77"/>
      <c r="AH32" s="77"/>
      <c r="AI32" s="77"/>
      <c r="AJ32" s="77"/>
      <c r="AK32" s="77"/>
      <c r="AL32" s="77"/>
      <c r="AM32" s="77"/>
      <c r="AN32" s="77"/>
      <c r="AO32" s="77"/>
      <c r="AP32" s="77"/>
      <c r="AQ32" s="77"/>
      <c r="AR32" s="77"/>
      <c r="AS32" s="77"/>
      <c r="AT32" s="77"/>
      <c r="AU32" s="77"/>
      <c r="AV32" s="77"/>
      <c r="AW32" s="77"/>
      <c r="AX32" s="77"/>
      <c r="AY32" s="77"/>
      <c r="AZ32" s="77"/>
      <c r="BA32" s="77"/>
      <c r="BB32" s="77"/>
      <c r="BC32" s="77"/>
      <c r="BD32" s="77"/>
      <c r="BE32" s="77"/>
      <c r="BF32" s="77"/>
      <c r="BG32" s="77"/>
      <c r="BH32" s="77"/>
      <c r="BI32" s="77"/>
      <c r="BJ32" s="77"/>
      <c r="BK32" s="77"/>
      <c r="BL32" s="77"/>
      <c r="BM32" s="77"/>
      <c r="BN32" s="77"/>
      <c r="BO32" s="77"/>
      <c r="BP32" s="77"/>
      <c r="BQ32" s="77"/>
      <c r="BR32" s="77"/>
      <c r="BS32" s="77"/>
      <c r="BT32" s="77"/>
      <c r="BU32" s="77"/>
      <c r="BV32" s="77"/>
      <c r="BW32" s="77"/>
      <c r="BX32" s="77"/>
      <c r="BY32" s="77"/>
      <c r="BZ32" s="77"/>
      <c r="CA32" s="77"/>
      <c r="CB32" s="77"/>
      <c r="CC32" s="77"/>
      <c r="CD32" s="77"/>
      <c r="CE32" s="77"/>
      <c r="CF32" s="77"/>
      <c r="CG32" s="77"/>
      <c r="CH32" s="77"/>
      <c r="CI32" s="77"/>
      <c r="CJ32" s="77"/>
      <c r="CK32" s="77"/>
      <c r="CL32" s="77"/>
      <c r="CM32" s="77"/>
      <c r="CN32" s="77"/>
      <c r="CO32" s="77"/>
      <c r="CP32" s="77"/>
      <c r="CQ32" s="77"/>
      <c r="CR32" s="77"/>
      <c r="CS32" s="77"/>
      <c r="CT32" s="77"/>
      <c r="CU32" s="77"/>
      <c r="CV32" s="77"/>
      <c r="CW32" s="77"/>
      <c r="CX32" s="77"/>
      <c r="CY32" s="77"/>
      <c r="CZ32" s="77"/>
      <c r="DA32" s="77"/>
      <c r="DB32" s="77"/>
      <c r="DC32" s="77"/>
      <c r="DD32" s="77"/>
      <c r="DE32" s="77"/>
      <c r="DF32" s="77"/>
      <c r="DG32" s="77"/>
      <c r="DH32" s="77"/>
      <c r="DI32" s="77"/>
      <c r="DJ32" s="77"/>
      <c r="DK32" s="77"/>
      <c r="DL32" s="77"/>
      <c r="DM32" s="77"/>
      <c r="DN32" s="77"/>
      <c r="DO32" s="77"/>
      <c r="DP32" s="77"/>
      <c r="DQ32" s="77"/>
      <c r="DR32" s="77"/>
      <c r="DS32" s="77"/>
      <c r="DT32" s="77"/>
      <c r="DU32" s="77"/>
      <c r="DV32" s="77"/>
      <c r="DW32" s="77"/>
      <c r="DX32" s="77"/>
      <c r="DY32" s="78"/>
    </row>
    <row r="33" spans="2:133" x14ac:dyDescent="0.2">
      <c r="B33" s="61" t="s">
        <v>38</v>
      </c>
      <c r="C33" s="75"/>
      <c r="D33" s="54"/>
      <c r="E33" s="52"/>
      <c r="F33" s="76"/>
      <c r="G33" s="24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77"/>
      <c r="AF33" s="77"/>
      <c r="AG33" s="77"/>
      <c r="AH33" s="77"/>
      <c r="AI33" s="77"/>
      <c r="AJ33" s="77"/>
      <c r="AK33" s="77"/>
      <c r="AL33" s="77"/>
      <c r="AM33" s="77"/>
      <c r="AN33" s="77"/>
      <c r="AO33" s="77"/>
      <c r="AP33" s="77"/>
      <c r="AQ33" s="77"/>
      <c r="AR33" s="77"/>
      <c r="AS33" s="77"/>
      <c r="AT33" s="77"/>
      <c r="AU33" s="77"/>
      <c r="AV33" s="77"/>
      <c r="AW33" s="77"/>
      <c r="AX33" s="77"/>
      <c r="AY33" s="77"/>
      <c r="AZ33" s="77"/>
      <c r="BA33" s="77"/>
      <c r="BB33" s="77"/>
      <c r="BC33" s="77"/>
      <c r="BD33" s="77"/>
      <c r="BE33" s="77"/>
      <c r="BF33" s="77"/>
      <c r="BG33" s="77"/>
      <c r="BH33" s="77"/>
      <c r="BI33" s="77"/>
      <c r="BJ33" s="77"/>
      <c r="BK33" s="77"/>
      <c r="BL33" s="77"/>
      <c r="BM33" s="77"/>
      <c r="BN33" s="77"/>
      <c r="BO33" s="77"/>
      <c r="BP33" s="77"/>
      <c r="BQ33" s="77"/>
      <c r="BR33" s="77"/>
      <c r="BS33" s="77"/>
      <c r="BT33" s="77"/>
      <c r="BU33" s="77"/>
      <c r="BV33" s="77"/>
      <c r="BW33" s="77"/>
      <c r="BX33" s="77"/>
      <c r="BY33" s="77"/>
      <c r="BZ33" s="77"/>
      <c r="CA33" s="77"/>
      <c r="CB33" s="77"/>
      <c r="CC33" s="77"/>
      <c r="CD33" s="77"/>
      <c r="CE33" s="77"/>
      <c r="CF33" s="77"/>
      <c r="CG33" s="77"/>
      <c r="CH33" s="77"/>
      <c r="CI33" s="77"/>
      <c r="CJ33" s="77"/>
      <c r="CK33" s="77"/>
      <c r="CL33" s="77"/>
      <c r="CM33" s="77"/>
      <c r="CN33" s="77"/>
      <c r="CO33" s="77"/>
      <c r="CP33" s="77"/>
      <c r="CQ33" s="77"/>
      <c r="CR33" s="77"/>
      <c r="CS33" s="77"/>
      <c r="CT33" s="77"/>
      <c r="CU33" s="77"/>
      <c r="CV33" s="77"/>
      <c r="CW33" s="77"/>
      <c r="CX33" s="77"/>
      <c r="CY33" s="77"/>
      <c r="CZ33" s="77"/>
      <c r="DA33" s="77"/>
      <c r="DB33" s="77"/>
      <c r="DC33" s="77"/>
      <c r="DD33" s="77"/>
      <c r="DE33" s="77"/>
      <c r="DF33" s="77"/>
      <c r="DG33" s="77"/>
      <c r="DH33" s="77"/>
      <c r="DI33" s="77"/>
      <c r="DJ33" s="77"/>
      <c r="DK33" s="77"/>
      <c r="DL33" s="77"/>
      <c r="DM33" s="77"/>
      <c r="DN33" s="77"/>
      <c r="DO33" s="77"/>
      <c r="DP33" s="77"/>
      <c r="DQ33" s="77"/>
      <c r="DR33" s="77"/>
      <c r="DS33" s="77"/>
      <c r="DT33" s="77"/>
      <c r="DU33" s="77"/>
      <c r="DV33" s="77"/>
      <c r="DW33" s="77"/>
      <c r="DX33" s="77"/>
      <c r="DY33" s="78"/>
    </row>
    <row r="34" spans="2:133" x14ac:dyDescent="0.2">
      <c r="B34" s="67" t="s">
        <v>31</v>
      </c>
      <c r="C34" s="71" t="str">
        <f>IF(ROUND(D34,0)=ROUND(SUM(F34:DY34),0),"OK","ERROR")</f>
        <v>OK</v>
      </c>
      <c r="D34" s="24">
        <f>(C13="IRR")*(SUM(F105:DY105)-D35)+(C13="Equity Multiple")*(SUM(F213:DY213)-D35)</f>
        <v>3360430.5881755892</v>
      </c>
      <c r="E34" s="52"/>
      <c r="F34" s="24">
        <f>IF(F21="","",MIN($D34-SUM($E34:E34),F38))</f>
        <v>0</v>
      </c>
      <c r="G34" s="24">
        <f>IF(G21="","",MIN($D34-SUM($E34:F34),G38))</f>
        <v>0</v>
      </c>
      <c r="H34" s="24">
        <f>IF(H21="","",MIN($D34-SUM($E34:G34),H38))</f>
        <v>0</v>
      </c>
      <c r="I34" s="24">
        <f>IF(I21="","",MIN($D34-SUM($E34:H34),I38))</f>
        <v>0</v>
      </c>
      <c r="J34" s="24">
        <f>IF(J21="","",MIN($D34-SUM($E34:I34),J38))</f>
        <v>0</v>
      </c>
      <c r="K34" s="24">
        <f>IF(K21="","",MIN($D34-SUM($E34:J34),K38))</f>
        <v>0</v>
      </c>
      <c r="L34" s="24">
        <f>IF(L21="","",MIN($D34-SUM($E34:K34),L38))</f>
        <v>0</v>
      </c>
      <c r="M34" s="24">
        <f>IF(M21="","",MIN($D34-SUM($E34:L34),M38))</f>
        <v>0</v>
      </c>
      <c r="N34" s="24">
        <f>IF(N21="","",MIN($D34-SUM($E34:M34),N38))</f>
        <v>0</v>
      </c>
      <c r="O34" s="24">
        <f>IF(O21="","",MIN($D34-SUM($E34:N34),O38))</f>
        <v>0</v>
      </c>
      <c r="P34" s="24">
        <f>IF(P21="","",MIN($D34-SUM($E34:O34),P38))</f>
        <v>0</v>
      </c>
      <c r="Q34" s="24">
        <f>IF(Q21="","",MIN($D34-SUM($E34:P34),Q38))</f>
        <v>0</v>
      </c>
      <c r="R34" s="24">
        <f>IF(R21="","",MIN($D34-SUM($E34:Q34),R38))</f>
        <v>0</v>
      </c>
      <c r="S34" s="24">
        <f>IF(S21="","",MIN($D34-SUM($E34:R34),S38))</f>
        <v>0</v>
      </c>
      <c r="T34" s="24">
        <f>IF(T21="","",MIN($D34-SUM($E34:S34),T38))</f>
        <v>0</v>
      </c>
      <c r="U34" s="24">
        <f>IF(U21="","",MIN($D34-SUM($E34:T34),U38))</f>
        <v>0</v>
      </c>
      <c r="V34" s="24">
        <f>IF(V21="","",MIN($D34-SUM($E34:U34),V38))</f>
        <v>0</v>
      </c>
      <c r="W34" s="24">
        <f>IF(W21="","",MIN($D34-SUM($E34:V34),W38))</f>
        <v>0</v>
      </c>
      <c r="X34" s="24">
        <f>IF(X21="","",MIN($D34-SUM($E34:W34),X38))</f>
        <v>0</v>
      </c>
      <c r="Y34" s="24">
        <f>IF(Y21="","",MIN($D34-SUM($E34:X34),Y38))</f>
        <v>0</v>
      </c>
      <c r="Z34" s="24">
        <f>IF(Z21="","",MIN($D34-SUM($E34:Y34),Z38))</f>
        <v>0</v>
      </c>
      <c r="AA34" s="24">
        <f>IF(AA21="","",MIN($D34-SUM($E34:Z34),AA38))</f>
        <v>0</v>
      </c>
      <c r="AB34" s="24">
        <f>IF(AB21="","",MIN($D34-SUM($E34:AA34),AB38))</f>
        <v>0</v>
      </c>
      <c r="AC34" s="24">
        <f>IF(AC21="","",MIN($D34-SUM($E34:AB34),AC38))</f>
        <v>0</v>
      </c>
      <c r="AD34" s="24">
        <f>IF(AD21="","",MIN($D34-SUM($E34:AC34),AD38))</f>
        <v>0</v>
      </c>
      <c r="AE34" s="24">
        <f>IF(AE21="","",MIN($D34-SUM($E34:AD34),AE38))</f>
        <v>2843545.4000000004</v>
      </c>
      <c r="AF34" s="24">
        <f>IF(AF21="","",MIN($D34-SUM($E34:AE34),AF38))</f>
        <v>0</v>
      </c>
      <c r="AG34" s="24">
        <f>IF(AG21="","",MIN($D34-SUM($E34:AF34),AG38))</f>
        <v>0</v>
      </c>
      <c r="AH34" s="24">
        <f>IF(AH21="","",MIN($D34-SUM($E34:AG34),AH38))</f>
        <v>0</v>
      </c>
      <c r="AI34" s="24">
        <f>IF(AI21="","",MIN($D34-SUM($E34:AH34),AI38))</f>
        <v>0</v>
      </c>
      <c r="AJ34" s="24">
        <f>IF(AJ21="","",MIN($D34-SUM($E34:AI34),AJ38))</f>
        <v>0</v>
      </c>
      <c r="AK34" s="24">
        <f>IF(AK21="","",MIN($D34-SUM($E34:AJ34),AK38))</f>
        <v>0</v>
      </c>
      <c r="AL34" s="24">
        <f>IF(AL21="","",MIN($D34-SUM($E34:AK34),AL38))</f>
        <v>0</v>
      </c>
      <c r="AM34" s="24">
        <f>IF(AM21="","",MIN($D34-SUM($E34:AL34),AM38))</f>
        <v>0</v>
      </c>
      <c r="AN34" s="24">
        <f>IF(AN21="","",MIN($D34-SUM($E34:AM34),AN38))</f>
        <v>0</v>
      </c>
      <c r="AO34" s="24">
        <f>IF(AO21="","",MIN($D34-SUM($E34:AN34),AO38))</f>
        <v>0</v>
      </c>
      <c r="AP34" s="24">
        <f>IF(AP21="","",MIN($D34-SUM($E34:AO34),AP38))</f>
        <v>0</v>
      </c>
      <c r="AQ34" s="24">
        <f>IF(AQ21="","",MIN($D34-SUM($E34:AP34),AQ38))</f>
        <v>0</v>
      </c>
      <c r="AR34" s="24">
        <f>IF(AR21="","",MIN($D34-SUM($E34:AQ34),AR38))</f>
        <v>0</v>
      </c>
      <c r="AS34" s="24">
        <f>IF(AS21="","",MIN($D34-SUM($E34:AR34),AS38))</f>
        <v>0</v>
      </c>
      <c r="AT34" s="24">
        <f>IF(AT21="","",MIN($D34-SUM($E34:AS34),AT38))</f>
        <v>0</v>
      </c>
      <c r="AU34" s="24">
        <f>IF(AU21="","",MIN($D34-SUM($E34:AT34),AU38))</f>
        <v>516885.18817558885</v>
      </c>
      <c r="AV34" s="24">
        <f>IF(AV21="","",MIN($D34-SUM($E34:AU34),AV38))</f>
        <v>0</v>
      </c>
      <c r="AW34" s="24">
        <f>IF(AW21="","",MIN($D34-SUM($E34:AV34),AW38))</f>
        <v>0</v>
      </c>
      <c r="AX34" s="24">
        <f>IF(AX21="","",MIN($D34-SUM($E34:AW34),AX38))</f>
        <v>0</v>
      </c>
      <c r="AY34" s="24">
        <f>IF(AY21="","",MIN($D34-SUM($E34:AX34),AY38))</f>
        <v>0</v>
      </c>
      <c r="AZ34" s="24">
        <f>IF(AZ21="","",MIN($D34-SUM($E34:AY34),AZ38))</f>
        <v>0</v>
      </c>
      <c r="BA34" s="24">
        <f>IF(BA21="","",MIN($D34-SUM($E34:AZ34),BA38))</f>
        <v>0</v>
      </c>
      <c r="BB34" s="24">
        <f>IF(BB21="","",MIN($D34-SUM($E34:BA34),BB38))</f>
        <v>0</v>
      </c>
      <c r="BC34" s="24">
        <f>IF(BC21="","",MIN($D34-SUM($E34:BB34),BC38))</f>
        <v>0</v>
      </c>
      <c r="BD34" s="24">
        <f>IF(BD21="","",MIN($D34-SUM($E34:BC34),BD38))</f>
        <v>0</v>
      </c>
      <c r="BE34" s="24">
        <f>IF(BE21="","",MIN($D34-SUM($E34:BD34),BE38))</f>
        <v>0</v>
      </c>
      <c r="BF34" s="24">
        <f>IF(BF21="","",MIN($D34-SUM($E34:BE34),BF38))</f>
        <v>0</v>
      </c>
      <c r="BG34" s="24">
        <f>IF(BG21="","",MIN($D34-SUM($E34:BF34),BG38))</f>
        <v>0</v>
      </c>
      <c r="BH34" s="24">
        <f>IF(BH21="","",MIN($D34-SUM($E34:BG34),BH38))</f>
        <v>0</v>
      </c>
      <c r="BI34" s="24">
        <f>IF(BI21="","",MIN($D34-SUM($E34:BH34),BI38))</f>
        <v>0</v>
      </c>
      <c r="BJ34" s="24">
        <f>IF(BJ21="","",MIN($D34-SUM($E34:BI34),BJ38))</f>
        <v>0</v>
      </c>
      <c r="BK34" s="24">
        <f>IF(BK21="","",MIN($D34-SUM($E34:BJ34),BK38))</f>
        <v>0</v>
      </c>
      <c r="BL34" s="24">
        <f>IF(BL21="","",MIN($D34-SUM($E34:BK34),BL38))</f>
        <v>0</v>
      </c>
      <c r="BM34" s="24">
        <f>IF(BM21="","",MIN($D34-SUM($E34:BL34),BM38))</f>
        <v>0</v>
      </c>
      <c r="BN34" s="24">
        <f>IF(BN21="","",MIN($D34-SUM($E34:BM34),BN38))</f>
        <v>0</v>
      </c>
      <c r="BO34" s="24">
        <f>IF(BO21="","",MIN($D34-SUM($E34:BN34),BO38))</f>
        <v>0</v>
      </c>
      <c r="BP34" s="24">
        <f>IF(BP21="","",MIN($D34-SUM($E34:BO34),BP38))</f>
        <v>0</v>
      </c>
      <c r="BQ34" s="24">
        <f>IF(BQ21="","",MIN($D34-SUM($E34:BP34),BQ38))</f>
        <v>0</v>
      </c>
      <c r="BR34" s="24">
        <f>IF(BR21="","",MIN($D34-SUM($E34:BQ34),BR38))</f>
        <v>0</v>
      </c>
      <c r="BS34" s="24">
        <f>IF(BS21="","",MIN($D34-SUM($E34:BR34),BS38))</f>
        <v>0</v>
      </c>
      <c r="BT34" s="24">
        <f>IF(BT21="","",MIN($D34-SUM($E34:BS34),BT38))</f>
        <v>0</v>
      </c>
      <c r="BU34" s="24">
        <f>IF(BU21="","",MIN($D34-SUM($E34:BT34),BU38))</f>
        <v>0</v>
      </c>
      <c r="BV34" s="24">
        <f>IF(BV21="","",MIN($D34-SUM($E34:BU34),BV38))</f>
        <v>0</v>
      </c>
      <c r="BW34" s="24">
        <f>IF(BW21="","",MIN($D34-SUM($E34:BV34),BW38))</f>
        <v>0</v>
      </c>
      <c r="BX34" s="24">
        <f>IF(BX21="","",MIN($D34-SUM($E34:BW34),BX38))</f>
        <v>0</v>
      </c>
      <c r="BY34" s="24">
        <f>IF(BY21="","",MIN($D34-SUM($E34:BX34),BY38))</f>
        <v>0</v>
      </c>
      <c r="BZ34" s="24">
        <f>IF(BZ21="","",MIN($D34-SUM($E34:BY34),BZ38))</f>
        <v>0</v>
      </c>
      <c r="CA34" s="24">
        <f>IF(CA21="","",MIN($D34-SUM($E34:BZ34),CA38))</f>
        <v>0</v>
      </c>
      <c r="CB34" s="24">
        <f>IF(CB21="","",MIN($D34-SUM($E34:CA34),CB38))</f>
        <v>0</v>
      </c>
      <c r="CC34" s="24">
        <f>IF(CC21="","",MIN($D34-SUM($E34:CB34),CC38))</f>
        <v>0</v>
      </c>
      <c r="CD34" s="24">
        <f>IF(CD21="","",MIN($D34-SUM($E34:CC34),CD38))</f>
        <v>0</v>
      </c>
      <c r="CE34" s="24">
        <f>IF(CE21="","",MIN($D34-SUM($E34:CD34),CE38))</f>
        <v>0</v>
      </c>
      <c r="CF34" s="24">
        <f>IF(CF21="","",MIN($D34-SUM($E34:CE34),CF38))</f>
        <v>0</v>
      </c>
      <c r="CG34" s="24">
        <f>IF(CG21="","",MIN($D34-SUM($E34:CF34),CG38))</f>
        <v>0</v>
      </c>
      <c r="CH34" s="24">
        <f>IF(CH21="","",MIN($D34-SUM($E34:CG34),CH38))</f>
        <v>0</v>
      </c>
      <c r="CI34" s="24">
        <f>IF(CI21="","",MIN($D34-SUM($E34:CH34),CI38))</f>
        <v>0</v>
      </c>
      <c r="CJ34" s="24">
        <f>IF(CJ21="","",MIN($D34-SUM($E34:CI34),CJ38))</f>
        <v>0</v>
      </c>
      <c r="CK34" s="24">
        <f>IF(CK21="","",MIN($D34-SUM($E34:CJ34),CK38))</f>
        <v>0</v>
      </c>
      <c r="CL34" s="24">
        <f>IF(CL21="","",MIN($D34-SUM($E34:CK34),CL38))</f>
        <v>0</v>
      </c>
      <c r="CM34" s="24">
        <f>IF(CM21="","",MIN($D34-SUM($E34:CL34),CM38))</f>
        <v>0</v>
      </c>
      <c r="CN34" s="24">
        <f>IF(CN21="","",MIN($D34-SUM($E34:CM34),CN38))</f>
        <v>0</v>
      </c>
      <c r="CO34" s="24">
        <f>IF(CO21="","",MIN($D34-SUM($E34:CN34),CO38))</f>
        <v>0</v>
      </c>
      <c r="CP34" s="24">
        <f>IF(CP21="","",MIN($D34-SUM($E34:CO34),CP38))</f>
        <v>0</v>
      </c>
      <c r="CQ34" s="24">
        <f>IF(CQ21="","",MIN($D34-SUM($E34:CP34),CQ38))</f>
        <v>0</v>
      </c>
      <c r="CR34" s="24">
        <f>IF(CR21="","",MIN($D34-SUM($E34:CQ34),CR38))</f>
        <v>0</v>
      </c>
      <c r="CS34" s="24">
        <f>IF(CS21="","",MIN($D34-SUM($E34:CR34),CS38))</f>
        <v>0</v>
      </c>
      <c r="CT34" s="24">
        <f>IF(CT21="","",MIN($D34-SUM($E34:CS34),CT38))</f>
        <v>0</v>
      </c>
      <c r="CU34" s="24">
        <f>IF(CU21="","",MIN($D34-SUM($E34:CT34),CU38))</f>
        <v>0</v>
      </c>
      <c r="CV34" s="24">
        <f>IF(CV21="","",MIN($D34-SUM($E34:CU34),CV38))</f>
        <v>0</v>
      </c>
      <c r="CW34" s="24">
        <f>IF(CW21="","",MIN($D34-SUM($E34:CV34),CW38))</f>
        <v>0</v>
      </c>
      <c r="CX34" s="24" t="str">
        <f>IF(CX21="","",MIN($D34-SUM($E34:CW34),CX38))</f>
        <v/>
      </c>
      <c r="CY34" s="24" t="str">
        <f>IF(CY21="","",MIN($D34-SUM($E34:CX34),CY38))</f>
        <v/>
      </c>
      <c r="CZ34" s="24" t="str">
        <f>IF(CZ21="","",MIN($D34-SUM($E34:CY34),CZ38))</f>
        <v/>
      </c>
      <c r="DA34" s="24" t="str">
        <f>IF(DA21="","",MIN($D34-SUM($E34:CZ34),DA38))</f>
        <v/>
      </c>
      <c r="DB34" s="24" t="str">
        <f>IF(DB21="","",MIN($D34-SUM($E34:DA34),DB38))</f>
        <v/>
      </c>
      <c r="DC34" s="24" t="str">
        <f>IF(DC21="","",MIN($D34-SUM($E34:DB34),DC38))</f>
        <v/>
      </c>
      <c r="DD34" s="24" t="str">
        <f>IF(DD21="","",MIN($D34-SUM($E34:DC34),DD38))</f>
        <v/>
      </c>
      <c r="DE34" s="24" t="str">
        <f>IF(DE21="","",MIN($D34-SUM($E34:DD34),DE38))</f>
        <v/>
      </c>
      <c r="DF34" s="24" t="str">
        <f>IF(DF21="","",MIN($D34-SUM($E34:DE34),DF38))</f>
        <v/>
      </c>
      <c r="DG34" s="24" t="str">
        <f>IF(DG21="","",MIN($D34-SUM($E34:DF34),DG38))</f>
        <v/>
      </c>
      <c r="DH34" s="24" t="str">
        <f>IF(DH21="","",MIN($D34-SUM($E34:DG34),DH38))</f>
        <v/>
      </c>
      <c r="DI34" s="24" t="str">
        <f>IF(DI21="","",MIN($D34-SUM($E34:DH34),DI38))</f>
        <v/>
      </c>
      <c r="DJ34" s="24" t="str">
        <f>IF(DJ21="","",MIN($D34-SUM($E34:DI34),DJ38))</f>
        <v/>
      </c>
      <c r="DK34" s="24" t="str">
        <f>IF(DK21="","",MIN($D34-SUM($E34:DJ34),DK38))</f>
        <v/>
      </c>
      <c r="DL34" s="24" t="str">
        <f>IF(DL21="","",MIN($D34-SUM($E34:DK34),DL38))</f>
        <v/>
      </c>
      <c r="DM34" s="24" t="str">
        <f>IF(DM21="","",MIN($D34-SUM($E34:DL34),DM38))</f>
        <v/>
      </c>
      <c r="DN34" s="24" t="str">
        <f>IF(DN21="","",MIN($D34-SUM($E34:DM34),DN38))</f>
        <v/>
      </c>
      <c r="DO34" s="24" t="str">
        <f>IF(DO21="","",MIN($D34-SUM($E34:DN34),DO38))</f>
        <v/>
      </c>
      <c r="DP34" s="24" t="str">
        <f>IF(DP21="","",MIN($D34-SUM($E34:DO34),DP38))</f>
        <v/>
      </c>
      <c r="DQ34" s="24" t="str">
        <f>IF(DQ21="","",MIN($D34-SUM($E34:DP34),DQ38))</f>
        <v/>
      </c>
      <c r="DR34" s="24" t="str">
        <f>IF(DR21="","",MIN($D34-SUM($E34:DQ34),DR38))</f>
        <v/>
      </c>
      <c r="DS34" s="24" t="str">
        <f>IF(DS21="","",MIN($D34-SUM($E34:DR34),DS38))</f>
        <v/>
      </c>
      <c r="DT34" s="24" t="str">
        <f>IF(DT21="","",MIN($D34-SUM($E34:DS34),DT38))</f>
        <v/>
      </c>
      <c r="DU34" s="24" t="str">
        <f>IF(DU21="","",MIN($D34-SUM($E34:DT34),DU38))</f>
        <v/>
      </c>
      <c r="DV34" s="24" t="str">
        <f>IF(DV21="","",MIN($D34-SUM($E34:DU34),DV38))</f>
        <v/>
      </c>
      <c r="DW34" s="24"/>
      <c r="DX34" s="24"/>
      <c r="DY34" s="70"/>
    </row>
    <row r="35" spans="2:133" x14ac:dyDescent="0.2">
      <c r="B35" s="67" t="s">
        <v>5</v>
      </c>
      <c r="C35" s="71" t="str">
        <f>IF(ROUND(D35,0)=ROUND(SUM(F35:DY35),0),"OK","ERROR")</f>
        <v>OK</v>
      </c>
      <c r="D35" s="24">
        <f>MIN(D38,D40)</f>
        <v>13971642.399999997</v>
      </c>
      <c r="E35" s="52"/>
      <c r="F35" s="24">
        <f>IF(F21="","",MIN($D35-SUM($E35:E35),F38-F34))</f>
        <v>0</v>
      </c>
      <c r="G35" s="24">
        <f>IF(G21="","",MIN($D35-SUM($E35:F35),G38-G34))</f>
        <v>0</v>
      </c>
      <c r="H35" s="24">
        <f>IF(H21="","",MIN($D35-SUM($E35:G35),H38-H34))</f>
        <v>0</v>
      </c>
      <c r="I35" s="24">
        <f>IF(I21="","",MIN($D35-SUM($E35:H35),I38-I34))</f>
        <v>0</v>
      </c>
      <c r="J35" s="24">
        <f>IF(J21="","",MIN($D35-SUM($E35:I35),J38-J34))</f>
        <v>0</v>
      </c>
      <c r="K35" s="24">
        <f>IF(K21="","",MIN($D35-SUM($E35:J35),K38-K34))</f>
        <v>0</v>
      </c>
      <c r="L35" s="24">
        <f>IF(L21="","",MIN($D35-SUM($E35:K35),L38-L34))</f>
        <v>0</v>
      </c>
      <c r="M35" s="24">
        <f>IF(M21="","",MIN($D35-SUM($E35:L35),M38-M34))</f>
        <v>0</v>
      </c>
      <c r="N35" s="24">
        <f>IF(N21="","",MIN($D35-SUM($E35:M35),N38-N34))</f>
        <v>0</v>
      </c>
      <c r="O35" s="24">
        <f>IF(O21="","",MIN($D35-SUM($E35:N35),O38-O34))</f>
        <v>0</v>
      </c>
      <c r="P35" s="24">
        <f>IF(P21="","",MIN($D35-SUM($E35:O35),P38-P34))</f>
        <v>0</v>
      </c>
      <c r="Q35" s="24">
        <f>IF(Q21="","",MIN($D35-SUM($E35:P35),Q38-Q34))</f>
        <v>0</v>
      </c>
      <c r="R35" s="24">
        <f>IF(R21="","",MIN($D35-SUM($E35:Q35),R38-R34))</f>
        <v>0</v>
      </c>
      <c r="S35" s="24">
        <f>IF(S21="","",MIN($D35-SUM($E35:R35),S38-S34))</f>
        <v>0</v>
      </c>
      <c r="T35" s="24">
        <f>IF(T21="","",MIN($D35-SUM($E35:S35),T38-T34))</f>
        <v>0</v>
      </c>
      <c r="U35" s="24">
        <f>IF(U21="","",MIN($D35-SUM($E35:T35),U38-U34))</f>
        <v>0</v>
      </c>
      <c r="V35" s="24">
        <f>IF(V21="","",MIN($D35-SUM($E35:U35),V38-V34))</f>
        <v>0</v>
      </c>
      <c r="W35" s="24">
        <f>IF(W21="","",MIN($D35-SUM($E35:V35),W38-W34))</f>
        <v>0</v>
      </c>
      <c r="X35" s="24">
        <f>IF(X21="","",MIN($D35-SUM($E35:W35),X38-X34))</f>
        <v>0</v>
      </c>
      <c r="Y35" s="24">
        <f>IF(Y21="","",MIN($D35-SUM($E35:X35),Y38-Y34))</f>
        <v>0</v>
      </c>
      <c r="Z35" s="24">
        <f>IF(Z21="","",MIN($D35-SUM($E35:Y35),Z38-Z34))</f>
        <v>0</v>
      </c>
      <c r="AA35" s="24">
        <f>IF(AA21="","",MIN($D35-SUM($E35:Z35),AA38-AA34))</f>
        <v>0</v>
      </c>
      <c r="AB35" s="24">
        <f>IF(AB21="","",MIN($D35-SUM($E35:AA35),AB38-AB34))</f>
        <v>0</v>
      </c>
      <c r="AC35" s="24">
        <f>IF(AC21="","",MIN($D35-SUM($E35:AB35),AC38-AC34))</f>
        <v>0</v>
      </c>
      <c r="AD35" s="24">
        <f>IF(AD21="","",MIN($D35-SUM($E35:AC35),AD38-AD34))</f>
        <v>0</v>
      </c>
      <c r="AE35" s="24">
        <f>IF(AE21="","",MIN($D35-SUM($E35:AD35),AE38-AE34))</f>
        <v>0</v>
      </c>
      <c r="AF35" s="24">
        <f>IF(AF21="","",MIN($D35-SUM($E35:AE35),AF38-AF34))</f>
        <v>0</v>
      </c>
      <c r="AG35" s="24">
        <f>IF(AG21="","",MIN($D35-SUM($E35:AF35),AG38-AG34))</f>
        <v>0</v>
      </c>
      <c r="AH35" s="24">
        <f>IF(AH21="","",MIN($D35-SUM($E35:AG35),AH38-AH34))</f>
        <v>0</v>
      </c>
      <c r="AI35" s="24">
        <f>IF(AI21="","",MIN($D35-SUM($E35:AH35),AI38-AI34))</f>
        <v>0</v>
      </c>
      <c r="AJ35" s="24">
        <f>IF(AJ21="","",MIN($D35-SUM($E35:AI35),AJ38-AJ34))</f>
        <v>0</v>
      </c>
      <c r="AK35" s="24">
        <f>IF(AK21="","",MIN($D35-SUM($E35:AJ35),AK38-AK34))</f>
        <v>0</v>
      </c>
      <c r="AL35" s="24">
        <f>IF(AL21="","",MIN($D35-SUM($E35:AK35),AL38-AL34))</f>
        <v>0</v>
      </c>
      <c r="AM35" s="24">
        <f>IF(AM21="","",MIN($D35-SUM($E35:AL35),AM38-AM34))</f>
        <v>0</v>
      </c>
      <c r="AN35" s="24">
        <f>IF(AN21="","",MIN($D35-SUM($E35:AM35),AN38-AN34))</f>
        <v>0</v>
      </c>
      <c r="AO35" s="24">
        <f>IF(AO21="","",MIN($D35-SUM($E35:AN35),AO38-AO34))</f>
        <v>0</v>
      </c>
      <c r="AP35" s="24">
        <f>IF(AP21="","",MIN($D35-SUM($E35:AO35),AP38-AP34))</f>
        <v>0</v>
      </c>
      <c r="AQ35" s="24">
        <f>IF(AQ21="","",MIN($D35-SUM($E35:AP35),AQ38-AQ34))</f>
        <v>0</v>
      </c>
      <c r="AR35" s="24">
        <f>IF(AR21="","",MIN($D35-SUM($E35:AQ35),AR38-AR34))</f>
        <v>0</v>
      </c>
      <c r="AS35" s="24">
        <f>IF(AS21="","",MIN($D35-SUM($E35:AR35),AS38-AS34))</f>
        <v>0</v>
      </c>
      <c r="AT35" s="24">
        <f>IF(AT21="","",MIN($D35-SUM($E35:AS35),AT38-AT34))</f>
        <v>0</v>
      </c>
      <c r="AU35" s="24">
        <f>IF(AU21="","",MIN($D35-SUM($E35:AT35),AU38-AU34))</f>
        <v>3622790.9118244112</v>
      </c>
      <c r="AV35" s="24">
        <f>IF(AV21="","",MIN($D35-SUM($E35:AU35),AV38-AV34))</f>
        <v>0</v>
      </c>
      <c r="AW35" s="24">
        <f>IF(AW21="","",MIN($D35-SUM($E35:AV35),AW38-AW34))</f>
        <v>0</v>
      </c>
      <c r="AX35" s="24">
        <f>IF(AX21="","",MIN($D35-SUM($E35:AW35),AX38-AX34))</f>
        <v>0</v>
      </c>
      <c r="AY35" s="24">
        <f>IF(AY21="","",MIN($D35-SUM($E35:AX35),AY38-AY34))</f>
        <v>0</v>
      </c>
      <c r="AZ35" s="24">
        <f>IF(AZ21="","",MIN($D35-SUM($E35:AY35),AZ38-AZ34))</f>
        <v>0</v>
      </c>
      <c r="BA35" s="24">
        <f>IF(BA21="","",MIN($D35-SUM($E35:AZ35),BA38-BA34))</f>
        <v>10348851.488175586</v>
      </c>
      <c r="BB35" s="24">
        <f>IF(BB21="","",MIN($D35-SUM($E35:BA35),BB38-BB34))</f>
        <v>0</v>
      </c>
      <c r="BC35" s="24">
        <f>IF(BC21="","",MIN($D35-SUM($E35:BB35),BC38-BC34))</f>
        <v>0</v>
      </c>
      <c r="BD35" s="24">
        <f>IF(BD21="","",MIN($D35-SUM($E35:BC35),BD38-BD34))</f>
        <v>0</v>
      </c>
      <c r="BE35" s="24">
        <f>IF(BE21="","",MIN($D35-SUM($E35:BD35),BE38-BE34))</f>
        <v>0</v>
      </c>
      <c r="BF35" s="24">
        <f>IF(BF21="","",MIN($D35-SUM($E35:BE35),BF38-BF34))</f>
        <v>0</v>
      </c>
      <c r="BG35" s="24">
        <f>IF(BG21="","",MIN($D35-SUM($E35:BF35),BG38-BG34))</f>
        <v>0</v>
      </c>
      <c r="BH35" s="24">
        <f>IF(BH21="","",MIN($D35-SUM($E35:BG35),BH38-BH34))</f>
        <v>0</v>
      </c>
      <c r="BI35" s="24">
        <f>IF(BI21="","",MIN($D35-SUM($E35:BH35),BI38-BI34))</f>
        <v>0</v>
      </c>
      <c r="BJ35" s="24">
        <f>IF(BJ21="","",MIN($D35-SUM($E35:BI35),BJ38-BJ34))</f>
        <v>0</v>
      </c>
      <c r="BK35" s="24">
        <f>IF(BK21="","",MIN($D35-SUM($E35:BJ35),BK38-BK34))</f>
        <v>0</v>
      </c>
      <c r="BL35" s="24">
        <f>IF(BL21="","",MIN($D35-SUM($E35:BK35),BL38-BL34))</f>
        <v>0</v>
      </c>
      <c r="BM35" s="24">
        <f>IF(BM21="","",MIN($D35-SUM($E35:BL35),BM38-BM34))</f>
        <v>0</v>
      </c>
      <c r="BN35" s="24">
        <f>IF(BN21="","",MIN($D35-SUM($E35:BM35),BN38-BN34))</f>
        <v>0</v>
      </c>
      <c r="BO35" s="24">
        <f>IF(BO21="","",MIN($D35-SUM($E35:BN35),BO38-BO34))</f>
        <v>0</v>
      </c>
      <c r="BP35" s="24">
        <f>IF(BP21="","",MIN($D35-SUM($E35:BO35),BP38-BP34))</f>
        <v>0</v>
      </c>
      <c r="BQ35" s="24">
        <f>IF(BQ21="","",MIN($D35-SUM($E35:BP35),BQ38-BQ34))</f>
        <v>0</v>
      </c>
      <c r="BR35" s="24">
        <f>IF(BR21="","",MIN($D35-SUM($E35:BQ35),BR38-BR34))</f>
        <v>0</v>
      </c>
      <c r="BS35" s="24">
        <f>IF(BS21="","",MIN($D35-SUM($E35:BR35),BS38-BS34))</f>
        <v>0</v>
      </c>
      <c r="BT35" s="24">
        <f>IF(BT21="","",MIN($D35-SUM($E35:BS35),BT38-BT34))</f>
        <v>0</v>
      </c>
      <c r="BU35" s="24">
        <f>IF(BU21="","",MIN($D35-SUM($E35:BT35),BU38-BU34))</f>
        <v>0</v>
      </c>
      <c r="BV35" s="24">
        <f>IF(BV21="","",MIN($D35-SUM($E35:BU35),BV38-BV34))</f>
        <v>0</v>
      </c>
      <c r="BW35" s="24">
        <f>IF(BW21="","",MIN($D35-SUM($E35:BV35),BW38-BW34))</f>
        <v>0</v>
      </c>
      <c r="BX35" s="24">
        <f>IF(BX21="","",MIN($D35-SUM($E35:BW35),BX38-BX34))</f>
        <v>0</v>
      </c>
      <c r="BY35" s="24">
        <f>IF(BY21="","",MIN($D35-SUM($E35:BX35),BY38-BY34))</f>
        <v>0</v>
      </c>
      <c r="BZ35" s="24">
        <f>IF(BZ21="","",MIN($D35-SUM($E35:BY35),BZ38-BZ34))</f>
        <v>0</v>
      </c>
      <c r="CA35" s="24">
        <f>IF(CA21="","",MIN($D35-SUM($E35:BZ35),CA38-CA34))</f>
        <v>0</v>
      </c>
      <c r="CB35" s="24">
        <f>IF(CB21="","",MIN($D35-SUM($E35:CA35),CB38-CB34))</f>
        <v>0</v>
      </c>
      <c r="CC35" s="24">
        <f>IF(CC21="","",MIN($D35-SUM($E35:CB35),CC38-CC34))</f>
        <v>0</v>
      </c>
      <c r="CD35" s="24">
        <f>IF(CD21="","",MIN($D35-SUM($E35:CC35),CD38-CD34))</f>
        <v>0</v>
      </c>
      <c r="CE35" s="24">
        <f>IF(CE21="","",MIN($D35-SUM($E35:CD35),CE38-CE34))</f>
        <v>0</v>
      </c>
      <c r="CF35" s="24">
        <f>IF(CF21="","",MIN($D35-SUM($E35:CE35),CF38-CF34))</f>
        <v>0</v>
      </c>
      <c r="CG35" s="24">
        <f>IF(CG21="","",MIN($D35-SUM($E35:CF35),CG38-CG34))</f>
        <v>0</v>
      </c>
      <c r="CH35" s="24">
        <f>IF(CH21="","",MIN($D35-SUM($E35:CG35),CH38-CH34))</f>
        <v>0</v>
      </c>
      <c r="CI35" s="24">
        <f>IF(CI21="","",MIN($D35-SUM($E35:CH35),CI38-CI34))</f>
        <v>0</v>
      </c>
      <c r="CJ35" s="24">
        <f>IF(CJ21="","",MIN($D35-SUM($E35:CI35),CJ38-CJ34))</f>
        <v>0</v>
      </c>
      <c r="CK35" s="24">
        <f>IF(CK21="","",MIN($D35-SUM($E35:CJ35),CK38-CK34))</f>
        <v>0</v>
      </c>
      <c r="CL35" s="24">
        <f>IF(CL21="","",MIN($D35-SUM($E35:CK35),CL38-CL34))</f>
        <v>0</v>
      </c>
      <c r="CM35" s="24">
        <f>IF(CM21="","",MIN($D35-SUM($E35:CL35),CM38-CM34))</f>
        <v>0</v>
      </c>
      <c r="CN35" s="24">
        <f>IF(CN21="","",MIN($D35-SUM($E35:CM35),CN38-CN34))</f>
        <v>0</v>
      </c>
      <c r="CO35" s="24">
        <f>IF(CO21="","",MIN($D35-SUM($E35:CN35),CO38-CO34))</f>
        <v>0</v>
      </c>
      <c r="CP35" s="24">
        <f>IF(CP21="","",MIN($D35-SUM($E35:CO35),CP38-CP34))</f>
        <v>0</v>
      </c>
      <c r="CQ35" s="24">
        <f>IF(CQ21="","",MIN($D35-SUM($E35:CP35),CQ38-CQ34))</f>
        <v>0</v>
      </c>
      <c r="CR35" s="24">
        <f>IF(CR21="","",MIN($D35-SUM($E35:CQ35),CR38-CR34))</f>
        <v>0</v>
      </c>
      <c r="CS35" s="24">
        <f>IF(CS21="","",MIN($D35-SUM($E35:CR35),CS38-CS34))</f>
        <v>0</v>
      </c>
      <c r="CT35" s="24">
        <f>IF(CT21="","",MIN($D35-SUM($E35:CS35),CT38-CT34))</f>
        <v>0</v>
      </c>
      <c r="CU35" s="24">
        <f>IF(CU21="","",MIN($D35-SUM($E35:CT35),CU38-CU34))</f>
        <v>0</v>
      </c>
      <c r="CV35" s="24">
        <f>IF(CV21="","",MIN($D35-SUM($E35:CU35),CV38-CV34))</f>
        <v>0</v>
      </c>
      <c r="CW35" s="24">
        <f>IF(CW21="","",MIN($D35-SUM($E35:CV35),CW38-CW34))</f>
        <v>0</v>
      </c>
      <c r="CX35" s="24" t="str">
        <f>IF(CX21="","",MIN($D35-SUM($E35:CW35),CX38-CX34))</f>
        <v/>
      </c>
      <c r="CY35" s="24" t="str">
        <f>IF(CY21="","",MIN($D35-SUM($E35:CX35),CY38-CY34))</f>
        <v/>
      </c>
      <c r="CZ35" s="24" t="str">
        <f>IF(CZ21="","",MIN($D35-SUM($E35:CY35),CZ38-CZ34))</f>
        <v/>
      </c>
      <c r="DA35" s="24" t="str">
        <f>IF(DA21="","",MIN($D35-SUM($E35:CZ35),DA38-DA34))</f>
        <v/>
      </c>
      <c r="DB35" s="24" t="str">
        <f>IF(DB21="","",MIN($D35-SUM($E35:DA35),DB38-DB34))</f>
        <v/>
      </c>
      <c r="DC35" s="24" t="str">
        <f>IF(DC21="","",MIN($D35-SUM($E35:DB35),DC38-DC34))</f>
        <v/>
      </c>
      <c r="DD35" s="24" t="str">
        <f>IF(DD21="","",MIN($D35-SUM($E35:DC35),DD38-DD34))</f>
        <v/>
      </c>
      <c r="DE35" s="24" t="str">
        <f>IF(DE21="","",MIN($D35-SUM($E35:DD35),DE38-DE34))</f>
        <v/>
      </c>
      <c r="DF35" s="24" t="str">
        <f>IF(DF21="","",MIN($D35-SUM($E35:DE35),DF38-DF34))</f>
        <v/>
      </c>
      <c r="DG35" s="24" t="str">
        <f>IF(DG21="","",MIN($D35-SUM($E35:DF35),DG38-DG34))</f>
        <v/>
      </c>
      <c r="DH35" s="24" t="str">
        <f>IF(DH21="","",MIN($D35-SUM($E35:DG35),DH38-DH34))</f>
        <v/>
      </c>
      <c r="DI35" s="24" t="str">
        <f>IF(DI21="","",MIN($D35-SUM($E35:DH35),DI38-DI34))</f>
        <v/>
      </c>
      <c r="DJ35" s="24" t="str">
        <f>IF(DJ21="","",MIN($D35-SUM($E35:DI35),DJ38-DJ34))</f>
        <v/>
      </c>
      <c r="DK35" s="24" t="str">
        <f>IF(DK21="","",MIN($D35-SUM($E35:DJ35),DK38-DK34))</f>
        <v/>
      </c>
      <c r="DL35" s="24" t="str">
        <f>IF(DL21="","",MIN($D35-SUM($E35:DK35),DL38-DL34))</f>
        <v/>
      </c>
      <c r="DM35" s="24" t="str">
        <f>IF(DM21="","",MIN($D35-SUM($E35:DL35),DM38-DM34))</f>
        <v/>
      </c>
      <c r="DN35" s="24" t="str">
        <f>IF(DN21="","",MIN($D35-SUM($E35:DM35),DN38-DN34))</f>
        <v/>
      </c>
      <c r="DO35" s="24" t="str">
        <f>IF(DO21="","",MIN($D35-SUM($E35:DN35),DO38-DO34))</f>
        <v/>
      </c>
      <c r="DP35" s="24" t="str">
        <f>IF(DP21="","",MIN($D35-SUM($E35:DO35),DP38-DP34))</f>
        <v/>
      </c>
      <c r="DQ35" s="24" t="str">
        <f>IF(DQ21="","",MIN($D35-SUM($E35:DP35),DQ38-DQ34))</f>
        <v/>
      </c>
      <c r="DR35" s="24" t="str">
        <f>IF(DR21="","",MIN($D35-SUM($E35:DQ35),DR38-DR34))</f>
        <v/>
      </c>
      <c r="DS35" s="24" t="str">
        <f>IF(DS21="","",MIN($D35-SUM($E35:DR35),DS38-DS34))</f>
        <v/>
      </c>
      <c r="DT35" s="24" t="str">
        <f>IF(DT21="","",MIN($D35-SUM($E35:DS35),DT38-DT34))</f>
        <v/>
      </c>
      <c r="DU35" s="24" t="str">
        <f>IF(DU21="","",MIN($D35-SUM($E35:DT35),DU38-DU34))</f>
        <v/>
      </c>
      <c r="DV35" s="24" t="str">
        <f>IF(DV21="","",MIN($D35-SUM($E35:DU35),DV38-DV34))</f>
        <v/>
      </c>
      <c r="DW35" s="24"/>
      <c r="DX35" s="24"/>
      <c r="DY35" s="70"/>
    </row>
    <row r="36" spans="2:133" x14ac:dyDescent="0.2">
      <c r="B36" s="67" t="s">
        <v>39</v>
      </c>
      <c r="C36" s="71" t="str">
        <f>IF(ROUND(D36,0)=ROUND(SUM(F36:DY36),0),"OK","ERROR")</f>
        <v>OK</v>
      </c>
      <c r="D36" s="24">
        <f>D38-D35-D37-D34</f>
        <v>47040197.72900755</v>
      </c>
      <c r="E36" s="52"/>
      <c r="F36" s="24">
        <f>IF(F21="","",F38-F37-F35-F34)</f>
        <v>0</v>
      </c>
      <c r="G36" s="24">
        <f t="shared" ref="G36:BR36" si="12">IF(G21="","",G38-G37-G35-G34)</f>
        <v>0</v>
      </c>
      <c r="H36" s="24">
        <f t="shared" si="12"/>
        <v>0</v>
      </c>
      <c r="I36" s="24">
        <f t="shared" si="12"/>
        <v>0</v>
      </c>
      <c r="J36" s="24">
        <f t="shared" si="12"/>
        <v>0</v>
      </c>
      <c r="K36" s="24">
        <f t="shared" si="12"/>
        <v>0</v>
      </c>
      <c r="L36" s="24">
        <f t="shared" si="12"/>
        <v>0</v>
      </c>
      <c r="M36" s="24">
        <f t="shared" si="12"/>
        <v>0</v>
      </c>
      <c r="N36" s="24">
        <f t="shared" si="12"/>
        <v>0</v>
      </c>
      <c r="O36" s="24">
        <f t="shared" si="12"/>
        <v>0</v>
      </c>
      <c r="P36" s="24">
        <f t="shared" si="12"/>
        <v>0</v>
      </c>
      <c r="Q36" s="24">
        <f t="shared" si="12"/>
        <v>0</v>
      </c>
      <c r="R36" s="24">
        <f t="shared" si="12"/>
        <v>0</v>
      </c>
      <c r="S36" s="24">
        <f t="shared" si="12"/>
        <v>0</v>
      </c>
      <c r="T36" s="24">
        <f t="shared" si="12"/>
        <v>0</v>
      </c>
      <c r="U36" s="24">
        <f t="shared" si="12"/>
        <v>0</v>
      </c>
      <c r="V36" s="24">
        <f t="shared" si="12"/>
        <v>0</v>
      </c>
      <c r="W36" s="24">
        <f t="shared" si="12"/>
        <v>0</v>
      </c>
      <c r="X36" s="24">
        <f t="shared" si="12"/>
        <v>0</v>
      </c>
      <c r="Y36" s="24">
        <f t="shared" si="12"/>
        <v>0</v>
      </c>
      <c r="Z36" s="24">
        <f t="shared" si="12"/>
        <v>0</v>
      </c>
      <c r="AA36" s="24">
        <f t="shared" si="12"/>
        <v>0</v>
      </c>
      <c r="AB36" s="24">
        <f t="shared" si="12"/>
        <v>0</v>
      </c>
      <c r="AC36" s="24">
        <f t="shared" si="12"/>
        <v>0</v>
      </c>
      <c r="AD36" s="24">
        <f t="shared" si="12"/>
        <v>0</v>
      </c>
      <c r="AE36" s="24">
        <f t="shared" si="12"/>
        <v>0</v>
      </c>
      <c r="AF36" s="24">
        <f t="shared" si="12"/>
        <v>0</v>
      </c>
      <c r="AG36" s="24">
        <f t="shared" si="12"/>
        <v>0</v>
      </c>
      <c r="AH36" s="24">
        <f t="shared" si="12"/>
        <v>0</v>
      </c>
      <c r="AI36" s="24">
        <f t="shared" si="12"/>
        <v>0</v>
      </c>
      <c r="AJ36" s="24">
        <f t="shared" si="12"/>
        <v>0</v>
      </c>
      <c r="AK36" s="24">
        <f t="shared" si="12"/>
        <v>0</v>
      </c>
      <c r="AL36" s="24">
        <f t="shared" si="12"/>
        <v>0</v>
      </c>
      <c r="AM36" s="24">
        <f t="shared" si="12"/>
        <v>0</v>
      </c>
      <c r="AN36" s="24">
        <f t="shared" si="12"/>
        <v>0</v>
      </c>
      <c r="AO36" s="24">
        <f t="shared" si="12"/>
        <v>0</v>
      </c>
      <c r="AP36" s="24">
        <f t="shared" si="12"/>
        <v>0</v>
      </c>
      <c r="AQ36" s="24">
        <f t="shared" si="12"/>
        <v>0</v>
      </c>
      <c r="AR36" s="24">
        <f t="shared" si="12"/>
        <v>0</v>
      </c>
      <c r="AS36" s="24">
        <f t="shared" si="12"/>
        <v>0</v>
      </c>
      <c r="AT36" s="24">
        <f t="shared" si="12"/>
        <v>0</v>
      </c>
      <c r="AU36" s="24">
        <f t="shared" si="12"/>
        <v>0</v>
      </c>
      <c r="AV36" s="24">
        <f t="shared" si="12"/>
        <v>0</v>
      </c>
      <c r="AW36" s="24">
        <f t="shared" si="12"/>
        <v>0</v>
      </c>
      <c r="AX36" s="24">
        <f t="shared" si="12"/>
        <v>0</v>
      </c>
      <c r="AY36" s="24">
        <f t="shared" si="12"/>
        <v>0</v>
      </c>
      <c r="AZ36" s="24">
        <f t="shared" si="12"/>
        <v>0</v>
      </c>
      <c r="BA36" s="24">
        <f t="shared" si="12"/>
        <v>30920883.684076443</v>
      </c>
      <c r="BB36" s="24">
        <f t="shared" si="12"/>
        <v>0</v>
      </c>
      <c r="BC36" s="24">
        <f t="shared" si="12"/>
        <v>0</v>
      </c>
      <c r="BD36" s="24">
        <f t="shared" si="12"/>
        <v>0</v>
      </c>
      <c r="BE36" s="24">
        <f t="shared" si="12"/>
        <v>0</v>
      </c>
      <c r="BF36" s="24">
        <f t="shared" si="12"/>
        <v>0</v>
      </c>
      <c r="BG36" s="24">
        <f t="shared" si="12"/>
        <v>0</v>
      </c>
      <c r="BH36" s="24">
        <f t="shared" si="12"/>
        <v>0</v>
      </c>
      <c r="BI36" s="24">
        <f t="shared" si="12"/>
        <v>0</v>
      </c>
      <c r="BJ36" s="24">
        <f t="shared" si="12"/>
        <v>0</v>
      </c>
      <c r="BK36" s="24">
        <f t="shared" si="12"/>
        <v>0</v>
      </c>
      <c r="BL36" s="24">
        <f t="shared" si="12"/>
        <v>0</v>
      </c>
      <c r="BM36" s="24">
        <f t="shared" si="12"/>
        <v>0</v>
      </c>
      <c r="BN36" s="24">
        <f t="shared" si="12"/>
        <v>0</v>
      </c>
      <c r="BO36" s="24">
        <f t="shared" si="12"/>
        <v>0</v>
      </c>
      <c r="BP36" s="24">
        <f t="shared" si="12"/>
        <v>0</v>
      </c>
      <c r="BQ36" s="24">
        <f t="shared" si="12"/>
        <v>0</v>
      </c>
      <c r="BR36" s="24">
        <f t="shared" si="12"/>
        <v>0</v>
      </c>
      <c r="BS36" s="24">
        <f t="shared" ref="BS36:DV36" si="13">IF(BS21="","",BS38-BS37-BS35-BS34)</f>
        <v>0</v>
      </c>
      <c r="BT36" s="24">
        <f t="shared" si="13"/>
        <v>0</v>
      </c>
      <c r="BU36" s="24">
        <f t="shared" si="13"/>
        <v>0</v>
      </c>
      <c r="BV36" s="24">
        <f t="shared" si="13"/>
        <v>0</v>
      </c>
      <c r="BW36" s="24">
        <f t="shared" si="13"/>
        <v>0</v>
      </c>
      <c r="BX36" s="24">
        <f t="shared" si="13"/>
        <v>0</v>
      </c>
      <c r="BY36" s="24">
        <f t="shared" si="13"/>
        <v>0</v>
      </c>
      <c r="BZ36" s="24">
        <f t="shared" si="13"/>
        <v>0</v>
      </c>
      <c r="CA36" s="24">
        <f t="shared" si="13"/>
        <v>0</v>
      </c>
      <c r="CB36" s="24">
        <f t="shared" si="13"/>
        <v>0</v>
      </c>
      <c r="CC36" s="24">
        <f t="shared" si="13"/>
        <v>0</v>
      </c>
      <c r="CD36" s="24">
        <f t="shared" si="13"/>
        <v>0</v>
      </c>
      <c r="CE36" s="24">
        <f t="shared" si="13"/>
        <v>6326635.555927828</v>
      </c>
      <c r="CF36" s="24">
        <f t="shared" si="13"/>
        <v>0</v>
      </c>
      <c r="CG36" s="24">
        <f t="shared" si="13"/>
        <v>0</v>
      </c>
      <c r="CH36" s="24">
        <f t="shared" si="13"/>
        <v>0</v>
      </c>
      <c r="CI36" s="24">
        <f t="shared" si="13"/>
        <v>0</v>
      </c>
      <c r="CJ36" s="24">
        <f t="shared" si="13"/>
        <v>0</v>
      </c>
      <c r="CK36" s="24">
        <f t="shared" si="13"/>
        <v>0</v>
      </c>
      <c r="CL36" s="24">
        <f t="shared" si="13"/>
        <v>0</v>
      </c>
      <c r="CM36" s="24">
        <f t="shared" si="13"/>
        <v>0</v>
      </c>
      <c r="CN36" s="24">
        <f t="shared" si="13"/>
        <v>0</v>
      </c>
      <c r="CO36" s="24">
        <f t="shared" si="13"/>
        <v>0</v>
      </c>
      <c r="CP36" s="24">
        <f t="shared" si="13"/>
        <v>0</v>
      </c>
      <c r="CQ36" s="24">
        <f t="shared" si="13"/>
        <v>0</v>
      </c>
      <c r="CR36" s="24">
        <f t="shared" si="13"/>
        <v>0</v>
      </c>
      <c r="CS36" s="24">
        <f t="shared" si="13"/>
        <v>0</v>
      </c>
      <c r="CT36" s="24">
        <f t="shared" si="13"/>
        <v>0</v>
      </c>
      <c r="CU36" s="24">
        <f t="shared" si="13"/>
        <v>0</v>
      </c>
      <c r="CV36" s="24">
        <f t="shared" si="13"/>
        <v>0</v>
      </c>
      <c r="CW36" s="24">
        <f t="shared" si="13"/>
        <v>9792678.489003282</v>
      </c>
      <c r="CX36" s="24" t="str">
        <f t="shared" si="13"/>
        <v/>
      </c>
      <c r="CY36" s="24" t="str">
        <f t="shared" si="13"/>
        <v/>
      </c>
      <c r="CZ36" s="24" t="str">
        <f t="shared" si="13"/>
        <v/>
      </c>
      <c r="DA36" s="24" t="str">
        <f t="shared" si="13"/>
        <v/>
      </c>
      <c r="DB36" s="24" t="str">
        <f t="shared" si="13"/>
        <v/>
      </c>
      <c r="DC36" s="24" t="str">
        <f t="shared" si="13"/>
        <v/>
      </c>
      <c r="DD36" s="24" t="str">
        <f t="shared" si="13"/>
        <v/>
      </c>
      <c r="DE36" s="24" t="str">
        <f t="shared" si="13"/>
        <v/>
      </c>
      <c r="DF36" s="24" t="str">
        <f t="shared" si="13"/>
        <v/>
      </c>
      <c r="DG36" s="24" t="str">
        <f t="shared" si="13"/>
        <v/>
      </c>
      <c r="DH36" s="24" t="str">
        <f t="shared" si="13"/>
        <v/>
      </c>
      <c r="DI36" s="24" t="str">
        <f t="shared" si="13"/>
        <v/>
      </c>
      <c r="DJ36" s="24" t="str">
        <f t="shared" si="13"/>
        <v/>
      </c>
      <c r="DK36" s="24" t="str">
        <f t="shared" si="13"/>
        <v/>
      </c>
      <c r="DL36" s="24" t="str">
        <f t="shared" si="13"/>
        <v/>
      </c>
      <c r="DM36" s="24" t="str">
        <f t="shared" si="13"/>
        <v/>
      </c>
      <c r="DN36" s="24" t="str">
        <f t="shared" si="13"/>
        <v/>
      </c>
      <c r="DO36" s="24" t="str">
        <f t="shared" si="13"/>
        <v/>
      </c>
      <c r="DP36" s="24" t="str">
        <f t="shared" si="13"/>
        <v/>
      </c>
      <c r="DQ36" s="24" t="str">
        <f t="shared" si="13"/>
        <v/>
      </c>
      <c r="DR36" s="24" t="str">
        <f t="shared" si="13"/>
        <v/>
      </c>
      <c r="DS36" s="24" t="str">
        <f t="shared" si="13"/>
        <v/>
      </c>
      <c r="DT36" s="24" t="str">
        <f t="shared" si="13"/>
        <v/>
      </c>
      <c r="DU36" s="24" t="str">
        <f t="shared" si="13"/>
        <v/>
      </c>
      <c r="DV36" s="24" t="str">
        <f t="shared" si="13"/>
        <v/>
      </c>
      <c r="DW36" s="24"/>
      <c r="DX36" s="24"/>
      <c r="DY36" s="70"/>
    </row>
    <row r="37" spans="2:133" ht="18" x14ac:dyDescent="0.35">
      <c r="B37" s="67" t="s">
        <v>32</v>
      </c>
      <c r="C37" s="71" t="str">
        <f>IF(ROUND(D37,0)=ROUND(SUM(F37:DY37),0),"OK","ERROR")</f>
        <v>OK</v>
      </c>
      <c r="D37" s="73">
        <f>D26/Equity_Share_LP*Equity_Share_GP</f>
        <v>7445784.5389236575</v>
      </c>
      <c r="E37" s="52"/>
      <c r="F37" s="73">
        <f t="shared" ref="F37:P37" si="14">IF(F21="","",F26/Equity_Share_LP*Equity_Share_GP)</f>
        <v>0</v>
      </c>
      <c r="G37" s="73">
        <f t="shared" si="14"/>
        <v>0</v>
      </c>
      <c r="H37" s="73">
        <f t="shared" si="14"/>
        <v>0</v>
      </c>
      <c r="I37" s="73">
        <f t="shared" si="14"/>
        <v>0</v>
      </c>
      <c r="J37" s="73">
        <f t="shared" si="14"/>
        <v>0</v>
      </c>
      <c r="K37" s="73">
        <f t="shared" si="14"/>
        <v>0</v>
      </c>
      <c r="L37" s="73">
        <f t="shared" si="14"/>
        <v>0</v>
      </c>
      <c r="M37" s="73">
        <f t="shared" si="14"/>
        <v>0</v>
      </c>
      <c r="N37" s="73">
        <f t="shared" si="14"/>
        <v>0</v>
      </c>
      <c r="O37" s="73">
        <f t="shared" si="14"/>
        <v>0</v>
      </c>
      <c r="P37" s="73">
        <f t="shared" si="14"/>
        <v>0</v>
      </c>
      <c r="Q37" s="73">
        <f t="shared" ref="Q37:CB37" si="15">IF(Q21="","",Q26/Equity_Share_LP*Equity_Share_GP)</f>
        <v>0</v>
      </c>
      <c r="R37" s="73">
        <f t="shared" si="15"/>
        <v>0</v>
      </c>
      <c r="S37" s="73">
        <f t="shared" si="15"/>
        <v>0</v>
      </c>
      <c r="T37" s="73">
        <f t="shared" si="15"/>
        <v>0</v>
      </c>
      <c r="U37" s="73">
        <f t="shared" si="15"/>
        <v>0</v>
      </c>
      <c r="V37" s="73">
        <f t="shared" si="15"/>
        <v>0</v>
      </c>
      <c r="W37" s="73">
        <f t="shared" si="15"/>
        <v>0</v>
      </c>
      <c r="X37" s="73">
        <f t="shared" si="15"/>
        <v>0</v>
      </c>
      <c r="Y37" s="73">
        <f t="shared" si="15"/>
        <v>0</v>
      </c>
      <c r="Z37" s="73">
        <f t="shared" si="15"/>
        <v>0</v>
      </c>
      <c r="AA37" s="73">
        <f t="shared" si="15"/>
        <v>0</v>
      </c>
      <c r="AB37" s="73">
        <f t="shared" si="15"/>
        <v>0</v>
      </c>
      <c r="AC37" s="73">
        <f t="shared" si="15"/>
        <v>0</v>
      </c>
      <c r="AD37" s="73">
        <f t="shared" si="15"/>
        <v>0</v>
      </c>
      <c r="AE37" s="73">
        <f t="shared" si="15"/>
        <v>0</v>
      </c>
      <c r="AF37" s="73">
        <f t="shared" si="15"/>
        <v>0</v>
      </c>
      <c r="AG37" s="73">
        <f t="shared" si="15"/>
        <v>0</v>
      </c>
      <c r="AH37" s="73">
        <f t="shared" si="15"/>
        <v>0</v>
      </c>
      <c r="AI37" s="73">
        <f t="shared" si="15"/>
        <v>0</v>
      </c>
      <c r="AJ37" s="73">
        <f t="shared" si="15"/>
        <v>0</v>
      </c>
      <c r="AK37" s="73">
        <f t="shared" si="15"/>
        <v>0</v>
      </c>
      <c r="AL37" s="73">
        <f t="shared" si="15"/>
        <v>0</v>
      </c>
      <c r="AM37" s="73">
        <f t="shared" si="15"/>
        <v>0</v>
      </c>
      <c r="AN37" s="73">
        <f t="shared" si="15"/>
        <v>0</v>
      </c>
      <c r="AO37" s="73">
        <f t="shared" si="15"/>
        <v>0</v>
      </c>
      <c r="AP37" s="73">
        <f t="shared" si="15"/>
        <v>0</v>
      </c>
      <c r="AQ37" s="73">
        <f t="shared" si="15"/>
        <v>0</v>
      </c>
      <c r="AR37" s="73">
        <f t="shared" si="15"/>
        <v>0</v>
      </c>
      <c r="AS37" s="73">
        <f t="shared" si="15"/>
        <v>0</v>
      </c>
      <c r="AT37" s="73">
        <f t="shared" si="15"/>
        <v>0</v>
      </c>
      <c r="AU37" s="73">
        <f t="shared" si="15"/>
        <v>0</v>
      </c>
      <c r="AV37" s="73">
        <f t="shared" si="15"/>
        <v>0</v>
      </c>
      <c r="AW37" s="73">
        <f t="shared" si="15"/>
        <v>0</v>
      </c>
      <c r="AX37" s="73">
        <f t="shared" si="15"/>
        <v>0</v>
      </c>
      <c r="AY37" s="73">
        <f t="shared" si="15"/>
        <v>0</v>
      </c>
      <c r="AZ37" s="73">
        <f t="shared" si="15"/>
        <v>0</v>
      </c>
      <c r="BA37" s="73">
        <f t="shared" si="15"/>
        <v>3854052.5434167646</v>
      </c>
      <c r="BB37" s="73">
        <f t="shared" si="15"/>
        <v>0</v>
      </c>
      <c r="BC37" s="73">
        <f t="shared" si="15"/>
        <v>0</v>
      </c>
      <c r="BD37" s="73">
        <f t="shared" si="15"/>
        <v>0</v>
      </c>
      <c r="BE37" s="73">
        <f t="shared" si="15"/>
        <v>0</v>
      </c>
      <c r="BF37" s="73">
        <f t="shared" si="15"/>
        <v>0</v>
      </c>
      <c r="BG37" s="73">
        <f t="shared" si="15"/>
        <v>0</v>
      </c>
      <c r="BH37" s="73">
        <f t="shared" si="15"/>
        <v>0</v>
      </c>
      <c r="BI37" s="73">
        <f t="shared" si="15"/>
        <v>0</v>
      </c>
      <c r="BJ37" s="73">
        <f t="shared" si="15"/>
        <v>0</v>
      </c>
      <c r="BK37" s="73">
        <f t="shared" si="15"/>
        <v>0</v>
      </c>
      <c r="BL37" s="73">
        <f t="shared" si="15"/>
        <v>0</v>
      </c>
      <c r="BM37" s="73">
        <f t="shared" si="15"/>
        <v>0</v>
      </c>
      <c r="BN37" s="73">
        <f t="shared" si="15"/>
        <v>0</v>
      </c>
      <c r="BO37" s="73">
        <f t="shared" si="15"/>
        <v>0</v>
      </c>
      <c r="BP37" s="73">
        <f t="shared" si="15"/>
        <v>0</v>
      </c>
      <c r="BQ37" s="73">
        <f t="shared" si="15"/>
        <v>0</v>
      </c>
      <c r="BR37" s="73">
        <f t="shared" si="15"/>
        <v>0</v>
      </c>
      <c r="BS37" s="73">
        <f t="shared" si="15"/>
        <v>0</v>
      </c>
      <c r="BT37" s="73">
        <f t="shared" si="15"/>
        <v>0</v>
      </c>
      <c r="BU37" s="73">
        <f t="shared" si="15"/>
        <v>0</v>
      </c>
      <c r="BV37" s="73">
        <f t="shared" si="15"/>
        <v>0</v>
      </c>
      <c r="BW37" s="73">
        <f t="shared" si="15"/>
        <v>0</v>
      </c>
      <c r="BX37" s="73">
        <f t="shared" si="15"/>
        <v>0</v>
      </c>
      <c r="BY37" s="73">
        <f t="shared" si="15"/>
        <v>590691.70000000007</v>
      </c>
      <c r="BZ37" s="73">
        <f t="shared" si="15"/>
        <v>428441.7</v>
      </c>
      <c r="CA37" s="73">
        <f t="shared" si="15"/>
        <v>0</v>
      </c>
      <c r="CB37" s="73">
        <f t="shared" si="15"/>
        <v>0</v>
      </c>
      <c r="CC37" s="73">
        <f t="shared" ref="CC37:DJ37" si="16">IF(CC21="","",CC26/Equity_Share_LP*Equity_Share_GP)</f>
        <v>0</v>
      </c>
      <c r="CD37" s="73">
        <f t="shared" si="16"/>
        <v>0</v>
      </c>
      <c r="CE37" s="73">
        <f t="shared" si="16"/>
        <v>846286.4444072172</v>
      </c>
      <c r="CF37" s="73">
        <f t="shared" si="16"/>
        <v>0</v>
      </c>
      <c r="CG37" s="73">
        <f t="shared" si="16"/>
        <v>0</v>
      </c>
      <c r="CH37" s="73">
        <f t="shared" si="16"/>
        <v>0</v>
      </c>
      <c r="CI37" s="73">
        <f t="shared" si="16"/>
        <v>0</v>
      </c>
      <c r="CJ37" s="73">
        <f t="shared" si="16"/>
        <v>0</v>
      </c>
      <c r="CK37" s="73">
        <f t="shared" si="16"/>
        <v>0</v>
      </c>
      <c r="CL37" s="73">
        <f t="shared" si="16"/>
        <v>0</v>
      </c>
      <c r="CM37" s="73">
        <f t="shared" si="16"/>
        <v>0</v>
      </c>
      <c r="CN37" s="73">
        <f t="shared" si="16"/>
        <v>0</v>
      </c>
      <c r="CO37" s="73">
        <f t="shared" si="16"/>
        <v>0</v>
      </c>
      <c r="CP37" s="73">
        <f t="shared" si="16"/>
        <v>0</v>
      </c>
      <c r="CQ37" s="73">
        <f t="shared" si="16"/>
        <v>0</v>
      </c>
      <c r="CR37" s="73">
        <f t="shared" si="16"/>
        <v>0</v>
      </c>
      <c r="CS37" s="73">
        <f t="shared" si="16"/>
        <v>0</v>
      </c>
      <c r="CT37" s="73">
        <f t="shared" si="16"/>
        <v>0</v>
      </c>
      <c r="CU37" s="73">
        <f t="shared" si="16"/>
        <v>0</v>
      </c>
      <c r="CV37" s="73">
        <f t="shared" si="16"/>
        <v>0</v>
      </c>
      <c r="CW37" s="73">
        <f t="shared" si="16"/>
        <v>1726312.1510996718</v>
      </c>
      <c r="CX37" s="73" t="str">
        <f t="shared" si="16"/>
        <v/>
      </c>
      <c r="CY37" s="73" t="str">
        <f t="shared" si="16"/>
        <v/>
      </c>
      <c r="CZ37" s="73" t="str">
        <f t="shared" si="16"/>
        <v/>
      </c>
      <c r="DA37" s="73" t="str">
        <f t="shared" si="16"/>
        <v/>
      </c>
      <c r="DB37" s="73" t="str">
        <f t="shared" si="16"/>
        <v/>
      </c>
      <c r="DC37" s="73" t="str">
        <f t="shared" si="16"/>
        <v/>
      </c>
      <c r="DD37" s="73" t="str">
        <f t="shared" si="16"/>
        <v/>
      </c>
      <c r="DE37" s="73" t="str">
        <f t="shared" si="16"/>
        <v/>
      </c>
      <c r="DF37" s="73" t="str">
        <f t="shared" si="16"/>
        <v/>
      </c>
      <c r="DG37" s="73" t="str">
        <f t="shared" si="16"/>
        <v/>
      </c>
      <c r="DH37" s="73" t="str">
        <f t="shared" si="16"/>
        <v/>
      </c>
      <c r="DI37" s="73" t="str">
        <f t="shared" si="16"/>
        <v/>
      </c>
      <c r="DJ37" s="73" t="str">
        <f t="shared" si="16"/>
        <v/>
      </c>
      <c r="DK37" s="73" t="str">
        <f t="shared" ref="DK37:DV37" si="17">IF(DK21="","",DK26/Equity_Share_LP*Equity_Share_GP)</f>
        <v/>
      </c>
      <c r="DL37" s="73" t="str">
        <f t="shared" si="17"/>
        <v/>
      </c>
      <c r="DM37" s="73" t="str">
        <f t="shared" si="17"/>
        <v/>
      </c>
      <c r="DN37" s="73" t="str">
        <f t="shared" si="17"/>
        <v/>
      </c>
      <c r="DO37" s="73" t="str">
        <f t="shared" si="17"/>
        <v/>
      </c>
      <c r="DP37" s="73" t="str">
        <f t="shared" si="17"/>
        <v/>
      </c>
      <c r="DQ37" s="73" t="str">
        <f t="shared" si="17"/>
        <v/>
      </c>
      <c r="DR37" s="73" t="str">
        <f t="shared" si="17"/>
        <v/>
      </c>
      <c r="DS37" s="73" t="str">
        <f t="shared" si="17"/>
        <v/>
      </c>
      <c r="DT37" s="73" t="str">
        <f t="shared" si="17"/>
        <v/>
      </c>
      <c r="DU37" s="73" t="str">
        <f t="shared" si="17"/>
        <v/>
      </c>
      <c r="DV37" s="73" t="str">
        <f t="shared" si="17"/>
        <v/>
      </c>
      <c r="DW37" s="73"/>
      <c r="DX37" s="73"/>
      <c r="DY37" s="74"/>
    </row>
    <row r="38" spans="2:133" x14ac:dyDescent="0.2">
      <c r="B38" s="67" t="s">
        <v>40</v>
      </c>
      <c r="C38" s="75"/>
      <c r="D38" s="24">
        <f>SUM(F38:DY38)</f>
        <v>71818055.256106794</v>
      </c>
      <c r="E38" s="52"/>
      <c r="F38" s="24">
        <f t="shared" ref="F38:BQ38" si="18">IF(F$21="","",($C$13="IRR")*F75+($C$13="Equity Multiple")*F183)</f>
        <v>0</v>
      </c>
      <c r="G38" s="24">
        <f t="shared" si="18"/>
        <v>0</v>
      </c>
      <c r="H38" s="24">
        <f t="shared" si="18"/>
        <v>0</v>
      </c>
      <c r="I38" s="24">
        <f t="shared" si="18"/>
        <v>0</v>
      </c>
      <c r="J38" s="24">
        <f t="shared" si="18"/>
        <v>0</v>
      </c>
      <c r="K38" s="24">
        <f t="shared" si="18"/>
        <v>0</v>
      </c>
      <c r="L38" s="24">
        <f t="shared" si="18"/>
        <v>0</v>
      </c>
      <c r="M38" s="24">
        <f t="shared" si="18"/>
        <v>0</v>
      </c>
      <c r="N38" s="24">
        <f t="shared" si="18"/>
        <v>0</v>
      </c>
      <c r="O38" s="24">
        <f t="shared" si="18"/>
        <v>0</v>
      </c>
      <c r="P38" s="24">
        <f t="shared" si="18"/>
        <v>0</v>
      </c>
      <c r="Q38" s="24">
        <f t="shared" si="18"/>
        <v>0</v>
      </c>
      <c r="R38" s="24">
        <f t="shared" si="18"/>
        <v>0</v>
      </c>
      <c r="S38" s="24">
        <f t="shared" si="18"/>
        <v>0</v>
      </c>
      <c r="T38" s="24">
        <f t="shared" si="18"/>
        <v>0</v>
      </c>
      <c r="U38" s="24">
        <f t="shared" si="18"/>
        <v>0</v>
      </c>
      <c r="V38" s="24">
        <f t="shared" si="18"/>
        <v>0</v>
      </c>
      <c r="W38" s="24">
        <f t="shared" si="18"/>
        <v>0</v>
      </c>
      <c r="X38" s="24">
        <f t="shared" si="18"/>
        <v>0</v>
      </c>
      <c r="Y38" s="24">
        <f t="shared" si="18"/>
        <v>0</v>
      </c>
      <c r="Z38" s="24">
        <f t="shared" si="18"/>
        <v>0</v>
      </c>
      <c r="AA38" s="24">
        <f t="shared" si="18"/>
        <v>0</v>
      </c>
      <c r="AB38" s="24">
        <f t="shared" si="18"/>
        <v>0</v>
      </c>
      <c r="AC38" s="24">
        <f t="shared" si="18"/>
        <v>0</v>
      </c>
      <c r="AD38" s="24">
        <f t="shared" si="18"/>
        <v>0</v>
      </c>
      <c r="AE38" s="24">
        <f t="shared" si="18"/>
        <v>2843545.4000000004</v>
      </c>
      <c r="AF38" s="24">
        <f t="shared" si="18"/>
        <v>0</v>
      </c>
      <c r="AG38" s="24">
        <f t="shared" si="18"/>
        <v>0</v>
      </c>
      <c r="AH38" s="24">
        <f t="shared" si="18"/>
        <v>0</v>
      </c>
      <c r="AI38" s="24">
        <f t="shared" si="18"/>
        <v>0</v>
      </c>
      <c r="AJ38" s="24">
        <f t="shared" si="18"/>
        <v>0</v>
      </c>
      <c r="AK38" s="24">
        <f t="shared" si="18"/>
        <v>0</v>
      </c>
      <c r="AL38" s="24">
        <f t="shared" si="18"/>
        <v>0</v>
      </c>
      <c r="AM38" s="24">
        <f t="shared" si="18"/>
        <v>0</v>
      </c>
      <c r="AN38" s="24">
        <f t="shared" si="18"/>
        <v>0</v>
      </c>
      <c r="AO38" s="24">
        <f t="shared" si="18"/>
        <v>0</v>
      </c>
      <c r="AP38" s="24">
        <f t="shared" si="18"/>
        <v>0</v>
      </c>
      <c r="AQ38" s="24">
        <f t="shared" si="18"/>
        <v>0</v>
      </c>
      <c r="AR38" s="24">
        <f t="shared" si="18"/>
        <v>0</v>
      </c>
      <c r="AS38" s="24">
        <f t="shared" si="18"/>
        <v>0</v>
      </c>
      <c r="AT38" s="24">
        <f t="shared" si="18"/>
        <v>0</v>
      </c>
      <c r="AU38" s="24">
        <f t="shared" si="18"/>
        <v>4139676.1</v>
      </c>
      <c r="AV38" s="24">
        <f t="shared" si="18"/>
        <v>0</v>
      </c>
      <c r="AW38" s="24">
        <f t="shared" si="18"/>
        <v>0</v>
      </c>
      <c r="AX38" s="24">
        <f t="shared" si="18"/>
        <v>0</v>
      </c>
      <c r="AY38" s="24">
        <f t="shared" si="18"/>
        <v>0</v>
      </c>
      <c r="AZ38" s="24">
        <f t="shared" si="18"/>
        <v>0</v>
      </c>
      <c r="BA38" s="24">
        <f t="shared" si="18"/>
        <v>45123787.71566879</v>
      </c>
      <c r="BB38" s="24">
        <f t="shared" si="18"/>
        <v>0</v>
      </c>
      <c r="BC38" s="24">
        <f t="shared" si="18"/>
        <v>0</v>
      </c>
      <c r="BD38" s="24">
        <f t="shared" si="18"/>
        <v>0</v>
      </c>
      <c r="BE38" s="24">
        <f t="shared" si="18"/>
        <v>0</v>
      </c>
      <c r="BF38" s="24">
        <f t="shared" si="18"/>
        <v>0</v>
      </c>
      <c r="BG38" s="24">
        <f t="shared" si="18"/>
        <v>0</v>
      </c>
      <c r="BH38" s="24">
        <f t="shared" si="18"/>
        <v>0</v>
      </c>
      <c r="BI38" s="24">
        <f t="shared" si="18"/>
        <v>0</v>
      </c>
      <c r="BJ38" s="24">
        <f t="shared" si="18"/>
        <v>0</v>
      </c>
      <c r="BK38" s="24">
        <f t="shared" si="18"/>
        <v>0</v>
      </c>
      <c r="BL38" s="24">
        <f t="shared" si="18"/>
        <v>0</v>
      </c>
      <c r="BM38" s="24">
        <f t="shared" si="18"/>
        <v>0</v>
      </c>
      <c r="BN38" s="24">
        <f t="shared" si="18"/>
        <v>0</v>
      </c>
      <c r="BO38" s="24">
        <f t="shared" si="18"/>
        <v>0</v>
      </c>
      <c r="BP38" s="24">
        <f t="shared" si="18"/>
        <v>0</v>
      </c>
      <c r="BQ38" s="24">
        <f t="shared" si="18"/>
        <v>0</v>
      </c>
      <c r="BR38" s="24">
        <f t="shared" ref="BR38:DV38" si="19">IF(BR$21="","",($C$13="IRR")*BR75+($C$13="Equity Multiple")*BR183)</f>
        <v>0</v>
      </c>
      <c r="BS38" s="24">
        <f t="shared" si="19"/>
        <v>0</v>
      </c>
      <c r="BT38" s="24">
        <f t="shared" si="19"/>
        <v>0</v>
      </c>
      <c r="BU38" s="24">
        <f t="shared" si="19"/>
        <v>0</v>
      </c>
      <c r="BV38" s="24">
        <f t="shared" si="19"/>
        <v>0</v>
      </c>
      <c r="BW38" s="24">
        <f t="shared" si="19"/>
        <v>0</v>
      </c>
      <c r="BX38" s="24">
        <f t="shared" si="19"/>
        <v>0</v>
      </c>
      <c r="BY38" s="24">
        <f t="shared" si="19"/>
        <v>590691.70000000007</v>
      </c>
      <c r="BZ38" s="24">
        <f t="shared" si="19"/>
        <v>428441.7</v>
      </c>
      <c r="CA38" s="24">
        <f t="shared" si="19"/>
        <v>0</v>
      </c>
      <c r="CB38" s="24">
        <f t="shared" si="19"/>
        <v>0</v>
      </c>
      <c r="CC38" s="24">
        <f t="shared" si="19"/>
        <v>0</v>
      </c>
      <c r="CD38" s="24">
        <f t="shared" si="19"/>
        <v>0</v>
      </c>
      <c r="CE38" s="24">
        <f t="shared" si="19"/>
        <v>7172922.0003350452</v>
      </c>
      <c r="CF38" s="24">
        <f t="shared" si="19"/>
        <v>0</v>
      </c>
      <c r="CG38" s="24">
        <f t="shared" si="19"/>
        <v>0</v>
      </c>
      <c r="CH38" s="24">
        <f t="shared" si="19"/>
        <v>0</v>
      </c>
      <c r="CI38" s="24">
        <f t="shared" si="19"/>
        <v>0</v>
      </c>
      <c r="CJ38" s="24">
        <f t="shared" si="19"/>
        <v>0</v>
      </c>
      <c r="CK38" s="24">
        <f t="shared" si="19"/>
        <v>0</v>
      </c>
      <c r="CL38" s="24">
        <f t="shared" si="19"/>
        <v>0</v>
      </c>
      <c r="CM38" s="24">
        <f t="shared" si="19"/>
        <v>0</v>
      </c>
      <c r="CN38" s="24">
        <f t="shared" si="19"/>
        <v>0</v>
      </c>
      <c r="CO38" s="24">
        <f t="shared" si="19"/>
        <v>0</v>
      </c>
      <c r="CP38" s="24">
        <f t="shared" si="19"/>
        <v>0</v>
      </c>
      <c r="CQ38" s="24">
        <f t="shared" si="19"/>
        <v>0</v>
      </c>
      <c r="CR38" s="24">
        <f t="shared" si="19"/>
        <v>0</v>
      </c>
      <c r="CS38" s="24">
        <f t="shared" si="19"/>
        <v>0</v>
      </c>
      <c r="CT38" s="24">
        <f t="shared" si="19"/>
        <v>0</v>
      </c>
      <c r="CU38" s="24">
        <f t="shared" si="19"/>
        <v>0</v>
      </c>
      <c r="CV38" s="24">
        <f t="shared" si="19"/>
        <v>0</v>
      </c>
      <c r="CW38" s="24">
        <f t="shared" si="19"/>
        <v>11518990.640102955</v>
      </c>
      <c r="CX38" s="24" t="str">
        <f t="shared" si="19"/>
        <v/>
      </c>
      <c r="CY38" s="24" t="str">
        <f t="shared" si="19"/>
        <v/>
      </c>
      <c r="CZ38" s="24" t="str">
        <f t="shared" si="19"/>
        <v/>
      </c>
      <c r="DA38" s="24" t="str">
        <f t="shared" si="19"/>
        <v/>
      </c>
      <c r="DB38" s="24" t="str">
        <f t="shared" si="19"/>
        <v/>
      </c>
      <c r="DC38" s="24" t="str">
        <f t="shared" si="19"/>
        <v/>
      </c>
      <c r="DD38" s="24" t="str">
        <f t="shared" si="19"/>
        <v/>
      </c>
      <c r="DE38" s="24" t="str">
        <f t="shared" si="19"/>
        <v/>
      </c>
      <c r="DF38" s="24" t="str">
        <f t="shared" si="19"/>
        <v/>
      </c>
      <c r="DG38" s="24" t="str">
        <f t="shared" si="19"/>
        <v/>
      </c>
      <c r="DH38" s="24" t="str">
        <f t="shared" si="19"/>
        <v/>
      </c>
      <c r="DI38" s="24" t="str">
        <f t="shared" si="19"/>
        <v/>
      </c>
      <c r="DJ38" s="24" t="str">
        <f t="shared" si="19"/>
        <v/>
      </c>
      <c r="DK38" s="24" t="str">
        <f t="shared" si="19"/>
        <v/>
      </c>
      <c r="DL38" s="24" t="str">
        <f t="shared" si="19"/>
        <v/>
      </c>
      <c r="DM38" s="24" t="str">
        <f t="shared" si="19"/>
        <v/>
      </c>
      <c r="DN38" s="24" t="str">
        <f t="shared" si="19"/>
        <v/>
      </c>
      <c r="DO38" s="24" t="str">
        <f t="shared" si="19"/>
        <v/>
      </c>
      <c r="DP38" s="24" t="str">
        <f t="shared" si="19"/>
        <v/>
      </c>
      <c r="DQ38" s="24" t="str">
        <f t="shared" si="19"/>
        <v/>
      </c>
      <c r="DR38" s="24" t="str">
        <f t="shared" si="19"/>
        <v/>
      </c>
      <c r="DS38" s="24" t="str">
        <f t="shared" si="19"/>
        <v/>
      </c>
      <c r="DT38" s="24" t="str">
        <f t="shared" si="19"/>
        <v/>
      </c>
      <c r="DU38" s="24" t="str">
        <f t="shared" si="19"/>
        <v/>
      </c>
      <c r="DV38" s="24" t="str">
        <f t="shared" si="19"/>
        <v/>
      </c>
      <c r="DW38" s="24"/>
      <c r="DX38" s="24"/>
      <c r="DY38" s="70"/>
    </row>
    <row r="39" spans="2:133" x14ac:dyDescent="0.2">
      <c r="B39" s="67" t="s">
        <v>41</v>
      </c>
      <c r="C39" s="75"/>
      <c r="D39" s="24">
        <f>SUM(F39:DY39)</f>
        <v>0</v>
      </c>
      <c r="E39" s="52"/>
      <c r="F39" s="24">
        <f t="shared" ref="F39:P39" si="20">IF(F21="","",SUM(F48:F49))</f>
        <v>0</v>
      </c>
      <c r="G39" s="24">
        <f t="shared" si="20"/>
        <v>0</v>
      </c>
      <c r="H39" s="24">
        <f t="shared" si="20"/>
        <v>0</v>
      </c>
      <c r="I39" s="24">
        <f t="shared" si="20"/>
        <v>0</v>
      </c>
      <c r="J39" s="24">
        <f t="shared" si="20"/>
        <v>0</v>
      </c>
      <c r="K39" s="24">
        <f t="shared" si="20"/>
        <v>0</v>
      </c>
      <c r="L39" s="24">
        <f t="shared" si="20"/>
        <v>0</v>
      </c>
      <c r="M39" s="24">
        <f t="shared" si="20"/>
        <v>0</v>
      </c>
      <c r="N39" s="24">
        <f t="shared" si="20"/>
        <v>0</v>
      </c>
      <c r="O39" s="24">
        <f t="shared" si="20"/>
        <v>0</v>
      </c>
      <c r="P39" s="24">
        <f t="shared" si="20"/>
        <v>0</v>
      </c>
      <c r="Q39" s="24">
        <f t="shared" ref="Q39:CB39" si="21">IF(Q21="","",SUM(Q48:Q49))</f>
        <v>0</v>
      </c>
      <c r="R39" s="24">
        <f t="shared" si="21"/>
        <v>0</v>
      </c>
      <c r="S39" s="24">
        <f t="shared" si="21"/>
        <v>0</v>
      </c>
      <c r="T39" s="24">
        <f t="shared" si="21"/>
        <v>0</v>
      </c>
      <c r="U39" s="24">
        <f t="shared" si="21"/>
        <v>0</v>
      </c>
      <c r="V39" s="24">
        <f t="shared" si="21"/>
        <v>0</v>
      </c>
      <c r="W39" s="24">
        <f t="shared" si="21"/>
        <v>0</v>
      </c>
      <c r="X39" s="24">
        <f t="shared" si="21"/>
        <v>0</v>
      </c>
      <c r="Y39" s="24">
        <f t="shared" si="21"/>
        <v>0</v>
      </c>
      <c r="Z39" s="24">
        <f t="shared" si="21"/>
        <v>0</v>
      </c>
      <c r="AA39" s="24">
        <f t="shared" si="21"/>
        <v>0</v>
      </c>
      <c r="AB39" s="24">
        <f t="shared" si="21"/>
        <v>0</v>
      </c>
      <c r="AC39" s="24">
        <f t="shared" si="21"/>
        <v>0</v>
      </c>
      <c r="AD39" s="24">
        <f t="shared" si="21"/>
        <v>0</v>
      </c>
      <c r="AE39" s="24">
        <f t="shared" si="21"/>
        <v>0</v>
      </c>
      <c r="AF39" s="24">
        <f t="shared" si="21"/>
        <v>0</v>
      </c>
      <c r="AG39" s="24">
        <f t="shared" si="21"/>
        <v>0</v>
      </c>
      <c r="AH39" s="24">
        <f t="shared" si="21"/>
        <v>0</v>
      </c>
      <c r="AI39" s="24">
        <f t="shared" si="21"/>
        <v>0</v>
      </c>
      <c r="AJ39" s="24">
        <f t="shared" si="21"/>
        <v>0</v>
      </c>
      <c r="AK39" s="24">
        <f t="shared" si="21"/>
        <v>0</v>
      </c>
      <c r="AL39" s="24">
        <f t="shared" si="21"/>
        <v>0</v>
      </c>
      <c r="AM39" s="24">
        <f t="shared" si="21"/>
        <v>0</v>
      </c>
      <c r="AN39" s="24">
        <f t="shared" si="21"/>
        <v>0</v>
      </c>
      <c r="AO39" s="24">
        <f t="shared" si="21"/>
        <v>0</v>
      </c>
      <c r="AP39" s="24">
        <f t="shared" si="21"/>
        <v>0</v>
      </c>
      <c r="AQ39" s="24">
        <f t="shared" si="21"/>
        <v>0</v>
      </c>
      <c r="AR39" s="24">
        <f t="shared" si="21"/>
        <v>0</v>
      </c>
      <c r="AS39" s="24">
        <f t="shared" si="21"/>
        <v>0</v>
      </c>
      <c r="AT39" s="24">
        <f t="shared" si="21"/>
        <v>0</v>
      </c>
      <c r="AU39" s="24">
        <f t="shared" si="21"/>
        <v>0</v>
      </c>
      <c r="AV39" s="24">
        <f t="shared" si="21"/>
        <v>0</v>
      </c>
      <c r="AW39" s="24">
        <f t="shared" si="21"/>
        <v>0</v>
      </c>
      <c r="AX39" s="24">
        <f t="shared" si="21"/>
        <v>0</v>
      </c>
      <c r="AY39" s="24">
        <f t="shared" si="21"/>
        <v>0</v>
      </c>
      <c r="AZ39" s="24">
        <f t="shared" si="21"/>
        <v>0</v>
      </c>
      <c r="BA39" s="24">
        <f t="shared" si="21"/>
        <v>0</v>
      </c>
      <c r="BB39" s="24">
        <f t="shared" si="21"/>
        <v>0</v>
      </c>
      <c r="BC39" s="24">
        <f t="shared" si="21"/>
        <v>0</v>
      </c>
      <c r="BD39" s="24">
        <f t="shared" si="21"/>
        <v>0</v>
      </c>
      <c r="BE39" s="24">
        <f t="shared" si="21"/>
        <v>0</v>
      </c>
      <c r="BF39" s="24">
        <f t="shared" si="21"/>
        <v>0</v>
      </c>
      <c r="BG39" s="24">
        <f t="shared" si="21"/>
        <v>0</v>
      </c>
      <c r="BH39" s="24">
        <f t="shared" si="21"/>
        <v>0</v>
      </c>
      <c r="BI39" s="24">
        <f t="shared" si="21"/>
        <v>0</v>
      </c>
      <c r="BJ39" s="24">
        <f t="shared" si="21"/>
        <v>0</v>
      </c>
      <c r="BK39" s="24">
        <f t="shared" si="21"/>
        <v>0</v>
      </c>
      <c r="BL39" s="24">
        <f t="shared" si="21"/>
        <v>0</v>
      </c>
      <c r="BM39" s="24">
        <f t="shared" si="21"/>
        <v>0</v>
      </c>
      <c r="BN39" s="24">
        <f t="shared" si="21"/>
        <v>0</v>
      </c>
      <c r="BO39" s="24">
        <f t="shared" si="21"/>
        <v>0</v>
      </c>
      <c r="BP39" s="24">
        <f t="shared" si="21"/>
        <v>0</v>
      </c>
      <c r="BQ39" s="24">
        <f t="shared" si="21"/>
        <v>0</v>
      </c>
      <c r="BR39" s="24">
        <f t="shared" si="21"/>
        <v>0</v>
      </c>
      <c r="BS39" s="24">
        <f t="shared" si="21"/>
        <v>0</v>
      </c>
      <c r="BT39" s="24">
        <f t="shared" si="21"/>
        <v>0</v>
      </c>
      <c r="BU39" s="24">
        <f t="shared" si="21"/>
        <v>0</v>
      </c>
      <c r="BV39" s="24">
        <f t="shared" si="21"/>
        <v>0</v>
      </c>
      <c r="BW39" s="24">
        <f t="shared" si="21"/>
        <v>0</v>
      </c>
      <c r="BX39" s="24">
        <f t="shared" si="21"/>
        <v>0</v>
      </c>
      <c r="BY39" s="24">
        <f t="shared" si="21"/>
        <v>0</v>
      </c>
      <c r="BZ39" s="24">
        <f t="shared" si="21"/>
        <v>0</v>
      </c>
      <c r="CA39" s="24">
        <f t="shared" si="21"/>
        <v>0</v>
      </c>
      <c r="CB39" s="24">
        <f t="shared" si="21"/>
        <v>0</v>
      </c>
      <c r="CC39" s="24">
        <f t="shared" ref="CC39:DV39" si="22">IF(CC21="","",SUM(CC48:CC49))</f>
        <v>0</v>
      </c>
      <c r="CD39" s="24">
        <f t="shared" si="22"/>
        <v>0</v>
      </c>
      <c r="CE39" s="24">
        <f t="shared" si="22"/>
        <v>0</v>
      </c>
      <c r="CF39" s="24">
        <f t="shared" si="22"/>
        <v>0</v>
      </c>
      <c r="CG39" s="24">
        <f t="shared" si="22"/>
        <v>0</v>
      </c>
      <c r="CH39" s="24">
        <f t="shared" si="22"/>
        <v>0</v>
      </c>
      <c r="CI39" s="24">
        <f t="shared" si="22"/>
        <v>0</v>
      </c>
      <c r="CJ39" s="24">
        <f t="shared" si="22"/>
        <v>0</v>
      </c>
      <c r="CK39" s="24">
        <f t="shared" si="22"/>
        <v>0</v>
      </c>
      <c r="CL39" s="24">
        <f t="shared" si="22"/>
        <v>0</v>
      </c>
      <c r="CM39" s="24">
        <f t="shared" si="22"/>
        <v>0</v>
      </c>
      <c r="CN39" s="24">
        <f t="shared" si="22"/>
        <v>0</v>
      </c>
      <c r="CO39" s="24">
        <f t="shared" si="22"/>
        <v>0</v>
      </c>
      <c r="CP39" s="24">
        <f t="shared" si="22"/>
        <v>0</v>
      </c>
      <c r="CQ39" s="24">
        <f t="shared" si="22"/>
        <v>0</v>
      </c>
      <c r="CR39" s="24">
        <f t="shared" si="22"/>
        <v>0</v>
      </c>
      <c r="CS39" s="24">
        <f t="shared" si="22"/>
        <v>0</v>
      </c>
      <c r="CT39" s="24">
        <f t="shared" si="22"/>
        <v>0</v>
      </c>
      <c r="CU39" s="24">
        <f t="shared" si="22"/>
        <v>0</v>
      </c>
      <c r="CV39" s="24">
        <f t="shared" si="22"/>
        <v>0</v>
      </c>
      <c r="CW39" s="24">
        <f t="shared" si="22"/>
        <v>0</v>
      </c>
      <c r="CX39" s="24" t="str">
        <f t="shared" si="22"/>
        <v/>
      </c>
      <c r="CY39" s="24" t="str">
        <f t="shared" si="22"/>
        <v/>
      </c>
      <c r="CZ39" s="24" t="str">
        <f t="shared" si="22"/>
        <v/>
      </c>
      <c r="DA39" s="24" t="str">
        <f t="shared" si="22"/>
        <v/>
      </c>
      <c r="DB39" s="24" t="str">
        <f t="shared" si="22"/>
        <v/>
      </c>
      <c r="DC39" s="24" t="str">
        <f t="shared" si="22"/>
        <v/>
      </c>
      <c r="DD39" s="24" t="str">
        <f t="shared" si="22"/>
        <v/>
      </c>
      <c r="DE39" s="24" t="str">
        <f t="shared" si="22"/>
        <v/>
      </c>
      <c r="DF39" s="24" t="str">
        <f t="shared" si="22"/>
        <v/>
      </c>
      <c r="DG39" s="24" t="str">
        <f t="shared" si="22"/>
        <v/>
      </c>
      <c r="DH39" s="24" t="str">
        <f t="shared" si="22"/>
        <v/>
      </c>
      <c r="DI39" s="24" t="str">
        <f t="shared" si="22"/>
        <v/>
      </c>
      <c r="DJ39" s="24" t="str">
        <f t="shared" si="22"/>
        <v/>
      </c>
      <c r="DK39" s="24" t="str">
        <f t="shared" si="22"/>
        <v/>
      </c>
      <c r="DL39" s="24" t="str">
        <f t="shared" si="22"/>
        <v/>
      </c>
      <c r="DM39" s="24" t="str">
        <f t="shared" si="22"/>
        <v/>
      </c>
      <c r="DN39" s="24" t="str">
        <f t="shared" si="22"/>
        <v/>
      </c>
      <c r="DO39" s="24" t="str">
        <f t="shared" si="22"/>
        <v/>
      </c>
      <c r="DP39" s="24" t="str">
        <f t="shared" si="22"/>
        <v/>
      </c>
      <c r="DQ39" s="24" t="str">
        <f t="shared" si="22"/>
        <v/>
      </c>
      <c r="DR39" s="24" t="str">
        <f t="shared" si="22"/>
        <v/>
      </c>
      <c r="DS39" s="24" t="str">
        <f t="shared" si="22"/>
        <v/>
      </c>
      <c r="DT39" s="24" t="str">
        <f t="shared" si="22"/>
        <v/>
      </c>
      <c r="DU39" s="24" t="str">
        <f t="shared" si="22"/>
        <v/>
      </c>
      <c r="DV39" s="24" t="str">
        <f t="shared" si="22"/>
        <v/>
      </c>
      <c r="DW39" s="24"/>
      <c r="DX39" s="24"/>
      <c r="DY39" s="70"/>
    </row>
    <row r="40" spans="2:133" x14ac:dyDescent="0.2">
      <c r="B40" s="67" t="s">
        <v>42</v>
      </c>
      <c r="C40" s="75"/>
      <c r="D40" s="24">
        <f>SUM(F40:DY40)</f>
        <v>13971642.399999997</v>
      </c>
      <c r="E40" s="52"/>
      <c r="F40" s="24">
        <f>F104</f>
        <v>10402691.700000001</v>
      </c>
      <c r="G40" s="24">
        <f t="shared" ref="G40:BR40" si="23">G104</f>
        <v>2691.7000000000003</v>
      </c>
      <c r="H40" s="24">
        <f t="shared" si="23"/>
        <v>2691.7000000000003</v>
      </c>
      <c r="I40" s="24">
        <f t="shared" si="23"/>
        <v>2691.7000000000003</v>
      </c>
      <c r="J40" s="24">
        <f t="shared" si="23"/>
        <v>2691.7000000000003</v>
      </c>
      <c r="K40" s="24">
        <f t="shared" si="23"/>
        <v>2691.7000000000003</v>
      </c>
      <c r="L40" s="24">
        <f t="shared" si="23"/>
        <v>2691.7000000000003</v>
      </c>
      <c r="M40" s="24">
        <f t="shared" si="23"/>
        <v>2691.7000000000003</v>
      </c>
      <c r="N40" s="24">
        <f t="shared" si="23"/>
        <v>2691.7000000000003</v>
      </c>
      <c r="O40" s="24">
        <f t="shared" si="23"/>
        <v>2691.7000000000003</v>
      </c>
      <c r="P40" s="24">
        <f t="shared" si="23"/>
        <v>2691.7000000000003</v>
      </c>
      <c r="Q40" s="24">
        <f t="shared" si="23"/>
        <v>2691.7000000000003</v>
      </c>
      <c r="R40" s="24">
        <f t="shared" si="23"/>
        <v>2691.7000000000003</v>
      </c>
      <c r="S40" s="24">
        <f t="shared" si="23"/>
        <v>2691.7000000000003</v>
      </c>
      <c r="T40" s="24">
        <f t="shared" si="23"/>
        <v>2691.7000000000003</v>
      </c>
      <c r="U40" s="24">
        <f t="shared" si="23"/>
        <v>2691.7000000000003</v>
      </c>
      <c r="V40" s="24">
        <f t="shared" si="23"/>
        <v>2691.7000000000003</v>
      </c>
      <c r="W40" s="24">
        <f t="shared" si="23"/>
        <v>2691.7000000000003</v>
      </c>
      <c r="X40" s="24">
        <f t="shared" si="23"/>
        <v>2691.7000000000003</v>
      </c>
      <c r="Y40" s="24">
        <f t="shared" si="23"/>
        <v>2691.7000000000003</v>
      </c>
      <c r="Z40" s="24">
        <f t="shared" si="23"/>
        <v>2691.7000000000003</v>
      </c>
      <c r="AA40" s="24">
        <f t="shared" si="23"/>
        <v>2691.7000000000003</v>
      </c>
      <c r="AB40" s="24">
        <f t="shared" si="23"/>
        <v>2691.7000000000003</v>
      </c>
      <c r="AC40" s="24">
        <f t="shared" si="23"/>
        <v>38660.400000000001</v>
      </c>
      <c r="AD40" s="24">
        <f t="shared" si="23"/>
        <v>93564.6</v>
      </c>
      <c r="AE40" s="24">
        <f t="shared" si="23"/>
        <v>0</v>
      </c>
      <c r="AF40" s="24">
        <f t="shared" si="23"/>
        <v>93564.6</v>
      </c>
      <c r="AG40" s="24">
        <f t="shared" si="23"/>
        <v>93564.6</v>
      </c>
      <c r="AH40" s="24">
        <f t="shared" si="23"/>
        <v>93564.6</v>
      </c>
      <c r="AI40" s="24">
        <f t="shared" si="23"/>
        <v>93564.6</v>
      </c>
      <c r="AJ40" s="24">
        <f t="shared" si="23"/>
        <v>93564.6</v>
      </c>
      <c r="AK40" s="24">
        <f t="shared" si="23"/>
        <v>93564.6</v>
      </c>
      <c r="AL40" s="24">
        <f t="shared" si="23"/>
        <v>93564.6</v>
      </c>
      <c r="AM40" s="24">
        <f t="shared" si="23"/>
        <v>75336.800000000003</v>
      </c>
      <c r="AN40" s="24">
        <f t="shared" si="23"/>
        <v>75336.800000000003</v>
      </c>
      <c r="AO40" s="24">
        <f t="shared" si="23"/>
        <v>98232.6</v>
      </c>
      <c r="AP40" s="24">
        <f t="shared" si="23"/>
        <v>67620.100000000006</v>
      </c>
      <c r="AQ40" s="24">
        <f t="shared" si="23"/>
        <v>67620.100000000006</v>
      </c>
      <c r="AR40" s="24">
        <f t="shared" si="23"/>
        <v>67620.100000000006</v>
      </c>
      <c r="AS40" s="24">
        <f t="shared" si="23"/>
        <v>67620.100000000006</v>
      </c>
      <c r="AT40" s="24">
        <f t="shared" si="23"/>
        <v>67620.100000000006</v>
      </c>
      <c r="AU40" s="24">
        <f t="shared" si="23"/>
        <v>0</v>
      </c>
      <c r="AV40" s="24">
        <f t="shared" si="23"/>
        <v>74538.400000000009</v>
      </c>
      <c r="AW40" s="24">
        <f t="shared" si="23"/>
        <v>74538.400000000009</v>
      </c>
      <c r="AX40" s="24">
        <f t="shared" si="23"/>
        <v>74538.400000000009</v>
      </c>
      <c r="AY40" s="24">
        <f t="shared" si="23"/>
        <v>74538.400000000009</v>
      </c>
      <c r="AZ40" s="24">
        <f t="shared" si="23"/>
        <v>74538.400000000009</v>
      </c>
      <c r="BA40" s="24">
        <f t="shared" si="23"/>
        <v>0</v>
      </c>
      <c r="BB40" s="24">
        <f t="shared" si="23"/>
        <v>55727.600000000006</v>
      </c>
      <c r="BC40" s="24">
        <f t="shared" si="23"/>
        <v>55727.600000000006</v>
      </c>
      <c r="BD40" s="24">
        <f t="shared" si="23"/>
        <v>55727.600000000006</v>
      </c>
      <c r="BE40" s="24">
        <f t="shared" si="23"/>
        <v>55727.600000000006</v>
      </c>
      <c r="BF40" s="24">
        <f t="shared" si="23"/>
        <v>55727.600000000006</v>
      </c>
      <c r="BG40" s="24">
        <f t="shared" si="23"/>
        <v>55727.600000000006</v>
      </c>
      <c r="BH40" s="24">
        <f t="shared" si="23"/>
        <v>55727.600000000006</v>
      </c>
      <c r="BI40" s="24">
        <f t="shared" si="23"/>
        <v>55727.600000000006</v>
      </c>
      <c r="BJ40" s="24">
        <f t="shared" si="23"/>
        <v>55727.600000000006</v>
      </c>
      <c r="BK40" s="24">
        <f t="shared" si="23"/>
        <v>55727.600000000006</v>
      </c>
      <c r="BL40" s="24">
        <f t="shared" si="23"/>
        <v>55727.600000000006</v>
      </c>
      <c r="BM40" s="24">
        <f t="shared" si="23"/>
        <v>40982.100000000006</v>
      </c>
      <c r="BN40" s="24">
        <f t="shared" si="23"/>
        <v>40982.100000000006</v>
      </c>
      <c r="BO40" s="24">
        <f t="shared" si="23"/>
        <v>40982.100000000006</v>
      </c>
      <c r="BP40" s="24">
        <f t="shared" si="23"/>
        <v>25308.300000000003</v>
      </c>
      <c r="BQ40" s="24">
        <f t="shared" si="23"/>
        <v>25308.300000000003</v>
      </c>
      <c r="BR40" s="24">
        <f t="shared" si="23"/>
        <v>25308.300000000003</v>
      </c>
      <c r="BS40" s="24">
        <f t="shared" ref="BS40:DV40" si="24">BS104</f>
        <v>25308.300000000003</v>
      </c>
      <c r="BT40" s="24">
        <f t="shared" si="24"/>
        <v>25308.300000000003</v>
      </c>
      <c r="BU40" s="24">
        <f t="shared" si="24"/>
        <v>25308.300000000003</v>
      </c>
      <c r="BV40" s="24">
        <f t="shared" si="24"/>
        <v>25308.300000000003</v>
      </c>
      <c r="BW40" s="24">
        <f t="shared" si="24"/>
        <v>25308.300000000003</v>
      </c>
      <c r="BX40" s="24">
        <f t="shared" si="24"/>
        <v>25308.300000000003</v>
      </c>
      <c r="BY40" s="24">
        <f t="shared" si="24"/>
        <v>0</v>
      </c>
      <c r="BZ40" s="24">
        <f t="shared" si="24"/>
        <v>0</v>
      </c>
      <c r="CA40" s="24">
        <f t="shared" si="24"/>
        <v>25308.300000000003</v>
      </c>
      <c r="CB40" s="24">
        <f t="shared" si="24"/>
        <v>25308.300000000003</v>
      </c>
      <c r="CC40" s="24">
        <f t="shared" si="24"/>
        <v>25308.300000000003</v>
      </c>
      <c r="CD40" s="24">
        <f t="shared" si="24"/>
        <v>25308.300000000003</v>
      </c>
      <c r="CE40" s="24">
        <f t="shared" si="24"/>
        <v>0</v>
      </c>
      <c r="CF40" s="24">
        <f t="shared" si="24"/>
        <v>0</v>
      </c>
      <c r="CG40" s="24">
        <f t="shared" si="24"/>
        <v>0</v>
      </c>
      <c r="CH40" s="24">
        <f t="shared" si="24"/>
        <v>0</v>
      </c>
      <c r="CI40" s="24">
        <f t="shared" si="24"/>
        <v>0</v>
      </c>
      <c r="CJ40" s="24">
        <f t="shared" si="24"/>
        <v>0</v>
      </c>
      <c r="CK40" s="24">
        <f t="shared" si="24"/>
        <v>58158.3</v>
      </c>
      <c r="CL40" s="24">
        <f t="shared" si="24"/>
        <v>58158.3</v>
      </c>
      <c r="CM40" s="24">
        <f t="shared" si="24"/>
        <v>58158.3</v>
      </c>
      <c r="CN40" s="24">
        <f t="shared" si="24"/>
        <v>58158.3</v>
      </c>
      <c r="CO40" s="24">
        <f t="shared" si="24"/>
        <v>58158.3</v>
      </c>
      <c r="CP40" s="24">
        <f t="shared" si="24"/>
        <v>58158.3</v>
      </c>
      <c r="CQ40" s="24">
        <f t="shared" si="24"/>
        <v>58158.3</v>
      </c>
      <c r="CR40" s="24">
        <f t="shared" si="24"/>
        <v>58158.3</v>
      </c>
      <c r="CS40" s="24">
        <f t="shared" si="24"/>
        <v>58158.3</v>
      </c>
      <c r="CT40" s="24">
        <f t="shared" si="24"/>
        <v>58158.3</v>
      </c>
      <c r="CU40" s="24">
        <f t="shared" si="24"/>
        <v>58158.3</v>
      </c>
      <c r="CV40" s="24">
        <f t="shared" si="24"/>
        <v>58158.3</v>
      </c>
      <c r="CW40" s="24">
        <f t="shared" si="24"/>
        <v>0</v>
      </c>
      <c r="CX40" s="24" t="str">
        <f t="shared" si="24"/>
        <v/>
      </c>
      <c r="CY40" s="24" t="str">
        <f t="shared" si="24"/>
        <v/>
      </c>
      <c r="CZ40" s="24" t="str">
        <f t="shared" si="24"/>
        <v/>
      </c>
      <c r="DA40" s="24" t="str">
        <f t="shared" si="24"/>
        <v/>
      </c>
      <c r="DB40" s="24" t="str">
        <f t="shared" si="24"/>
        <v/>
      </c>
      <c r="DC40" s="24" t="str">
        <f t="shared" si="24"/>
        <v/>
      </c>
      <c r="DD40" s="24" t="str">
        <f t="shared" si="24"/>
        <v/>
      </c>
      <c r="DE40" s="24" t="str">
        <f t="shared" si="24"/>
        <v/>
      </c>
      <c r="DF40" s="24" t="str">
        <f t="shared" si="24"/>
        <v/>
      </c>
      <c r="DG40" s="24" t="str">
        <f t="shared" si="24"/>
        <v/>
      </c>
      <c r="DH40" s="24" t="str">
        <f t="shared" si="24"/>
        <v/>
      </c>
      <c r="DI40" s="24" t="str">
        <f t="shared" si="24"/>
        <v/>
      </c>
      <c r="DJ40" s="24" t="str">
        <f t="shared" si="24"/>
        <v/>
      </c>
      <c r="DK40" s="24" t="str">
        <f t="shared" si="24"/>
        <v/>
      </c>
      <c r="DL40" s="24" t="str">
        <f t="shared" si="24"/>
        <v/>
      </c>
      <c r="DM40" s="24" t="str">
        <f t="shared" si="24"/>
        <v/>
      </c>
      <c r="DN40" s="24" t="str">
        <f t="shared" si="24"/>
        <v/>
      </c>
      <c r="DO40" s="24" t="str">
        <f t="shared" si="24"/>
        <v/>
      </c>
      <c r="DP40" s="24" t="str">
        <f t="shared" si="24"/>
        <v/>
      </c>
      <c r="DQ40" s="24" t="str">
        <f t="shared" si="24"/>
        <v/>
      </c>
      <c r="DR40" s="24" t="str">
        <f t="shared" si="24"/>
        <v/>
      </c>
      <c r="DS40" s="24" t="str">
        <f t="shared" si="24"/>
        <v/>
      </c>
      <c r="DT40" s="24" t="str">
        <f t="shared" si="24"/>
        <v/>
      </c>
      <c r="DU40" s="24" t="str">
        <f t="shared" si="24"/>
        <v/>
      </c>
      <c r="DV40" s="24" t="str">
        <f t="shared" si="24"/>
        <v/>
      </c>
      <c r="DW40" s="24"/>
      <c r="DX40" s="24"/>
      <c r="DY40" s="70"/>
    </row>
    <row r="41" spans="2:133" x14ac:dyDescent="0.2">
      <c r="B41" s="67" t="s">
        <v>43</v>
      </c>
      <c r="C41" s="75"/>
      <c r="D41" s="24">
        <f>+D38+D39-D40</f>
        <v>57846412.856106795</v>
      </c>
      <c r="E41" s="52"/>
      <c r="F41" s="76"/>
      <c r="G41" s="24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 s="77"/>
      <c r="BH41" s="77"/>
      <c r="BI41" s="77"/>
      <c r="BJ41" s="77"/>
      <c r="BK41" s="77"/>
      <c r="BL41" s="77"/>
      <c r="BM41" s="77"/>
      <c r="BN41" s="77"/>
      <c r="BO41" s="77"/>
      <c r="BP41" s="77"/>
      <c r="BQ41" s="77"/>
      <c r="BR41" s="77"/>
      <c r="BS41" s="77"/>
      <c r="BT41" s="77"/>
      <c r="BU41" s="77"/>
      <c r="BV41" s="77"/>
      <c r="BW41" s="77"/>
      <c r="BX41" s="77"/>
      <c r="BY41" s="77"/>
      <c r="BZ41" s="77"/>
      <c r="CA41" s="77"/>
      <c r="CB41" s="77"/>
      <c r="CC41" s="77"/>
      <c r="CD41" s="77"/>
      <c r="CE41" s="77"/>
      <c r="CF41" s="77"/>
      <c r="CG41" s="77"/>
      <c r="CH41" s="77"/>
      <c r="CI41" s="77"/>
      <c r="CJ41" s="77"/>
      <c r="CK41" s="77"/>
      <c r="CL41" s="77"/>
      <c r="CM41" s="77"/>
      <c r="CN41" s="77"/>
      <c r="CO41" s="77"/>
      <c r="CP41" s="77"/>
      <c r="CQ41" s="77"/>
      <c r="CR41" s="77"/>
      <c r="CS41" s="77"/>
      <c r="CT41" s="77"/>
      <c r="CU41" s="77"/>
      <c r="CV41" s="77"/>
      <c r="CW41" s="77"/>
      <c r="CX41" s="77"/>
      <c r="CY41" s="77"/>
      <c r="CZ41" s="77"/>
      <c r="DA41" s="77"/>
      <c r="DB41" s="77"/>
      <c r="DC41" s="77"/>
      <c r="DD41" s="77"/>
      <c r="DE41" s="77"/>
      <c r="DF41" s="77"/>
      <c r="DG41" s="77"/>
      <c r="DH41" s="77"/>
      <c r="DI41" s="77"/>
      <c r="DJ41" s="77"/>
      <c r="DK41" s="77"/>
      <c r="DL41" s="77"/>
      <c r="DM41" s="77"/>
      <c r="DN41" s="77"/>
      <c r="DO41" s="77"/>
      <c r="DP41" s="77"/>
      <c r="DQ41" s="77"/>
      <c r="DR41" s="77"/>
      <c r="DS41" s="77"/>
      <c r="DT41" s="77"/>
      <c r="DU41" s="77"/>
      <c r="DV41" s="77"/>
      <c r="DW41" s="77"/>
      <c r="DX41" s="77"/>
      <c r="DY41" s="78"/>
    </row>
    <row r="42" spans="2:133" x14ac:dyDescent="0.2">
      <c r="B42" s="67" t="s">
        <v>44</v>
      </c>
      <c r="C42" s="75"/>
      <c r="D42" s="81">
        <f ca="1">IFERROR(XIRR(OFFSET(F42,0,0,1,$E$21+1),OFFSET($F$46,0,0,1,$E$21+1)),"NA")</f>
        <v>0.5469843089580535</v>
      </c>
      <c r="E42" s="52"/>
      <c r="F42" s="24">
        <f t="shared" ref="F42:BQ42" si="25">IF(F21="","",(-F40)+F38+F39)</f>
        <v>-10402691.700000001</v>
      </c>
      <c r="G42" s="24">
        <f t="shared" si="25"/>
        <v>-2691.7000000000003</v>
      </c>
      <c r="H42" s="24">
        <f t="shared" si="25"/>
        <v>-2691.7000000000003</v>
      </c>
      <c r="I42" s="24">
        <f t="shared" si="25"/>
        <v>-2691.7000000000003</v>
      </c>
      <c r="J42" s="24">
        <f t="shared" si="25"/>
        <v>-2691.7000000000003</v>
      </c>
      <c r="K42" s="24">
        <f t="shared" si="25"/>
        <v>-2691.7000000000003</v>
      </c>
      <c r="L42" s="24">
        <f t="shared" si="25"/>
        <v>-2691.7000000000003</v>
      </c>
      <c r="M42" s="24">
        <f t="shared" si="25"/>
        <v>-2691.7000000000003</v>
      </c>
      <c r="N42" s="24">
        <f t="shared" si="25"/>
        <v>-2691.7000000000003</v>
      </c>
      <c r="O42" s="24">
        <f t="shared" si="25"/>
        <v>-2691.7000000000003</v>
      </c>
      <c r="P42" s="24">
        <f t="shared" si="25"/>
        <v>-2691.7000000000003</v>
      </c>
      <c r="Q42" s="24">
        <f t="shared" si="25"/>
        <v>-2691.7000000000003</v>
      </c>
      <c r="R42" s="24">
        <f t="shared" si="25"/>
        <v>-2691.7000000000003</v>
      </c>
      <c r="S42" s="24">
        <f t="shared" si="25"/>
        <v>-2691.7000000000003</v>
      </c>
      <c r="T42" s="24">
        <f t="shared" si="25"/>
        <v>-2691.7000000000003</v>
      </c>
      <c r="U42" s="24">
        <f t="shared" si="25"/>
        <v>-2691.7000000000003</v>
      </c>
      <c r="V42" s="24">
        <f t="shared" si="25"/>
        <v>-2691.7000000000003</v>
      </c>
      <c r="W42" s="24">
        <f t="shared" si="25"/>
        <v>-2691.7000000000003</v>
      </c>
      <c r="X42" s="24">
        <f t="shared" si="25"/>
        <v>-2691.7000000000003</v>
      </c>
      <c r="Y42" s="24">
        <f t="shared" si="25"/>
        <v>-2691.7000000000003</v>
      </c>
      <c r="Z42" s="24">
        <f t="shared" si="25"/>
        <v>-2691.7000000000003</v>
      </c>
      <c r="AA42" s="24">
        <f t="shared" si="25"/>
        <v>-2691.7000000000003</v>
      </c>
      <c r="AB42" s="24">
        <f t="shared" si="25"/>
        <v>-2691.7000000000003</v>
      </c>
      <c r="AC42" s="24">
        <f t="shared" si="25"/>
        <v>-38660.400000000001</v>
      </c>
      <c r="AD42" s="24">
        <f t="shared" si="25"/>
        <v>-93564.6</v>
      </c>
      <c r="AE42" s="24">
        <f t="shared" si="25"/>
        <v>2843545.4000000004</v>
      </c>
      <c r="AF42" s="24">
        <f t="shared" si="25"/>
        <v>-93564.6</v>
      </c>
      <c r="AG42" s="24">
        <f t="shared" si="25"/>
        <v>-93564.6</v>
      </c>
      <c r="AH42" s="24">
        <f t="shared" si="25"/>
        <v>-93564.6</v>
      </c>
      <c r="AI42" s="24">
        <f t="shared" si="25"/>
        <v>-93564.6</v>
      </c>
      <c r="AJ42" s="24">
        <f t="shared" si="25"/>
        <v>-93564.6</v>
      </c>
      <c r="AK42" s="24">
        <f t="shared" si="25"/>
        <v>-93564.6</v>
      </c>
      <c r="AL42" s="24">
        <f t="shared" si="25"/>
        <v>-93564.6</v>
      </c>
      <c r="AM42" s="24">
        <f t="shared" si="25"/>
        <v>-75336.800000000003</v>
      </c>
      <c r="AN42" s="24">
        <f t="shared" si="25"/>
        <v>-75336.800000000003</v>
      </c>
      <c r="AO42" s="24">
        <f t="shared" si="25"/>
        <v>-98232.6</v>
      </c>
      <c r="AP42" s="24">
        <f t="shared" si="25"/>
        <v>-67620.100000000006</v>
      </c>
      <c r="AQ42" s="24">
        <f t="shared" si="25"/>
        <v>-67620.100000000006</v>
      </c>
      <c r="AR42" s="24">
        <f t="shared" si="25"/>
        <v>-67620.100000000006</v>
      </c>
      <c r="AS42" s="24">
        <f t="shared" si="25"/>
        <v>-67620.100000000006</v>
      </c>
      <c r="AT42" s="24">
        <f t="shared" si="25"/>
        <v>-67620.100000000006</v>
      </c>
      <c r="AU42" s="24">
        <f t="shared" si="25"/>
        <v>4139676.1</v>
      </c>
      <c r="AV42" s="24">
        <f t="shared" si="25"/>
        <v>-74538.400000000009</v>
      </c>
      <c r="AW42" s="24">
        <f t="shared" si="25"/>
        <v>-74538.400000000009</v>
      </c>
      <c r="AX42" s="24">
        <f t="shared" si="25"/>
        <v>-74538.400000000009</v>
      </c>
      <c r="AY42" s="24">
        <f t="shared" si="25"/>
        <v>-74538.400000000009</v>
      </c>
      <c r="AZ42" s="24">
        <f t="shared" si="25"/>
        <v>-74538.400000000009</v>
      </c>
      <c r="BA42" s="24">
        <f t="shared" si="25"/>
        <v>45123787.71566879</v>
      </c>
      <c r="BB42" s="24">
        <f t="shared" si="25"/>
        <v>-55727.600000000006</v>
      </c>
      <c r="BC42" s="24">
        <f t="shared" si="25"/>
        <v>-55727.600000000006</v>
      </c>
      <c r="BD42" s="24">
        <f t="shared" si="25"/>
        <v>-55727.600000000006</v>
      </c>
      <c r="BE42" s="24">
        <f t="shared" si="25"/>
        <v>-55727.600000000006</v>
      </c>
      <c r="BF42" s="24">
        <f t="shared" si="25"/>
        <v>-55727.600000000006</v>
      </c>
      <c r="BG42" s="24">
        <f t="shared" si="25"/>
        <v>-55727.600000000006</v>
      </c>
      <c r="BH42" s="24">
        <f t="shared" si="25"/>
        <v>-55727.600000000006</v>
      </c>
      <c r="BI42" s="24">
        <f t="shared" si="25"/>
        <v>-55727.600000000006</v>
      </c>
      <c r="BJ42" s="24">
        <f t="shared" si="25"/>
        <v>-55727.600000000006</v>
      </c>
      <c r="BK42" s="24">
        <f t="shared" si="25"/>
        <v>-55727.600000000006</v>
      </c>
      <c r="BL42" s="24">
        <f t="shared" si="25"/>
        <v>-55727.600000000006</v>
      </c>
      <c r="BM42" s="24">
        <f t="shared" si="25"/>
        <v>-40982.100000000006</v>
      </c>
      <c r="BN42" s="24">
        <f t="shared" si="25"/>
        <v>-40982.100000000006</v>
      </c>
      <c r="BO42" s="24">
        <f t="shared" si="25"/>
        <v>-40982.100000000006</v>
      </c>
      <c r="BP42" s="24">
        <f t="shared" si="25"/>
        <v>-25308.300000000003</v>
      </c>
      <c r="BQ42" s="24">
        <f t="shared" si="25"/>
        <v>-25308.300000000003</v>
      </c>
      <c r="BR42" s="24">
        <f t="shared" ref="BR42:DV42" si="26">IF(BR21="","",(-BR40)+BR38+BR39)</f>
        <v>-25308.300000000003</v>
      </c>
      <c r="BS42" s="24">
        <f t="shared" si="26"/>
        <v>-25308.300000000003</v>
      </c>
      <c r="BT42" s="24">
        <f t="shared" si="26"/>
        <v>-25308.300000000003</v>
      </c>
      <c r="BU42" s="24">
        <f t="shared" si="26"/>
        <v>-25308.300000000003</v>
      </c>
      <c r="BV42" s="24">
        <f t="shared" si="26"/>
        <v>-25308.300000000003</v>
      </c>
      <c r="BW42" s="24">
        <f t="shared" si="26"/>
        <v>-25308.300000000003</v>
      </c>
      <c r="BX42" s="24">
        <f t="shared" si="26"/>
        <v>-25308.300000000003</v>
      </c>
      <c r="BY42" s="24">
        <f t="shared" si="26"/>
        <v>590691.70000000007</v>
      </c>
      <c r="BZ42" s="24">
        <f t="shared" si="26"/>
        <v>428441.7</v>
      </c>
      <c r="CA42" s="24">
        <f t="shared" si="26"/>
        <v>-25308.300000000003</v>
      </c>
      <c r="CB42" s="24">
        <f t="shared" si="26"/>
        <v>-25308.300000000003</v>
      </c>
      <c r="CC42" s="24">
        <f t="shared" si="26"/>
        <v>-25308.300000000003</v>
      </c>
      <c r="CD42" s="24">
        <f t="shared" si="26"/>
        <v>-25308.300000000003</v>
      </c>
      <c r="CE42" s="24">
        <f t="shared" si="26"/>
        <v>7172922.0003350452</v>
      </c>
      <c r="CF42" s="24">
        <f t="shared" si="26"/>
        <v>0</v>
      </c>
      <c r="CG42" s="24">
        <f t="shared" si="26"/>
        <v>0</v>
      </c>
      <c r="CH42" s="24">
        <f t="shared" si="26"/>
        <v>0</v>
      </c>
      <c r="CI42" s="24">
        <f t="shared" si="26"/>
        <v>0</v>
      </c>
      <c r="CJ42" s="24">
        <f t="shared" si="26"/>
        <v>0</v>
      </c>
      <c r="CK42" s="24">
        <f t="shared" si="26"/>
        <v>-58158.3</v>
      </c>
      <c r="CL42" s="24">
        <f t="shared" si="26"/>
        <v>-58158.3</v>
      </c>
      <c r="CM42" s="24">
        <f t="shared" si="26"/>
        <v>-58158.3</v>
      </c>
      <c r="CN42" s="24">
        <f t="shared" si="26"/>
        <v>-58158.3</v>
      </c>
      <c r="CO42" s="24">
        <f t="shared" si="26"/>
        <v>-58158.3</v>
      </c>
      <c r="CP42" s="24">
        <f t="shared" si="26"/>
        <v>-58158.3</v>
      </c>
      <c r="CQ42" s="24">
        <f t="shared" si="26"/>
        <v>-58158.3</v>
      </c>
      <c r="CR42" s="24">
        <f t="shared" si="26"/>
        <v>-58158.3</v>
      </c>
      <c r="CS42" s="24">
        <f t="shared" si="26"/>
        <v>-58158.3</v>
      </c>
      <c r="CT42" s="24">
        <f t="shared" si="26"/>
        <v>-58158.3</v>
      </c>
      <c r="CU42" s="24">
        <f t="shared" si="26"/>
        <v>-58158.3</v>
      </c>
      <c r="CV42" s="24">
        <f t="shared" si="26"/>
        <v>-58158.3</v>
      </c>
      <c r="CW42" s="24">
        <f t="shared" si="26"/>
        <v>11518990.640102955</v>
      </c>
      <c r="CX42" s="24" t="str">
        <f t="shared" si="26"/>
        <v/>
      </c>
      <c r="CY42" s="24" t="str">
        <f t="shared" si="26"/>
        <v/>
      </c>
      <c r="CZ42" s="24" t="str">
        <f t="shared" si="26"/>
        <v/>
      </c>
      <c r="DA42" s="24" t="str">
        <f t="shared" si="26"/>
        <v/>
      </c>
      <c r="DB42" s="24" t="str">
        <f t="shared" si="26"/>
        <v/>
      </c>
      <c r="DC42" s="24" t="str">
        <f t="shared" si="26"/>
        <v/>
      </c>
      <c r="DD42" s="24" t="str">
        <f t="shared" si="26"/>
        <v/>
      </c>
      <c r="DE42" s="24" t="str">
        <f t="shared" si="26"/>
        <v/>
      </c>
      <c r="DF42" s="24" t="str">
        <f t="shared" si="26"/>
        <v/>
      </c>
      <c r="DG42" s="24" t="str">
        <f t="shared" si="26"/>
        <v/>
      </c>
      <c r="DH42" s="24" t="str">
        <f t="shared" si="26"/>
        <v/>
      </c>
      <c r="DI42" s="24" t="str">
        <f t="shared" si="26"/>
        <v/>
      </c>
      <c r="DJ42" s="24" t="str">
        <f t="shared" si="26"/>
        <v/>
      </c>
      <c r="DK42" s="24" t="str">
        <f t="shared" si="26"/>
        <v/>
      </c>
      <c r="DL42" s="24" t="str">
        <f t="shared" si="26"/>
        <v/>
      </c>
      <c r="DM42" s="24" t="str">
        <f t="shared" si="26"/>
        <v/>
      </c>
      <c r="DN42" s="24" t="str">
        <f t="shared" si="26"/>
        <v/>
      </c>
      <c r="DO42" s="24" t="str">
        <f t="shared" si="26"/>
        <v/>
      </c>
      <c r="DP42" s="24" t="str">
        <f t="shared" si="26"/>
        <v/>
      </c>
      <c r="DQ42" s="24" t="str">
        <f t="shared" si="26"/>
        <v/>
      </c>
      <c r="DR42" s="24" t="str">
        <f t="shared" si="26"/>
        <v/>
      </c>
      <c r="DS42" s="24" t="str">
        <f t="shared" si="26"/>
        <v/>
      </c>
      <c r="DT42" s="24" t="str">
        <f t="shared" si="26"/>
        <v/>
      </c>
      <c r="DU42" s="24" t="str">
        <f t="shared" si="26"/>
        <v/>
      </c>
      <c r="DV42" s="24" t="str">
        <f t="shared" si="26"/>
        <v/>
      </c>
      <c r="DW42" s="24"/>
      <c r="DX42" s="24"/>
      <c r="DY42" s="70"/>
    </row>
    <row r="43" spans="2:133" x14ac:dyDescent="0.2">
      <c r="B43" s="67" t="s">
        <v>45</v>
      </c>
      <c r="C43" s="75"/>
      <c r="D43" s="82">
        <f>IFERROR(D38/D40,"NA")</f>
        <v>5.1402729328448036</v>
      </c>
      <c r="E43" s="52"/>
      <c r="F43" s="63"/>
      <c r="G43" s="64"/>
      <c r="H43" s="65"/>
      <c r="I43" s="65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6"/>
      <c r="BG43" s="66"/>
      <c r="BH43" s="66"/>
      <c r="BI43" s="66"/>
      <c r="BJ43" s="66"/>
      <c r="BK43" s="66"/>
      <c r="BL43" s="66"/>
      <c r="BM43" s="66"/>
      <c r="BN43" s="66"/>
      <c r="BO43" s="66"/>
      <c r="BP43" s="66"/>
      <c r="BQ43" s="66"/>
      <c r="BR43" s="66"/>
      <c r="BS43" s="66"/>
      <c r="BT43" s="66"/>
      <c r="BU43" s="66"/>
      <c r="BV43" s="66"/>
      <c r="BW43" s="66"/>
      <c r="BX43" s="66"/>
      <c r="BY43" s="66"/>
      <c r="BZ43" s="66"/>
      <c r="CA43" s="66"/>
      <c r="CB43" s="66"/>
      <c r="CC43" s="66"/>
      <c r="CD43" s="66"/>
      <c r="CE43" s="66"/>
      <c r="CF43" s="66"/>
      <c r="CG43" s="66"/>
      <c r="CH43" s="66"/>
      <c r="CI43" s="66"/>
      <c r="CJ43" s="66"/>
      <c r="CK43" s="66"/>
      <c r="CL43" s="66"/>
      <c r="CM43" s="66"/>
      <c r="CN43" s="66"/>
      <c r="CO43" s="66"/>
      <c r="CP43" s="66"/>
      <c r="CQ43" s="66"/>
      <c r="CR43" s="66"/>
      <c r="CS43" s="66"/>
      <c r="CT43" s="66"/>
      <c r="CU43" s="66"/>
      <c r="CV43" s="66"/>
      <c r="CW43" s="66"/>
      <c r="CX43" s="66"/>
      <c r="CY43" s="66"/>
      <c r="CZ43" s="66"/>
      <c r="DA43" s="66"/>
      <c r="DB43" s="66"/>
      <c r="DC43" s="66"/>
      <c r="DD43" s="66"/>
      <c r="DE43" s="66"/>
      <c r="DF43" s="66"/>
      <c r="DG43" s="66"/>
      <c r="DH43" s="66"/>
      <c r="DI43" s="66"/>
      <c r="DJ43" s="66"/>
      <c r="DK43" s="66"/>
      <c r="DL43" s="66"/>
      <c r="DM43" s="66"/>
      <c r="DN43" s="66"/>
      <c r="DO43" s="66"/>
      <c r="DP43" s="66"/>
      <c r="DQ43" s="66"/>
      <c r="DR43" s="66"/>
      <c r="DS43" s="66"/>
      <c r="DT43" s="66"/>
      <c r="DU43" s="66"/>
      <c r="DV43" s="66"/>
      <c r="DW43" s="66"/>
      <c r="DX43" s="66"/>
      <c r="DY43" s="17"/>
    </row>
    <row r="44" spans="2:133" ht="5" customHeight="1" x14ac:dyDescent="0.2">
      <c r="B44" s="83"/>
      <c r="C44" s="84"/>
      <c r="D44" s="85"/>
      <c r="E44" s="1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/>
      <c r="BJ44" s="66"/>
      <c r="BK44" s="66"/>
      <c r="BL44" s="66"/>
      <c r="BM44" s="66"/>
      <c r="BN44" s="66"/>
      <c r="BO44" s="66"/>
      <c r="BP44" s="66"/>
      <c r="BQ44" s="66"/>
      <c r="BR44" s="66"/>
      <c r="BS44" s="66"/>
      <c r="BT44" s="66"/>
      <c r="BU44" s="66"/>
      <c r="BV44" s="66"/>
      <c r="BW44" s="66"/>
      <c r="BX44" s="66"/>
      <c r="BY44" s="66"/>
      <c r="BZ44" s="66"/>
      <c r="CA44" s="66"/>
      <c r="CB44" s="66"/>
      <c r="CC44" s="66"/>
      <c r="CD44" s="66"/>
      <c r="CE44" s="66"/>
      <c r="CF44" s="66"/>
      <c r="CG44" s="66"/>
      <c r="CH44" s="66"/>
      <c r="CI44" s="66"/>
      <c r="CJ44" s="66"/>
      <c r="CK44" s="66"/>
      <c r="CL44" s="66"/>
      <c r="CM44" s="66"/>
      <c r="CN44" s="66"/>
      <c r="CO44" s="66"/>
      <c r="CP44" s="66"/>
      <c r="CQ44" s="66"/>
      <c r="CR44" s="66"/>
      <c r="CS44" s="66"/>
      <c r="CT44" s="66"/>
      <c r="CU44" s="66"/>
      <c r="CV44" s="66"/>
      <c r="CW44" s="66"/>
      <c r="CX44" s="66"/>
      <c r="CY44" s="66"/>
      <c r="CZ44" s="66"/>
      <c r="DA44" s="66"/>
      <c r="DB44" s="66"/>
      <c r="DC44" s="66"/>
      <c r="DD44" s="66"/>
      <c r="DE44" s="66"/>
      <c r="DF44" s="66"/>
      <c r="DG44" s="66"/>
      <c r="DH44" s="66"/>
      <c r="DI44" s="66"/>
      <c r="DJ44" s="66"/>
      <c r="DK44" s="66"/>
      <c r="DL44" s="66"/>
      <c r="DM44" s="66"/>
      <c r="DN44" s="66"/>
      <c r="DO44" s="66"/>
      <c r="DP44" s="66"/>
      <c r="DQ44" s="66"/>
      <c r="DR44" s="66"/>
      <c r="DS44" s="66"/>
      <c r="DT44" s="66"/>
      <c r="DU44" s="66"/>
      <c r="DV44" s="66"/>
      <c r="DW44" s="66"/>
      <c r="DX44" s="66"/>
      <c r="DY44" s="17"/>
    </row>
    <row r="45" spans="2:133" ht="16" x14ac:dyDescent="0.2">
      <c r="B45" s="20" t="s">
        <v>46</v>
      </c>
      <c r="C45" s="40"/>
      <c r="D45" s="40"/>
      <c r="E45" s="41"/>
      <c r="F45" s="59">
        <f>F$21</f>
        <v>0</v>
      </c>
      <c r="G45" s="59">
        <f>G$21</f>
        <v>1</v>
      </c>
      <c r="H45" s="59">
        <f t="shared" ref="H45:DV45" si="27">H$21</f>
        <v>2</v>
      </c>
      <c r="I45" s="59">
        <f t="shared" si="27"/>
        <v>3</v>
      </c>
      <c r="J45" s="59">
        <f t="shared" si="27"/>
        <v>4</v>
      </c>
      <c r="K45" s="59">
        <f t="shared" si="27"/>
        <v>5</v>
      </c>
      <c r="L45" s="59">
        <f t="shared" si="27"/>
        <v>6</v>
      </c>
      <c r="M45" s="59">
        <f t="shared" si="27"/>
        <v>7</v>
      </c>
      <c r="N45" s="59">
        <f t="shared" si="27"/>
        <v>8</v>
      </c>
      <c r="O45" s="59">
        <f t="shared" si="27"/>
        <v>9</v>
      </c>
      <c r="P45" s="59">
        <f t="shared" si="27"/>
        <v>10</v>
      </c>
      <c r="Q45" s="59">
        <f t="shared" si="27"/>
        <v>11</v>
      </c>
      <c r="R45" s="59">
        <f t="shared" si="27"/>
        <v>12</v>
      </c>
      <c r="S45" s="59">
        <f t="shared" si="27"/>
        <v>13</v>
      </c>
      <c r="T45" s="59">
        <f t="shared" si="27"/>
        <v>14</v>
      </c>
      <c r="U45" s="59">
        <f t="shared" si="27"/>
        <v>15</v>
      </c>
      <c r="V45" s="59">
        <f t="shared" si="27"/>
        <v>16</v>
      </c>
      <c r="W45" s="59">
        <f t="shared" si="27"/>
        <v>17</v>
      </c>
      <c r="X45" s="59">
        <f t="shared" si="27"/>
        <v>18</v>
      </c>
      <c r="Y45" s="59">
        <f t="shared" si="27"/>
        <v>19</v>
      </c>
      <c r="Z45" s="59">
        <f t="shared" si="27"/>
        <v>20</v>
      </c>
      <c r="AA45" s="59">
        <f t="shared" si="27"/>
        <v>21</v>
      </c>
      <c r="AB45" s="59">
        <f t="shared" si="27"/>
        <v>22</v>
      </c>
      <c r="AC45" s="59">
        <f t="shared" si="27"/>
        <v>23</v>
      </c>
      <c r="AD45" s="59">
        <f t="shared" si="27"/>
        <v>24</v>
      </c>
      <c r="AE45" s="59">
        <f t="shared" si="27"/>
        <v>25</v>
      </c>
      <c r="AF45" s="59">
        <f t="shared" si="27"/>
        <v>26</v>
      </c>
      <c r="AG45" s="59">
        <f t="shared" si="27"/>
        <v>27</v>
      </c>
      <c r="AH45" s="59">
        <f t="shared" si="27"/>
        <v>28</v>
      </c>
      <c r="AI45" s="59">
        <f t="shared" si="27"/>
        <v>29</v>
      </c>
      <c r="AJ45" s="59">
        <f t="shared" si="27"/>
        <v>30</v>
      </c>
      <c r="AK45" s="59">
        <f t="shared" si="27"/>
        <v>31</v>
      </c>
      <c r="AL45" s="59">
        <f t="shared" si="27"/>
        <v>32</v>
      </c>
      <c r="AM45" s="59">
        <f t="shared" si="27"/>
        <v>33</v>
      </c>
      <c r="AN45" s="59">
        <f t="shared" si="27"/>
        <v>34</v>
      </c>
      <c r="AO45" s="59">
        <f t="shared" si="27"/>
        <v>35</v>
      </c>
      <c r="AP45" s="59">
        <f t="shared" si="27"/>
        <v>36</v>
      </c>
      <c r="AQ45" s="59">
        <f t="shared" si="27"/>
        <v>37</v>
      </c>
      <c r="AR45" s="59">
        <f t="shared" si="27"/>
        <v>38</v>
      </c>
      <c r="AS45" s="59">
        <f t="shared" si="27"/>
        <v>39</v>
      </c>
      <c r="AT45" s="59">
        <f t="shared" si="27"/>
        <v>40</v>
      </c>
      <c r="AU45" s="59">
        <f t="shared" si="27"/>
        <v>41</v>
      </c>
      <c r="AV45" s="59">
        <f t="shared" si="27"/>
        <v>42</v>
      </c>
      <c r="AW45" s="59">
        <f t="shared" si="27"/>
        <v>43</v>
      </c>
      <c r="AX45" s="59">
        <f t="shared" si="27"/>
        <v>44</v>
      </c>
      <c r="AY45" s="59">
        <f t="shared" si="27"/>
        <v>45</v>
      </c>
      <c r="AZ45" s="59">
        <f t="shared" si="27"/>
        <v>46</v>
      </c>
      <c r="BA45" s="59">
        <f t="shared" si="27"/>
        <v>47</v>
      </c>
      <c r="BB45" s="59">
        <f t="shared" si="27"/>
        <v>48</v>
      </c>
      <c r="BC45" s="59">
        <f t="shared" si="27"/>
        <v>49</v>
      </c>
      <c r="BD45" s="59">
        <f t="shared" si="27"/>
        <v>50</v>
      </c>
      <c r="BE45" s="59">
        <f t="shared" si="27"/>
        <v>51</v>
      </c>
      <c r="BF45" s="59">
        <f t="shared" si="27"/>
        <v>52</v>
      </c>
      <c r="BG45" s="59">
        <f t="shared" si="27"/>
        <v>53</v>
      </c>
      <c r="BH45" s="59">
        <f t="shared" si="27"/>
        <v>54</v>
      </c>
      <c r="BI45" s="59">
        <f t="shared" si="27"/>
        <v>55</v>
      </c>
      <c r="BJ45" s="59">
        <f t="shared" si="27"/>
        <v>56</v>
      </c>
      <c r="BK45" s="59">
        <f t="shared" si="27"/>
        <v>57</v>
      </c>
      <c r="BL45" s="59">
        <f t="shared" si="27"/>
        <v>58</v>
      </c>
      <c r="BM45" s="59">
        <f t="shared" si="27"/>
        <v>59</v>
      </c>
      <c r="BN45" s="59">
        <f t="shared" si="27"/>
        <v>60</v>
      </c>
      <c r="BO45" s="59">
        <f t="shared" si="27"/>
        <v>61</v>
      </c>
      <c r="BP45" s="59">
        <f t="shared" si="27"/>
        <v>62</v>
      </c>
      <c r="BQ45" s="59">
        <f t="shared" si="27"/>
        <v>63</v>
      </c>
      <c r="BR45" s="59">
        <f t="shared" si="27"/>
        <v>64</v>
      </c>
      <c r="BS45" s="59">
        <f t="shared" si="27"/>
        <v>65</v>
      </c>
      <c r="BT45" s="59">
        <f t="shared" si="27"/>
        <v>66</v>
      </c>
      <c r="BU45" s="59">
        <f t="shared" si="27"/>
        <v>67</v>
      </c>
      <c r="BV45" s="59">
        <f t="shared" si="27"/>
        <v>68</v>
      </c>
      <c r="BW45" s="59">
        <f t="shared" si="27"/>
        <v>69</v>
      </c>
      <c r="BX45" s="59">
        <f t="shared" si="27"/>
        <v>70</v>
      </c>
      <c r="BY45" s="59">
        <f t="shared" si="27"/>
        <v>71</v>
      </c>
      <c r="BZ45" s="59">
        <f t="shared" si="27"/>
        <v>72</v>
      </c>
      <c r="CA45" s="59">
        <f t="shared" si="27"/>
        <v>73</v>
      </c>
      <c r="CB45" s="59">
        <f t="shared" si="27"/>
        <v>74</v>
      </c>
      <c r="CC45" s="59">
        <f t="shared" si="27"/>
        <v>75</v>
      </c>
      <c r="CD45" s="59">
        <f t="shared" si="27"/>
        <v>76</v>
      </c>
      <c r="CE45" s="59">
        <f t="shared" si="27"/>
        <v>77</v>
      </c>
      <c r="CF45" s="59">
        <f t="shared" si="27"/>
        <v>78</v>
      </c>
      <c r="CG45" s="59">
        <f t="shared" si="27"/>
        <v>79</v>
      </c>
      <c r="CH45" s="59">
        <f t="shared" si="27"/>
        <v>80</v>
      </c>
      <c r="CI45" s="59">
        <f t="shared" si="27"/>
        <v>81</v>
      </c>
      <c r="CJ45" s="59">
        <f t="shared" si="27"/>
        <v>82</v>
      </c>
      <c r="CK45" s="59">
        <f t="shared" si="27"/>
        <v>83</v>
      </c>
      <c r="CL45" s="59">
        <f t="shared" si="27"/>
        <v>84</v>
      </c>
      <c r="CM45" s="59">
        <f t="shared" si="27"/>
        <v>85</v>
      </c>
      <c r="CN45" s="59">
        <f t="shared" si="27"/>
        <v>86</v>
      </c>
      <c r="CO45" s="59">
        <f t="shared" si="27"/>
        <v>87</v>
      </c>
      <c r="CP45" s="59">
        <f t="shared" si="27"/>
        <v>88</v>
      </c>
      <c r="CQ45" s="59">
        <f t="shared" si="27"/>
        <v>89</v>
      </c>
      <c r="CR45" s="59">
        <f t="shared" si="27"/>
        <v>90</v>
      </c>
      <c r="CS45" s="59">
        <f t="shared" si="27"/>
        <v>91</v>
      </c>
      <c r="CT45" s="59">
        <f t="shared" si="27"/>
        <v>92</v>
      </c>
      <c r="CU45" s="59">
        <f t="shared" si="27"/>
        <v>93</v>
      </c>
      <c r="CV45" s="59">
        <f t="shared" si="27"/>
        <v>94</v>
      </c>
      <c r="CW45" s="59">
        <f t="shared" si="27"/>
        <v>95</v>
      </c>
      <c r="CX45" s="59" t="str">
        <f t="shared" si="27"/>
        <v/>
      </c>
      <c r="CY45" s="59" t="str">
        <f t="shared" si="27"/>
        <v/>
      </c>
      <c r="CZ45" s="59" t="str">
        <f t="shared" si="27"/>
        <v/>
      </c>
      <c r="DA45" s="59" t="str">
        <f t="shared" si="27"/>
        <v/>
      </c>
      <c r="DB45" s="59" t="str">
        <f t="shared" si="27"/>
        <v/>
      </c>
      <c r="DC45" s="59" t="str">
        <f t="shared" si="27"/>
        <v/>
      </c>
      <c r="DD45" s="59" t="str">
        <f t="shared" si="27"/>
        <v/>
      </c>
      <c r="DE45" s="59" t="str">
        <f t="shared" si="27"/>
        <v/>
      </c>
      <c r="DF45" s="59" t="str">
        <f t="shared" si="27"/>
        <v/>
      </c>
      <c r="DG45" s="59" t="str">
        <f t="shared" si="27"/>
        <v/>
      </c>
      <c r="DH45" s="59" t="str">
        <f t="shared" si="27"/>
        <v/>
      </c>
      <c r="DI45" s="59" t="str">
        <f t="shared" si="27"/>
        <v/>
      </c>
      <c r="DJ45" s="59" t="str">
        <f t="shared" si="27"/>
        <v/>
      </c>
      <c r="DK45" s="59" t="str">
        <f t="shared" si="27"/>
        <v/>
      </c>
      <c r="DL45" s="59" t="str">
        <f t="shared" si="27"/>
        <v/>
      </c>
      <c r="DM45" s="59" t="str">
        <f t="shared" si="27"/>
        <v/>
      </c>
      <c r="DN45" s="59" t="str">
        <f t="shared" si="27"/>
        <v/>
      </c>
      <c r="DO45" s="59" t="str">
        <f t="shared" si="27"/>
        <v/>
      </c>
      <c r="DP45" s="59" t="str">
        <f t="shared" si="27"/>
        <v/>
      </c>
      <c r="DQ45" s="59" t="str">
        <f t="shared" si="27"/>
        <v/>
      </c>
      <c r="DR45" s="59" t="str">
        <f t="shared" si="27"/>
        <v/>
      </c>
      <c r="DS45" s="59" t="str">
        <f t="shared" si="27"/>
        <v/>
      </c>
      <c r="DT45" s="59" t="str">
        <f t="shared" si="27"/>
        <v/>
      </c>
      <c r="DU45" s="59" t="str">
        <f t="shared" si="27"/>
        <v/>
      </c>
      <c r="DV45" s="59" t="str">
        <f t="shared" si="27"/>
        <v/>
      </c>
      <c r="DW45" s="59"/>
      <c r="DX45" s="59"/>
      <c r="DY45" s="60"/>
      <c r="DZ45" s="86"/>
      <c r="EA45" s="86"/>
      <c r="EB45" s="86"/>
      <c r="EC45" s="86"/>
    </row>
    <row r="46" spans="2:133" x14ac:dyDescent="0.2">
      <c r="B46" s="16"/>
      <c r="C46" s="16"/>
      <c r="D46" s="16"/>
      <c r="E46" s="66"/>
      <c r="F46" s="87">
        <v>46023</v>
      </c>
      <c r="G46" s="88">
        <f>EDATE(F46,1)</f>
        <v>46054</v>
      </c>
      <c r="H46" s="88">
        <f t="shared" ref="H46:BS46" si="28">EDATE(G46,1)</f>
        <v>46082</v>
      </c>
      <c r="I46" s="88">
        <f t="shared" si="28"/>
        <v>46113</v>
      </c>
      <c r="J46" s="88">
        <f t="shared" si="28"/>
        <v>46143</v>
      </c>
      <c r="K46" s="88">
        <f t="shared" si="28"/>
        <v>46174</v>
      </c>
      <c r="L46" s="88">
        <f t="shared" si="28"/>
        <v>46204</v>
      </c>
      <c r="M46" s="88">
        <f t="shared" si="28"/>
        <v>46235</v>
      </c>
      <c r="N46" s="88">
        <f t="shared" si="28"/>
        <v>46266</v>
      </c>
      <c r="O46" s="88">
        <f t="shared" si="28"/>
        <v>46296</v>
      </c>
      <c r="P46" s="88">
        <f t="shared" si="28"/>
        <v>46327</v>
      </c>
      <c r="Q46" s="88">
        <f t="shared" si="28"/>
        <v>46357</v>
      </c>
      <c r="R46" s="88">
        <f t="shared" si="28"/>
        <v>46388</v>
      </c>
      <c r="S46" s="88">
        <f t="shared" si="28"/>
        <v>46419</v>
      </c>
      <c r="T46" s="88">
        <f t="shared" si="28"/>
        <v>46447</v>
      </c>
      <c r="U46" s="88">
        <f t="shared" si="28"/>
        <v>46478</v>
      </c>
      <c r="V46" s="88">
        <f t="shared" si="28"/>
        <v>46508</v>
      </c>
      <c r="W46" s="88">
        <f t="shared" si="28"/>
        <v>46539</v>
      </c>
      <c r="X46" s="88">
        <f t="shared" si="28"/>
        <v>46569</v>
      </c>
      <c r="Y46" s="88">
        <f t="shared" si="28"/>
        <v>46600</v>
      </c>
      <c r="Z46" s="88">
        <f t="shared" si="28"/>
        <v>46631</v>
      </c>
      <c r="AA46" s="88">
        <f t="shared" si="28"/>
        <v>46661</v>
      </c>
      <c r="AB46" s="88">
        <f t="shared" si="28"/>
        <v>46692</v>
      </c>
      <c r="AC46" s="88">
        <f t="shared" si="28"/>
        <v>46722</v>
      </c>
      <c r="AD46" s="88">
        <f t="shared" si="28"/>
        <v>46753</v>
      </c>
      <c r="AE46" s="88">
        <f t="shared" si="28"/>
        <v>46784</v>
      </c>
      <c r="AF46" s="88">
        <f t="shared" si="28"/>
        <v>46813</v>
      </c>
      <c r="AG46" s="88">
        <f t="shared" si="28"/>
        <v>46844</v>
      </c>
      <c r="AH46" s="88">
        <f t="shared" si="28"/>
        <v>46874</v>
      </c>
      <c r="AI46" s="88">
        <f t="shared" si="28"/>
        <v>46905</v>
      </c>
      <c r="AJ46" s="88">
        <f t="shared" si="28"/>
        <v>46935</v>
      </c>
      <c r="AK46" s="88">
        <f t="shared" si="28"/>
        <v>46966</v>
      </c>
      <c r="AL46" s="88">
        <f t="shared" si="28"/>
        <v>46997</v>
      </c>
      <c r="AM46" s="88">
        <f t="shared" si="28"/>
        <v>47027</v>
      </c>
      <c r="AN46" s="88">
        <f t="shared" si="28"/>
        <v>47058</v>
      </c>
      <c r="AO46" s="88">
        <f t="shared" si="28"/>
        <v>47088</v>
      </c>
      <c r="AP46" s="88">
        <f t="shared" si="28"/>
        <v>47119</v>
      </c>
      <c r="AQ46" s="88">
        <f t="shared" si="28"/>
        <v>47150</v>
      </c>
      <c r="AR46" s="88">
        <f t="shared" si="28"/>
        <v>47178</v>
      </c>
      <c r="AS46" s="88">
        <f t="shared" si="28"/>
        <v>47209</v>
      </c>
      <c r="AT46" s="88">
        <f t="shared" si="28"/>
        <v>47239</v>
      </c>
      <c r="AU46" s="88">
        <f t="shared" si="28"/>
        <v>47270</v>
      </c>
      <c r="AV46" s="88">
        <f t="shared" si="28"/>
        <v>47300</v>
      </c>
      <c r="AW46" s="88">
        <f t="shared" si="28"/>
        <v>47331</v>
      </c>
      <c r="AX46" s="88">
        <f t="shared" si="28"/>
        <v>47362</v>
      </c>
      <c r="AY46" s="88">
        <f t="shared" si="28"/>
        <v>47392</v>
      </c>
      <c r="AZ46" s="88">
        <f t="shared" si="28"/>
        <v>47423</v>
      </c>
      <c r="BA46" s="88">
        <f t="shared" si="28"/>
        <v>47453</v>
      </c>
      <c r="BB46" s="88">
        <f t="shared" si="28"/>
        <v>47484</v>
      </c>
      <c r="BC46" s="88">
        <f t="shared" si="28"/>
        <v>47515</v>
      </c>
      <c r="BD46" s="88">
        <f t="shared" si="28"/>
        <v>47543</v>
      </c>
      <c r="BE46" s="88">
        <f t="shared" si="28"/>
        <v>47574</v>
      </c>
      <c r="BF46" s="88">
        <f t="shared" si="28"/>
        <v>47604</v>
      </c>
      <c r="BG46" s="88">
        <f t="shared" si="28"/>
        <v>47635</v>
      </c>
      <c r="BH46" s="88">
        <f t="shared" si="28"/>
        <v>47665</v>
      </c>
      <c r="BI46" s="88">
        <f t="shared" si="28"/>
        <v>47696</v>
      </c>
      <c r="BJ46" s="88">
        <f t="shared" si="28"/>
        <v>47727</v>
      </c>
      <c r="BK46" s="88">
        <f t="shared" si="28"/>
        <v>47757</v>
      </c>
      <c r="BL46" s="88">
        <f t="shared" si="28"/>
        <v>47788</v>
      </c>
      <c r="BM46" s="88">
        <f t="shared" si="28"/>
        <v>47818</v>
      </c>
      <c r="BN46" s="88">
        <f t="shared" si="28"/>
        <v>47849</v>
      </c>
      <c r="BO46" s="88">
        <f t="shared" si="28"/>
        <v>47880</v>
      </c>
      <c r="BP46" s="88">
        <f t="shared" si="28"/>
        <v>47908</v>
      </c>
      <c r="BQ46" s="88">
        <f t="shared" si="28"/>
        <v>47939</v>
      </c>
      <c r="BR46" s="88">
        <f t="shared" si="28"/>
        <v>47969</v>
      </c>
      <c r="BS46" s="88">
        <f t="shared" si="28"/>
        <v>48000</v>
      </c>
      <c r="BT46" s="88">
        <f t="shared" ref="BT46:CW46" si="29">EDATE(BS46,1)</f>
        <v>48030</v>
      </c>
      <c r="BU46" s="88">
        <f t="shared" si="29"/>
        <v>48061</v>
      </c>
      <c r="BV46" s="88">
        <f t="shared" si="29"/>
        <v>48092</v>
      </c>
      <c r="BW46" s="88">
        <f t="shared" si="29"/>
        <v>48122</v>
      </c>
      <c r="BX46" s="88">
        <f t="shared" si="29"/>
        <v>48153</v>
      </c>
      <c r="BY46" s="88">
        <f t="shared" si="29"/>
        <v>48183</v>
      </c>
      <c r="BZ46" s="88">
        <f t="shared" si="29"/>
        <v>48214</v>
      </c>
      <c r="CA46" s="88">
        <f t="shared" si="29"/>
        <v>48245</v>
      </c>
      <c r="CB46" s="88">
        <f t="shared" si="29"/>
        <v>48274</v>
      </c>
      <c r="CC46" s="88">
        <f t="shared" si="29"/>
        <v>48305</v>
      </c>
      <c r="CD46" s="88">
        <f t="shared" si="29"/>
        <v>48335</v>
      </c>
      <c r="CE46" s="88">
        <f t="shared" si="29"/>
        <v>48366</v>
      </c>
      <c r="CF46" s="88">
        <f t="shared" si="29"/>
        <v>48396</v>
      </c>
      <c r="CG46" s="88">
        <f t="shared" si="29"/>
        <v>48427</v>
      </c>
      <c r="CH46" s="88">
        <f t="shared" si="29"/>
        <v>48458</v>
      </c>
      <c r="CI46" s="88">
        <f t="shared" si="29"/>
        <v>48488</v>
      </c>
      <c r="CJ46" s="88">
        <f t="shared" si="29"/>
        <v>48519</v>
      </c>
      <c r="CK46" s="88">
        <f t="shared" si="29"/>
        <v>48549</v>
      </c>
      <c r="CL46" s="88">
        <f t="shared" si="29"/>
        <v>48580</v>
      </c>
      <c r="CM46" s="88">
        <f t="shared" si="29"/>
        <v>48611</v>
      </c>
      <c r="CN46" s="88">
        <f t="shared" si="29"/>
        <v>48639</v>
      </c>
      <c r="CO46" s="88">
        <f t="shared" si="29"/>
        <v>48670</v>
      </c>
      <c r="CP46" s="88">
        <f t="shared" si="29"/>
        <v>48700</v>
      </c>
      <c r="CQ46" s="88">
        <f t="shared" si="29"/>
        <v>48731</v>
      </c>
      <c r="CR46" s="88">
        <f t="shared" si="29"/>
        <v>48761</v>
      </c>
      <c r="CS46" s="88">
        <f t="shared" si="29"/>
        <v>48792</v>
      </c>
      <c r="CT46" s="88">
        <f t="shared" si="29"/>
        <v>48823</v>
      </c>
      <c r="CU46" s="88">
        <f t="shared" si="29"/>
        <v>48853</v>
      </c>
      <c r="CV46" s="88">
        <f t="shared" si="29"/>
        <v>48884</v>
      </c>
      <c r="CW46" s="88">
        <f t="shared" si="29"/>
        <v>48914</v>
      </c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9"/>
      <c r="DZ46" s="86"/>
      <c r="EA46" s="86"/>
      <c r="EB46" s="86"/>
      <c r="EC46" s="86"/>
    </row>
    <row r="47" spans="2:133" x14ac:dyDescent="0.2">
      <c r="B47" s="90" t="s">
        <v>47</v>
      </c>
      <c r="C47" s="16"/>
      <c r="D47" s="16"/>
      <c r="E47" s="91">
        <f>SUM(_xlfn.ANCHORARRAY(F47))</f>
        <v>155102349</v>
      </c>
      <c r="F47" s="148" cm="1">
        <f t="array" ref="F47:CW47">TRANSPOSE(I273:I368)</f>
        <v>-104026917</v>
      </c>
      <c r="G47" s="148">
        <v>-26917</v>
      </c>
      <c r="H47" s="148">
        <v>-26917</v>
      </c>
      <c r="I47" s="148">
        <v>-26917</v>
      </c>
      <c r="J47" s="148">
        <v>-26917</v>
      </c>
      <c r="K47" s="148">
        <v>-26917</v>
      </c>
      <c r="L47" s="148">
        <v>-26917</v>
      </c>
      <c r="M47" s="148">
        <v>-26917</v>
      </c>
      <c r="N47" s="148">
        <v>-26917</v>
      </c>
      <c r="O47" s="148">
        <v>-26917</v>
      </c>
      <c r="P47" s="148">
        <v>-26917</v>
      </c>
      <c r="Q47" s="148">
        <v>-26917</v>
      </c>
      <c r="R47" s="148">
        <v>-26917</v>
      </c>
      <c r="S47" s="148">
        <v>-26917</v>
      </c>
      <c r="T47" s="148">
        <v>-26917</v>
      </c>
      <c r="U47" s="148">
        <v>-26917</v>
      </c>
      <c r="V47" s="148">
        <v>-26917</v>
      </c>
      <c r="W47" s="148">
        <v>-26917</v>
      </c>
      <c r="X47" s="148">
        <v>-26917</v>
      </c>
      <c r="Y47" s="148">
        <v>-26917</v>
      </c>
      <c r="Z47" s="148">
        <v>-26917</v>
      </c>
      <c r="AA47" s="148">
        <v>-26917</v>
      </c>
      <c r="AB47" s="148">
        <v>-26917</v>
      </c>
      <c r="AC47" s="148">
        <v>-386604</v>
      </c>
      <c r="AD47" s="148">
        <v>-935646</v>
      </c>
      <c r="AE47" s="148">
        <v>28435454</v>
      </c>
      <c r="AF47" s="148">
        <v>-935646</v>
      </c>
      <c r="AG47" s="148">
        <v>-935646</v>
      </c>
      <c r="AH47" s="148">
        <v>-935646</v>
      </c>
      <c r="AI47" s="148">
        <v>-935646</v>
      </c>
      <c r="AJ47" s="148">
        <v>-935646</v>
      </c>
      <c r="AK47" s="148">
        <v>-935646</v>
      </c>
      <c r="AL47" s="148">
        <v>-935646</v>
      </c>
      <c r="AM47" s="148">
        <v>-753368</v>
      </c>
      <c r="AN47" s="148">
        <v>-753368</v>
      </c>
      <c r="AO47" s="148">
        <v>-982326</v>
      </c>
      <c r="AP47" s="148">
        <v>-676201</v>
      </c>
      <c r="AQ47" s="148">
        <v>-676201</v>
      </c>
      <c r="AR47" s="148">
        <v>-676201</v>
      </c>
      <c r="AS47" s="148">
        <v>-676201</v>
      </c>
      <c r="AT47" s="148">
        <v>-676201</v>
      </c>
      <c r="AU47" s="148">
        <v>41396761</v>
      </c>
      <c r="AV47" s="148">
        <v>-745384</v>
      </c>
      <c r="AW47" s="148">
        <v>-745384</v>
      </c>
      <c r="AX47" s="148">
        <v>-745384</v>
      </c>
      <c r="AY47" s="148">
        <v>-745384</v>
      </c>
      <c r="AZ47" s="148">
        <v>-745384</v>
      </c>
      <c r="BA47" s="148">
        <v>172949924</v>
      </c>
      <c r="BB47" s="148">
        <v>-557276</v>
      </c>
      <c r="BC47" s="148">
        <v>-557276</v>
      </c>
      <c r="BD47" s="148">
        <v>-557276</v>
      </c>
      <c r="BE47" s="148">
        <v>-557276</v>
      </c>
      <c r="BF47" s="148">
        <v>-557276</v>
      </c>
      <c r="BG47" s="148">
        <v>-557276</v>
      </c>
      <c r="BH47" s="148">
        <v>-557276</v>
      </c>
      <c r="BI47" s="148">
        <v>-557276</v>
      </c>
      <c r="BJ47" s="148">
        <v>-557276</v>
      </c>
      <c r="BK47" s="148">
        <v>-557276</v>
      </c>
      <c r="BL47" s="148">
        <v>-557276</v>
      </c>
      <c r="BM47" s="148">
        <v>-409821</v>
      </c>
      <c r="BN47" s="148">
        <v>-409821</v>
      </c>
      <c r="BO47" s="148">
        <v>-409821</v>
      </c>
      <c r="BP47" s="148">
        <v>-253083</v>
      </c>
      <c r="BQ47" s="148">
        <v>-253083</v>
      </c>
      <c r="BR47" s="148">
        <v>-253083</v>
      </c>
      <c r="BS47" s="148">
        <v>-253083</v>
      </c>
      <c r="BT47" s="148">
        <v>-253083</v>
      </c>
      <c r="BU47" s="148">
        <v>-253083</v>
      </c>
      <c r="BV47" s="148">
        <v>-253083</v>
      </c>
      <c r="BW47" s="148">
        <v>-253083</v>
      </c>
      <c r="BX47" s="148">
        <v>-253083</v>
      </c>
      <c r="BY47" s="148">
        <v>5906917</v>
      </c>
      <c r="BZ47" s="148">
        <v>4284417</v>
      </c>
      <c r="CA47" s="148">
        <v>-253083</v>
      </c>
      <c r="CB47" s="148">
        <v>-253083</v>
      </c>
      <c r="CC47" s="148">
        <v>-253083</v>
      </c>
      <c r="CD47" s="148">
        <v>-253083</v>
      </c>
      <c r="CE47" s="148">
        <v>14789500</v>
      </c>
      <c r="CF47" s="148">
        <v>0</v>
      </c>
      <c r="CG47" s="148">
        <v>0</v>
      </c>
      <c r="CH47" s="148">
        <v>0</v>
      </c>
      <c r="CI47" s="148">
        <v>0</v>
      </c>
      <c r="CJ47" s="148">
        <v>0</v>
      </c>
      <c r="CK47" s="148">
        <v>-581583</v>
      </c>
      <c r="CL47" s="148">
        <v>-581583</v>
      </c>
      <c r="CM47" s="148">
        <v>-581583</v>
      </c>
      <c r="CN47" s="148">
        <v>-581583</v>
      </c>
      <c r="CO47" s="148">
        <v>-581583</v>
      </c>
      <c r="CP47" s="148">
        <v>-581583</v>
      </c>
      <c r="CQ47" s="148">
        <v>-581583</v>
      </c>
      <c r="CR47" s="148">
        <v>-581583</v>
      </c>
      <c r="CS47" s="148">
        <v>-581583</v>
      </c>
      <c r="CT47" s="148">
        <v>-581583</v>
      </c>
      <c r="CU47" s="148">
        <v>-581583</v>
      </c>
      <c r="CV47" s="148">
        <v>-581583</v>
      </c>
      <c r="CW47" s="148">
        <v>27055800</v>
      </c>
      <c r="CX47" s="148"/>
      <c r="CY47" s="148"/>
      <c r="CZ47" s="148"/>
      <c r="DA47" s="148"/>
      <c r="DB47" s="148"/>
      <c r="DC47" s="148"/>
      <c r="DD47" s="148"/>
      <c r="DE47" s="148"/>
      <c r="DF47" s="148"/>
      <c r="DG47" s="148"/>
      <c r="DH47" s="148"/>
      <c r="DI47" s="148"/>
      <c r="DJ47" s="148"/>
      <c r="DK47" s="148"/>
      <c r="DL47" s="148"/>
      <c r="DM47" s="148"/>
      <c r="DN47" s="148"/>
      <c r="DO47" s="148"/>
      <c r="DP47" s="148"/>
      <c r="DQ47" s="148"/>
      <c r="DR47" s="148"/>
      <c r="DS47" s="148"/>
      <c r="DT47" s="148"/>
      <c r="DU47" s="148"/>
      <c r="DV47" s="148"/>
      <c r="DW47" s="92"/>
      <c r="DX47" s="92"/>
      <c r="DY47" s="92"/>
    </row>
    <row r="48" spans="2:133" x14ac:dyDescent="0.2">
      <c r="B48" s="93" t="s">
        <v>48</v>
      </c>
      <c r="C48" s="16"/>
      <c r="D48" s="16"/>
      <c r="E48" s="91"/>
      <c r="F48" s="92">
        <v>0</v>
      </c>
      <c r="G48" s="92">
        <v>0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2">
        <v>0</v>
      </c>
      <c r="O48" s="92">
        <v>0</v>
      </c>
      <c r="P48" s="92">
        <v>0</v>
      </c>
      <c r="Q48" s="92">
        <v>0</v>
      </c>
      <c r="R48" s="92">
        <v>0</v>
      </c>
      <c r="S48" s="92">
        <v>0</v>
      </c>
      <c r="T48" s="92">
        <v>0</v>
      </c>
      <c r="U48" s="92">
        <v>0</v>
      </c>
      <c r="V48" s="92">
        <v>0</v>
      </c>
      <c r="W48" s="92">
        <v>0</v>
      </c>
      <c r="X48" s="92">
        <v>0</v>
      </c>
      <c r="Y48" s="92">
        <v>0</v>
      </c>
      <c r="Z48" s="92">
        <v>0</v>
      </c>
      <c r="AA48" s="92">
        <v>0</v>
      </c>
      <c r="AB48" s="92">
        <v>0</v>
      </c>
      <c r="AC48" s="92">
        <v>0</v>
      </c>
      <c r="AD48" s="92">
        <v>0</v>
      </c>
      <c r="AE48" s="92">
        <v>0</v>
      </c>
      <c r="AF48" s="92">
        <v>0</v>
      </c>
      <c r="AG48" s="92">
        <v>0</v>
      </c>
      <c r="AH48" s="92">
        <v>0</v>
      </c>
      <c r="AI48" s="92">
        <v>0</v>
      </c>
      <c r="AJ48" s="92">
        <v>0</v>
      </c>
      <c r="AK48" s="92">
        <v>0</v>
      </c>
      <c r="AL48" s="92">
        <v>0</v>
      </c>
      <c r="AM48" s="92">
        <v>0</v>
      </c>
      <c r="AN48" s="92">
        <v>0</v>
      </c>
      <c r="AO48" s="92">
        <v>0</v>
      </c>
      <c r="AP48" s="92">
        <v>0</v>
      </c>
      <c r="AQ48" s="92">
        <v>0</v>
      </c>
      <c r="AR48" s="92">
        <v>0</v>
      </c>
      <c r="AS48" s="92">
        <v>0</v>
      </c>
      <c r="AT48" s="92">
        <v>0</v>
      </c>
      <c r="AU48" s="92">
        <v>0</v>
      </c>
      <c r="AV48" s="92">
        <v>0</v>
      </c>
      <c r="AW48" s="92">
        <v>0</v>
      </c>
      <c r="AX48" s="92">
        <v>0</v>
      </c>
      <c r="AY48" s="92">
        <v>0</v>
      </c>
      <c r="AZ48" s="92">
        <v>0</v>
      </c>
      <c r="BA48" s="92">
        <v>0</v>
      </c>
      <c r="BB48" s="92">
        <v>0</v>
      </c>
      <c r="BC48" s="92">
        <v>0</v>
      </c>
      <c r="BD48" s="92">
        <v>0</v>
      </c>
      <c r="BE48" s="92">
        <v>0</v>
      </c>
      <c r="BF48" s="92">
        <v>0</v>
      </c>
      <c r="BG48" s="92">
        <v>0</v>
      </c>
      <c r="BH48" s="92">
        <v>0</v>
      </c>
      <c r="BI48" s="92">
        <v>0</v>
      </c>
      <c r="BJ48" s="92">
        <v>0</v>
      </c>
      <c r="BK48" s="92">
        <v>0</v>
      </c>
      <c r="BL48" s="92">
        <v>0</v>
      </c>
      <c r="BM48" s="92">
        <v>0</v>
      </c>
      <c r="BN48" s="92">
        <v>0</v>
      </c>
      <c r="BO48" s="92">
        <v>0</v>
      </c>
      <c r="BP48" s="92">
        <v>0</v>
      </c>
      <c r="BQ48" s="92">
        <v>0</v>
      </c>
      <c r="BR48" s="92">
        <v>0</v>
      </c>
      <c r="BS48" s="92">
        <v>0</v>
      </c>
      <c r="BT48" s="92">
        <v>0</v>
      </c>
      <c r="BU48" s="92">
        <v>0</v>
      </c>
      <c r="BV48" s="92">
        <v>0</v>
      </c>
      <c r="BW48" s="92">
        <v>0</v>
      </c>
      <c r="BX48" s="92">
        <v>0</v>
      </c>
      <c r="BY48" s="92">
        <v>0</v>
      </c>
      <c r="BZ48" s="92">
        <v>0</v>
      </c>
      <c r="CA48" s="92">
        <v>0</v>
      </c>
      <c r="CB48" s="92">
        <v>0</v>
      </c>
      <c r="CC48" s="92">
        <v>0</v>
      </c>
      <c r="CD48" s="92">
        <v>0</v>
      </c>
      <c r="CE48" s="92">
        <v>0</v>
      </c>
      <c r="CF48" s="92">
        <v>0</v>
      </c>
      <c r="CG48" s="92">
        <v>0</v>
      </c>
      <c r="CH48" s="92">
        <v>0</v>
      </c>
      <c r="CI48" s="92">
        <v>0</v>
      </c>
      <c r="CJ48" s="92">
        <v>0</v>
      </c>
      <c r="CK48" s="92">
        <v>0</v>
      </c>
      <c r="CL48" s="92">
        <v>0</v>
      </c>
      <c r="CM48" s="92">
        <v>0</v>
      </c>
      <c r="CN48" s="92">
        <v>0</v>
      </c>
      <c r="CO48" s="92">
        <v>0</v>
      </c>
      <c r="CP48" s="92">
        <v>0</v>
      </c>
      <c r="CQ48" s="92">
        <v>0</v>
      </c>
      <c r="CR48" s="92">
        <v>0</v>
      </c>
      <c r="CS48" s="92">
        <v>0</v>
      </c>
      <c r="CT48" s="92">
        <v>0</v>
      </c>
      <c r="CU48" s="92">
        <v>0</v>
      </c>
      <c r="CV48" s="92">
        <v>0</v>
      </c>
      <c r="CW48" s="92">
        <v>0</v>
      </c>
      <c r="CX48" s="92">
        <v>0</v>
      </c>
      <c r="CY48" s="92">
        <v>0</v>
      </c>
      <c r="CZ48" s="92">
        <v>0</v>
      </c>
      <c r="DA48" s="92">
        <v>0</v>
      </c>
      <c r="DB48" s="92">
        <v>0</v>
      </c>
      <c r="DC48" s="92">
        <v>0</v>
      </c>
      <c r="DD48" s="92">
        <v>0</v>
      </c>
      <c r="DE48" s="92">
        <v>0</v>
      </c>
      <c r="DF48" s="92">
        <v>0</v>
      </c>
      <c r="DG48" s="92">
        <v>0</v>
      </c>
      <c r="DH48" s="92">
        <v>0</v>
      </c>
      <c r="DI48" s="92">
        <v>0</v>
      </c>
      <c r="DJ48" s="92">
        <v>0</v>
      </c>
      <c r="DK48" s="92">
        <v>0</v>
      </c>
      <c r="DL48" s="92">
        <v>0</v>
      </c>
      <c r="DM48" s="92">
        <v>0</v>
      </c>
      <c r="DN48" s="92">
        <v>0</v>
      </c>
      <c r="DO48" s="92">
        <v>0</v>
      </c>
      <c r="DP48" s="92">
        <v>0</v>
      </c>
      <c r="DQ48" s="92">
        <v>0</v>
      </c>
      <c r="DR48" s="92">
        <v>0</v>
      </c>
      <c r="DS48" s="92">
        <v>0</v>
      </c>
      <c r="DT48" s="92">
        <v>0</v>
      </c>
      <c r="DU48" s="92">
        <v>0</v>
      </c>
      <c r="DV48" s="92">
        <v>0</v>
      </c>
      <c r="DW48" s="92"/>
      <c r="DX48" s="92"/>
      <c r="DY48" s="92"/>
    </row>
    <row r="49" spans="2:129" x14ac:dyDescent="0.2">
      <c r="B49" s="93" t="s">
        <v>49</v>
      </c>
      <c r="C49" s="16"/>
      <c r="D49" s="16"/>
      <c r="E49" s="91"/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2">
        <v>0</v>
      </c>
      <c r="O49" s="92">
        <v>0</v>
      </c>
      <c r="P49" s="92">
        <v>0</v>
      </c>
      <c r="Q49" s="92">
        <v>0</v>
      </c>
      <c r="R49" s="92">
        <v>0</v>
      </c>
      <c r="S49" s="92">
        <v>0</v>
      </c>
      <c r="T49" s="92">
        <v>0</v>
      </c>
      <c r="U49" s="92">
        <v>0</v>
      </c>
      <c r="V49" s="92">
        <v>0</v>
      </c>
      <c r="W49" s="92">
        <v>0</v>
      </c>
      <c r="X49" s="92">
        <v>0</v>
      </c>
      <c r="Y49" s="92">
        <v>0</v>
      </c>
      <c r="Z49" s="92">
        <v>0</v>
      </c>
      <c r="AA49" s="92">
        <v>0</v>
      </c>
      <c r="AB49" s="92">
        <v>0</v>
      </c>
      <c r="AC49" s="92">
        <v>0</v>
      </c>
      <c r="AD49" s="92">
        <v>0</v>
      </c>
      <c r="AE49" s="92">
        <v>0</v>
      </c>
      <c r="AF49" s="92">
        <v>0</v>
      </c>
      <c r="AG49" s="92">
        <v>0</v>
      </c>
      <c r="AH49" s="92">
        <v>0</v>
      </c>
      <c r="AI49" s="92">
        <v>0</v>
      </c>
      <c r="AJ49" s="92">
        <v>0</v>
      </c>
      <c r="AK49" s="92">
        <v>0</v>
      </c>
      <c r="AL49" s="92">
        <v>0</v>
      </c>
      <c r="AM49" s="92">
        <v>0</v>
      </c>
      <c r="AN49" s="92">
        <v>0</v>
      </c>
      <c r="AO49" s="92">
        <v>0</v>
      </c>
      <c r="AP49" s="92">
        <v>0</v>
      </c>
      <c r="AQ49" s="92">
        <v>0</v>
      </c>
      <c r="AR49" s="92">
        <v>0</v>
      </c>
      <c r="AS49" s="92">
        <v>0</v>
      </c>
      <c r="AT49" s="92">
        <v>0</v>
      </c>
      <c r="AU49" s="92">
        <v>0</v>
      </c>
      <c r="AV49" s="92">
        <v>0</v>
      </c>
      <c r="AW49" s="92">
        <v>0</v>
      </c>
      <c r="AX49" s="92">
        <v>0</v>
      </c>
      <c r="AY49" s="92">
        <v>0</v>
      </c>
      <c r="AZ49" s="92">
        <v>0</v>
      </c>
      <c r="BA49" s="92">
        <v>0</v>
      </c>
      <c r="BB49" s="92">
        <v>0</v>
      </c>
      <c r="BC49" s="92">
        <v>0</v>
      </c>
      <c r="BD49" s="92">
        <v>0</v>
      </c>
      <c r="BE49" s="92">
        <v>0</v>
      </c>
      <c r="BF49" s="92">
        <v>0</v>
      </c>
      <c r="BG49" s="92">
        <v>0</v>
      </c>
      <c r="BH49" s="92">
        <v>0</v>
      </c>
      <c r="BI49" s="92">
        <v>0</v>
      </c>
      <c r="BJ49" s="92">
        <v>0</v>
      </c>
      <c r="BK49" s="92">
        <v>0</v>
      </c>
      <c r="BL49" s="92">
        <v>0</v>
      </c>
      <c r="BM49" s="92">
        <v>0</v>
      </c>
      <c r="BN49" s="92">
        <v>0</v>
      </c>
      <c r="BO49" s="92">
        <v>0</v>
      </c>
      <c r="BP49" s="92">
        <v>0</v>
      </c>
      <c r="BQ49" s="92">
        <v>0</v>
      </c>
      <c r="BR49" s="92">
        <v>0</v>
      </c>
      <c r="BS49" s="92">
        <v>0</v>
      </c>
      <c r="BT49" s="92">
        <v>0</v>
      </c>
      <c r="BU49" s="92">
        <v>0</v>
      </c>
      <c r="BV49" s="92">
        <v>0</v>
      </c>
      <c r="BW49" s="92">
        <v>0</v>
      </c>
      <c r="BX49" s="92">
        <v>0</v>
      </c>
      <c r="BY49" s="92">
        <v>0</v>
      </c>
      <c r="BZ49" s="92">
        <v>0</v>
      </c>
      <c r="CA49" s="92">
        <v>0</v>
      </c>
      <c r="CB49" s="92">
        <v>0</v>
      </c>
      <c r="CC49" s="92">
        <v>0</v>
      </c>
      <c r="CD49" s="92">
        <v>0</v>
      </c>
      <c r="CE49" s="92">
        <v>0</v>
      </c>
      <c r="CF49" s="92">
        <v>0</v>
      </c>
      <c r="CG49" s="92">
        <v>0</v>
      </c>
      <c r="CH49" s="92">
        <v>0</v>
      </c>
      <c r="CI49" s="92">
        <v>0</v>
      </c>
      <c r="CJ49" s="92">
        <v>0</v>
      </c>
      <c r="CK49" s="92">
        <v>0</v>
      </c>
      <c r="CL49" s="92">
        <v>0</v>
      </c>
      <c r="CM49" s="92">
        <v>0</v>
      </c>
      <c r="CN49" s="92">
        <v>0</v>
      </c>
      <c r="CO49" s="92">
        <v>0</v>
      </c>
      <c r="CP49" s="92">
        <v>0</v>
      </c>
      <c r="CQ49" s="92">
        <v>0</v>
      </c>
      <c r="CR49" s="92">
        <v>0</v>
      </c>
      <c r="CS49" s="92">
        <v>0</v>
      </c>
      <c r="CT49" s="92">
        <v>0</v>
      </c>
      <c r="CU49" s="92">
        <v>0</v>
      </c>
      <c r="CV49" s="92">
        <v>0</v>
      </c>
      <c r="CW49" s="92">
        <v>0</v>
      </c>
      <c r="CX49" s="92">
        <v>0</v>
      </c>
      <c r="CY49" s="92">
        <v>0</v>
      </c>
      <c r="CZ49" s="92">
        <v>0</v>
      </c>
      <c r="DA49" s="92">
        <v>0</v>
      </c>
      <c r="DB49" s="92">
        <v>0</v>
      </c>
      <c r="DC49" s="92">
        <v>0</v>
      </c>
      <c r="DD49" s="92">
        <v>0</v>
      </c>
      <c r="DE49" s="92">
        <v>0</v>
      </c>
      <c r="DF49" s="92">
        <v>0</v>
      </c>
      <c r="DG49" s="92">
        <v>0</v>
      </c>
      <c r="DH49" s="92">
        <v>0</v>
      </c>
      <c r="DI49" s="92">
        <v>0</v>
      </c>
      <c r="DJ49" s="92">
        <v>0</v>
      </c>
      <c r="DK49" s="92">
        <v>0</v>
      </c>
      <c r="DL49" s="92">
        <v>0</v>
      </c>
      <c r="DM49" s="92">
        <v>0</v>
      </c>
      <c r="DN49" s="92">
        <v>0</v>
      </c>
      <c r="DO49" s="92">
        <v>0</v>
      </c>
      <c r="DP49" s="92">
        <v>0</v>
      </c>
      <c r="DQ49" s="92">
        <v>0</v>
      </c>
      <c r="DR49" s="92">
        <v>0</v>
      </c>
      <c r="DS49" s="92">
        <v>0</v>
      </c>
      <c r="DT49" s="92">
        <v>0</v>
      </c>
      <c r="DU49" s="92">
        <v>0</v>
      </c>
      <c r="DV49" s="92">
        <v>0</v>
      </c>
      <c r="DW49" s="92"/>
      <c r="DX49" s="92"/>
      <c r="DY49" s="92"/>
    </row>
    <row r="50" spans="2:129" x14ac:dyDescent="0.2">
      <c r="B50" s="93"/>
      <c r="C50" s="16"/>
      <c r="D50" s="16"/>
      <c r="E50" s="91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  <c r="AA50" s="92"/>
      <c r="AB50" s="92"/>
      <c r="AC50" s="92"/>
      <c r="AD50" s="92"/>
      <c r="AE50" s="92"/>
      <c r="AF50" s="92"/>
      <c r="AG50" s="92"/>
      <c r="AH50" s="92"/>
      <c r="AI50" s="92"/>
      <c r="AJ50" s="92"/>
      <c r="AK50" s="92"/>
      <c r="AL50" s="92"/>
      <c r="AM50" s="92"/>
      <c r="AN50" s="92"/>
      <c r="AO50" s="92"/>
      <c r="AP50" s="92"/>
      <c r="AQ50" s="92"/>
      <c r="AR50" s="92"/>
      <c r="AS50" s="92"/>
      <c r="AT50" s="92"/>
      <c r="AU50" s="92"/>
      <c r="AV50" s="92"/>
      <c r="AW50" s="92"/>
      <c r="AX50" s="92"/>
      <c r="AY50" s="92"/>
      <c r="AZ50" s="92"/>
      <c r="BA50" s="92"/>
      <c r="BB50" s="92"/>
      <c r="BC50" s="92"/>
      <c r="BD50" s="92"/>
      <c r="BE50" s="92"/>
      <c r="BF50" s="92"/>
      <c r="BG50" s="92"/>
      <c r="BH50" s="92"/>
      <c r="BI50" s="92"/>
      <c r="BJ50" s="92"/>
      <c r="BK50" s="92"/>
      <c r="BL50" s="92"/>
      <c r="BM50" s="92"/>
      <c r="BN50" s="92"/>
      <c r="BO50" s="92"/>
      <c r="BP50" s="92"/>
      <c r="BQ50" s="92"/>
      <c r="BR50" s="92"/>
      <c r="BS50" s="92"/>
      <c r="BT50" s="92"/>
      <c r="BU50" s="92"/>
      <c r="BV50" s="92"/>
      <c r="BW50" s="92"/>
      <c r="BX50" s="92"/>
      <c r="BY50" s="92"/>
      <c r="BZ50" s="92"/>
      <c r="CA50" s="92"/>
      <c r="CB50" s="92"/>
      <c r="CC50" s="92"/>
      <c r="CD50" s="92"/>
      <c r="CE50" s="92"/>
      <c r="CF50" s="92"/>
      <c r="CG50" s="92"/>
      <c r="CH50" s="92"/>
      <c r="CI50" s="92"/>
      <c r="CJ50" s="92"/>
      <c r="CK50" s="92"/>
      <c r="CL50" s="92"/>
      <c r="CM50" s="92"/>
      <c r="CN50" s="92"/>
      <c r="CO50" s="92"/>
      <c r="CP50" s="92"/>
      <c r="CQ50" s="92"/>
      <c r="CR50" s="92"/>
      <c r="CS50" s="92"/>
      <c r="CT50" s="92"/>
      <c r="CU50" s="92"/>
      <c r="CV50" s="92"/>
      <c r="CW50" s="92"/>
      <c r="CX50" s="92"/>
      <c r="CY50" s="92"/>
      <c r="CZ50" s="92"/>
      <c r="DA50" s="92"/>
      <c r="DB50" s="92"/>
      <c r="DC50" s="92"/>
      <c r="DD50" s="92"/>
      <c r="DE50" s="92"/>
      <c r="DF50" s="92"/>
      <c r="DG50" s="92"/>
      <c r="DH50" s="92"/>
      <c r="DI50" s="92"/>
      <c r="DJ50" s="92"/>
      <c r="DK50" s="92"/>
      <c r="DL50" s="92"/>
      <c r="DM50" s="92"/>
      <c r="DN50" s="92"/>
      <c r="DO50" s="92"/>
      <c r="DP50" s="92"/>
      <c r="DQ50" s="92"/>
      <c r="DR50" s="92"/>
      <c r="DS50" s="92"/>
      <c r="DT50" s="92"/>
      <c r="DU50" s="92"/>
      <c r="DV50" s="92"/>
      <c r="DW50" s="92"/>
      <c r="DX50" s="92"/>
      <c r="DY50" s="92"/>
    </row>
    <row r="51" spans="2:129" x14ac:dyDescent="0.2">
      <c r="B51" s="90" t="s">
        <v>50</v>
      </c>
      <c r="C51" s="16"/>
      <c r="D51" s="16"/>
      <c r="E51" s="91"/>
      <c r="F51" s="94">
        <f>IF(F45="","",F47-F48-F49)</f>
        <v>-104026917</v>
      </c>
      <c r="G51" s="94">
        <f t="shared" ref="G51:BR51" si="30">IF(G45="","",G47-G48-G49)</f>
        <v>-26917</v>
      </c>
      <c r="H51" s="94">
        <f t="shared" si="30"/>
        <v>-26917</v>
      </c>
      <c r="I51" s="94">
        <f t="shared" si="30"/>
        <v>-26917</v>
      </c>
      <c r="J51" s="94">
        <f t="shared" si="30"/>
        <v>-26917</v>
      </c>
      <c r="K51" s="94">
        <f t="shared" si="30"/>
        <v>-26917</v>
      </c>
      <c r="L51" s="94">
        <f t="shared" si="30"/>
        <v>-26917</v>
      </c>
      <c r="M51" s="94">
        <f t="shared" si="30"/>
        <v>-26917</v>
      </c>
      <c r="N51" s="94">
        <f t="shared" si="30"/>
        <v>-26917</v>
      </c>
      <c r="O51" s="94">
        <f t="shared" si="30"/>
        <v>-26917</v>
      </c>
      <c r="P51" s="94">
        <f t="shared" si="30"/>
        <v>-26917</v>
      </c>
      <c r="Q51" s="94">
        <f t="shared" si="30"/>
        <v>-26917</v>
      </c>
      <c r="R51" s="94">
        <f t="shared" si="30"/>
        <v>-26917</v>
      </c>
      <c r="S51" s="94">
        <f t="shared" si="30"/>
        <v>-26917</v>
      </c>
      <c r="T51" s="94">
        <f t="shared" si="30"/>
        <v>-26917</v>
      </c>
      <c r="U51" s="94">
        <f t="shared" si="30"/>
        <v>-26917</v>
      </c>
      <c r="V51" s="94">
        <f t="shared" si="30"/>
        <v>-26917</v>
      </c>
      <c r="W51" s="94">
        <f t="shared" si="30"/>
        <v>-26917</v>
      </c>
      <c r="X51" s="94">
        <f t="shared" si="30"/>
        <v>-26917</v>
      </c>
      <c r="Y51" s="94">
        <f t="shared" si="30"/>
        <v>-26917</v>
      </c>
      <c r="Z51" s="94">
        <f t="shared" si="30"/>
        <v>-26917</v>
      </c>
      <c r="AA51" s="94">
        <f t="shared" si="30"/>
        <v>-26917</v>
      </c>
      <c r="AB51" s="94">
        <f t="shared" si="30"/>
        <v>-26917</v>
      </c>
      <c r="AC51" s="94">
        <f t="shared" si="30"/>
        <v>-386604</v>
      </c>
      <c r="AD51" s="94">
        <f t="shared" si="30"/>
        <v>-935646</v>
      </c>
      <c r="AE51" s="94">
        <f t="shared" si="30"/>
        <v>28435454</v>
      </c>
      <c r="AF51" s="94">
        <f t="shared" si="30"/>
        <v>-935646</v>
      </c>
      <c r="AG51" s="94">
        <f t="shared" si="30"/>
        <v>-935646</v>
      </c>
      <c r="AH51" s="94">
        <f t="shared" si="30"/>
        <v>-935646</v>
      </c>
      <c r="AI51" s="94">
        <f t="shared" si="30"/>
        <v>-935646</v>
      </c>
      <c r="AJ51" s="94">
        <f t="shared" si="30"/>
        <v>-935646</v>
      </c>
      <c r="AK51" s="94">
        <f t="shared" si="30"/>
        <v>-935646</v>
      </c>
      <c r="AL51" s="94">
        <f t="shared" si="30"/>
        <v>-935646</v>
      </c>
      <c r="AM51" s="94">
        <f t="shared" si="30"/>
        <v>-753368</v>
      </c>
      <c r="AN51" s="94">
        <f t="shared" si="30"/>
        <v>-753368</v>
      </c>
      <c r="AO51" s="94">
        <f t="shared" si="30"/>
        <v>-982326</v>
      </c>
      <c r="AP51" s="94">
        <f t="shared" si="30"/>
        <v>-676201</v>
      </c>
      <c r="AQ51" s="94">
        <f t="shared" si="30"/>
        <v>-676201</v>
      </c>
      <c r="AR51" s="94">
        <f t="shared" si="30"/>
        <v>-676201</v>
      </c>
      <c r="AS51" s="94">
        <f t="shared" si="30"/>
        <v>-676201</v>
      </c>
      <c r="AT51" s="94">
        <f t="shared" si="30"/>
        <v>-676201</v>
      </c>
      <c r="AU51" s="94">
        <f t="shared" si="30"/>
        <v>41396761</v>
      </c>
      <c r="AV51" s="94">
        <f t="shared" si="30"/>
        <v>-745384</v>
      </c>
      <c r="AW51" s="94">
        <f t="shared" si="30"/>
        <v>-745384</v>
      </c>
      <c r="AX51" s="94">
        <f t="shared" si="30"/>
        <v>-745384</v>
      </c>
      <c r="AY51" s="94">
        <f t="shared" si="30"/>
        <v>-745384</v>
      </c>
      <c r="AZ51" s="94">
        <f t="shared" si="30"/>
        <v>-745384</v>
      </c>
      <c r="BA51" s="94">
        <f t="shared" si="30"/>
        <v>172949924</v>
      </c>
      <c r="BB51" s="94">
        <f t="shared" si="30"/>
        <v>-557276</v>
      </c>
      <c r="BC51" s="94">
        <f t="shared" si="30"/>
        <v>-557276</v>
      </c>
      <c r="BD51" s="94">
        <f t="shared" si="30"/>
        <v>-557276</v>
      </c>
      <c r="BE51" s="94">
        <f t="shared" si="30"/>
        <v>-557276</v>
      </c>
      <c r="BF51" s="94">
        <f t="shared" si="30"/>
        <v>-557276</v>
      </c>
      <c r="BG51" s="94">
        <f t="shared" si="30"/>
        <v>-557276</v>
      </c>
      <c r="BH51" s="94">
        <f t="shared" si="30"/>
        <v>-557276</v>
      </c>
      <c r="BI51" s="94">
        <f t="shared" si="30"/>
        <v>-557276</v>
      </c>
      <c r="BJ51" s="94">
        <f t="shared" si="30"/>
        <v>-557276</v>
      </c>
      <c r="BK51" s="94">
        <f t="shared" si="30"/>
        <v>-557276</v>
      </c>
      <c r="BL51" s="94">
        <f t="shared" si="30"/>
        <v>-557276</v>
      </c>
      <c r="BM51" s="94">
        <f t="shared" si="30"/>
        <v>-409821</v>
      </c>
      <c r="BN51" s="94">
        <f t="shared" si="30"/>
        <v>-409821</v>
      </c>
      <c r="BO51" s="94">
        <f t="shared" si="30"/>
        <v>-409821</v>
      </c>
      <c r="BP51" s="94">
        <f t="shared" si="30"/>
        <v>-253083</v>
      </c>
      <c r="BQ51" s="94">
        <f t="shared" si="30"/>
        <v>-253083</v>
      </c>
      <c r="BR51" s="94">
        <f t="shared" si="30"/>
        <v>-253083</v>
      </c>
      <c r="BS51" s="94">
        <f t="shared" ref="BS51:DV51" si="31">IF(BS45="","",BS47-BS48-BS49)</f>
        <v>-253083</v>
      </c>
      <c r="BT51" s="94">
        <f t="shared" si="31"/>
        <v>-253083</v>
      </c>
      <c r="BU51" s="94">
        <f t="shared" si="31"/>
        <v>-253083</v>
      </c>
      <c r="BV51" s="94">
        <f t="shared" si="31"/>
        <v>-253083</v>
      </c>
      <c r="BW51" s="94">
        <f t="shared" si="31"/>
        <v>-253083</v>
      </c>
      <c r="BX51" s="94">
        <f t="shared" si="31"/>
        <v>-253083</v>
      </c>
      <c r="BY51" s="94">
        <f t="shared" si="31"/>
        <v>5906917</v>
      </c>
      <c r="BZ51" s="94">
        <f t="shared" si="31"/>
        <v>4284417</v>
      </c>
      <c r="CA51" s="94">
        <f t="shared" si="31"/>
        <v>-253083</v>
      </c>
      <c r="CB51" s="94">
        <f t="shared" si="31"/>
        <v>-253083</v>
      </c>
      <c r="CC51" s="94">
        <f t="shared" si="31"/>
        <v>-253083</v>
      </c>
      <c r="CD51" s="94">
        <f t="shared" si="31"/>
        <v>-253083</v>
      </c>
      <c r="CE51" s="94">
        <f t="shared" si="31"/>
        <v>14789500</v>
      </c>
      <c r="CF51" s="94">
        <f t="shared" si="31"/>
        <v>0</v>
      </c>
      <c r="CG51" s="94">
        <f t="shared" si="31"/>
        <v>0</v>
      </c>
      <c r="CH51" s="94">
        <f t="shared" si="31"/>
        <v>0</v>
      </c>
      <c r="CI51" s="94">
        <f t="shared" si="31"/>
        <v>0</v>
      </c>
      <c r="CJ51" s="94">
        <f t="shared" si="31"/>
        <v>0</v>
      </c>
      <c r="CK51" s="94">
        <f t="shared" si="31"/>
        <v>-581583</v>
      </c>
      <c r="CL51" s="94">
        <f t="shared" si="31"/>
        <v>-581583</v>
      </c>
      <c r="CM51" s="94">
        <f t="shared" si="31"/>
        <v>-581583</v>
      </c>
      <c r="CN51" s="94">
        <f t="shared" si="31"/>
        <v>-581583</v>
      </c>
      <c r="CO51" s="94">
        <f t="shared" si="31"/>
        <v>-581583</v>
      </c>
      <c r="CP51" s="94">
        <f t="shared" si="31"/>
        <v>-581583</v>
      </c>
      <c r="CQ51" s="94">
        <f t="shared" si="31"/>
        <v>-581583</v>
      </c>
      <c r="CR51" s="94">
        <f t="shared" si="31"/>
        <v>-581583</v>
      </c>
      <c r="CS51" s="94">
        <f t="shared" si="31"/>
        <v>-581583</v>
      </c>
      <c r="CT51" s="94">
        <f t="shared" si="31"/>
        <v>-581583</v>
      </c>
      <c r="CU51" s="94">
        <f t="shared" si="31"/>
        <v>-581583</v>
      </c>
      <c r="CV51" s="94">
        <f t="shared" si="31"/>
        <v>-581583</v>
      </c>
      <c r="CW51" s="94">
        <f t="shared" si="31"/>
        <v>27055800</v>
      </c>
      <c r="CX51" s="94" t="str">
        <f t="shared" si="31"/>
        <v/>
      </c>
      <c r="CY51" s="94" t="str">
        <f t="shared" si="31"/>
        <v/>
      </c>
      <c r="CZ51" s="94" t="str">
        <f t="shared" si="31"/>
        <v/>
      </c>
      <c r="DA51" s="94" t="str">
        <f t="shared" si="31"/>
        <v/>
      </c>
      <c r="DB51" s="94" t="str">
        <f t="shared" si="31"/>
        <v/>
      </c>
      <c r="DC51" s="94" t="str">
        <f t="shared" si="31"/>
        <v/>
      </c>
      <c r="DD51" s="94" t="str">
        <f t="shared" si="31"/>
        <v/>
      </c>
      <c r="DE51" s="94" t="str">
        <f t="shared" si="31"/>
        <v/>
      </c>
      <c r="DF51" s="94" t="str">
        <f t="shared" si="31"/>
        <v/>
      </c>
      <c r="DG51" s="94" t="str">
        <f t="shared" si="31"/>
        <v/>
      </c>
      <c r="DH51" s="94" t="str">
        <f t="shared" si="31"/>
        <v/>
      </c>
      <c r="DI51" s="94" t="str">
        <f t="shared" si="31"/>
        <v/>
      </c>
      <c r="DJ51" s="94" t="str">
        <f t="shared" si="31"/>
        <v/>
      </c>
      <c r="DK51" s="94" t="str">
        <f t="shared" si="31"/>
        <v/>
      </c>
      <c r="DL51" s="94" t="str">
        <f t="shared" si="31"/>
        <v/>
      </c>
      <c r="DM51" s="94" t="str">
        <f t="shared" si="31"/>
        <v/>
      </c>
      <c r="DN51" s="94" t="str">
        <f t="shared" si="31"/>
        <v/>
      </c>
      <c r="DO51" s="94" t="str">
        <f t="shared" si="31"/>
        <v/>
      </c>
      <c r="DP51" s="94" t="str">
        <f t="shared" si="31"/>
        <v/>
      </c>
      <c r="DQ51" s="94" t="str">
        <f t="shared" si="31"/>
        <v/>
      </c>
      <c r="DR51" s="94" t="str">
        <f t="shared" si="31"/>
        <v/>
      </c>
      <c r="DS51" s="94" t="str">
        <f t="shared" si="31"/>
        <v/>
      </c>
      <c r="DT51" s="94" t="str">
        <f t="shared" si="31"/>
        <v/>
      </c>
      <c r="DU51" s="94" t="str">
        <f t="shared" si="31"/>
        <v/>
      </c>
      <c r="DV51" s="94" t="str">
        <f t="shared" si="31"/>
        <v/>
      </c>
      <c r="DW51" s="94"/>
      <c r="DX51" s="94"/>
      <c r="DY51" s="94"/>
    </row>
    <row r="52" spans="2:129" x14ac:dyDescent="0.2">
      <c r="B52" s="16" t="s">
        <v>51</v>
      </c>
      <c r="C52" s="16"/>
      <c r="D52" s="16"/>
      <c r="E52" s="16"/>
      <c r="F52" s="79">
        <f ca="1">XIRR(OFFSET(F51,0,0,1,$E$21+1),OFFSET($F$46,0,0,1,$E$21+1))</f>
        <v>0.25431432127952569</v>
      </c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/>
      <c r="BJ52" s="66"/>
      <c r="BK52" s="66"/>
      <c r="BL52" s="66"/>
      <c r="BM52" s="66"/>
      <c r="BN52" s="66"/>
      <c r="BO52" s="66"/>
      <c r="BP52" s="66"/>
      <c r="BQ52" s="66"/>
      <c r="BR52" s="66"/>
      <c r="BS52" s="66"/>
      <c r="BT52" s="66"/>
      <c r="BU52" s="66"/>
      <c r="BV52" s="66"/>
      <c r="BW52" s="66"/>
      <c r="BX52" s="66"/>
      <c r="BY52" s="66"/>
      <c r="BZ52" s="66"/>
      <c r="CA52" s="66"/>
      <c r="CB52" s="66"/>
      <c r="CC52" s="66"/>
      <c r="CD52" s="66"/>
      <c r="CE52" s="66"/>
      <c r="CF52" s="66"/>
      <c r="CG52" s="66"/>
      <c r="CH52" s="66"/>
      <c r="CI52" s="66"/>
      <c r="CJ52" s="66"/>
      <c r="CK52" s="66"/>
      <c r="CL52" s="66"/>
      <c r="CM52" s="66"/>
      <c r="CN52" s="66"/>
      <c r="CO52" s="66"/>
      <c r="CP52" s="66"/>
      <c r="CQ52" s="66"/>
      <c r="CR52" s="66"/>
      <c r="CS52" s="66"/>
      <c r="CT52" s="66"/>
      <c r="CU52" s="66"/>
      <c r="CV52" s="66"/>
      <c r="CW52" s="66"/>
      <c r="CX52" s="66"/>
      <c r="CY52" s="66"/>
      <c r="CZ52" s="66"/>
      <c r="DA52" s="66"/>
      <c r="DB52" s="66"/>
      <c r="DC52" s="66"/>
      <c r="DD52" s="66"/>
      <c r="DE52" s="66"/>
      <c r="DF52" s="66"/>
      <c r="DG52" s="66"/>
      <c r="DH52" s="66"/>
      <c r="DI52" s="66"/>
      <c r="DJ52" s="66"/>
      <c r="DK52" s="66"/>
      <c r="DL52" s="66"/>
      <c r="DM52" s="66"/>
      <c r="DN52" s="66"/>
      <c r="DO52" s="66"/>
      <c r="DP52" s="66"/>
      <c r="DQ52" s="66"/>
      <c r="DR52" s="66"/>
      <c r="DS52" s="66"/>
      <c r="DT52" s="66"/>
      <c r="DU52" s="66"/>
      <c r="DV52" s="66"/>
      <c r="DW52" s="66"/>
      <c r="DX52" s="66"/>
      <c r="DY52" s="17"/>
    </row>
    <row r="53" spans="2:129" x14ac:dyDescent="0.2">
      <c r="B53" s="16" t="s">
        <v>22</v>
      </c>
      <c r="C53" s="16"/>
      <c r="D53" s="16"/>
      <c r="E53" s="16"/>
      <c r="F53" s="95">
        <f>SUMIF(F51:DY51,"&gt;0")/-SUMIF(F51:DY51,"&lt;0")</f>
        <v>2.1101225221739144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/>
      <c r="BJ53" s="66"/>
      <c r="BK53" s="66"/>
      <c r="BL53" s="66"/>
      <c r="BM53" s="66"/>
      <c r="BN53" s="66"/>
      <c r="BO53" s="66"/>
      <c r="BP53" s="66"/>
      <c r="BQ53" s="66"/>
      <c r="BR53" s="66"/>
      <c r="BS53" s="66"/>
      <c r="BT53" s="66"/>
      <c r="BU53" s="66"/>
      <c r="BV53" s="66"/>
      <c r="BW53" s="66"/>
      <c r="BX53" s="66"/>
      <c r="BY53" s="66"/>
      <c r="BZ53" s="66"/>
      <c r="CA53" s="66"/>
      <c r="CB53" s="66"/>
      <c r="CC53" s="66"/>
      <c r="CD53" s="66"/>
      <c r="CE53" s="66"/>
      <c r="CF53" s="66"/>
      <c r="CG53" s="66"/>
      <c r="CH53" s="66"/>
      <c r="CI53" s="66"/>
      <c r="CJ53" s="66"/>
      <c r="CK53" s="66"/>
      <c r="CL53" s="66"/>
      <c r="CM53" s="66"/>
      <c r="CN53" s="66"/>
      <c r="CO53" s="66"/>
      <c r="CP53" s="66"/>
      <c r="CQ53" s="66"/>
      <c r="CR53" s="66"/>
      <c r="CS53" s="66"/>
      <c r="CT53" s="66"/>
      <c r="CU53" s="66"/>
      <c r="CV53" s="66"/>
      <c r="CW53" s="66"/>
      <c r="CX53" s="66"/>
      <c r="CY53" s="66"/>
      <c r="CZ53" s="66"/>
      <c r="DA53" s="66"/>
      <c r="DB53" s="66"/>
      <c r="DC53" s="66"/>
      <c r="DD53" s="66"/>
      <c r="DE53" s="66"/>
      <c r="DF53" s="66"/>
      <c r="DG53" s="66"/>
      <c r="DH53" s="66"/>
      <c r="DI53" s="66"/>
      <c r="DJ53" s="66"/>
      <c r="DK53" s="66"/>
      <c r="DL53" s="66"/>
      <c r="DM53" s="66"/>
      <c r="DN53" s="66"/>
      <c r="DO53" s="66"/>
      <c r="DP53" s="66"/>
      <c r="DQ53" s="66"/>
      <c r="DR53" s="66"/>
      <c r="DS53" s="66"/>
      <c r="DT53" s="66"/>
      <c r="DU53" s="66"/>
      <c r="DV53" s="66"/>
      <c r="DW53" s="66"/>
      <c r="DX53" s="66"/>
      <c r="DY53" s="17"/>
    </row>
    <row r="54" spans="2:129" ht="5" customHeight="1" x14ac:dyDescent="0.2">
      <c r="B54" s="16"/>
      <c r="C54" s="16"/>
      <c r="D54" s="16"/>
      <c r="E54" s="66"/>
      <c r="F54" s="96"/>
      <c r="G54" s="66"/>
      <c r="H54" s="66"/>
      <c r="I54" s="66"/>
      <c r="J54" s="66"/>
      <c r="K54" s="66"/>
      <c r="L54" s="66"/>
      <c r="M54" s="66"/>
      <c r="N54" s="66"/>
      <c r="O54" s="6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  <c r="BY54" s="96"/>
      <c r="BZ54" s="96"/>
      <c r="CA54" s="96"/>
      <c r="CB54" s="96"/>
      <c r="CC54" s="96"/>
      <c r="CD54" s="96"/>
      <c r="CE54" s="96"/>
      <c r="CF54" s="96"/>
      <c r="CG54" s="96"/>
      <c r="CH54" s="96"/>
      <c r="CI54" s="96"/>
      <c r="CJ54" s="96"/>
      <c r="CK54" s="96"/>
      <c r="CL54" s="96"/>
      <c r="CM54" s="96"/>
      <c r="CN54" s="96"/>
      <c r="CO54" s="96"/>
      <c r="CP54" s="96"/>
      <c r="CQ54" s="96"/>
      <c r="CR54" s="96"/>
      <c r="CS54" s="96"/>
      <c r="CT54" s="96"/>
      <c r="CU54" s="96"/>
      <c r="CV54" s="96"/>
      <c r="CW54" s="96"/>
      <c r="CX54" s="96"/>
      <c r="CY54" s="96"/>
      <c r="CZ54" s="96"/>
      <c r="DA54" s="96"/>
      <c r="DB54" s="96"/>
      <c r="DC54" s="96"/>
      <c r="DD54" s="96"/>
      <c r="DE54" s="96"/>
      <c r="DF54" s="96"/>
      <c r="DG54" s="96"/>
      <c r="DH54" s="96"/>
      <c r="DI54" s="96"/>
      <c r="DJ54" s="96"/>
      <c r="DK54" s="66"/>
      <c r="DL54" s="66"/>
      <c r="DM54" s="66"/>
      <c r="DN54" s="66"/>
      <c r="DO54" s="66"/>
      <c r="DP54" s="66"/>
      <c r="DQ54" s="66"/>
      <c r="DR54" s="66"/>
      <c r="DS54" s="66"/>
      <c r="DT54" s="66"/>
      <c r="DU54" s="66"/>
      <c r="DV54" s="66"/>
      <c r="DW54" s="66"/>
      <c r="DX54" s="66"/>
      <c r="DY54" s="17"/>
    </row>
    <row r="55" spans="2:129" x14ac:dyDescent="0.2">
      <c r="DJ55" s="2"/>
    </row>
    <row r="56" spans="2:129" ht="19" outlineLevel="1" x14ac:dyDescent="0.25">
      <c r="B56" s="97" t="s">
        <v>52</v>
      </c>
      <c r="C56" s="98"/>
      <c r="D56" s="98"/>
      <c r="E56" s="98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  <c r="AO56" s="99"/>
      <c r="AP56" s="99"/>
      <c r="AQ56" s="99"/>
      <c r="AR56" s="99"/>
      <c r="AS56" s="99"/>
      <c r="AT56" s="99"/>
      <c r="AU56" s="99"/>
      <c r="AV56" s="99"/>
      <c r="AW56" s="99"/>
      <c r="AX56" s="99"/>
      <c r="AY56" s="99"/>
      <c r="AZ56" s="99"/>
      <c r="BA56" s="99"/>
      <c r="BB56" s="99"/>
      <c r="BC56" s="99"/>
      <c r="BD56" s="99"/>
      <c r="BE56" s="99"/>
      <c r="BF56" s="99"/>
      <c r="BG56" s="99"/>
      <c r="BH56" s="99"/>
      <c r="BI56" s="99"/>
      <c r="BJ56" s="99"/>
      <c r="BK56" s="99"/>
      <c r="BL56" s="99"/>
      <c r="BM56" s="99"/>
      <c r="BN56" s="99"/>
      <c r="BO56" s="99"/>
      <c r="BP56" s="99"/>
      <c r="BQ56" s="99"/>
      <c r="BR56" s="99"/>
      <c r="BS56" s="99"/>
      <c r="BT56" s="99"/>
      <c r="BU56" s="99"/>
      <c r="BV56" s="99"/>
      <c r="BW56" s="99"/>
      <c r="BX56" s="99"/>
      <c r="BY56" s="99"/>
      <c r="BZ56" s="99"/>
      <c r="CA56" s="99"/>
      <c r="CB56" s="99"/>
      <c r="CC56" s="99"/>
      <c r="CD56" s="99"/>
      <c r="CE56" s="99"/>
      <c r="CF56" s="99"/>
      <c r="CG56" s="99"/>
      <c r="CH56" s="99"/>
      <c r="CI56" s="99"/>
      <c r="CJ56" s="99"/>
      <c r="CK56" s="99"/>
      <c r="CL56" s="99"/>
      <c r="CM56" s="99"/>
      <c r="CN56" s="99"/>
      <c r="CO56" s="99"/>
      <c r="CP56" s="99"/>
      <c r="CQ56" s="99"/>
      <c r="CR56" s="99"/>
      <c r="CS56" s="99"/>
      <c r="CT56" s="99"/>
      <c r="CU56" s="99"/>
      <c r="CV56" s="99"/>
      <c r="CW56" s="99"/>
      <c r="CX56" s="99"/>
      <c r="CY56" s="99"/>
      <c r="CZ56" s="99"/>
      <c r="DA56" s="99"/>
      <c r="DB56" s="99"/>
      <c r="DC56" s="99"/>
      <c r="DD56" s="99"/>
      <c r="DE56" s="99"/>
      <c r="DF56" s="99"/>
      <c r="DG56" s="99"/>
      <c r="DH56" s="99"/>
      <c r="DI56" s="99"/>
      <c r="DJ56" s="99"/>
      <c r="DK56" s="99"/>
      <c r="DL56" s="99"/>
      <c r="DM56" s="99"/>
      <c r="DN56" s="99"/>
      <c r="DO56" s="99"/>
      <c r="DP56" s="99"/>
      <c r="DQ56" s="99"/>
      <c r="DR56" s="99"/>
      <c r="DS56" s="99"/>
      <c r="DT56" s="99"/>
      <c r="DU56" s="99"/>
      <c r="DV56" s="99"/>
      <c r="DW56" s="99"/>
      <c r="DX56" s="99"/>
      <c r="DY56" s="7"/>
    </row>
    <row r="57" spans="2:129" ht="5" customHeight="1" outlineLevel="1" thickBot="1" x14ac:dyDescent="0.25">
      <c r="B57" s="19"/>
      <c r="C57" s="19"/>
      <c r="D57" s="19" t="s">
        <v>23</v>
      </c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6"/>
      <c r="DK57" s="16"/>
      <c r="DL57" s="16"/>
      <c r="DM57" s="16"/>
      <c r="DN57" s="16"/>
      <c r="DO57" s="16"/>
      <c r="DP57" s="16"/>
      <c r="DQ57" s="16"/>
      <c r="DR57" s="16"/>
      <c r="DS57" s="16"/>
      <c r="DT57" s="16"/>
      <c r="DU57" s="16"/>
      <c r="DV57" s="16"/>
      <c r="DW57" s="16"/>
      <c r="DX57" s="16"/>
    </row>
    <row r="58" spans="2:129" outlineLevel="1" x14ac:dyDescent="0.2">
      <c r="B58" s="100"/>
      <c r="C58" s="100"/>
      <c r="D58" s="101"/>
      <c r="E58" s="100"/>
      <c r="F58" s="150" t="s">
        <v>17</v>
      </c>
      <c r="G58" s="150"/>
      <c r="H58" s="151" t="s">
        <v>18</v>
      </c>
      <c r="I58" s="151"/>
      <c r="J58" s="102"/>
      <c r="K58" s="102"/>
      <c r="L58" s="102"/>
      <c r="M58" s="102"/>
      <c r="N58" s="102"/>
      <c r="O58" s="19"/>
      <c r="P58" s="27" t="s">
        <v>11</v>
      </c>
      <c r="Q58" s="28" t="str">
        <f>IF(ROUND(Q60,0)=ROUND(Q59,0),"OK","Error")</f>
        <v>OK</v>
      </c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  <c r="BD58" s="103"/>
      <c r="BE58" s="103"/>
      <c r="BF58" s="103"/>
      <c r="BG58" s="103"/>
      <c r="BH58" s="103"/>
      <c r="BI58" s="103"/>
      <c r="BJ58" s="103"/>
      <c r="BK58" s="103"/>
      <c r="BL58" s="103"/>
      <c r="BM58" s="103"/>
      <c r="BN58" s="103"/>
      <c r="BO58" s="103"/>
      <c r="BP58" s="103"/>
      <c r="BQ58" s="103"/>
      <c r="BR58" s="103"/>
      <c r="BS58" s="103"/>
      <c r="BT58" s="103"/>
      <c r="BU58" s="103"/>
      <c r="BV58" s="103"/>
      <c r="BW58" s="103"/>
      <c r="BX58" s="103"/>
      <c r="BY58" s="103"/>
      <c r="BZ58" s="103"/>
      <c r="CA58" s="103"/>
      <c r="CB58" s="103"/>
      <c r="CC58" s="103"/>
      <c r="CD58" s="103"/>
      <c r="CE58" s="103"/>
      <c r="CF58" s="103"/>
      <c r="CG58" s="103"/>
      <c r="CH58" s="103"/>
      <c r="CI58" s="103"/>
      <c r="CJ58" s="103"/>
      <c r="CK58" s="103"/>
      <c r="CL58" s="103"/>
      <c r="CM58" s="103"/>
      <c r="CN58" s="103"/>
      <c r="CO58" s="103"/>
      <c r="CP58" s="103"/>
      <c r="CQ58" s="103"/>
      <c r="CR58" s="103"/>
      <c r="CS58" s="103"/>
      <c r="CT58" s="103"/>
      <c r="CU58" s="103"/>
      <c r="CV58" s="103"/>
      <c r="CW58" s="103"/>
      <c r="CX58" s="103"/>
      <c r="CY58" s="103"/>
      <c r="CZ58" s="103"/>
      <c r="DA58" s="103"/>
      <c r="DB58" s="103"/>
      <c r="DC58" s="103"/>
      <c r="DD58" s="103"/>
      <c r="DE58" s="103"/>
      <c r="DF58" s="103"/>
      <c r="DG58" s="103"/>
      <c r="DH58" s="103"/>
      <c r="DI58" s="103"/>
      <c r="DK58" s="104"/>
      <c r="DL58" s="104"/>
      <c r="DM58" s="104"/>
      <c r="DN58" s="104"/>
      <c r="DO58" s="104"/>
      <c r="DP58" s="104"/>
      <c r="DQ58" s="104"/>
      <c r="DR58" s="104"/>
      <c r="DS58" s="104"/>
      <c r="DT58" s="104"/>
      <c r="DU58" s="104"/>
      <c r="DV58" s="16"/>
      <c r="DW58" s="16"/>
      <c r="DX58" s="16"/>
    </row>
    <row r="59" spans="2:129" ht="16" outlineLevel="1" x14ac:dyDescent="0.2">
      <c r="B59" s="105" t="str">
        <f>IF(D57="Equity Multiple","Partnership Distribution Assumptions (Equity Multiple Hurdles)","Partnership Distribution Assumptions (IRR Hurdles)")</f>
        <v>Partnership Distribution Assumptions (IRR Hurdles)</v>
      </c>
      <c r="C59" s="100"/>
      <c r="D59" s="101"/>
      <c r="E59" s="100"/>
      <c r="F59" s="150"/>
      <c r="G59" s="150"/>
      <c r="H59" s="106" t="s">
        <v>19</v>
      </c>
      <c r="I59" s="107" t="s">
        <v>20</v>
      </c>
      <c r="J59" s="107" t="s">
        <v>21</v>
      </c>
      <c r="K59" s="102"/>
      <c r="L59" s="102"/>
      <c r="M59" s="102"/>
      <c r="N59" s="102"/>
      <c r="O59" s="19"/>
      <c r="P59" s="31" t="s">
        <v>13</v>
      </c>
      <c r="Q59" s="32">
        <f>(D70+D78)/1000000</f>
        <v>155.10234899999989</v>
      </c>
      <c r="R59" s="103"/>
      <c r="S59" s="103"/>
      <c r="T59" s="103"/>
      <c r="U59" s="103"/>
      <c r="V59" s="103"/>
      <c r="W59" s="103"/>
      <c r="X59" s="103"/>
      <c r="Y59" s="103"/>
      <c r="Z59" s="103"/>
      <c r="AA59" s="103"/>
      <c r="AB59" s="103"/>
      <c r="AC59" s="103"/>
      <c r="AD59" s="103"/>
      <c r="AE59" s="103"/>
      <c r="AF59" s="103"/>
      <c r="AG59" s="103"/>
      <c r="AH59" s="103"/>
      <c r="AI59" s="103"/>
      <c r="AJ59" s="103"/>
      <c r="AK59" s="103"/>
      <c r="AL59" s="103"/>
      <c r="AM59" s="103"/>
      <c r="AN59" s="103"/>
      <c r="AO59" s="103"/>
      <c r="AP59" s="103"/>
      <c r="AQ59" s="103"/>
      <c r="AR59" s="103"/>
      <c r="AS59" s="103"/>
      <c r="AT59" s="103"/>
      <c r="AU59" s="103"/>
      <c r="AV59" s="103"/>
      <c r="AW59" s="103"/>
      <c r="AX59" s="103"/>
      <c r="AY59" s="103"/>
      <c r="AZ59" s="103"/>
      <c r="BA59" s="103"/>
      <c r="BB59" s="103"/>
      <c r="BC59" s="103"/>
      <c r="BD59" s="103"/>
      <c r="BE59" s="103"/>
      <c r="BF59" s="103"/>
      <c r="BG59" s="103"/>
      <c r="BH59" s="103"/>
      <c r="BI59" s="103"/>
      <c r="BJ59" s="103"/>
      <c r="BK59" s="103"/>
      <c r="BL59" s="103"/>
      <c r="BM59" s="103"/>
      <c r="BN59" s="103"/>
      <c r="BO59" s="103"/>
      <c r="BP59" s="103"/>
      <c r="BQ59" s="103"/>
      <c r="BR59" s="103"/>
      <c r="BS59" s="103"/>
      <c r="BT59" s="103"/>
      <c r="BU59" s="103"/>
      <c r="BV59" s="103"/>
      <c r="BW59" s="103"/>
      <c r="BX59" s="103"/>
      <c r="BY59" s="103"/>
      <c r="BZ59" s="103"/>
      <c r="CA59" s="103"/>
      <c r="CB59" s="103"/>
      <c r="CC59" s="103"/>
      <c r="CD59" s="103"/>
      <c r="CE59" s="103"/>
      <c r="CF59" s="103"/>
      <c r="CG59" s="103"/>
      <c r="CH59" s="103"/>
      <c r="CI59" s="103"/>
      <c r="CJ59" s="103"/>
      <c r="CK59" s="103"/>
      <c r="CL59" s="103"/>
      <c r="CM59" s="103"/>
      <c r="CN59" s="103"/>
      <c r="CO59" s="103"/>
      <c r="CP59" s="103"/>
      <c r="CQ59" s="103"/>
      <c r="CR59" s="103"/>
      <c r="CS59" s="103"/>
      <c r="CT59" s="103"/>
      <c r="CU59" s="103"/>
      <c r="CV59" s="103"/>
      <c r="CW59" s="103"/>
      <c r="CX59" s="103"/>
      <c r="CY59" s="103"/>
      <c r="CZ59" s="103"/>
      <c r="DA59" s="103"/>
      <c r="DB59" s="103"/>
      <c r="DC59" s="103"/>
      <c r="DD59" s="103"/>
      <c r="DE59" s="103"/>
      <c r="DF59" s="103"/>
      <c r="DG59" s="103"/>
      <c r="DH59" s="103"/>
      <c r="DI59" s="103"/>
      <c r="DK59" s="108"/>
      <c r="DL59" s="108"/>
      <c r="DM59" s="108"/>
      <c r="DN59" s="108"/>
      <c r="DO59" s="108"/>
      <c r="DP59" s="108"/>
      <c r="DQ59" s="108"/>
      <c r="DR59" s="108"/>
      <c r="DS59" s="108"/>
      <c r="DT59" s="108"/>
      <c r="DU59" s="108"/>
      <c r="DV59" s="16"/>
      <c r="DW59" s="16"/>
      <c r="DX59" s="16"/>
    </row>
    <row r="60" spans="2:129" ht="16" outlineLevel="1" thickBot="1" x14ac:dyDescent="0.25">
      <c r="B60" s="16" t="str">
        <f>B15</f>
        <v>Preferred</v>
      </c>
      <c r="C60" s="43"/>
      <c r="D60" s="44"/>
      <c r="E60" s="45">
        <f>D61</f>
        <v>0.08</v>
      </c>
      <c r="F60" s="46" t="s">
        <v>24</v>
      </c>
      <c r="G60" s="47"/>
      <c r="H60" s="109">
        <f>H15</f>
        <v>0.1</v>
      </c>
      <c r="I60" s="33">
        <f>1-H60</f>
        <v>0.9</v>
      </c>
      <c r="J60" s="149" t="str">
        <f>IF(I60=Equity_Share_LP,"Pref prorata to LP/GP, then Pro rata return of capital",IF(CU?,"Return of capital and Pref NOT pro rata + GP Catch Up","Return of capital and Pref NOT pro rata"))</f>
        <v>Pref prorata to LP/GP, then Pro rata return of capital</v>
      </c>
      <c r="K60" s="149"/>
      <c r="L60" s="149"/>
      <c r="M60" s="149"/>
      <c r="N60" s="149"/>
      <c r="O60" s="19"/>
      <c r="P60" s="34" t="s">
        <v>15</v>
      </c>
      <c r="Q60" s="35">
        <f>SUM(F84:DY84)/1000000</f>
        <v>155.102349</v>
      </c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03"/>
      <c r="AH60" s="103"/>
      <c r="AI60" s="103"/>
      <c r="AJ60" s="103"/>
      <c r="AK60" s="103"/>
      <c r="AL60" s="103"/>
      <c r="AM60" s="103"/>
      <c r="AN60" s="103"/>
      <c r="AO60" s="103"/>
      <c r="AP60" s="103"/>
      <c r="AQ60" s="103"/>
      <c r="AR60" s="103"/>
      <c r="AS60" s="103"/>
      <c r="AT60" s="103"/>
      <c r="AU60" s="103"/>
      <c r="AV60" s="103"/>
      <c r="AW60" s="103"/>
      <c r="AX60" s="103"/>
      <c r="AY60" s="103"/>
      <c r="AZ60" s="103"/>
      <c r="BA60" s="103"/>
      <c r="BB60" s="103"/>
      <c r="BC60" s="103"/>
      <c r="BD60" s="103"/>
      <c r="BE60" s="103"/>
      <c r="BF60" s="103"/>
      <c r="BG60" s="103"/>
      <c r="BH60" s="103"/>
      <c r="BI60" s="103"/>
      <c r="BJ60" s="103"/>
      <c r="BK60" s="103"/>
      <c r="BL60" s="103"/>
      <c r="BM60" s="103"/>
      <c r="BN60" s="103"/>
      <c r="BO60" s="103"/>
      <c r="BP60" s="103"/>
      <c r="BQ60" s="103"/>
      <c r="BR60" s="103"/>
      <c r="BS60" s="103"/>
      <c r="BT60" s="103"/>
      <c r="BU60" s="103"/>
      <c r="BV60" s="103"/>
      <c r="BW60" s="103"/>
      <c r="BX60" s="103"/>
      <c r="BY60" s="103"/>
      <c r="BZ60" s="103"/>
      <c r="CA60" s="103"/>
      <c r="CB60" s="103"/>
      <c r="CC60" s="103"/>
      <c r="CD60" s="103"/>
      <c r="CE60" s="103"/>
      <c r="CF60" s="103"/>
      <c r="CG60" s="103"/>
      <c r="CH60" s="103"/>
      <c r="CI60" s="103"/>
      <c r="CJ60" s="103"/>
      <c r="CK60" s="103"/>
      <c r="CL60" s="103"/>
      <c r="CM60" s="103"/>
      <c r="CN60" s="103"/>
      <c r="CO60" s="103"/>
      <c r="CP60" s="103"/>
      <c r="CQ60" s="103"/>
      <c r="CR60" s="103"/>
      <c r="CS60" s="103"/>
      <c r="CT60" s="103"/>
      <c r="CU60" s="103"/>
      <c r="CV60" s="103"/>
      <c r="CW60" s="103"/>
      <c r="CX60" s="103"/>
      <c r="CY60" s="103"/>
      <c r="CZ60" s="103"/>
      <c r="DA60" s="103"/>
      <c r="DB60" s="103"/>
      <c r="DC60" s="103"/>
      <c r="DD60" s="103"/>
      <c r="DE60" s="103"/>
      <c r="DF60" s="103"/>
      <c r="DG60" s="103"/>
      <c r="DH60" s="103"/>
      <c r="DI60" s="103"/>
      <c r="DK60" s="108"/>
      <c r="DL60" s="108"/>
      <c r="DM60" s="108"/>
      <c r="DN60" s="108"/>
      <c r="DO60" s="108"/>
      <c r="DP60" s="108"/>
      <c r="DQ60" s="108"/>
      <c r="DR60" s="108"/>
      <c r="DS60" s="108"/>
      <c r="DT60" s="108"/>
      <c r="DU60" s="108"/>
      <c r="DV60" s="16"/>
      <c r="DW60" s="16"/>
      <c r="DX60" s="16"/>
    </row>
    <row r="61" spans="2:129" outlineLevel="1" x14ac:dyDescent="0.2">
      <c r="B61" s="16" t="str">
        <f t="shared" ref="B61:B64" si="32">B16</f>
        <v>Tier 2 (Promote)</v>
      </c>
      <c r="C61" s="50"/>
      <c r="D61" s="110">
        <f>D16</f>
        <v>0.08</v>
      </c>
      <c r="E61" s="52">
        <f>IF($B$277&lt;3,9.99,D62)</f>
        <v>0.15</v>
      </c>
      <c r="F61" s="109">
        <f>F16</f>
        <v>0.2</v>
      </c>
      <c r="G61" s="33"/>
      <c r="H61" s="53">
        <f>H16</f>
        <v>0.27999999999999992</v>
      </c>
      <c r="I61" s="33">
        <f t="shared" ref="I61:I64" si="33">1-H61</f>
        <v>0.72000000000000008</v>
      </c>
      <c r="J61" s="149" t="str">
        <f>IF(Equity_Share_GP&lt;&gt;H60,TEXT(I60,"0.0%")&amp;"/"&amp;TEXT(H60,"0.0%")&amp;" to "&amp;(IF(D57="IRR",TEXT(E60,"0.0%"),TEXT(E60,"0.0X")))&amp;", then "&amp;TEXT(I61,"0.0%")&amp;"/"&amp;TEXT(H61,"0.0%")&amp;" to "&amp;(IF(D57="IRR",TEXT(E61,"0.0%"),TEXT(E61,"0.0X"))),"Prorata to LP/GP to "&amp;(IF(D57="IRR",TEXT(E60,"0.0%"),TEXT(E60,"0.0X")))&amp;", then "&amp;TEXT(I61,"0.0%")&amp;"/"&amp;TEXT(H61,"0.0%")&amp;" to "&amp;(IF(D57="IRR",TEXT(E61,"0.0%"),TEXT(E61,"0.0X"))))</f>
        <v>Prorata to LP/GP to 8.0%, then 72.0%/28.0% to 15.0%</v>
      </c>
      <c r="K61" s="149"/>
      <c r="L61" s="149"/>
      <c r="M61" s="149"/>
      <c r="N61" s="14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6"/>
      <c r="DK61" s="16"/>
      <c r="DL61" s="16"/>
      <c r="DM61" s="16"/>
      <c r="DN61" s="16"/>
      <c r="DO61" s="16"/>
      <c r="DP61" s="16"/>
      <c r="DQ61" s="16"/>
      <c r="DR61" s="16"/>
      <c r="DS61" s="16"/>
      <c r="DT61" s="16"/>
      <c r="DU61" s="16"/>
      <c r="DV61" s="16"/>
      <c r="DW61" s="16"/>
      <c r="DX61" s="16"/>
    </row>
    <row r="62" spans="2:129" outlineLevel="1" x14ac:dyDescent="0.2">
      <c r="B62" s="16" t="str">
        <f t="shared" si="32"/>
        <v>Tier 3 (Promote)</v>
      </c>
      <c r="C62" s="50"/>
      <c r="D62" s="110">
        <f>D17</f>
        <v>0.15</v>
      </c>
      <c r="E62" s="52">
        <f>IF($B$277&lt;4,9.99,D63)</f>
        <v>9.99</v>
      </c>
      <c r="F62" s="109">
        <f>F17</f>
        <v>0.5</v>
      </c>
      <c r="G62" s="33"/>
      <c r="H62" s="53">
        <f>H17</f>
        <v>0.55000000000000004</v>
      </c>
      <c r="I62" s="33">
        <f t="shared" si="33"/>
        <v>0.44999999999999996</v>
      </c>
      <c r="J62" s="149" t="str">
        <f>TEXT(I61,"0.0%")&amp;"/"&amp;TEXT(H61,"0.0%")&amp;" to "&amp;(IF(D57="IRR",TEXT(E61,"0.0%"),TEXT(E61,"0.0X")))&amp;", then "&amp;TEXT(I62,"0.0%")&amp;"/"&amp;TEXT(H62,"0.0%")&amp;" to "&amp;(IF(D57="IRR",TEXT(E62,"0.0%"),TEXT(E62,"0.0X")))</f>
        <v>72.0%/28.0% to 15.0%, then 45.0%/55.0% to 999.0%</v>
      </c>
      <c r="K62" s="149"/>
      <c r="L62" s="149"/>
      <c r="M62" s="149"/>
      <c r="N62" s="14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6"/>
      <c r="DK62" s="16"/>
      <c r="DL62" s="16"/>
      <c r="DM62" s="16"/>
      <c r="DN62" s="16"/>
      <c r="DO62" s="16"/>
      <c r="DP62" s="16"/>
      <c r="DQ62" s="16"/>
      <c r="DR62" s="16"/>
      <c r="DS62" s="16"/>
      <c r="DT62" s="16"/>
      <c r="DU62" s="16"/>
      <c r="DV62" s="16"/>
      <c r="DW62" s="16"/>
      <c r="DX62" s="16"/>
    </row>
    <row r="63" spans="2:129" outlineLevel="1" x14ac:dyDescent="0.2">
      <c r="B63" s="16" t="str">
        <f t="shared" si="32"/>
        <v>NOT USED</v>
      </c>
      <c r="C63" s="50"/>
      <c r="D63" s="110">
        <f t="shared" ref="D63:D64" si="34">D18</f>
        <v>0</v>
      </c>
      <c r="E63" s="52">
        <f>IF($B$277&lt;5,9.99,D64)</f>
        <v>9.99</v>
      </c>
      <c r="F63" s="109">
        <f t="shared" ref="F63:F64" si="35">F18</f>
        <v>0</v>
      </c>
      <c r="G63" s="33"/>
      <c r="H63" s="53">
        <f t="shared" ref="H63:H64" si="36">H18</f>
        <v>9.9999999999999978E-2</v>
      </c>
      <c r="I63" s="33">
        <f t="shared" si="33"/>
        <v>0.9</v>
      </c>
      <c r="J63" s="49" t="str">
        <f t="shared" ref="J63:J64" si="37">TEXT(I62,"0.0%")&amp;"/"&amp;TEXT(H62,"0.0%")&amp;" to "&amp;(IF(D58="IRR",TEXT(E62,"0.0%"),TEXT(E62,"0.0X")))&amp;", then "&amp;TEXT(I63,"0.0%")&amp;"/"&amp;TEXT(H63,"0.0%")&amp;" to "&amp;(IF(D58="IRR",TEXT(E63,"0.0%"),TEXT(E63,"0.0X")))</f>
        <v>45.0%/55.0% to 10.0X, then 90.0%/10.0% to 10.0X</v>
      </c>
      <c r="K63" s="49"/>
      <c r="L63" s="49"/>
      <c r="M63" s="49"/>
      <c r="N63" s="4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6"/>
      <c r="DK63" s="16"/>
      <c r="DL63" s="16"/>
      <c r="DM63" s="16"/>
      <c r="DN63" s="16"/>
      <c r="DO63" s="16"/>
      <c r="DP63" s="16"/>
      <c r="DQ63" s="16"/>
      <c r="DR63" s="16"/>
      <c r="DS63" s="16"/>
      <c r="DT63" s="16"/>
      <c r="DU63" s="16"/>
      <c r="DV63" s="16"/>
      <c r="DW63" s="16"/>
      <c r="DX63" s="16"/>
    </row>
    <row r="64" spans="2:129" outlineLevel="1" x14ac:dyDescent="0.2">
      <c r="B64" s="16" t="str">
        <f t="shared" si="32"/>
        <v>NOT USED</v>
      </c>
      <c r="C64" s="50"/>
      <c r="D64" s="110">
        <f t="shared" si="34"/>
        <v>0</v>
      </c>
      <c r="E64" s="52"/>
      <c r="F64" s="109">
        <f t="shared" si="35"/>
        <v>0</v>
      </c>
      <c r="G64" s="33"/>
      <c r="H64" s="53">
        <f t="shared" si="36"/>
        <v>9.9999999999999978E-2</v>
      </c>
      <c r="I64" s="33">
        <f t="shared" si="33"/>
        <v>0.9</v>
      </c>
      <c r="J64" s="149" t="str">
        <f t="shared" si="37"/>
        <v>90.0%/10.0% to 10.0X, then 90.0%/10.0% to 0.0X</v>
      </c>
      <c r="K64" s="149"/>
      <c r="L64" s="149"/>
      <c r="M64" s="149"/>
      <c r="N64" s="14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</row>
    <row r="65" spans="2:129" outlineLevel="1" x14ac:dyDescent="0.2">
      <c r="B65" s="16"/>
      <c r="C65" s="16"/>
      <c r="D65" s="54"/>
      <c r="E65" s="52"/>
      <c r="F65" s="26"/>
      <c r="G65" s="55"/>
      <c r="H65" s="56"/>
      <c r="I65" s="56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</row>
    <row r="66" spans="2:129" ht="16" outlineLevel="1" x14ac:dyDescent="0.2">
      <c r="B66" s="105" t="s">
        <v>26</v>
      </c>
      <c r="C66" s="100"/>
      <c r="D66" s="111"/>
      <c r="E66" s="112"/>
      <c r="F66" s="113">
        <f>F$21</f>
        <v>0</v>
      </c>
      <c r="G66" s="113">
        <f t="shared" ref="G66:BR66" si="38">G$21</f>
        <v>1</v>
      </c>
      <c r="H66" s="113">
        <f t="shared" si="38"/>
        <v>2</v>
      </c>
      <c r="I66" s="113">
        <f t="shared" si="38"/>
        <v>3</v>
      </c>
      <c r="J66" s="113">
        <f t="shared" si="38"/>
        <v>4</v>
      </c>
      <c r="K66" s="113">
        <f t="shared" si="38"/>
        <v>5</v>
      </c>
      <c r="L66" s="113">
        <f t="shared" si="38"/>
        <v>6</v>
      </c>
      <c r="M66" s="113">
        <f t="shared" si="38"/>
        <v>7</v>
      </c>
      <c r="N66" s="113">
        <f t="shared" si="38"/>
        <v>8</v>
      </c>
      <c r="O66" s="113">
        <f t="shared" si="38"/>
        <v>9</v>
      </c>
      <c r="P66" s="113">
        <f t="shared" si="38"/>
        <v>10</v>
      </c>
      <c r="Q66" s="113">
        <f t="shared" si="38"/>
        <v>11</v>
      </c>
      <c r="R66" s="113">
        <f t="shared" si="38"/>
        <v>12</v>
      </c>
      <c r="S66" s="113">
        <f t="shared" si="38"/>
        <v>13</v>
      </c>
      <c r="T66" s="113">
        <f t="shared" si="38"/>
        <v>14</v>
      </c>
      <c r="U66" s="113">
        <f t="shared" si="38"/>
        <v>15</v>
      </c>
      <c r="V66" s="113">
        <f t="shared" si="38"/>
        <v>16</v>
      </c>
      <c r="W66" s="113">
        <f t="shared" si="38"/>
        <v>17</v>
      </c>
      <c r="X66" s="113">
        <f t="shared" si="38"/>
        <v>18</v>
      </c>
      <c r="Y66" s="113">
        <f t="shared" si="38"/>
        <v>19</v>
      </c>
      <c r="Z66" s="113">
        <f t="shared" si="38"/>
        <v>20</v>
      </c>
      <c r="AA66" s="113">
        <f t="shared" si="38"/>
        <v>21</v>
      </c>
      <c r="AB66" s="113">
        <f t="shared" si="38"/>
        <v>22</v>
      </c>
      <c r="AC66" s="113">
        <f t="shared" si="38"/>
        <v>23</v>
      </c>
      <c r="AD66" s="113">
        <f t="shared" si="38"/>
        <v>24</v>
      </c>
      <c r="AE66" s="113">
        <f t="shared" si="38"/>
        <v>25</v>
      </c>
      <c r="AF66" s="113">
        <f t="shared" si="38"/>
        <v>26</v>
      </c>
      <c r="AG66" s="113">
        <f t="shared" si="38"/>
        <v>27</v>
      </c>
      <c r="AH66" s="113">
        <f t="shared" si="38"/>
        <v>28</v>
      </c>
      <c r="AI66" s="113">
        <f t="shared" si="38"/>
        <v>29</v>
      </c>
      <c r="AJ66" s="113">
        <f t="shared" si="38"/>
        <v>30</v>
      </c>
      <c r="AK66" s="113">
        <f t="shared" si="38"/>
        <v>31</v>
      </c>
      <c r="AL66" s="113">
        <f t="shared" si="38"/>
        <v>32</v>
      </c>
      <c r="AM66" s="113">
        <f t="shared" si="38"/>
        <v>33</v>
      </c>
      <c r="AN66" s="113">
        <f t="shared" si="38"/>
        <v>34</v>
      </c>
      <c r="AO66" s="113">
        <f t="shared" si="38"/>
        <v>35</v>
      </c>
      <c r="AP66" s="113">
        <f t="shared" si="38"/>
        <v>36</v>
      </c>
      <c r="AQ66" s="113">
        <f t="shared" si="38"/>
        <v>37</v>
      </c>
      <c r="AR66" s="113">
        <f t="shared" si="38"/>
        <v>38</v>
      </c>
      <c r="AS66" s="113">
        <f t="shared" si="38"/>
        <v>39</v>
      </c>
      <c r="AT66" s="113">
        <f t="shared" si="38"/>
        <v>40</v>
      </c>
      <c r="AU66" s="113">
        <f t="shared" si="38"/>
        <v>41</v>
      </c>
      <c r="AV66" s="113">
        <f t="shared" si="38"/>
        <v>42</v>
      </c>
      <c r="AW66" s="113">
        <f t="shared" si="38"/>
        <v>43</v>
      </c>
      <c r="AX66" s="113">
        <f t="shared" si="38"/>
        <v>44</v>
      </c>
      <c r="AY66" s="113">
        <f t="shared" si="38"/>
        <v>45</v>
      </c>
      <c r="AZ66" s="113">
        <f t="shared" si="38"/>
        <v>46</v>
      </c>
      <c r="BA66" s="113">
        <f t="shared" si="38"/>
        <v>47</v>
      </c>
      <c r="BB66" s="113">
        <f t="shared" si="38"/>
        <v>48</v>
      </c>
      <c r="BC66" s="113">
        <f t="shared" si="38"/>
        <v>49</v>
      </c>
      <c r="BD66" s="113">
        <f t="shared" si="38"/>
        <v>50</v>
      </c>
      <c r="BE66" s="113">
        <f t="shared" si="38"/>
        <v>51</v>
      </c>
      <c r="BF66" s="113">
        <f t="shared" si="38"/>
        <v>52</v>
      </c>
      <c r="BG66" s="113">
        <f t="shared" si="38"/>
        <v>53</v>
      </c>
      <c r="BH66" s="113">
        <f t="shared" si="38"/>
        <v>54</v>
      </c>
      <c r="BI66" s="113">
        <f t="shared" si="38"/>
        <v>55</v>
      </c>
      <c r="BJ66" s="113">
        <f t="shared" si="38"/>
        <v>56</v>
      </c>
      <c r="BK66" s="113">
        <f t="shared" si="38"/>
        <v>57</v>
      </c>
      <c r="BL66" s="113">
        <f t="shared" si="38"/>
        <v>58</v>
      </c>
      <c r="BM66" s="113">
        <f t="shared" si="38"/>
        <v>59</v>
      </c>
      <c r="BN66" s="113">
        <f t="shared" si="38"/>
        <v>60</v>
      </c>
      <c r="BO66" s="113">
        <f t="shared" si="38"/>
        <v>61</v>
      </c>
      <c r="BP66" s="113">
        <f t="shared" si="38"/>
        <v>62</v>
      </c>
      <c r="BQ66" s="113">
        <f t="shared" si="38"/>
        <v>63</v>
      </c>
      <c r="BR66" s="113">
        <f t="shared" si="38"/>
        <v>64</v>
      </c>
      <c r="BS66" s="113">
        <f t="shared" ref="BS66:DV66" si="39">BS$21</f>
        <v>65</v>
      </c>
      <c r="BT66" s="113">
        <f t="shared" si="39"/>
        <v>66</v>
      </c>
      <c r="BU66" s="113">
        <f t="shared" si="39"/>
        <v>67</v>
      </c>
      <c r="BV66" s="113">
        <f t="shared" si="39"/>
        <v>68</v>
      </c>
      <c r="BW66" s="113">
        <f t="shared" si="39"/>
        <v>69</v>
      </c>
      <c r="BX66" s="113">
        <f t="shared" si="39"/>
        <v>70</v>
      </c>
      <c r="BY66" s="113">
        <f t="shared" si="39"/>
        <v>71</v>
      </c>
      <c r="BZ66" s="113">
        <f t="shared" si="39"/>
        <v>72</v>
      </c>
      <c r="CA66" s="113">
        <f t="shared" si="39"/>
        <v>73</v>
      </c>
      <c r="CB66" s="113">
        <f t="shared" si="39"/>
        <v>74</v>
      </c>
      <c r="CC66" s="113">
        <f t="shared" si="39"/>
        <v>75</v>
      </c>
      <c r="CD66" s="113">
        <f t="shared" si="39"/>
        <v>76</v>
      </c>
      <c r="CE66" s="113">
        <f t="shared" si="39"/>
        <v>77</v>
      </c>
      <c r="CF66" s="113">
        <f t="shared" si="39"/>
        <v>78</v>
      </c>
      <c r="CG66" s="113">
        <f t="shared" si="39"/>
        <v>79</v>
      </c>
      <c r="CH66" s="113">
        <f t="shared" si="39"/>
        <v>80</v>
      </c>
      <c r="CI66" s="113">
        <f t="shared" si="39"/>
        <v>81</v>
      </c>
      <c r="CJ66" s="113">
        <f t="shared" si="39"/>
        <v>82</v>
      </c>
      <c r="CK66" s="113">
        <f t="shared" si="39"/>
        <v>83</v>
      </c>
      <c r="CL66" s="113">
        <f t="shared" si="39"/>
        <v>84</v>
      </c>
      <c r="CM66" s="113">
        <f t="shared" si="39"/>
        <v>85</v>
      </c>
      <c r="CN66" s="113">
        <f t="shared" si="39"/>
        <v>86</v>
      </c>
      <c r="CO66" s="113">
        <f t="shared" si="39"/>
        <v>87</v>
      </c>
      <c r="CP66" s="113">
        <f t="shared" si="39"/>
        <v>88</v>
      </c>
      <c r="CQ66" s="113">
        <f t="shared" si="39"/>
        <v>89</v>
      </c>
      <c r="CR66" s="113">
        <f t="shared" si="39"/>
        <v>90</v>
      </c>
      <c r="CS66" s="113">
        <f t="shared" si="39"/>
        <v>91</v>
      </c>
      <c r="CT66" s="113">
        <f t="shared" si="39"/>
        <v>92</v>
      </c>
      <c r="CU66" s="113">
        <f t="shared" si="39"/>
        <v>93</v>
      </c>
      <c r="CV66" s="113">
        <f t="shared" si="39"/>
        <v>94</v>
      </c>
      <c r="CW66" s="113">
        <f t="shared" si="39"/>
        <v>95</v>
      </c>
      <c r="CX66" s="113" t="str">
        <f t="shared" si="39"/>
        <v/>
      </c>
      <c r="CY66" s="113" t="str">
        <f t="shared" si="39"/>
        <v/>
      </c>
      <c r="CZ66" s="113" t="str">
        <f t="shared" si="39"/>
        <v/>
      </c>
      <c r="DA66" s="113" t="str">
        <f t="shared" si="39"/>
        <v/>
      </c>
      <c r="DB66" s="113" t="str">
        <f t="shared" si="39"/>
        <v/>
      </c>
      <c r="DC66" s="113" t="str">
        <f t="shared" si="39"/>
        <v/>
      </c>
      <c r="DD66" s="113" t="str">
        <f t="shared" si="39"/>
        <v/>
      </c>
      <c r="DE66" s="113" t="str">
        <f t="shared" si="39"/>
        <v/>
      </c>
      <c r="DF66" s="113" t="str">
        <f t="shared" si="39"/>
        <v/>
      </c>
      <c r="DG66" s="113" t="str">
        <f t="shared" si="39"/>
        <v/>
      </c>
      <c r="DH66" s="113" t="str">
        <f t="shared" si="39"/>
        <v/>
      </c>
      <c r="DI66" s="113" t="str">
        <f t="shared" si="39"/>
        <v/>
      </c>
      <c r="DJ66" s="113" t="str">
        <f t="shared" si="39"/>
        <v/>
      </c>
      <c r="DK66" s="113" t="str">
        <f t="shared" si="39"/>
        <v/>
      </c>
      <c r="DL66" s="113" t="str">
        <f t="shared" si="39"/>
        <v/>
      </c>
      <c r="DM66" s="113" t="str">
        <f t="shared" si="39"/>
        <v/>
      </c>
      <c r="DN66" s="113" t="str">
        <f t="shared" si="39"/>
        <v/>
      </c>
      <c r="DO66" s="113" t="str">
        <f t="shared" si="39"/>
        <v/>
      </c>
      <c r="DP66" s="113" t="str">
        <f t="shared" si="39"/>
        <v/>
      </c>
      <c r="DQ66" s="113" t="str">
        <f t="shared" si="39"/>
        <v/>
      </c>
      <c r="DR66" s="113" t="str">
        <f t="shared" si="39"/>
        <v/>
      </c>
      <c r="DS66" s="113" t="str">
        <f t="shared" si="39"/>
        <v/>
      </c>
      <c r="DT66" s="113" t="str">
        <f t="shared" si="39"/>
        <v/>
      </c>
      <c r="DU66" s="113" t="str">
        <f t="shared" si="39"/>
        <v/>
      </c>
      <c r="DV66" s="113" t="str">
        <f t="shared" si="39"/>
        <v/>
      </c>
      <c r="DW66" s="113"/>
      <c r="DX66" s="113"/>
      <c r="DY66" s="60"/>
    </row>
    <row r="67" spans="2:129" outlineLevel="1" x14ac:dyDescent="0.2">
      <c r="B67" s="61" t="s">
        <v>28</v>
      </c>
      <c r="C67" s="16"/>
      <c r="D67" s="54"/>
      <c r="E67" s="52"/>
      <c r="F67" s="63"/>
      <c r="G67" s="64"/>
      <c r="H67" s="65"/>
      <c r="I67" s="65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6"/>
      <c r="AW67" s="66"/>
      <c r="AX67" s="66"/>
      <c r="AY67" s="66"/>
      <c r="AZ67" s="66"/>
      <c r="BA67" s="66"/>
      <c r="BB67" s="66"/>
      <c r="BC67" s="66"/>
      <c r="BD67" s="66"/>
      <c r="BE67" s="66"/>
      <c r="BF67" s="66"/>
      <c r="BG67" s="66"/>
      <c r="BH67" s="66"/>
      <c r="BI67" s="66"/>
      <c r="BJ67" s="66"/>
      <c r="BK67" s="66"/>
      <c r="BL67" s="66"/>
      <c r="BM67" s="66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6"/>
      <c r="CS67" s="66"/>
      <c r="CT67" s="66"/>
      <c r="CU67" s="66"/>
      <c r="CV67" s="66"/>
      <c r="CW67" s="66"/>
      <c r="CX67" s="66"/>
      <c r="CY67" s="66"/>
      <c r="CZ67" s="66"/>
      <c r="DA67" s="66"/>
      <c r="DB67" s="66"/>
      <c r="DC67" s="66"/>
      <c r="DD67" s="66"/>
      <c r="DE67" s="66"/>
      <c r="DF67" s="66"/>
      <c r="DG67" s="66"/>
      <c r="DH67" s="66"/>
      <c r="DI67" s="66"/>
      <c r="DJ67" s="66"/>
      <c r="DK67" s="66"/>
      <c r="DL67" s="66"/>
      <c r="DM67" s="66"/>
      <c r="DN67" s="66"/>
      <c r="DO67" s="66"/>
      <c r="DP67" s="66"/>
      <c r="DQ67" s="66"/>
      <c r="DR67" s="66"/>
      <c r="DS67" s="66"/>
      <c r="DT67" s="66"/>
      <c r="DU67" s="66"/>
      <c r="DV67" s="66"/>
      <c r="DW67" s="66"/>
      <c r="DX67" s="66"/>
      <c r="DY67" s="17"/>
    </row>
    <row r="68" spans="2:129" outlineLevel="1" x14ac:dyDescent="0.2">
      <c r="B68" s="67" t="s">
        <v>33</v>
      </c>
      <c r="C68" s="16"/>
      <c r="D68" s="69">
        <f>SUM(F68:DY68)</f>
        <v>223000717.74389324</v>
      </c>
      <c r="E68" s="52"/>
      <c r="F68" s="24">
        <f>IF(F66="","",F100+F122+F137+F152+F159)</f>
        <v>0</v>
      </c>
      <c r="G68" s="24">
        <f t="shared" ref="G68:BR68" si="40">IF(G66="","",G100+G122+G137+G152+G159)</f>
        <v>0</v>
      </c>
      <c r="H68" s="24">
        <f t="shared" si="40"/>
        <v>0</v>
      </c>
      <c r="I68" s="24">
        <f t="shared" si="40"/>
        <v>0</v>
      </c>
      <c r="J68" s="24">
        <f t="shared" si="40"/>
        <v>0</v>
      </c>
      <c r="K68" s="24">
        <f t="shared" si="40"/>
        <v>0</v>
      </c>
      <c r="L68" s="24">
        <f t="shared" si="40"/>
        <v>0</v>
      </c>
      <c r="M68" s="24">
        <f t="shared" si="40"/>
        <v>0</v>
      </c>
      <c r="N68" s="24">
        <f t="shared" si="40"/>
        <v>0</v>
      </c>
      <c r="O68" s="24">
        <f t="shared" si="40"/>
        <v>0</v>
      </c>
      <c r="P68" s="24">
        <f t="shared" si="40"/>
        <v>0</v>
      </c>
      <c r="Q68" s="24">
        <f t="shared" si="40"/>
        <v>0</v>
      </c>
      <c r="R68" s="24">
        <f t="shared" si="40"/>
        <v>0</v>
      </c>
      <c r="S68" s="24">
        <f t="shared" si="40"/>
        <v>0</v>
      </c>
      <c r="T68" s="24">
        <f t="shared" si="40"/>
        <v>0</v>
      </c>
      <c r="U68" s="24">
        <f t="shared" si="40"/>
        <v>0</v>
      </c>
      <c r="V68" s="24">
        <f t="shared" si="40"/>
        <v>0</v>
      </c>
      <c r="W68" s="24">
        <f t="shared" si="40"/>
        <v>0</v>
      </c>
      <c r="X68" s="24">
        <f t="shared" si="40"/>
        <v>0</v>
      </c>
      <c r="Y68" s="24">
        <f t="shared" si="40"/>
        <v>0</v>
      </c>
      <c r="Z68" s="24">
        <f t="shared" si="40"/>
        <v>0</v>
      </c>
      <c r="AA68" s="24">
        <f t="shared" si="40"/>
        <v>0</v>
      </c>
      <c r="AB68" s="24">
        <f t="shared" si="40"/>
        <v>0</v>
      </c>
      <c r="AC68" s="24">
        <f t="shared" si="40"/>
        <v>0</v>
      </c>
      <c r="AD68" s="24">
        <f t="shared" si="40"/>
        <v>0</v>
      </c>
      <c r="AE68" s="24">
        <f t="shared" si="40"/>
        <v>25591908.600000001</v>
      </c>
      <c r="AF68" s="24">
        <f t="shared" si="40"/>
        <v>0</v>
      </c>
      <c r="AG68" s="24">
        <f t="shared" si="40"/>
        <v>0</v>
      </c>
      <c r="AH68" s="24">
        <f t="shared" si="40"/>
        <v>0</v>
      </c>
      <c r="AI68" s="24">
        <f t="shared" si="40"/>
        <v>0</v>
      </c>
      <c r="AJ68" s="24">
        <f t="shared" si="40"/>
        <v>0</v>
      </c>
      <c r="AK68" s="24">
        <f t="shared" si="40"/>
        <v>0</v>
      </c>
      <c r="AL68" s="24">
        <f t="shared" si="40"/>
        <v>0</v>
      </c>
      <c r="AM68" s="24">
        <f t="shared" si="40"/>
        <v>0</v>
      </c>
      <c r="AN68" s="24">
        <f t="shared" si="40"/>
        <v>0</v>
      </c>
      <c r="AO68" s="24">
        <f t="shared" si="40"/>
        <v>0</v>
      </c>
      <c r="AP68" s="24">
        <f t="shared" si="40"/>
        <v>0</v>
      </c>
      <c r="AQ68" s="24">
        <f t="shared" si="40"/>
        <v>0</v>
      </c>
      <c r="AR68" s="24">
        <f t="shared" si="40"/>
        <v>0</v>
      </c>
      <c r="AS68" s="24">
        <f t="shared" si="40"/>
        <v>0</v>
      </c>
      <c r="AT68" s="24">
        <f t="shared" si="40"/>
        <v>0</v>
      </c>
      <c r="AU68" s="24">
        <f t="shared" si="40"/>
        <v>37257084.899999999</v>
      </c>
      <c r="AV68" s="24">
        <f t="shared" si="40"/>
        <v>0</v>
      </c>
      <c r="AW68" s="24">
        <f t="shared" si="40"/>
        <v>0</v>
      </c>
      <c r="AX68" s="24">
        <f t="shared" si="40"/>
        <v>0</v>
      </c>
      <c r="AY68" s="24">
        <f t="shared" si="40"/>
        <v>0</v>
      </c>
      <c r="AZ68" s="24">
        <f t="shared" si="40"/>
        <v>0</v>
      </c>
      <c r="BA68" s="24">
        <f t="shared" si="40"/>
        <v>127826136.2843312</v>
      </c>
      <c r="BB68" s="24">
        <f t="shared" si="40"/>
        <v>0</v>
      </c>
      <c r="BC68" s="24">
        <f t="shared" si="40"/>
        <v>0</v>
      </c>
      <c r="BD68" s="24">
        <f t="shared" si="40"/>
        <v>0</v>
      </c>
      <c r="BE68" s="24">
        <f t="shared" si="40"/>
        <v>0</v>
      </c>
      <c r="BF68" s="24">
        <f t="shared" si="40"/>
        <v>0</v>
      </c>
      <c r="BG68" s="24">
        <f t="shared" si="40"/>
        <v>0</v>
      </c>
      <c r="BH68" s="24">
        <f t="shared" si="40"/>
        <v>0</v>
      </c>
      <c r="BI68" s="24">
        <f t="shared" si="40"/>
        <v>0</v>
      </c>
      <c r="BJ68" s="24">
        <f t="shared" si="40"/>
        <v>0</v>
      </c>
      <c r="BK68" s="24">
        <f t="shared" si="40"/>
        <v>0</v>
      </c>
      <c r="BL68" s="24">
        <f t="shared" si="40"/>
        <v>0</v>
      </c>
      <c r="BM68" s="24">
        <f t="shared" si="40"/>
        <v>0</v>
      </c>
      <c r="BN68" s="24">
        <f t="shared" si="40"/>
        <v>0</v>
      </c>
      <c r="BO68" s="24">
        <f t="shared" si="40"/>
        <v>0</v>
      </c>
      <c r="BP68" s="24">
        <f t="shared" si="40"/>
        <v>0</v>
      </c>
      <c r="BQ68" s="24">
        <f t="shared" si="40"/>
        <v>0</v>
      </c>
      <c r="BR68" s="24">
        <f t="shared" si="40"/>
        <v>0</v>
      </c>
      <c r="BS68" s="24">
        <f t="shared" ref="BS68:DV68" si="41">IF(BS66="","",BS100+BS122+BS137+BS152+BS159)</f>
        <v>0</v>
      </c>
      <c r="BT68" s="24">
        <f t="shared" si="41"/>
        <v>0</v>
      </c>
      <c r="BU68" s="24">
        <f t="shared" si="41"/>
        <v>0</v>
      </c>
      <c r="BV68" s="24">
        <f t="shared" si="41"/>
        <v>0</v>
      </c>
      <c r="BW68" s="24">
        <f t="shared" si="41"/>
        <v>0</v>
      </c>
      <c r="BX68" s="24">
        <f t="shared" si="41"/>
        <v>0</v>
      </c>
      <c r="BY68" s="24">
        <f t="shared" si="41"/>
        <v>5316225.3</v>
      </c>
      <c r="BZ68" s="24">
        <f t="shared" si="41"/>
        <v>3855975.3000000003</v>
      </c>
      <c r="CA68" s="24">
        <f t="shared" si="41"/>
        <v>0</v>
      </c>
      <c r="CB68" s="24">
        <f t="shared" si="41"/>
        <v>0</v>
      </c>
      <c r="CC68" s="24">
        <f t="shared" si="41"/>
        <v>0</v>
      </c>
      <c r="CD68" s="24">
        <f t="shared" si="41"/>
        <v>0</v>
      </c>
      <c r="CE68" s="24">
        <f t="shared" si="41"/>
        <v>7616577.9996649548</v>
      </c>
      <c r="CF68" s="24">
        <f>IF(CF66="","",CF100+CF122+CF137+CF152+CF159)</f>
        <v>0</v>
      </c>
      <c r="CG68" s="24">
        <f t="shared" si="41"/>
        <v>0</v>
      </c>
      <c r="CH68" s="24">
        <f t="shared" si="41"/>
        <v>0</v>
      </c>
      <c r="CI68" s="24">
        <f t="shared" si="41"/>
        <v>0</v>
      </c>
      <c r="CJ68" s="24">
        <f t="shared" si="41"/>
        <v>0</v>
      </c>
      <c r="CK68" s="24">
        <f t="shared" si="41"/>
        <v>0</v>
      </c>
      <c r="CL68" s="24">
        <f t="shared" si="41"/>
        <v>0</v>
      </c>
      <c r="CM68" s="24">
        <f t="shared" si="41"/>
        <v>0</v>
      </c>
      <c r="CN68" s="24">
        <f t="shared" si="41"/>
        <v>0</v>
      </c>
      <c r="CO68" s="24">
        <f t="shared" si="41"/>
        <v>0</v>
      </c>
      <c r="CP68" s="24">
        <f t="shared" si="41"/>
        <v>0</v>
      </c>
      <c r="CQ68" s="24">
        <f t="shared" si="41"/>
        <v>0</v>
      </c>
      <c r="CR68" s="24">
        <f t="shared" si="41"/>
        <v>0</v>
      </c>
      <c r="CS68" s="24">
        <f t="shared" si="41"/>
        <v>0</v>
      </c>
      <c r="CT68" s="24">
        <f t="shared" si="41"/>
        <v>0</v>
      </c>
      <c r="CU68" s="24">
        <f t="shared" si="41"/>
        <v>0</v>
      </c>
      <c r="CV68" s="24">
        <f t="shared" si="41"/>
        <v>0</v>
      </c>
      <c r="CW68" s="24">
        <f t="shared" si="41"/>
        <v>15536809.359897047</v>
      </c>
      <c r="CX68" s="24" t="str">
        <f t="shared" si="41"/>
        <v/>
      </c>
      <c r="CY68" s="24" t="str">
        <f t="shared" si="41"/>
        <v/>
      </c>
      <c r="CZ68" s="24" t="str">
        <f t="shared" si="41"/>
        <v/>
      </c>
      <c r="DA68" s="24" t="str">
        <f t="shared" si="41"/>
        <v/>
      </c>
      <c r="DB68" s="24" t="str">
        <f t="shared" si="41"/>
        <v/>
      </c>
      <c r="DC68" s="24" t="str">
        <f t="shared" si="41"/>
        <v/>
      </c>
      <c r="DD68" s="24" t="str">
        <f t="shared" si="41"/>
        <v/>
      </c>
      <c r="DE68" s="24" t="str">
        <f t="shared" si="41"/>
        <v/>
      </c>
      <c r="DF68" s="24" t="str">
        <f t="shared" si="41"/>
        <v/>
      </c>
      <c r="DG68" s="24" t="str">
        <f t="shared" si="41"/>
        <v/>
      </c>
      <c r="DH68" s="24" t="str">
        <f t="shared" si="41"/>
        <v/>
      </c>
      <c r="DI68" s="24" t="str">
        <f t="shared" si="41"/>
        <v/>
      </c>
      <c r="DJ68" s="24" t="str">
        <f t="shared" si="41"/>
        <v/>
      </c>
      <c r="DK68" s="24" t="str">
        <f t="shared" si="41"/>
        <v/>
      </c>
      <c r="DL68" s="24" t="str">
        <f t="shared" si="41"/>
        <v/>
      </c>
      <c r="DM68" s="24" t="str">
        <f t="shared" si="41"/>
        <v/>
      </c>
      <c r="DN68" s="24" t="str">
        <f t="shared" si="41"/>
        <v/>
      </c>
      <c r="DO68" s="24" t="str">
        <f t="shared" si="41"/>
        <v/>
      </c>
      <c r="DP68" s="24" t="str">
        <f t="shared" si="41"/>
        <v/>
      </c>
      <c r="DQ68" s="24" t="str">
        <f t="shared" si="41"/>
        <v/>
      </c>
      <c r="DR68" s="24" t="str">
        <f t="shared" si="41"/>
        <v/>
      </c>
      <c r="DS68" s="24" t="str">
        <f t="shared" si="41"/>
        <v/>
      </c>
      <c r="DT68" s="24" t="str">
        <f t="shared" si="41"/>
        <v/>
      </c>
      <c r="DU68" s="24" t="str">
        <f t="shared" si="41"/>
        <v/>
      </c>
      <c r="DV68" s="24" t="str">
        <f t="shared" si="41"/>
        <v/>
      </c>
      <c r="DW68" s="24"/>
      <c r="DX68" s="24"/>
      <c r="DY68" s="70"/>
    </row>
    <row r="69" spans="2:129" outlineLevel="1" x14ac:dyDescent="0.2">
      <c r="B69" s="67" t="s">
        <v>34</v>
      </c>
      <c r="C69" s="16"/>
      <c r="D69" s="69">
        <f>SUM(F69:DY69)</f>
        <v>125744781.60000014</v>
      </c>
      <c r="E69" s="52"/>
      <c r="F69" s="24">
        <f t="shared" ref="F69:BQ69" si="42">F96</f>
        <v>93624225.299999997</v>
      </c>
      <c r="G69" s="24">
        <f t="shared" si="42"/>
        <v>24225.3</v>
      </c>
      <c r="H69" s="24">
        <f t="shared" si="42"/>
        <v>24225.3</v>
      </c>
      <c r="I69" s="24">
        <f t="shared" si="42"/>
        <v>24225.3</v>
      </c>
      <c r="J69" s="24">
        <f t="shared" si="42"/>
        <v>24225.3</v>
      </c>
      <c r="K69" s="24">
        <f t="shared" si="42"/>
        <v>24225.3</v>
      </c>
      <c r="L69" s="24">
        <f t="shared" si="42"/>
        <v>24225.3</v>
      </c>
      <c r="M69" s="24">
        <f t="shared" si="42"/>
        <v>24225.3</v>
      </c>
      <c r="N69" s="24">
        <f t="shared" si="42"/>
        <v>24225.3</v>
      </c>
      <c r="O69" s="24">
        <f t="shared" si="42"/>
        <v>24225.3</v>
      </c>
      <c r="P69" s="24">
        <f t="shared" si="42"/>
        <v>24225.3</v>
      </c>
      <c r="Q69" s="24">
        <f t="shared" si="42"/>
        <v>24225.3</v>
      </c>
      <c r="R69" s="24">
        <f t="shared" si="42"/>
        <v>24225.3</v>
      </c>
      <c r="S69" s="24">
        <f t="shared" si="42"/>
        <v>24225.3</v>
      </c>
      <c r="T69" s="24">
        <f t="shared" si="42"/>
        <v>24225.3</v>
      </c>
      <c r="U69" s="24">
        <f t="shared" si="42"/>
        <v>24225.3</v>
      </c>
      <c r="V69" s="24">
        <f t="shared" si="42"/>
        <v>24225.3</v>
      </c>
      <c r="W69" s="24">
        <f t="shared" si="42"/>
        <v>24225.3</v>
      </c>
      <c r="X69" s="24">
        <f t="shared" si="42"/>
        <v>24225.3</v>
      </c>
      <c r="Y69" s="24">
        <f t="shared" si="42"/>
        <v>24225.3</v>
      </c>
      <c r="Z69" s="24">
        <f t="shared" si="42"/>
        <v>24225.3</v>
      </c>
      <c r="AA69" s="24">
        <f t="shared" si="42"/>
        <v>24225.3</v>
      </c>
      <c r="AB69" s="24">
        <f t="shared" si="42"/>
        <v>24225.3</v>
      </c>
      <c r="AC69" s="24">
        <f t="shared" si="42"/>
        <v>347943.60000000003</v>
      </c>
      <c r="AD69" s="24">
        <f t="shared" si="42"/>
        <v>842081.4</v>
      </c>
      <c r="AE69" s="24">
        <f t="shared" si="42"/>
        <v>0</v>
      </c>
      <c r="AF69" s="24">
        <f t="shared" si="42"/>
        <v>842081.4</v>
      </c>
      <c r="AG69" s="24">
        <f t="shared" si="42"/>
        <v>842081.4</v>
      </c>
      <c r="AH69" s="24">
        <f t="shared" si="42"/>
        <v>842081.4</v>
      </c>
      <c r="AI69" s="24">
        <f t="shared" si="42"/>
        <v>842081.4</v>
      </c>
      <c r="AJ69" s="24">
        <f t="shared" si="42"/>
        <v>842081.4</v>
      </c>
      <c r="AK69" s="24">
        <f t="shared" si="42"/>
        <v>842081.4</v>
      </c>
      <c r="AL69" s="24">
        <f t="shared" si="42"/>
        <v>842081.4</v>
      </c>
      <c r="AM69" s="24">
        <f t="shared" si="42"/>
        <v>678031.20000000007</v>
      </c>
      <c r="AN69" s="24">
        <f t="shared" si="42"/>
        <v>678031.20000000007</v>
      </c>
      <c r="AO69" s="24">
        <f t="shared" si="42"/>
        <v>884093.4</v>
      </c>
      <c r="AP69" s="24">
        <f t="shared" si="42"/>
        <v>608580.9</v>
      </c>
      <c r="AQ69" s="24">
        <f t="shared" si="42"/>
        <v>608580.9</v>
      </c>
      <c r="AR69" s="24">
        <f t="shared" si="42"/>
        <v>608580.9</v>
      </c>
      <c r="AS69" s="24">
        <f t="shared" si="42"/>
        <v>608580.9</v>
      </c>
      <c r="AT69" s="24">
        <f t="shared" si="42"/>
        <v>608580.9</v>
      </c>
      <c r="AU69" s="24">
        <f t="shared" si="42"/>
        <v>0</v>
      </c>
      <c r="AV69" s="24">
        <f t="shared" si="42"/>
        <v>670845.6</v>
      </c>
      <c r="AW69" s="24">
        <f t="shared" si="42"/>
        <v>670845.6</v>
      </c>
      <c r="AX69" s="24">
        <f t="shared" si="42"/>
        <v>670845.6</v>
      </c>
      <c r="AY69" s="24">
        <f t="shared" si="42"/>
        <v>670845.6</v>
      </c>
      <c r="AZ69" s="24">
        <f t="shared" si="42"/>
        <v>670845.6</v>
      </c>
      <c r="BA69" s="24">
        <f t="shared" si="42"/>
        <v>0</v>
      </c>
      <c r="BB69" s="24">
        <f t="shared" si="42"/>
        <v>501548.4</v>
      </c>
      <c r="BC69" s="24">
        <f t="shared" si="42"/>
        <v>501548.4</v>
      </c>
      <c r="BD69" s="24">
        <f t="shared" si="42"/>
        <v>501548.4</v>
      </c>
      <c r="BE69" s="24">
        <f t="shared" si="42"/>
        <v>501548.4</v>
      </c>
      <c r="BF69" s="24">
        <f t="shared" si="42"/>
        <v>501548.4</v>
      </c>
      <c r="BG69" s="24">
        <f t="shared" si="42"/>
        <v>501548.4</v>
      </c>
      <c r="BH69" s="24">
        <f t="shared" si="42"/>
        <v>501548.4</v>
      </c>
      <c r="BI69" s="24">
        <f t="shared" si="42"/>
        <v>501548.4</v>
      </c>
      <c r="BJ69" s="24">
        <f t="shared" si="42"/>
        <v>501548.4</v>
      </c>
      <c r="BK69" s="24">
        <f t="shared" si="42"/>
        <v>501548.4</v>
      </c>
      <c r="BL69" s="24">
        <f t="shared" si="42"/>
        <v>501548.4</v>
      </c>
      <c r="BM69" s="24">
        <f t="shared" si="42"/>
        <v>368838.9</v>
      </c>
      <c r="BN69" s="24">
        <f t="shared" si="42"/>
        <v>368838.9</v>
      </c>
      <c r="BO69" s="24">
        <f t="shared" si="42"/>
        <v>368838.9</v>
      </c>
      <c r="BP69" s="24">
        <f t="shared" si="42"/>
        <v>227774.7</v>
      </c>
      <c r="BQ69" s="24">
        <f t="shared" si="42"/>
        <v>227774.7</v>
      </c>
      <c r="BR69" s="24">
        <f t="shared" ref="BR69:DV69" si="43">BR96</f>
        <v>227774.7</v>
      </c>
      <c r="BS69" s="24">
        <f t="shared" si="43"/>
        <v>227774.7</v>
      </c>
      <c r="BT69" s="24">
        <f t="shared" si="43"/>
        <v>227774.7</v>
      </c>
      <c r="BU69" s="24">
        <f t="shared" si="43"/>
        <v>227774.7</v>
      </c>
      <c r="BV69" s="24">
        <f t="shared" si="43"/>
        <v>227774.7</v>
      </c>
      <c r="BW69" s="24">
        <f t="shared" si="43"/>
        <v>227774.7</v>
      </c>
      <c r="BX69" s="24">
        <f t="shared" si="43"/>
        <v>227774.7</v>
      </c>
      <c r="BY69" s="24">
        <f t="shared" si="43"/>
        <v>0</v>
      </c>
      <c r="BZ69" s="24">
        <f t="shared" si="43"/>
        <v>0</v>
      </c>
      <c r="CA69" s="24">
        <f t="shared" si="43"/>
        <v>227774.7</v>
      </c>
      <c r="CB69" s="24">
        <f t="shared" si="43"/>
        <v>227774.7</v>
      </c>
      <c r="CC69" s="24">
        <f t="shared" si="43"/>
        <v>227774.7</v>
      </c>
      <c r="CD69" s="24">
        <f t="shared" si="43"/>
        <v>227774.7</v>
      </c>
      <c r="CE69" s="24">
        <f t="shared" si="43"/>
        <v>0</v>
      </c>
      <c r="CF69" s="24">
        <f t="shared" si="43"/>
        <v>0</v>
      </c>
      <c r="CG69" s="24">
        <f t="shared" si="43"/>
        <v>0</v>
      </c>
      <c r="CH69" s="24">
        <f t="shared" si="43"/>
        <v>0</v>
      </c>
      <c r="CI69" s="24">
        <f t="shared" si="43"/>
        <v>0</v>
      </c>
      <c r="CJ69" s="24">
        <f t="shared" si="43"/>
        <v>0</v>
      </c>
      <c r="CK69" s="24">
        <f t="shared" si="43"/>
        <v>523424.7</v>
      </c>
      <c r="CL69" s="24">
        <f t="shared" si="43"/>
        <v>523424.7</v>
      </c>
      <c r="CM69" s="24">
        <f t="shared" si="43"/>
        <v>523424.7</v>
      </c>
      <c r="CN69" s="24">
        <f t="shared" si="43"/>
        <v>523424.7</v>
      </c>
      <c r="CO69" s="24">
        <f t="shared" si="43"/>
        <v>523424.7</v>
      </c>
      <c r="CP69" s="24">
        <f t="shared" si="43"/>
        <v>523424.7</v>
      </c>
      <c r="CQ69" s="24">
        <f t="shared" si="43"/>
        <v>523424.7</v>
      </c>
      <c r="CR69" s="24">
        <f t="shared" si="43"/>
        <v>523424.7</v>
      </c>
      <c r="CS69" s="24">
        <f t="shared" si="43"/>
        <v>523424.7</v>
      </c>
      <c r="CT69" s="24">
        <f t="shared" si="43"/>
        <v>523424.7</v>
      </c>
      <c r="CU69" s="24">
        <f t="shared" si="43"/>
        <v>523424.7</v>
      </c>
      <c r="CV69" s="24">
        <f t="shared" si="43"/>
        <v>523424.7</v>
      </c>
      <c r="CW69" s="24">
        <f t="shared" si="43"/>
        <v>0</v>
      </c>
      <c r="CX69" s="24" t="str">
        <f t="shared" si="43"/>
        <v/>
      </c>
      <c r="CY69" s="24" t="str">
        <f t="shared" si="43"/>
        <v/>
      </c>
      <c r="CZ69" s="24" t="str">
        <f t="shared" si="43"/>
        <v/>
      </c>
      <c r="DA69" s="24" t="str">
        <f t="shared" si="43"/>
        <v/>
      </c>
      <c r="DB69" s="24" t="str">
        <f t="shared" si="43"/>
        <v/>
      </c>
      <c r="DC69" s="24" t="str">
        <f t="shared" si="43"/>
        <v/>
      </c>
      <c r="DD69" s="24" t="str">
        <f t="shared" si="43"/>
        <v/>
      </c>
      <c r="DE69" s="24" t="str">
        <f t="shared" si="43"/>
        <v/>
      </c>
      <c r="DF69" s="24" t="str">
        <f t="shared" si="43"/>
        <v/>
      </c>
      <c r="DG69" s="24" t="str">
        <f t="shared" si="43"/>
        <v/>
      </c>
      <c r="DH69" s="24" t="str">
        <f t="shared" si="43"/>
        <v/>
      </c>
      <c r="DI69" s="24" t="str">
        <f t="shared" si="43"/>
        <v/>
      </c>
      <c r="DJ69" s="24" t="str">
        <f t="shared" si="43"/>
        <v/>
      </c>
      <c r="DK69" s="24" t="str">
        <f t="shared" si="43"/>
        <v/>
      </c>
      <c r="DL69" s="24" t="str">
        <f t="shared" si="43"/>
        <v/>
      </c>
      <c r="DM69" s="24" t="str">
        <f t="shared" si="43"/>
        <v/>
      </c>
      <c r="DN69" s="24" t="str">
        <f t="shared" si="43"/>
        <v/>
      </c>
      <c r="DO69" s="24" t="str">
        <f t="shared" si="43"/>
        <v/>
      </c>
      <c r="DP69" s="24" t="str">
        <f t="shared" si="43"/>
        <v/>
      </c>
      <c r="DQ69" s="24" t="str">
        <f t="shared" si="43"/>
        <v/>
      </c>
      <c r="DR69" s="24" t="str">
        <f t="shared" si="43"/>
        <v/>
      </c>
      <c r="DS69" s="24" t="str">
        <f t="shared" si="43"/>
        <v/>
      </c>
      <c r="DT69" s="24" t="str">
        <f t="shared" si="43"/>
        <v/>
      </c>
      <c r="DU69" s="24" t="str">
        <f t="shared" si="43"/>
        <v/>
      </c>
      <c r="DV69" s="24" t="str">
        <f t="shared" si="43"/>
        <v/>
      </c>
      <c r="DW69" s="24"/>
      <c r="DX69" s="24"/>
      <c r="DY69" s="70"/>
    </row>
    <row r="70" spans="2:129" outlineLevel="1" x14ac:dyDescent="0.2">
      <c r="B70" s="67" t="s">
        <v>35</v>
      </c>
      <c r="C70" s="16"/>
      <c r="D70" s="69">
        <f>D68-D69</f>
        <v>97255936.143893093</v>
      </c>
      <c r="E70" s="52"/>
      <c r="F70" s="76"/>
      <c r="G70" s="24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77"/>
      <c r="AF70" s="77"/>
      <c r="AG70" s="77"/>
      <c r="AH70" s="77"/>
      <c r="AI70" s="77"/>
      <c r="AJ70" s="77"/>
      <c r="AK70" s="77"/>
      <c r="AL70" s="77"/>
      <c r="AM70" s="77"/>
      <c r="AN70" s="77"/>
      <c r="AO70" s="77"/>
      <c r="AP70" s="77"/>
      <c r="AQ70" s="77"/>
      <c r="AR70" s="77"/>
      <c r="AS70" s="77"/>
      <c r="AT70" s="77"/>
      <c r="AU70" s="77"/>
      <c r="AV70" s="77"/>
      <c r="AW70" s="77"/>
      <c r="AX70" s="77"/>
      <c r="AY70" s="77"/>
      <c r="AZ70" s="77"/>
      <c r="BA70" s="77"/>
      <c r="BB70" s="77"/>
      <c r="BC70" s="77"/>
      <c r="BD70" s="77"/>
      <c r="BE70" s="77"/>
      <c r="BF70" s="77"/>
      <c r="BG70" s="77"/>
      <c r="BH70" s="77"/>
      <c r="BI70" s="77"/>
      <c r="BJ70" s="77"/>
      <c r="BK70" s="77"/>
      <c r="BL70" s="77"/>
      <c r="BM70" s="77"/>
      <c r="BN70" s="77"/>
      <c r="BO70" s="77"/>
      <c r="BP70" s="77"/>
      <c r="BQ70" s="77"/>
      <c r="BR70" s="77"/>
      <c r="BS70" s="77"/>
      <c r="BT70" s="77"/>
      <c r="BU70" s="77"/>
      <c r="BV70" s="77"/>
      <c r="BW70" s="77"/>
      <c r="BX70" s="77"/>
      <c r="BY70" s="77"/>
      <c r="BZ70" s="77"/>
      <c r="CA70" s="77"/>
      <c r="CB70" s="77"/>
      <c r="CC70" s="77"/>
      <c r="CD70" s="77"/>
      <c r="CE70" s="77"/>
      <c r="CF70" s="77"/>
      <c r="CG70" s="77"/>
      <c r="CH70" s="77"/>
      <c r="CI70" s="77"/>
      <c r="CJ70" s="77"/>
      <c r="CK70" s="77"/>
      <c r="CL70" s="77"/>
      <c r="CM70" s="77"/>
      <c r="CN70" s="77"/>
      <c r="CO70" s="77"/>
      <c r="CP70" s="77"/>
      <c r="CQ70" s="77"/>
      <c r="CR70" s="77"/>
      <c r="CS70" s="77"/>
      <c r="CT70" s="77"/>
      <c r="CU70" s="77"/>
      <c r="CV70" s="77"/>
      <c r="CW70" s="77"/>
      <c r="CX70" s="77"/>
      <c r="CY70" s="77"/>
      <c r="CZ70" s="77"/>
      <c r="DA70" s="77"/>
      <c r="DB70" s="77"/>
      <c r="DC70" s="77"/>
      <c r="DD70" s="77"/>
      <c r="DE70" s="77"/>
      <c r="DF70" s="77"/>
      <c r="DG70" s="77"/>
      <c r="DH70" s="77"/>
      <c r="DI70" s="77"/>
      <c r="DJ70" s="77"/>
      <c r="DK70" s="77"/>
      <c r="DL70" s="77"/>
      <c r="DM70" s="77"/>
      <c r="DN70" s="77"/>
      <c r="DO70" s="77"/>
      <c r="DP70" s="77"/>
      <c r="DQ70" s="77"/>
      <c r="DR70" s="77"/>
      <c r="DS70" s="77"/>
      <c r="DT70" s="77"/>
      <c r="DU70" s="77"/>
      <c r="DV70" s="77"/>
      <c r="DW70" s="77"/>
      <c r="DX70" s="77"/>
      <c r="DY70" s="78"/>
    </row>
    <row r="71" spans="2:129" outlineLevel="1" x14ac:dyDescent="0.2">
      <c r="B71" s="67" t="s">
        <v>36</v>
      </c>
      <c r="C71" s="16"/>
      <c r="D71" s="79">
        <f ca="1">XIRR(OFFSET(F71,0,0,1,$E$21+1),OFFSET($F$46,0,0,1,$E$21+1))</f>
        <v>0.20042605996131899</v>
      </c>
      <c r="E71" s="52"/>
      <c r="F71" s="24">
        <f t="shared" ref="F71:BQ71" si="44">IF(F66="","",(-F69)+F68)</f>
        <v>-93624225.299999997</v>
      </c>
      <c r="G71" s="24">
        <f t="shared" si="44"/>
        <v>-24225.3</v>
      </c>
      <c r="H71" s="24">
        <f t="shared" si="44"/>
        <v>-24225.3</v>
      </c>
      <c r="I71" s="24">
        <f t="shared" si="44"/>
        <v>-24225.3</v>
      </c>
      <c r="J71" s="24">
        <f t="shared" si="44"/>
        <v>-24225.3</v>
      </c>
      <c r="K71" s="24">
        <f t="shared" si="44"/>
        <v>-24225.3</v>
      </c>
      <c r="L71" s="24">
        <f t="shared" si="44"/>
        <v>-24225.3</v>
      </c>
      <c r="M71" s="24">
        <f t="shared" si="44"/>
        <v>-24225.3</v>
      </c>
      <c r="N71" s="24">
        <f t="shared" si="44"/>
        <v>-24225.3</v>
      </c>
      <c r="O71" s="24">
        <f t="shared" si="44"/>
        <v>-24225.3</v>
      </c>
      <c r="P71" s="24">
        <f t="shared" si="44"/>
        <v>-24225.3</v>
      </c>
      <c r="Q71" s="24">
        <f t="shared" si="44"/>
        <v>-24225.3</v>
      </c>
      <c r="R71" s="24">
        <f t="shared" si="44"/>
        <v>-24225.3</v>
      </c>
      <c r="S71" s="24">
        <f t="shared" si="44"/>
        <v>-24225.3</v>
      </c>
      <c r="T71" s="24">
        <f t="shared" si="44"/>
        <v>-24225.3</v>
      </c>
      <c r="U71" s="24">
        <f t="shared" si="44"/>
        <v>-24225.3</v>
      </c>
      <c r="V71" s="24">
        <f t="shared" si="44"/>
        <v>-24225.3</v>
      </c>
      <c r="W71" s="24">
        <f t="shared" si="44"/>
        <v>-24225.3</v>
      </c>
      <c r="X71" s="24">
        <f t="shared" si="44"/>
        <v>-24225.3</v>
      </c>
      <c r="Y71" s="24">
        <f t="shared" si="44"/>
        <v>-24225.3</v>
      </c>
      <c r="Z71" s="24">
        <f t="shared" si="44"/>
        <v>-24225.3</v>
      </c>
      <c r="AA71" s="24">
        <f t="shared" si="44"/>
        <v>-24225.3</v>
      </c>
      <c r="AB71" s="24">
        <f t="shared" si="44"/>
        <v>-24225.3</v>
      </c>
      <c r="AC71" s="24">
        <f t="shared" si="44"/>
        <v>-347943.60000000003</v>
      </c>
      <c r="AD71" s="24">
        <f t="shared" si="44"/>
        <v>-842081.4</v>
      </c>
      <c r="AE71" s="24">
        <f t="shared" si="44"/>
        <v>25591908.600000001</v>
      </c>
      <c r="AF71" s="24">
        <f t="shared" si="44"/>
        <v>-842081.4</v>
      </c>
      <c r="AG71" s="24">
        <f t="shared" si="44"/>
        <v>-842081.4</v>
      </c>
      <c r="AH71" s="24">
        <f t="shared" si="44"/>
        <v>-842081.4</v>
      </c>
      <c r="AI71" s="24">
        <f t="shared" si="44"/>
        <v>-842081.4</v>
      </c>
      <c r="AJ71" s="24">
        <f t="shared" si="44"/>
        <v>-842081.4</v>
      </c>
      <c r="AK71" s="24">
        <f t="shared" si="44"/>
        <v>-842081.4</v>
      </c>
      <c r="AL71" s="24">
        <f t="shared" si="44"/>
        <v>-842081.4</v>
      </c>
      <c r="AM71" s="24">
        <f t="shared" si="44"/>
        <v>-678031.20000000007</v>
      </c>
      <c r="AN71" s="24">
        <f t="shared" si="44"/>
        <v>-678031.20000000007</v>
      </c>
      <c r="AO71" s="24">
        <f t="shared" si="44"/>
        <v>-884093.4</v>
      </c>
      <c r="AP71" s="24">
        <f t="shared" si="44"/>
        <v>-608580.9</v>
      </c>
      <c r="AQ71" s="24">
        <f t="shared" si="44"/>
        <v>-608580.9</v>
      </c>
      <c r="AR71" s="24">
        <f t="shared" si="44"/>
        <v>-608580.9</v>
      </c>
      <c r="AS71" s="24">
        <f t="shared" si="44"/>
        <v>-608580.9</v>
      </c>
      <c r="AT71" s="24">
        <f t="shared" si="44"/>
        <v>-608580.9</v>
      </c>
      <c r="AU71" s="24">
        <f t="shared" si="44"/>
        <v>37257084.899999999</v>
      </c>
      <c r="AV71" s="24">
        <f t="shared" si="44"/>
        <v>-670845.6</v>
      </c>
      <c r="AW71" s="24">
        <f t="shared" si="44"/>
        <v>-670845.6</v>
      </c>
      <c r="AX71" s="24">
        <f t="shared" si="44"/>
        <v>-670845.6</v>
      </c>
      <c r="AY71" s="24">
        <f t="shared" si="44"/>
        <v>-670845.6</v>
      </c>
      <c r="AZ71" s="24">
        <f t="shared" si="44"/>
        <v>-670845.6</v>
      </c>
      <c r="BA71" s="24">
        <f t="shared" si="44"/>
        <v>127826136.2843312</v>
      </c>
      <c r="BB71" s="24">
        <f t="shared" si="44"/>
        <v>-501548.4</v>
      </c>
      <c r="BC71" s="24">
        <f t="shared" si="44"/>
        <v>-501548.4</v>
      </c>
      <c r="BD71" s="24">
        <f t="shared" si="44"/>
        <v>-501548.4</v>
      </c>
      <c r="BE71" s="24">
        <f t="shared" si="44"/>
        <v>-501548.4</v>
      </c>
      <c r="BF71" s="24">
        <f t="shared" si="44"/>
        <v>-501548.4</v>
      </c>
      <c r="BG71" s="24">
        <f t="shared" si="44"/>
        <v>-501548.4</v>
      </c>
      <c r="BH71" s="24">
        <f t="shared" si="44"/>
        <v>-501548.4</v>
      </c>
      <c r="BI71" s="24">
        <f t="shared" si="44"/>
        <v>-501548.4</v>
      </c>
      <c r="BJ71" s="24">
        <f t="shared" si="44"/>
        <v>-501548.4</v>
      </c>
      <c r="BK71" s="24">
        <f t="shared" si="44"/>
        <v>-501548.4</v>
      </c>
      <c r="BL71" s="24">
        <f t="shared" si="44"/>
        <v>-501548.4</v>
      </c>
      <c r="BM71" s="24">
        <f t="shared" si="44"/>
        <v>-368838.9</v>
      </c>
      <c r="BN71" s="24">
        <f t="shared" si="44"/>
        <v>-368838.9</v>
      </c>
      <c r="BO71" s="24">
        <f t="shared" si="44"/>
        <v>-368838.9</v>
      </c>
      <c r="BP71" s="24">
        <f t="shared" si="44"/>
        <v>-227774.7</v>
      </c>
      <c r="BQ71" s="24">
        <f t="shared" si="44"/>
        <v>-227774.7</v>
      </c>
      <c r="BR71" s="24">
        <f t="shared" ref="BR71:DV71" si="45">IF(BR66="","",(-BR69)+BR68)</f>
        <v>-227774.7</v>
      </c>
      <c r="BS71" s="24">
        <f t="shared" si="45"/>
        <v>-227774.7</v>
      </c>
      <c r="BT71" s="24">
        <f t="shared" si="45"/>
        <v>-227774.7</v>
      </c>
      <c r="BU71" s="24">
        <f t="shared" si="45"/>
        <v>-227774.7</v>
      </c>
      <c r="BV71" s="24">
        <f t="shared" si="45"/>
        <v>-227774.7</v>
      </c>
      <c r="BW71" s="24">
        <f t="shared" si="45"/>
        <v>-227774.7</v>
      </c>
      <c r="BX71" s="24">
        <f t="shared" si="45"/>
        <v>-227774.7</v>
      </c>
      <c r="BY71" s="24">
        <f t="shared" si="45"/>
        <v>5316225.3</v>
      </c>
      <c r="BZ71" s="24">
        <f t="shared" si="45"/>
        <v>3855975.3000000003</v>
      </c>
      <c r="CA71" s="24">
        <f t="shared" si="45"/>
        <v>-227774.7</v>
      </c>
      <c r="CB71" s="24">
        <f t="shared" si="45"/>
        <v>-227774.7</v>
      </c>
      <c r="CC71" s="24">
        <f t="shared" si="45"/>
        <v>-227774.7</v>
      </c>
      <c r="CD71" s="24">
        <f t="shared" si="45"/>
        <v>-227774.7</v>
      </c>
      <c r="CE71" s="24">
        <f t="shared" si="45"/>
        <v>7616577.9996649548</v>
      </c>
      <c r="CF71" s="24">
        <f t="shared" si="45"/>
        <v>0</v>
      </c>
      <c r="CG71" s="24">
        <f t="shared" si="45"/>
        <v>0</v>
      </c>
      <c r="CH71" s="24">
        <f t="shared" si="45"/>
        <v>0</v>
      </c>
      <c r="CI71" s="24">
        <f t="shared" si="45"/>
        <v>0</v>
      </c>
      <c r="CJ71" s="24">
        <f t="shared" si="45"/>
        <v>0</v>
      </c>
      <c r="CK71" s="24">
        <f t="shared" si="45"/>
        <v>-523424.7</v>
      </c>
      <c r="CL71" s="24">
        <f t="shared" si="45"/>
        <v>-523424.7</v>
      </c>
      <c r="CM71" s="24">
        <f t="shared" si="45"/>
        <v>-523424.7</v>
      </c>
      <c r="CN71" s="24">
        <f t="shared" si="45"/>
        <v>-523424.7</v>
      </c>
      <c r="CO71" s="24">
        <f t="shared" si="45"/>
        <v>-523424.7</v>
      </c>
      <c r="CP71" s="24">
        <f t="shared" si="45"/>
        <v>-523424.7</v>
      </c>
      <c r="CQ71" s="24">
        <f t="shared" si="45"/>
        <v>-523424.7</v>
      </c>
      <c r="CR71" s="24">
        <f t="shared" si="45"/>
        <v>-523424.7</v>
      </c>
      <c r="CS71" s="24">
        <f t="shared" si="45"/>
        <v>-523424.7</v>
      </c>
      <c r="CT71" s="24">
        <f t="shared" si="45"/>
        <v>-523424.7</v>
      </c>
      <c r="CU71" s="24">
        <f t="shared" si="45"/>
        <v>-523424.7</v>
      </c>
      <c r="CV71" s="24">
        <f t="shared" si="45"/>
        <v>-523424.7</v>
      </c>
      <c r="CW71" s="24">
        <f t="shared" si="45"/>
        <v>15536809.359897047</v>
      </c>
      <c r="CX71" s="24" t="str">
        <f t="shared" si="45"/>
        <v/>
      </c>
      <c r="CY71" s="24" t="str">
        <f t="shared" si="45"/>
        <v/>
      </c>
      <c r="CZ71" s="24" t="str">
        <f t="shared" si="45"/>
        <v/>
      </c>
      <c r="DA71" s="24" t="str">
        <f t="shared" si="45"/>
        <v/>
      </c>
      <c r="DB71" s="24" t="str">
        <f t="shared" si="45"/>
        <v/>
      </c>
      <c r="DC71" s="24" t="str">
        <f t="shared" si="45"/>
        <v/>
      </c>
      <c r="DD71" s="24" t="str">
        <f t="shared" si="45"/>
        <v/>
      </c>
      <c r="DE71" s="24" t="str">
        <f t="shared" si="45"/>
        <v/>
      </c>
      <c r="DF71" s="24" t="str">
        <f t="shared" si="45"/>
        <v/>
      </c>
      <c r="DG71" s="24" t="str">
        <f t="shared" si="45"/>
        <v/>
      </c>
      <c r="DH71" s="24" t="str">
        <f t="shared" si="45"/>
        <v/>
      </c>
      <c r="DI71" s="24" t="str">
        <f t="shared" si="45"/>
        <v/>
      </c>
      <c r="DJ71" s="24" t="str">
        <f t="shared" si="45"/>
        <v/>
      </c>
      <c r="DK71" s="24" t="str">
        <f t="shared" si="45"/>
        <v/>
      </c>
      <c r="DL71" s="24" t="str">
        <f t="shared" si="45"/>
        <v/>
      </c>
      <c r="DM71" s="24" t="str">
        <f t="shared" si="45"/>
        <v/>
      </c>
      <c r="DN71" s="24" t="str">
        <f t="shared" si="45"/>
        <v/>
      </c>
      <c r="DO71" s="24" t="str">
        <f t="shared" si="45"/>
        <v/>
      </c>
      <c r="DP71" s="24" t="str">
        <f t="shared" si="45"/>
        <v/>
      </c>
      <c r="DQ71" s="24" t="str">
        <f t="shared" si="45"/>
        <v/>
      </c>
      <c r="DR71" s="24" t="str">
        <f t="shared" si="45"/>
        <v/>
      </c>
      <c r="DS71" s="24" t="str">
        <f t="shared" si="45"/>
        <v/>
      </c>
      <c r="DT71" s="24" t="str">
        <f t="shared" si="45"/>
        <v/>
      </c>
      <c r="DU71" s="24" t="str">
        <f t="shared" si="45"/>
        <v/>
      </c>
      <c r="DV71" s="24" t="str">
        <f t="shared" si="45"/>
        <v/>
      </c>
      <c r="DW71" s="24"/>
      <c r="DX71" s="24"/>
      <c r="DY71" s="70"/>
    </row>
    <row r="72" spans="2:129" outlineLevel="1" x14ac:dyDescent="0.2">
      <c r="B72" s="67" t="s">
        <v>37</v>
      </c>
      <c r="C72" s="16"/>
      <c r="D72" s="80">
        <f>D68/D69</f>
        <v>1.7734391432104804</v>
      </c>
      <c r="E72" s="52"/>
      <c r="F72" s="76"/>
      <c r="G72" s="24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  <c r="Z72" s="77"/>
      <c r="AA72" s="77"/>
      <c r="AB72" s="77"/>
      <c r="AC72" s="77"/>
      <c r="AD72" s="77"/>
      <c r="AE72" s="77"/>
      <c r="AF72" s="77"/>
      <c r="AG72" s="77"/>
      <c r="AH72" s="77"/>
      <c r="AI72" s="77"/>
      <c r="AJ72" s="77"/>
      <c r="AK72" s="77"/>
      <c r="AL72" s="77"/>
      <c r="AM72" s="77"/>
      <c r="AN72" s="77"/>
      <c r="AO72" s="77"/>
      <c r="AP72" s="77"/>
      <c r="AQ72" s="77"/>
      <c r="AR72" s="77"/>
      <c r="AS72" s="77"/>
      <c r="AT72" s="77"/>
      <c r="AU72" s="77"/>
      <c r="AV72" s="77"/>
      <c r="AW72" s="77"/>
      <c r="AX72" s="77"/>
      <c r="AY72" s="77"/>
      <c r="AZ72" s="77"/>
      <c r="BA72" s="77"/>
      <c r="BB72" s="77"/>
      <c r="BC72" s="77"/>
      <c r="BD72" s="77"/>
      <c r="BE72" s="77"/>
      <c r="BF72" s="77"/>
      <c r="BG72" s="77"/>
      <c r="BH72" s="77"/>
      <c r="BI72" s="77"/>
      <c r="BJ72" s="77"/>
      <c r="BK72" s="77"/>
      <c r="BL72" s="77"/>
      <c r="BM72" s="77"/>
      <c r="BN72" s="77"/>
      <c r="BO72" s="77"/>
      <c r="BP72" s="77"/>
      <c r="BQ72" s="77"/>
      <c r="BR72" s="77"/>
      <c r="BS72" s="77"/>
      <c r="BT72" s="77"/>
      <c r="BU72" s="77"/>
      <c r="BV72" s="77"/>
      <c r="BW72" s="77"/>
      <c r="BX72" s="77"/>
      <c r="BY72" s="77"/>
      <c r="BZ72" s="77"/>
      <c r="CA72" s="77"/>
      <c r="CB72" s="77"/>
      <c r="CC72" s="77"/>
      <c r="CD72" s="77"/>
      <c r="CE72" s="77"/>
      <c r="CF72" s="77"/>
      <c r="CG72" s="77"/>
      <c r="CH72" s="77"/>
      <c r="CI72" s="77"/>
      <c r="CJ72" s="77"/>
      <c r="CK72" s="77"/>
      <c r="CL72" s="77"/>
      <c r="CM72" s="77"/>
      <c r="CN72" s="77"/>
      <c r="CO72" s="77"/>
      <c r="CP72" s="77"/>
      <c r="CQ72" s="77"/>
      <c r="CR72" s="77"/>
      <c r="CS72" s="77"/>
      <c r="CT72" s="77"/>
      <c r="CU72" s="77"/>
      <c r="CV72" s="77"/>
      <c r="CW72" s="77"/>
      <c r="CX72" s="77"/>
      <c r="CY72" s="77"/>
      <c r="CZ72" s="77"/>
      <c r="DA72" s="77"/>
      <c r="DB72" s="77"/>
      <c r="DC72" s="77"/>
      <c r="DD72" s="77"/>
      <c r="DE72" s="77"/>
      <c r="DF72" s="77"/>
      <c r="DG72" s="77"/>
      <c r="DH72" s="77"/>
      <c r="DI72" s="77"/>
      <c r="DJ72" s="77"/>
      <c r="DK72" s="77"/>
      <c r="DL72" s="77"/>
      <c r="DM72" s="77"/>
      <c r="DN72" s="77"/>
      <c r="DO72" s="77"/>
      <c r="DP72" s="77"/>
      <c r="DQ72" s="77"/>
      <c r="DR72" s="77"/>
      <c r="DS72" s="77"/>
      <c r="DT72" s="77"/>
      <c r="DU72" s="77"/>
      <c r="DV72" s="77"/>
      <c r="DW72" s="77"/>
      <c r="DX72" s="77"/>
      <c r="DY72" s="78"/>
    </row>
    <row r="73" spans="2:129" outlineLevel="1" x14ac:dyDescent="0.2">
      <c r="B73" s="67"/>
      <c r="C73" s="16"/>
      <c r="D73" s="54"/>
      <c r="E73" s="52"/>
      <c r="F73" s="76"/>
      <c r="G73" s="24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  <c r="Z73" s="77"/>
      <c r="AA73" s="77"/>
      <c r="AB73" s="77"/>
      <c r="AC73" s="77"/>
      <c r="AD73" s="77"/>
      <c r="AE73" s="77"/>
      <c r="AF73" s="77"/>
      <c r="AG73" s="77"/>
      <c r="AH73" s="77"/>
      <c r="AI73" s="77"/>
      <c r="AJ73" s="77"/>
      <c r="AK73" s="77"/>
      <c r="AL73" s="77"/>
      <c r="AM73" s="77"/>
      <c r="AN73" s="77"/>
      <c r="AO73" s="77"/>
      <c r="AP73" s="77"/>
      <c r="AQ73" s="77"/>
      <c r="AR73" s="77"/>
      <c r="AS73" s="77"/>
      <c r="AT73" s="77"/>
      <c r="AU73" s="77"/>
      <c r="AV73" s="77"/>
      <c r="AW73" s="77"/>
      <c r="AX73" s="77"/>
      <c r="AY73" s="77"/>
      <c r="AZ73" s="77"/>
      <c r="BA73" s="77"/>
      <c r="BB73" s="77"/>
      <c r="BC73" s="77"/>
      <c r="BD73" s="77"/>
      <c r="BE73" s="77"/>
      <c r="BF73" s="77"/>
      <c r="BG73" s="77"/>
      <c r="BH73" s="77"/>
      <c r="BI73" s="77"/>
      <c r="BJ73" s="77"/>
      <c r="BK73" s="77"/>
      <c r="BL73" s="77"/>
      <c r="BM73" s="77"/>
      <c r="BN73" s="77"/>
      <c r="BO73" s="77"/>
      <c r="BP73" s="77"/>
      <c r="BQ73" s="77"/>
      <c r="BR73" s="77"/>
      <c r="BS73" s="77"/>
      <c r="BT73" s="77"/>
      <c r="BU73" s="77"/>
      <c r="BV73" s="77"/>
      <c r="BW73" s="77"/>
      <c r="BX73" s="77"/>
      <c r="BY73" s="77"/>
      <c r="BZ73" s="77"/>
      <c r="CA73" s="77"/>
      <c r="CB73" s="77"/>
      <c r="CC73" s="77"/>
      <c r="CD73" s="77"/>
      <c r="CE73" s="77"/>
      <c r="CF73" s="77"/>
      <c r="CG73" s="77"/>
      <c r="CH73" s="77"/>
      <c r="CI73" s="77"/>
      <c r="CJ73" s="77"/>
      <c r="CK73" s="77"/>
      <c r="CL73" s="77"/>
      <c r="CM73" s="77"/>
      <c r="CN73" s="77"/>
      <c r="CO73" s="77"/>
      <c r="CP73" s="77"/>
      <c r="CQ73" s="77"/>
      <c r="CR73" s="77"/>
      <c r="CS73" s="77"/>
      <c r="CT73" s="77"/>
      <c r="CU73" s="77"/>
      <c r="CV73" s="77"/>
      <c r="CW73" s="77"/>
      <c r="CX73" s="77"/>
      <c r="CY73" s="77"/>
      <c r="CZ73" s="77"/>
      <c r="DA73" s="77"/>
      <c r="DB73" s="77"/>
      <c r="DC73" s="77"/>
      <c r="DD73" s="77"/>
      <c r="DE73" s="77"/>
      <c r="DF73" s="77"/>
      <c r="DG73" s="77"/>
      <c r="DH73" s="77"/>
      <c r="DI73" s="77"/>
      <c r="DJ73" s="77"/>
      <c r="DK73" s="77"/>
      <c r="DL73" s="77"/>
      <c r="DM73" s="77"/>
      <c r="DN73" s="77"/>
      <c r="DO73" s="77"/>
      <c r="DP73" s="77"/>
      <c r="DQ73" s="77"/>
      <c r="DR73" s="77"/>
      <c r="DS73" s="77"/>
      <c r="DT73" s="77"/>
      <c r="DU73" s="77"/>
      <c r="DV73" s="77"/>
      <c r="DW73" s="77"/>
      <c r="DX73" s="77"/>
      <c r="DY73" s="78"/>
    </row>
    <row r="74" spans="2:129" outlineLevel="1" x14ac:dyDescent="0.2">
      <c r="B74" s="61" t="s">
        <v>38</v>
      </c>
      <c r="C74" s="16"/>
      <c r="D74" s="54"/>
      <c r="E74" s="52"/>
      <c r="F74" s="76"/>
      <c r="G74" s="24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  <c r="Z74" s="77"/>
      <c r="AA74" s="77"/>
      <c r="AB74" s="77"/>
      <c r="AC74" s="77"/>
      <c r="AD74" s="77"/>
      <c r="AE74" s="77"/>
      <c r="AF74" s="77"/>
      <c r="AG74" s="77"/>
      <c r="AH74" s="77"/>
      <c r="AI74" s="77"/>
      <c r="AJ74" s="77"/>
      <c r="AK74" s="77"/>
      <c r="AL74" s="77"/>
      <c r="AM74" s="77"/>
      <c r="AN74" s="77"/>
      <c r="AO74" s="77"/>
      <c r="AP74" s="77"/>
      <c r="AQ74" s="77"/>
      <c r="AR74" s="77"/>
      <c r="AS74" s="77"/>
      <c r="AT74" s="77"/>
      <c r="AU74" s="77"/>
      <c r="AV74" s="77"/>
      <c r="AW74" s="77"/>
      <c r="AX74" s="77"/>
      <c r="AY74" s="77"/>
      <c r="AZ74" s="77"/>
      <c r="BA74" s="77"/>
      <c r="BB74" s="77"/>
      <c r="BC74" s="77"/>
      <c r="BD74" s="77"/>
      <c r="BE74" s="77"/>
      <c r="BF74" s="77"/>
      <c r="BG74" s="77"/>
      <c r="BH74" s="77"/>
      <c r="BI74" s="77"/>
      <c r="BJ74" s="77"/>
      <c r="BK74" s="77"/>
      <c r="BL74" s="77"/>
      <c r="BM74" s="77"/>
      <c r="BN74" s="77"/>
      <c r="BO74" s="77"/>
      <c r="BP74" s="77"/>
      <c r="BQ74" s="77"/>
      <c r="BR74" s="77"/>
      <c r="BS74" s="77"/>
      <c r="BT74" s="77"/>
      <c r="BU74" s="77"/>
      <c r="BV74" s="77"/>
      <c r="BW74" s="77"/>
      <c r="BX74" s="77"/>
      <c r="BY74" s="77"/>
      <c r="BZ74" s="77"/>
      <c r="CA74" s="77"/>
      <c r="CB74" s="77"/>
      <c r="CC74" s="77"/>
      <c r="CD74" s="77"/>
      <c r="CE74" s="77"/>
      <c r="CF74" s="77"/>
      <c r="CG74" s="77"/>
      <c r="CH74" s="77"/>
      <c r="CI74" s="77"/>
      <c r="CJ74" s="77"/>
      <c r="CK74" s="77"/>
      <c r="CL74" s="77"/>
      <c r="CM74" s="77"/>
      <c r="CN74" s="77"/>
      <c r="CO74" s="77"/>
      <c r="CP74" s="77"/>
      <c r="CQ74" s="77"/>
      <c r="CR74" s="77"/>
      <c r="CS74" s="77"/>
      <c r="CT74" s="77"/>
      <c r="CU74" s="77"/>
      <c r="CV74" s="77"/>
      <c r="CW74" s="77"/>
      <c r="CX74" s="77"/>
      <c r="CY74" s="77"/>
      <c r="CZ74" s="77"/>
      <c r="DA74" s="77"/>
      <c r="DB74" s="77"/>
      <c r="DC74" s="77"/>
      <c r="DD74" s="77"/>
      <c r="DE74" s="77"/>
      <c r="DF74" s="77"/>
      <c r="DG74" s="77"/>
      <c r="DH74" s="77"/>
      <c r="DI74" s="77"/>
      <c r="DJ74" s="77"/>
      <c r="DK74" s="77"/>
      <c r="DL74" s="77"/>
      <c r="DM74" s="77"/>
      <c r="DN74" s="77"/>
      <c r="DO74" s="77"/>
      <c r="DP74" s="77"/>
      <c r="DQ74" s="77"/>
      <c r="DR74" s="77"/>
      <c r="DS74" s="77"/>
      <c r="DT74" s="77"/>
      <c r="DU74" s="77"/>
      <c r="DV74" s="77"/>
      <c r="DW74" s="77"/>
      <c r="DX74" s="77"/>
      <c r="DY74" s="78"/>
    </row>
    <row r="75" spans="2:129" outlineLevel="1" x14ac:dyDescent="0.2">
      <c r="B75" s="67" t="s">
        <v>40</v>
      </c>
      <c r="C75" s="16"/>
      <c r="D75" s="24">
        <f>SUM(F75:DY75)</f>
        <v>71818055.256106794</v>
      </c>
      <c r="E75" s="52"/>
      <c r="F75" s="24">
        <f>IF(F66="","",F105+F123+F138+F153+F160)</f>
        <v>0</v>
      </c>
      <c r="G75" s="24">
        <f t="shared" ref="G75:BR75" si="46">IF(G66="","",G105+G123+G138+G153+G160)</f>
        <v>0</v>
      </c>
      <c r="H75" s="24">
        <f t="shared" si="46"/>
        <v>0</v>
      </c>
      <c r="I75" s="24">
        <f t="shared" si="46"/>
        <v>0</v>
      </c>
      <c r="J75" s="24">
        <f t="shared" si="46"/>
        <v>0</v>
      </c>
      <c r="K75" s="24">
        <f t="shared" si="46"/>
        <v>0</v>
      </c>
      <c r="L75" s="24">
        <f t="shared" si="46"/>
        <v>0</v>
      </c>
      <c r="M75" s="24">
        <f t="shared" si="46"/>
        <v>0</v>
      </c>
      <c r="N75" s="24">
        <f t="shared" si="46"/>
        <v>0</v>
      </c>
      <c r="O75" s="24">
        <f t="shared" si="46"/>
        <v>0</v>
      </c>
      <c r="P75" s="24">
        <f t="shared" si="46"/>
        <v>0</v>
      </c>
      <c r="Q75" s="24">
        <f t="shared" si="46"/>
        <v>0</v>
      </c>
      <c r="R75" s="24">
        <f t="shared" si="46"/>
        <v>0</v>
      </c>
      <c r="S75" s="24">
        <f t="shared" si="46"/>
        <v>0</v>
      </c>
      <c r="T75" s="24">
        <f t="shared" si="46"/>
        <v>0</v>
      </c>
      <c r="U75" s="24">
        <f t="shared" si="46"/>
        <v>0</v>
      </c>
      <c r="V75" s="24">
        <f t="shared" si="46"/>
        <v>0</v>
      </c>
      <c r="W75" s="24">
        <f t="shared" si="46"/>
        <v>0</v>
      </c>
      <c r="X75" s="24">
        <f t="shared" si="46"/>
        <v>0</v>
      </c>
      <c r="Y75" s="24">
        <f t="shared" si="46"/>
        <v>0</v>
      </c>
      <c r="Z75" s="24">
        <f t="shared" si="46"/>
        <v>0</v>
      </c>
      <c r="AA75" s="24">
        <f t="shared" si="46"/>
        <v>0</v>
      </c>
      <c r="AB75" s="24">
        <f t="shared" si="46"/>
        <v>0</v>
      </c>
      <c r="AC75" s="24">
        <f t="shared" si="46"/>
        <v>0</v>
      </c>
      <c r="AD75" s="24">
        <f t="shared" si="46"/>
        <v>0</v>
      </c>
      <c r="AE75" s="24">
        <f t="shared" si="46"/>
        <v>2843545.4000000004</v>
      </c>
      <c r="AF75" s="24">
        <f t="shared" si="46"/>
        <v>0</v>
      </c>
      <c r="AG75" s="24">
        <f t="shared" si="46"/>
        <v>0</v>
      </c>
      <c r="AH75" s="24">
        <f t="shared" si="46"/>
        <v>0</v>
      </c>
      <c r="AI75" s="24">
        <f t="shared" si="46"/>
        <v>0</v>
      </c>
      <c r="AJ75" s="24">
        <f t="shared" si="46"/>
        <v>0</v>
      </c>
      <c r="AK75" s="24">
        <f t="shared" si="46"/>
        <v>0</v>
      </c>
      <c r="AL75" s="24">
        <f t="shared" si="46"/>
        <v>0</v>
      </c>
      <c r="AM75" s="24">
        <f t="shared" si="46"/>
        <v>0</v>
      </c>
      <c r="AN75" s="24">
        <f t="shared" si="46"/>
        <v>0</v>
      </c>
      <c r="AO75" s="24">
        <f t="shared" si="46"/>
        <v>0</v>
      </c>
      <c r="AP75" s="24">
        <f t="shared" si="46"/>
        <v>0</v>
      </c>
      <c r="AQ75" s="24">
        <f t="shared" si="46"/>
        <v>0</v>
      </c>
      <c r="AR75" s="24">
        <f t="shared" si="46"/>
        <v>0</v>
      </c>
      <c r="AS75" s="24">
        <f t="shared" si="46"/>
        <v>0</v>
      </c>
      <c r="AT75" s="24">
        <f t="shared" si="46"/>
        <v>0</v>
      </c>
      <c r="AU75" s="24">
        <f t="shared" si="46"/>
        <v>4139676.1</v>
      </c>
      <c r="AV75" s="24">
        <f t="shared" si="46"/>
        <v>0</v>
      </c>
      <c r="AW75" s="24">
        <f t="shared" si="46"/>
        <v>0</v>
      </c>
      <c r="AX75" s="24">
        <f t="shared" si="46"/>
        <v>0</v>
      </c>
      <c r="AY75" s="24">
        <f t="shared" si="46"/>
        <v>0</v>
      </c>
      <c r="AZ75" s="24">
        <f t="shared" si="46"/>
        <v>0</v>
      </c>
      <c r="BA75" s="24">
        <f t="shared" si="46"/>
        <v>45123787.71566879</v>
      </c>
      <c r="BB75" s="24">
        <f t="shared" si="46"/>
        <v>0</v>
      </c>
      <c r="BC75" s="24">
        <f t="shared" si="46"/>
        <v>0</v>
      </c>
      <c r="BD75" s="24">
        <f t="shared" si="46"/>
        <v>0</v>
      </c>
      <c r="BE75" s="24">
        <f t="shared" si="46"/>
        <v>0</v>
      </c>
      <c r="BF75" s="24">
        <f t="shared" si="46"/>
        <v>0</v>
      </c>
      <c r="BG75" s="24">
        <f t="shared" si="46"/>
        <v>0</v>
      </c>
      <c r="BH75" s="24">
        <f t="shared" si="46"/>
        <v>0</v>
      </c>
      <c r="BI75" s="24">
        <f t="shared" si="46"/>
        <v>0</v>
      </c>
      <c r="BJ75" s="24">
        <f t="shared" si="46"/>
        <v>0</v>
      </c>
      <c r="BK75" s="24">
        <f t="shared" si="46"/>
        <v>0</v>
      </c>
      <c r="BL75" s="24">
        <f t="shared" si="46"/>
        <v>0</v>
      </c>
      <c r="BM75" s="24">
        <f t="shared" si="46"/>
        <v>0</v>
      </c>
      <c r="BN75" s="24">
        <f t="shared" si="46"/>
        <v>0</v>
      </c>
      <c r="BO75" s="24">
        <f t="shared" si="46"/>
        <v>0</v>
      </c>
      <c r="BP75" s="24">
        <f t="shared" si="46"/>
        <v>0</v>
      </c>
      <c r="BQ75" s="24">
        <f t="shared" si="46"/>
        <v>0</v>
      </c>
      <c r="BR75" s="24">
        <f t="shared" si="46"/>
        <v>0</v>
      </c>
      <c r="BS75" s="24">
        <f t="shared" ref="BS75:DV75" si="47">IF(BS66="","",BS105+BS123+BS138+BS153+BS160)</f>
        <v>0</v>
      </c>
      <c r="BT75" s="24">
        <f t="shared" si="47"/>
        <v>0</v>
      </c>
      <c r="BU75" s="24">
        <f t="shared" si="47"/>
        <v>0</v>
      </c>
      <c r="BV75" s="24">
        <f t="shared" si="47"/>
        <v>0</v>
      </c>
      <c r="BW75" s="24">
        <f t="shared" si="47"/>
        <v>0</v>
      </c>
      <c r="BX75" s="24">
        <f t="shared" si="47"/>
        <v>0</v>
      </c>
      <c r="BY75" s="24">
        <f t="shared" si="47"/>
        <v>590691.70000000007</v>
      </c>
      <c r="BZ75" s="24">
        <f t="shared" si="47"/>
        <v>428441.7</v>
      </c>
      <c r="CA75" s="24">
        <f t="shared" si="47"/>
        <v>0</v>
      </c>
      <c r="CB75" s="24">
        <f t="shared" si="47"/>
        <v>0</v>
      </c>
      <c r="CC75" s="24">
        <f t="shared" si="47"/>
        <v>0</v>
      </c>
      <c r="CD75" s="24">
        <f t="shared" si="47"/>
        <v>0</v>
      </c>
      <c r="CE75" s="24">
        <f t="shared" si="47"/>
        <v>7172922.0003350452</v>
      </c>
      <c r="CF75" s="24">
        <f t="shared" si="47"/>
        <v>0</v>
      </c>
      <c r="CG75" s="24">
        <f t="shared" si="47"/>
        <v>0</v>
      </c>
      <c r="CH75" s="24">
        <f t="shared" si="47"/>
        <v>0</v>
      </c>
      <c r="CI75" s="24">
        <f t="shared" si="47"/>
        <v>0</v>
      </c>
      <c r="CJ75" s="24">
        <f t="shared" si="47"/>
        <v>0</v>
      </c>
      <c r="CK75" s="24">
        <f t="shared" si="47"/>
        <v>0</v>
      </c>
      <c r="CL75" s="24">
        <f t="shared" si="47"/>
        <v>0</v>
      </c>
      <c r="CM75" s="24">
        <f t="shared" si="47"/>
        <v>0</v>
      </c>
      <c r="CN75" s="24">
        <f t="shared" si="47"/>
        <v>0</v>
      </c>
      <c r="CO75" s="24">
        <f t="shared" si="47"/>
        <v>0</v>
      </c>
      <c r="CP75" s="24">
        <f t="shared" si="47"/>
        <v>0</v>
      </c>
      <c r="CQ75" s="24">
        <f t="shared" si="47"/>
        <v>0</v>
      </c>
      <c r="CR75" s="24">
        <f t="shared" si="47"/>
        <v>0</v>
      </c>
      <c r="CS75" s="24">
        <f t="shared" si="47"/>
        <v>0</v>
      </c>
      <c r="CT75" s="24">
        <f t="shared" si="47"/>
        <v>0</v>
      </c>
      <c r="CU75" s="24">
        <f t="shared" si="47"/>
        <v>0</v>
      </c>
      <c r="CV75" s="24">
        <f t="shared" si="47"/>
        <v>0</v>
      </c>
      <c r="CW75" s="24">
        <f t="shared" si="47"/>
        <v>11518990.640102955</v>
      </c>
      <c r="CX75" s="24" t="str">
        <f t="shared" si="47"/>
        <v/>
      </c>
      <c r="CY75" s="24" t="str">
        <f t="shared" si="47"/>
        <v/>
      </c>
      <c r="CZ75" s="24" t="str">
        <f t="shared" si="47"/>
        <v/>
      </c>
      <c r="DA75" s="24" t="str">
        <f t="shared" si="47"/>
        <v/>
      </c>
      <c r="DB75" s="24" t="str">
        <f t="shared" si="47"/>
        <v/>
      </c>
      <c r="DC75" s="24" t="str">
        <f t="shared" si="47"/>
        <v/>
      </c>
      <c r="DD75" s="24" t="str">
        <f t="shared" si="47"/>
        <v/>
      </c>
      <c r="DE75" s="24" t="str">
        <f t="shared" si="47"/>
        <v/>
      </c>
      <c r="DF75" s="24" t="str">
        <f t="shared" si="47"/>
        <v/>
      </c>
      <c r="DG75" s="24" t="str">
        <f t="shared" si="47"/>
        <v/>
      </c>
      <c r="DH75" s="24" t="str">
        <f t="shared" si="47"/>
        <v/>
      </c>
      <c r="DI75" s="24" t="str">
        <f t="shared" si="47"/>
        <v/>
      </c>
      <c r="DJ75" s="24" t="str">
        <f t="shared" si="47"/>
        <v/>
      </c>
      <c r="DK75" s="24" t="str">
        <f t="shared" si="47"/>
        <v/>
      </c>
      <c r="DL75" s="24" t="str">
        <f t="shared" si="47"/>
        <v/>
      </c>
      <c r="DM75" s="24" t="str">
        <f t="shared" si="47"/>
        <v/>
      </c>
      <c r="DN75" s="24" t="str">
        <f t="shared" si="47"/>
        <v/>
      </c>
      <c r="DO75" s="24" t="str">
        <f t="shared" si="47"/>
        <v/>
      </c>
      <c r="DP75" s="24" t="str">
        <f t="shared" si="47"/>
        <v/>
      </c>
      <c r="DQ75" s="24" t="str">
        <f t="shared" si="47"/>
        <v/>
      </c>
      <c r="DR75" s="24" t="str">
        <f t="shared" si="47"/>
        <v/>
      </c>
      <c r="DS75" s="24" t="str">
        <f t="shared" si="47"/>
        <v/>
      </c>
      <c r="DT75" s="24" t="str">
        <f t="shared" si="47"/>
        <v/>
      </c>
      <c r="DU75" s="24" t="str">
        <f t="shared" si="47"/>
        <v/>
      </c>
      <c r="DV75" s="24" t="str">
        <f t="shared" si="47"/>
        <v/>
      </c>
      <c r="DW75" s="24"/>
      <c r="DX75" s="24"/>
      <c r="DY75" s="70"/>
    </row>
    <row r="76" spans="2:129" outlineLevel="1" x14ac:dyDescent="0.2">
      <c r="B76" s="67" t="s">
        <v>41</v>
      </c>
      <c r="C76" s="16"/>
      <c r="D76" s="24">
        <f>SUM(F76:DY76)</f>
        <v>0</v>
      </c>
      <c r="E76" s="52"/>
      <c r="F76" s="24">
        <f>IF(F66="","",SUM(F85:F86))</f>
        <v>0</v>
      </c>
      <c r="G76" s="24">
        <f t="shared" ref="G76:BR76" si="48">IF(G66="","",SUM(G85:G86))</f>
        <v>0</v>
      </c>
      <c r="H76" s="24">
        <f t="shared" si="48"/>
        <v>0</v>
      </c>
      <c r="I76" s="24">
        <f t="shared" si="48"/>
        <v>0</v>
      </c>
      <c r="J76" s="24">
        <f t="shared" si="48"/>
        <v>0</v>
      </c>
      <c r="K76" s="24">
        <f t="shared" si="48"/>
        <v>0</v>
      </c>
      <c r="L76" s="24">
        <f t="shared" si="48"/>
        <v>0</v>
      </c>
      <c r="M76" s="24">
        <f t="shared" si="48"/>
        <v>0</v>
      </c>
      <c r="N76" s="24">
        <f t="shared" si="48"/>
        <v>0</v>
      </c>
      <c r="O76" s="24">
        <f t="shared" si="48"/>
        <v>0</v>
      </c>
      <c r="P76" s="24">
        <f t="shared" si="48"/>
        <v>0</v>
      </c>
      <c r="Q76" s="24">
        <f t="shared" si="48"/>
        <v>0</v>
      </c>
      <c r="R76" s="24">
        <f t="shared" si="48"/>
        <v>0</v>
      </c>
      <c r="S76" s="24">
        <f t="shared" si="48"/>
        <v>0</v>
      </c>
      <c r="T76" s="24">
        <f t="shared" si="48"/>
        <v>0</v>
      </c>
      <c r="U76" s="24">
        <f t="shared" si="48"/>
        <v>0</v>
      </c>
      <c r="V76" s="24">
        <f t="shared" si="48"/>
        <v>0</v>
      </c>
      <c r="W76" s="24">
        <f t="shared" si="48"/>
        <v>0</v>
      </c>
      <c r="X76" s="24">
        <f t="shared" si="48"/>
        <v>0</v>
      </c>
      <c r="Y76" s="24">
        <f t="shared" si="48"/>
        <v>0</v>
      </c>
      <c r="Z76" s="24">
        <f t="shared" si="48"/>
        <v>0</v>
      </c>
      <c r="AA76" s="24">
        <f t="shared" si="48"/>
        <v>0</v>
      </c>
      <c r="AB76" s="24">
        <f t="shared" si="48"/>
        <v>0</v>
      </c>
      <c r="AC76" s="24">
        <f t="shared" si="48"/>
        <v>0</v>
      </c>
      <c r="AD76" s="24">
        <f t="shared" si="48"/>
        <v>0</v>
      </c>
      <c r="AE76" s="24">
        <f t="shared" si="48"/>
        <v>0</v>
      </c>
      <c r="AF76" s="24">
        <f t="shared" si="48"/>
        <v>0</v>
      </c>
      <c r="AG76" s="24">
        <f t="shared" si="48"/>
        <v>0</v>
      </c>
      <c r="AH76" s="24">
        <f t="shared" si="48"/>
        <v>0</v>
      </c>
      <c r="AI76" s="24">
        <f t="shared" si="48"/>
        <v>0</v>
      </c>
      <c r="AJ76" s="24">
        <f t="shared" si="48"/>
        <v>0</v>
      </c>
      <c r="AK76" s="24">
        <f t="shared" si="48"/>
        <v>0</v>
      </c>
      <c r="AL76" s="24">
        <f t="shared" si="48"/>
        <v>0</v>
      </c>
      <c r="AM76" s="24">
        <f t="shared" si="48"/>
        <v>0</v>
      </c>
      <c r="AN76" s="24">
        <f t="shared" si="48"/>
        <v>0</v>
      </c>
      <c r="AO76" s="24">
        <f t="shared" si="48"/>
        <v>0</v>
      </c>
      <c r="AP76" s="24">
        <f t="shared" si="48"/>
        <v>0</v>
      </c>
      <c r="AQ76" s="24">
        <f t="shared" si="48"/>
        <v>0</v>
      </c>
      <c r="AR76" s="24">
        <f t="shared" si="48"/>
        <v>0</v>
      </c>
      <c r="AS76" s="24">
        <f t="shared" si="48"/>
        <v>0</v>
      </c>
      <c r="AT76" s="24">
        <f t="shared" si="48"/>
        <v>0</v>
      </c>
      <c r="AU76" s="24">
        <f t="shared" si="48"/>
        <v>0</v>
      </c>
      <c r="AV76" s="24">
        <f t="shared" si="48"/>
        <v>0</v>
      </c>
      <c r="AW76" s="24">
        <f t="shared" si="48"/>
        <v>0</v>
      </c>
      <c r="AX76" s="24">
        <f t="shared" si="48"/>
        <v>0</v>
      </c>
      <c r="AY76" s="24">
        <f t="shared" si="48"/>
        <v>0</v>
      </c>
      <c r="AZ76" s="24">
        <f t="shared" si="48"/>
        <v>0</v>
      </c>
      <c r="BA76" s="24">
        <f t="shared" si="48"/>
        <v>0</v>
      </c>
      <c r="BB76" s="24">
        <f t="shared" si="48"/>
        <v>0</v>
      </c>
      <c r="BC76" s="24">
        <f t="shared" si="48"/>
        <v>0</v>
      </c>
      <c r="BD76" s="24">
        <f t="shared" si="48"/>
        <v>0</v>
      </c>
      <c r="BE76" s="24">
        <f t="shared" si="48"/>
        <v>0</v>
      </c>
      <c r="BF76" s="24">
        <f t="shared" si="48"/>
        <v>0</v>
      </c>
      <c r="BG76" s="24">
        <f t="shared" si="48"/>
        <v>0</v>
      </c>
      <c r="BH76" s="24">
        <f t="shared" si="48"/>
        <v>0</v>
      </c>
      <c r="BI76" s="24">
        <f t="shared" si="48"/>
        <v>0</v>
      </c>
      <c r="BJ76" s="24">
        <f t="shared" si="48"/>
        <v>0</v>
      </c>
      <c r="BK76" s="24">
        <f t="shared" si="48"/>
        <v>0</v>
      </c>
      <c r="BL76" s="24">
        <f t="shared" si="48"/>
        <v>0</v>
      </c>
      <c r="BM76" s="24">
        <f t="shared" si="48"/>
        <v>0</v>
      </c>
      <c r="BN76" s="24">
        <f t="shared" si="48"/>
        <v>0</v>
      </c>
      <c r="BO76" s="24">
        <f t="shared" si="48"/>
        <v>0</v>
      </c>
      <c r="BP76" s="24">
        <f t="shared" si="48"/>
        <v>0</v>
      </c>
      <c r="BQ76" s="24">
        <f t="shared" si="48"/>
        <v>0</v>
      </c>
      <c r="BR76" s="24">
        <f t="shared" si="48"/>
        <v>0</v>
      </c>
      <c r="BS76" s="24">
        <f t="shared" ref="BS76:DV76" si="49">IF(BS66="","",SUM(BS85:BS86))</f>
        <v>0</v>
      </c>
      <c r="BT76" s="24">
        <f t="shared" si="49"/>
        <v>0</v>
      </c>
      <c r="BU76" s="24">
        <f t="shared" si="49"/>
        <v>0</v>
      </c>
      <c r="BV76" s="24">
        <f t="shared" si="49"/>
        <v>0</v>
      </c>
      <c r="BW76" s="24">
        <f t="shared" si="49"/>
        <v>0</v>
      </c>
      <c r="BX76" s="24">
        <f t="shared" si="49"/>
        <v>0</v>
      </c>
      <c r="BY76" s="24">
        <f t="shared" si="49"/>
        <v>0</v>
      </c>
      <c r="BZ76" s="24">
        <f t="shared" si="49"/>
        <v>0</v>
      </c>
      <c r="CA76" s="24">
        <f t="shared" si="49"/>
        <v>0</v>
      </c>
      <c r="CB76" s="24">
        <f t="shared" si="49"/>
        <v>0</v>
      </c>
      <c r="CC76" s="24">
        <f t="shared" si="49"/>
        <v>0</v>
      </c>
      <c r="CD76" s="24">
        <f t="shared" si="49"/>
        <v>0</v>
      </c>
      <c r="CE76" s="24">
        <f t="shared" si="49"/>
        <v>0</v>
      </c>
      <c r="CF76" s="24">
        <f t="shared" si="49"/>
        <v>0</v>
      </c>
      <c r="CG76" s="24">
        <f t="shared" si="49"/>
        <v>0</v>
      </c>
      <c r="CH76" s="24">
        <f t="shared" si="49"/>
        <v>0</v>
      </c>
      <c r="CI76" s="24">
        <f t="shared" si="49"/>
        <v>0</v>
      </c>
      <c r="CJ76" s="24">
        <f t="shared" si="49"/>
        <v>0</v>
      </c>
      <c r="CK76" s="24">
        <f t="shared" si="49"/>
        <v>0</v>
      </c>
      <c r="CL76" s="24">
        <f t="shared" si="49"/>
        <v>0</v>
      </c>
      <c r="CM76" s="24">
        <f t="shared" si="49"/>
        <v>0</v>
      </c>
      <c r="CN76" s="24">
        <f t="shared" si="49"/>
        <v>0</v>
      </c>
      <c r="CO76" s="24">
        <f t="shared" si="49"/>
        <v>0</v>
      </c>
      <c r="CP76" s="24">
        <f t="shared" si="49"/>
        <v>0</v>
      </c>
      <c r="CQ76" s="24">
        <f t="shared" si="49"/>
        <v>0</v>
      </c>
      <c r="CR76" s="24">
        <f t="shared" si="49"/>
        <v>0</v>
      </c>
      <c r="CS76" s="24">
        <f t="shared" si="49"/>
        <v>0</v>
      </c>
      <c r="CT76" s="24">
        <f t="shared" si="49"/>
        <v>0</v>
      </c>
      <c r="CU76" s="24">
        <f t="shared" si="49"/>
        <v>0</v>
      </c>
      <c r="CV76" s="24">
        <f t="shared" si="49"/>
        <v>0</v>
      </c>
      <c r="CW76" s="24">
        <f t="shared" si="49"/>
        <v>0</v>
      </c>
      <c r="CX76" s="24" t="str">
        <f t="shared" si="49"/>
        <v/>
      </c>
      <c r="CY76" s="24" t="str">
        <f t="shared" si="49"/>
        <v/>
      </c>
      <c r="CZ76" s="24" t="str">
        <f t="shared" si="49"/>
        <v/>
      </c>
      <c r="DA76" s="24" t="str">
        <f t="shared" si="49"/>
        <v/>
      </c>
      <c r="DB76" s="24" t="str">
        <f t="shared" si="49"/>
        <v/>
      </c>
      <c r="DC76" s="24" t="str">
        <f t="shared" si="49"/>
        <v/>
      </c>
      <c r="DD76" s="24" t="str">
        <f t="shared" si="49"/>
        <v/>
      </c>
      <c r="DE76" s="24" t="str">
        <f t="shared" si="49"/>
        <v/>
      </c>
      <c r="DF76" s="24" t="str">
        <f t="shared" si="49"/>
        <v/>
      </c>
      <c r="DG76" s="24" t="str">
        <f t="shared" si="49"/>
        <v/>
      </c>
      <c r="DH76" s="24" t="str">
        <f t="shared" si="49"/>
        <v/>
      </c>
      <c r="DI76" s="24" t="str">
        <f t="shared" si="49"/>
        <v/>
      </c>
      <c r="DJ76" s="24" t="str">
        <f t="shared" si="49"/>
        <v/>
      </c>
      <c r="DK76" s="24" t="str">
        <f t="shared" si="49"/>
        <v/>
      </c>
      <c r="DL76" s="24" t="str">
        <f t="shared" si="49"/>
        <v/>
      </c>
      <c r="DM76" s="24" t="str">
        <f t="shared" si="49"/>
        <v/>
      </c>
      <c r="DN76" s="24" t="str">
        <f t="shared" si="49"/>
        <v/>
      </c>
      <c r="DO76" s="24" t="str">
        <f t="shared" si="49"/>
        <v/>
      </c>
      <c r="DP76" s="24" t="str">
        <f t="shared" si="49"/>
        <v/>
      </c>
      <c r="DQ76" s="24" t="str">
        <f t="shared" si="49"/>
        <v/>
      </c>
      <c r="DR76" s="24" t="str">
        <f t="shared" si="49"/>
        <v/>
      </c>
      <c r="DS76" s="24" t="str">
        <f t="shared" si="49"/>
        <v/>
      </c>
      <c r="DT76" s="24" t="str">
        <f t="shared" si="49"/>
        <v/>
      </c>
      <c r="DU76" s="24" t="str">
        <f t="shared" si="49"/>
        <v/>
      </c>
      <c r="DV76" s="24" t="str">
        <f t="shared" si="49"/>
        <v/>
      </c>
      <c r="DW76" s="24"/>
      <c r="DX76" s="24"/>
      <c r="DY76" s="70"/>
    </row>
    <row r="77" spans="2:129" outlineLevel="1" x14ac:dyDescent="0.2">
      <c r="B77" s="67" t="s">
        <v>42</v>
      </c>
      <c r="C77" s="16"/>
      <c r="D77" s="24">
        <f>SUM(F77:DY77)</f>
        <v>13971642.399999999</v>
      </c>
      <c r="E77" s="52"/>
      <c r="F77" s="24">
        <f t="shared" ref="F77:BQ77" si="50">IF(F66="","",-(MIN(F87,0)+F96))</f>
        <v>10402691.700000003</v>
      </c>
      <c r="G77" s="24">
        <f t="shared" si="50"/>
        <v>2691.7000000000007</v>
      </c>
      <c r="H77" s="24">
        <f t="shared" si="50"/>
        <v>2691.7000000000007</v>
      </c>
      <c r="I77" s="24">
        <f t="shared" si="50"/>
        <v>2691.7000000000007</v>
      </c>
      <c r="J77" s="24">
        <f t="shared" si="50"/>
        <v>2691.7000000000007</v>
      </c>
      <c r="K77" s="24">
        <f t="shared" si="50"/>
        <v>2691.7000000000007</v>
      </c>
      <c r="L77" s="24">
        <f t="shared" si="50"/>
        <v>2691.7000000000007</v>
      </c>
      <c r="M77" s="24">
        <f t="shared" si="50"/>
        <v>2691.7000000000007</v>
      </c>
      <c r="N77" s="24">
        <f t="shared" si="50"/>
        <v>2691.7000000000007</v>
      </c>
      <c r="O77" s="24">
        <f t="shared" si="50"/>
        <v>2691.7000000000007</v>
      </c>
      <c r="P77" s="24">
        <f t="shared" si="50"/>
        <v>2691.7000000000007</v>
      </c>
      <c r="Q77" s="24">
        <f t="shared" si="50"/>
        <v>2691.7000000000007</v>
      </c>
      <c r="R77" s="24">
        <f t="shared" si="50"/>
        <v>2691.7000000000007</v>
      </c>
      <c r="S77" s="24">
        <f t="shared" si="50"/>
        <v>2691.7000000000007</v>
      </c>
      <c r="T77" s="24">
        <f t="shared" si="50"/>
        <v>2691.7000000000007</v>
      </c>
      <c r="U77" s="24">
        <f t="shared" si="50"/>
        <v>2691.7000000000007</v>
      </c>
      <c r="V77" s="24">
        <f t="shared" si="50"/>
        <v>2691.7000000000007</v>
      </c>
      <c r="W77" s="24">
        <f t="shared" si="50"/>
        <v>2691.7000000000007</v>
      </c>
      <c r="X77" s="24">
        <f t="shared" si="50"/>
        <v>2691.7000000000007</v>
      </c>
      <c r="Y77" s="24">
        <f t="shared" si="50"/>
        <v>2691.7000000000007</v>
      </c>
      <c r="Z77" s="24">
        <f t="shared" si="50"/>
        <v>2691.7000000000007</v>
      </c>
      <c r="AA77" s="24">
        <f t="shared" si="50"/>
        <v>2691.7000000000007</v>
      </c>
      <c r="AB77" s="24">
        <f t="shared" si="50"/>
        <v>2691.7000000000007</v>
      </c>
      <c r="AC77" s="24">
        <f t="shared" si="50"/>
        <v>38660.399999999965</v>
      </c>
      <c r="AD77" s="24">
        <f t="shared" si="50"/>
        <v>93564.599999999977</v>
      </c>
      <c r="AE77" s="24">
        <f t="shared" si="50"/>
        <v>0</v>
      </c>
      <c r="AF77" s="24">
        <f t="shared" si="50"/>
        <v>93564.599999999977</v>
      </c>
      <c r="AG77" s="24">
        <f t="shared" si="50"/>
        <v>93564.599999999977</v>
      </c>
      <c r="AH77" s="24">
        <f t="shared" si="50"/>
        <v>93564.599999999977</v>
      </c>
      <c r="AI77" s="24">
        <f t="shared" si="50"/>
        <v>93564.599999999977</v>
      </c>
      <c r="AJ77" s="24">
        <f t="shared" si="50"/>
        <v>93564.599999999977</v>
      </c>
      <c r="AK77" s="24">
        <f t="shared" si="50"/>
        <v>93564.599999999977</v>
      </c>
      <c r="AL77" s="24">
        <f t="shared" si="50"/>
        <v>93564.599999999977</v>
      </c>
      <c r="AM77" s="24">
        <f t="shared" si="50"/>
        <v>75336.79999999993</v>
      </c>
      <c r="AN77" s="24">
        <f t="shared" si="50"/>
        <v>75336.79999999993</v>
      </c>
      <c r="AO77" s="24">
        <f t="shared" si="50"/>
        <v>98232.599999999977</v>
      </c>
      <c r="AP77" s="24">
        <f t="shared" si="50"/>
        <v>67620.099999999977</v>
      </c>
      <c r="AQ77" s="24">
        <f t="shared" si="50"/>
        <v>67620.099999999977</v>
      </c>
      <c r="AR77" s="24">
        <f t="shared" si="50"/>
        <v>67620.099999999977</v>
      </c>
      <c r="AS77" s="24">
        <f t="shared" si="50"/>
        <v>67620.099999999977</v>
      </c>
      <c r="AT77" s="24">
        <f t="shared" si="50"/>
        <v>67620.099999999977</v>
      </c>
      <c r="AU77" s="24">
        <f t="shared" si="50"/>
        <v>0</v>
      </c>
      <c r="AV77" s="24">
        <f t="shared" si="50"/>
        <v>74538.400000000023</v>
      </c>
      <c r="AW77" s="24">
        <f t="shared" si="50"/>
        <v>74538.400000000023</v>
      </c>
      <c r="AX77" s="24">
        <f t="shared" si="50"/>
        <v>74538.400000000023</v>
      </c>
      <c r="AY77" s="24">
        <f t="shared" si="50"/>
        <v>74538.400000000023</v>
      </c>
      <c r="AZ77" s="24">
        <f t="shared" si="50"/>
        <v>74538.400000000023</v>
      </c>
      <c r="BA77" s="24">
        <f t="shared" si="50"/>
        <v>0</v>
      </c>
      <c r="BB77" s="24">
        <f t="shared" si="50"/>
        <v>55727.599999999977</v>
      </c>
      <c r="BC77" s="24">
        <f t="shared" si="50"/>
        <v>55727.599999999977</v>
      </c>
      <c r="BD77" s="24">
        <f t="shared" si="50"/>
        <v>55727.599999999977</v>
      </c>
      <c r="BE77" s="24">
        <f t="shared" si="50"/>
        <v>55727.599999999977</v>
      </c>
      <c r="BF77" s="24">
        <f t="shared" si="50"/>
        <v>55727.599999999977</v>
      </c>
      <c r="BG77" s="24">
        <f t="shared" si="50"/>
        <v>55727.599999999977</v>
      </c>
      <c r="BH77" s="24">
        <f t="shared" si="50"/>
        <v>55727.599999999977</v>
      </c>
      <c r="BI77" s="24">
        <f t="shared" si="50"/>
        <v>55727.599999999977</v>
      </c>
      <c r="BJ77" s="24">
        <f t="shared" si="50"/>
        <v>55727.599999999977</v>
      </c>
      <c r="BK77" s="24">
        <f t="shared" si="50"/>
        <v>55727.599999999977</v>
      </c>
      <c r="BL77" s="24">
        <f t="shared" si="50"/>
        <v>55727.599999999977</v>
      </c>
      <c r="BM77" s="24">
        <f t="shared" si="50"/>
        <v>40982.099999999977</v>
      </c>
      <c r="BN77" s="24">
        <f t="shared" si="50"/>
        <v>40982.099999999977</v>
      </c>
      <c r="BO77" s="24">
        <f t="shared" si="50"/>
        <v>40982.099999999977</v>
      </c>
      <c r="BP77" s="24">
        <f t="shared" si="50"/>
        <v>25308.299999999988</v>
      </c>
      <c r="BQ77" s="24">
        <f t="shared" si="50"/>
        <v>25308.299999999988</v>
      </c>
      <c r="BR77" s="24">
        <f t="shared" ref="BR77:DV77" si="51">IF(BR66="","",-(MIN(BR87,0)+BR96))</f>
        <v>25308.299999999988</v>
      </c>
      <c r="BS77" s="24">
        <f t="shared" si="51"/>
        <v>25308.299999999988</v>
      </c>
      <c r="BT77" s="24">
        <f t="shared" si="51"/>
        <v>25308.299999999988</v>
      </c>
      <c r="BU77" s="24">
        <f t="shared" si="51"/>
        <v>25308.299999999988</v>
      </c>
      <c r="BV77" s="24">
        <f t="shared" si="51"/>
        <v>25308.299999999988</v>
      </c>
      <c r="BW77" s="24">
        <f t="shared" si="51"/>
        <v>25308.299999999988</v>
      </c>
      <c r="BX77" s="24">
        <f t="shared" si="51"/>
        <v>25308.299999999988</v>
      </c>
      <c r="BY77" s="24">
        <f t="shared" si="51"/>
        <v>0</v>
      </c>
      <c r="BZ77" s="24">
        <f t="shared" si="51"/>
        <v>0</v>
      </c>
      <c r="CA77" s="24">
        <f t="shared" si="51"/>
        <v>25308.299999999988</v>
      </c>
      <c r="CB77" s="24">
        <f t="shared" si="51"/>
        <v>25308.299999999988</v>
      </c>
      <c r="CC77" s="24">
        <f t="shared" si="51"/>
        <v>25308.299999999988</v>
      </c>
      <c r="CD77" s="24">
        <f t="shared" si="51"/>
        <v>25308.299999999988</v>
      </c>
      <c r="CE77" s="24">
        <f t="shared" si="51"/>
        <v>0</v>
      </c>
      <c r="CF77" s="24">
        <f t="shared" si="51"/>
        <v>0</v>
      </c>
      <c r="CG77" s="24">
        <f t="shared" si="51"/>
        <v>0</v>
      </c>
      <c r="CH77" s="24">
        <f t="shared" si="51"/>
        <v>0</v>
      </c>
      <c r="CI77" s="24">
        <f t="shared" si="51"/>
        <v>0</v>
      </c>
      <c r="CJ77" s="24">
        <f t="shared" si="51"/>
        <v>0</v>
      </c>
      <c r="CK77" s="24">
        <f t="shared" si="51"/>
        <v>58158.299999999988</v>
      </c>
      <c r="CL77" s="24">
        <f t="shared" si="51"/>
        <v>58158.299999999988</v>
      </c>
      <c r="CM77" s="24">
        <f t="shared" si="51"/>
        <v>58158.299999999988</v>
      </c>
      <c r="CN77" s="24">
        <f t="shared" si="51"/>
        <v>58158.299999999988</v>
      </c>
      <c r="CO77" s="24">
        <f t="shared" si="51"/>
        <v>58158.299999999988</v>
      </c>
      <c r="CP77" s="24">
        <f t="shared" si="51"/>
        <v>58158.299999999988</v>
      </c>
      <c r="CQ77" s="24">
        <f t="shared" si="51"/>
        <v>58158.299999999988</v>
      </c>
      <c r="CR77" s="24">
        <f t="shared" si="51"/>
        <v>58158.299999999988</v>
      </c>
      <c r="CS77" s="24">
        <f t="shared" si="51"/>
        <v>58158.299999999988</v>
      </c>
      <c r="CT77" s="24">
        <f t="shared" si="51"/>
        <v>58158.299999999988</v>
      </c>
      <c r="CU77" s="24">
        <f t="shared" si="51"/>
        <v>58158.299999999988</v>
      </c>
      <c r="CV77" s="24">
        <f t="shared" si="51"/>
        <v>58158.299999999988</v>
      </c>
      <c r="CW77" s="24">
        <f t="shared" si="51"/>
        <v>0</v>
      </c>
      <c r="CX77" s="24" t="str">
        <f t="shared" si="51"/>
        <v/>
      </c>
      <c r="CY77" s="24" t="str">
        <f t="shared" si="51"/>
        <v/>
      </c>
      <c r="CZ77" s="24" t="str">
        <f t="shared" si="51"/>
        <v/>
      </c>
      <c r="DA77" s="24" t="str">
        <f t="shared" si="51"/>
        <v/>
      </c>
      <c r="DB77" s="24" t="str">
        <f t="shared" si="51"/>
        <v/>
      </c>
      <c r="DC77" s="24" t="str">
        <f t="shared" si="51"/>
        <v/>
      </c>
      <c r="DD77" s="24" t="str">
        <f t="shared" si="51"/>
        <v/>
      </c>
      <c r="DE77" s="24" t="str">
        <f t="shared" si="51"/>
        <v/>
      </c>
      <c r="DF77" s="24" t="str">
        <f t="shared" si="51"/>
        <v/>
      </c>
      <c r="DG77" s="24" t="str">
        <f t="shared" si="51"/>
        <v/>
      </c>
      <c r="DH77" s="24" t="str">
        <f t="shared" si="51"/>
        <v/>
      </c>
      <c r="DI77" s="24" t="str">
        <f t="shared" si="51"/>
        <v/>
      </c>
      <c r="DJ77" s="24" t="str">
        <f t="shared" si="51"/>
        <v/>
      </c>
      <c r="DK77" s="24" t="str">
        <f t="shared" si="51"/>
        <v/>
      </c>
      <c r="DL77" s="24" t="str">
        <f t="shared" si="51"/>
        <v/>
      </c>
      <c r="DM77" s="24" t="str">
        <f t="shared" si="51"/>
        <v/>
      </c>
      <c r="DN77" s="24" t="str">
        <f t="shared" si="51"/>
        <v/>
      </c>
      <c r="DO77" s="24" t="str">
        <f t="shared" si="51"/>
        <v/>
      </c>
      <c r="DP77" s="24" t="str">
        <f t="shared" si="51"/>
        <v/>
      </c>
      <c r="DQ77" s="24" t="str">
        <f t="shared" si="51"/>
        <v/>
      </c>
      <c r="DR77" s="24" t="str">
        <f t="shared" si="51"/>
        <v/>
      </c>
      <c r="DS77" s="24" t="str">
        <f t="shared" si="51"/>
        <v/>
      </c>
      <c r="DT77" s="24" t="str">
        <f t="shared" si="51"/>
        <v/>
      </c>
      <c r="DU77" s="24" t="str">
        <f t="shared" si="51"/>
        <v/>
      </c>
      <c r="DV77" s="24" t="str">
        <f t="shared" si="51"/>
        <v/>
      </c>
      <c r="DW77" s="24"/>
      <c r="DX77" s="24"/>
      <c r="DY77" s="70"/>
    </row>
    <row r="78" spans="2:129" outlineLevel="1" x14ac:dyDescent="0.2">
      <c r="B78" s="67" t="s">
        <v>53</v>
      </c>
      <c r="C78" s="16"/>
      <c r="D78" s="24">
        <f>+D75+D76-D77</f>
        <v>57846412.856106795</v>
      </c>
      <c r="E78" s="52"/>
      <c r="F78" s="76"/>
      <c r="G78" s="24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77"/>
      <c r="AF78" s="77"/>
      <c r="AG78" s="77"/>
      <c r="AH78" s="77"/>
      <c r="AI78" s="77"/>
      <c r="AJ78" s="77"/>
      <c r="AK78" s="77"/>
      <c r="AL78" s="77"/>
      <c r="AM78" s="77"/>
      <c r="AN78" s="77"/>
      <c r="AO78" s="77"/>
      <c r="AP78" s="77"/>
      <c r="AQ78" s="77"/>
      <c r="AR78" s="77"/>
      <c r="AS78" s="77"/>
      <c r="AT78" s="77"/>
      <c r="AU78" s="77"/>
      <c r="AV78" s="77"/>
      <c r="AW78" s="77"/>
      <c r="AX78" s="77"/>
      <c r="AY78" s="77"/>
      <c r="AZ78" s="77"/>
      <c r="BA78" s="77"/>
      <c r="BB78" s="77"/>
      <c r="BC78" s="77"/>
      <c r="BD78" s="77"/>
      <c r="BE78" s="77"/>
      <c r="BF78" s="77"/>
      <c r="BG78" s="77"/>
      <c r="BH78" s="77"/>
      <c r="BI78" s="77"/>
      <c r="BJ78" s="77"/>
      <c r="BK78" s="77"/>
      <c r="BL78" s="77"/>
      <c r="BM78" s="77"/>
      <c r="BN78" s="77"/>
      <c r="BO78" s="77"/>
      <c r="BP78" s="77"/>
      <c r="BQ78" s="77"/>
      <c r="BR78" s="77"/>
      <c r="BS78" s="77"/>
      <c r="BT78" s="77"/>
      <c r="BU78" s="77"/>
      <c r="BV78" s="77"/>
      <c r="BW78" s="77"/>
      <c r="BX78" s="77"/>
      <c r="BY78" s="77"/>
      <c r="BZ78" s="77"/>
      <c r="CA78" s="77"/>
      <c r="CB78" s="77"/>
      <c r="CC78" s="77"/>
      <c r="CD78" s="77"/>
      <c r="CE78" s="77"/>
      <c r="CF78" s="77"/>
      <c r="CG78" s="77"/>
      <c r="CH78" s="77"/>
      <c r="CI78" s="77"/>
      <c r="CJ78" s="77"/>
      <c r="CK78" s="77"/>
      <c r="CL78" s="77"/>
      <c r="CM78" s="77"/>
      <c r="CN78" s="77"/>
      <c r="CO78" s="77"/>
      <c r="CP78" s="77"/>
      <c r="CQ78" s="77"/>
      <c r="CR78" s="77"/>
      <c r="CS78" s="77"/>
      <c r="CT78" s="77"/>
      <c r="CU78" s="77"/>
      <c r="CV78" s="77"/>
      <c r="CW78" s="77"/>
      <c r="CX78" s="77"/>
      <c r="CY78" s="77"/>
      <c r="CZ78" s="77"/>
      <c r="DA78" s="77"/>
      <c r="DB78" s="77"/>
      <c r="DC78" s="77"/>
      <c r="DD78" s="77"/>
      <c r="DE78" s="77"/>
      <c r="DF78" s="77"/>
      <c r="DG78" s="77"/>
      <c r="DH78" s="77"/>
      <c r="DI78" s="77"/>
      <c r="DJ78" s="77"/>
      <c r="DK78" s="77"/>
      <c r="DL78" s="77"/>
      <c r="DM78" s="77"/>
      <c r="DN78" s="77"/>
      <c r="DO78" s="77"/>
      <c r="DP78" s="77"/>
      <c r="DQ78" s="77"/>
      <c r="DR78" s="77"/>
      <c r="DS78" s="77"/>
      <c r="DT78" s="77"/>
      <c r="DU78" s="77"/>
      <c r="DV78" s="77"/>
      <c r="DW78" s="77"/>
      <c r="DX78" s="77"/>
      <c r="DY78" s="78"/>
    </row>
    <row r="79" spans="2:129" outlineLevel="1" x14ac:dyDescent="0.2">
      <c r="B79" s="67" t="s">
        <v>44</v>
      </c>
      <c r="C79" s="16"/>
      <c r="D79" s="79">
        <f ca="1">XIRR(OFFSET(F79,0,0,1,$E$21+1),OFFSET($F$46,0,0,1,$E$21+1))</f>
        <v>0.5469843089580535</v>
      </c>
      <c r="E79" s="52"/>
      <c r="F79" s="24">
        <f>IF(F66="","",(-F77)+F75+F76)</f>
        <v>-10402691.700000003</v>
      </c>
      <c r="G79" s="24">
        <f t="shared" ref="G79:BR79" si="52">IF(G66="","",(-G77)+G75+G76)</f>
        <v>-2691.7000000000007</v>
      </c>
      <c r="H79" s="24">
        <f t="shared" si="52"/>
        <v>-2691.7000000000007</v>
      </c>
      <c r="I79" s="24">
        <f t="shared" si="52"/>
        <v>-2691.7000000000007</v>
      </c>
      <c r="J79" s="24">
        <f t="shared" si="52"/>
        <v>-2691.7000000000007</v>
      </c>
      <c r="K79" s="24">
        <f t="shared" si="52"/>
        <v>-2691.7000000000007</v>
      </c>
      <c r="L79" s="24">
        <f t="shared" si="52"/>
        <v>-2691.7000000000007</v>
      </c>
      <c r="M79" s="24">
        <f t="shared" si="52"/>
        <v>-2691.7000000000007</v>
      </c>
      <c r="N79" s="24">
        <f t="shared" si="52"/>
        <v>-2691.7000000000007</v>
      </c>
      <c r="O79" s="24">
        <f t="shared" si="52"/>
        <v>-2691.7000000000007</v>
      </c>
      <c r="P79" s="24">
        <f t="shared" si="52"/>
        <v>-2691.7000000000007</v>
      </c>
      <c r="Q79" s="24">
        <f t="shared" si="52"/>
        <v>-2691.7000000000007</v>
      </c>
      <c r="R79" s="24">
        <f t="shared" si="52"/>
        <v>-2691.7000000000007</v>
      </c>
      <c r="S79" s="24">
        <f t="shared" si="52"/>
        <v>-2691.7000000000007</v>
      </c>
      <c r="T79" s="24">
        <f t="shared" si="52"/>
        <v>-2691.7000000000007</v>
      </c>
      <c r="U79" s="24">
        <f t="shared" si="52"/>
        <v>-2691.7000000000007</v>
      </c>
      <c r="V79" s="24">
        <f t="shared" si="52"/>
        <v>-2691.7000000000007</v>
      </c>
      <c r="W79" s="24">
        <f t="shared" si="52"/>
        <v>-2691.7000000000007</v>
      </c>
      <c r="X79" s="24">
        <f t="shared" si="52"/>
        <v>-2691.7000000000007</v>
      </c>
      <c r="Y79" s="24">
        <f t="shared" si="52"/>
        <v>-2691.7000000000007</v>
      </c>
      <c r="Z79" s="24">
        <f t="shared" si="52"/>
        <v>-2691.7000000000007</v>
      </c>
      <c r="AA79" s="24">
        <f t="shared" si="52"/>
        <v>-2691.7000000000007</v>
      </c>
      <c r="AB79" s="24">
        <f t="shared" si="52"/>
        <v>-2691.7000000000007</v>
      </c>
      <c r="AC79" s="24">
        <f t="shared" si="52"/>
        <v>-38660.399999999965</v>
      </c>
      <c r="AD79" s="24">
        <f t="shared" si="52"/>
        <v>-93564.599999999977</v>
      </c>
      <c r="AE79" s="24">
        <f t="shared" si="52"/>
        <v>2843545.4000000004</v>
      </c>
      <c r="AF79" s="24">
        <f t="shared" si="52"/>
        <v>-93564.599999999977</v>
      </c>
      <c r="AG79" s="24">
        <f t="shared" si="52"/>
        <v>-93564.599999999977</v>
      </c>
      <c r="AH79" s="24">
        <f t="shared" si="52"/>
        <v>-93564.599999999977</v>
      </c>
      <c r="AI79" s="24">
        <f t="shared" si="52"/>
        <v>-93564.599999999977</v>
      </c>
      <c r="AJ79" s="24">
        <f t="shared" si="52"/>
        <v>-93564.599999999977</v>
      </c>
      <c r="AK79" s="24">
        <f t="shared" si="52"/>
        <v>-93564.599999999977</v>
      </c>
      <c r="AL79" s="24">
        <f t="shared" si="52"/>
        <v>-93564.599999999977</v>
      </c>
      <c r="AM79" s="24">
        <f t="shared" si="52"/>
        <v>-75336.79999999993</v>
      </c>
      <c r="AN79" s="24">
        <f t="shared" si="52"/>
        <v>-75336.79999999993</v>
      </c>
      <c r="AO79" s="24">
        <f t="shared" si="52"/>
        <v>-98232.599999999977</v>
      </c>
      <c r="AP79" s="24">
        <f t="shared" si="52"/>
        <v>-67620.099999999977</v>
      </c>
      <c r="AQ79" s="24">
        <f t="shared" si="52"/>
        <v>-67620.099999999977</v>
      </c>
      <c r="AR79" s="24">
        <f t="shared" si="52"/>
        <v>-67620.099999999977</v>
      </c>
      <c r="AS79" s="24">
        <f t="shared" si="52"/>
        <v>-67620.099999999977</v>
      </c>
      <c r="AT79" s="24">
        <f t="shared" si="52"/>
        <v>-67620.099999999977</v>
      </c>
      <c r="AU79" s="24">
        <f t="shared" si="52"/>
        <v>4139676.1</v>
      </c>
      <c r="AV79" s="24">
        <f t="shared" si="52"/>
        <v>-74538.400000000023</v>
      </c>
      <c r="AW79" s="24">
        <f t="shared" si="52"/>
        <v>-74538.400000000023</v>
      </c>
      <c r="AX79" s="24">
        <f t="shared" si="52"/>
        <v>-74538.400000000023</v>
      </c>
      <c r="AY79" s="24">
        <f t="shared" si="52"/>
        <v>-74538.400000000023</v>
      </c>
      <c r="AZ79" s="24">
        <f t="shared" si="52"/>
        <v>-74538.400000000023</v>
      </c>
      <c r="BA79" s="24">
        <f t="shared" si="52"/>
        <v>45123787.71566879</v>
      </c>
      <c r="BB79" s="24">
        <f t="shared" si="52"/>
        <v>-55727.599999999977</v>
      </c>
      <c r="BC79" s="24">
        <f t="shared" si="52"/>
        <v>-55727.599999999977</v>
      </c>
      <c r="BD79" s="24">
        <f t="shared" si="52"/>
        <v>-55727.599999999977</v>
      </c>
      <c r="BE79" s="24">
        <f t="shared" si="52"/>
        <v>-55727.599999999977</v>
      </c>
      <c r="BF79" s="24">
        <f t="shared" si="52"/>
        <v>-55727.599999999977</v>
      </c>
      <c r="BG79" s="24">
        <f t="shared" si="52"/>
        <v>-55727.599999999977</v>
      </c>
      <c r="BH79" s="24">
        <f t="shared" si="52"/>
        <v>-55727.599999999977</v>
      </c>
      <c r="BI79" s="24">
        <f t="shared" si="52"/>
        <v>-55727.599999999977</v>
      </c>
      <c r="BJ79" s="24">
        <f t="shared" si="52"/>
        <v>-55727.599999999977</v>
      </c>
      <c r="BK79" s="24">
        <f t="shared" si="52"/>
        <v>-55727.599999999977</v>
      </c>
      <c r="BL79" s="24">
        <f t="shared" si="52"/>
        <v>-55727.599999999977</v>
      </c>
      <c r="BM79" s="24">
        <f t="shared" si="52"/>
        <v>-40982.099999999977</v>
      </c>
      <c r="BN79" s="24">
        <f t="shared" si="52"/>
        <v>-40982.099999999977</v>
      </c>
      <c r="BO79" s="24">
        <f t="shared" si="52"/>
        <v>-40982.099999999977</v>
      </c>
      <c r="BP79" s="24">
        <f t="shared" si="52"/>
        <v>-25308.299999999988</v>
      </c>
      <c r="BQ79" s="24">
        <f t="shared" si="52"/>
        <v>-25308.299999999988</v>
      </c>
      <c r="BR79" s="24">
        <f t="shared" si="52"/>
        <v>-25308.299999999988</v>
      </c>
      <c r="BS79" s="24">
        <f t="shared" ref="BS79:DV79" si="53">IF(BS66="","",(-BS77)+BS75+BS76)</f>
        <v>-25308.299999999988</v>
      </c>
      <c r="BT79" s="24">
        <f t="shared" si="53"/>
        <v>-25308.299999999988</v>
      </c>
      <c r="BU79" s="24">
        <f t="shared" si="53"/>
        <v>-25308.299999999988</v>
      </c>
      <c r="BV79" s="24">
        <f t="shared" si="53"/>
        <v>-25308.299999999988</v>
      </c>
      <c r="BW79" s="24">
        <f t="shared" si="53"/>
        <v>-25308.299999999988</v>
      </c>
      <c r="BX79" s="24">
        <f t="shared" si="53"/>
        <v>-25308.299999999988</v>
      </c>
      <c r="BY79" s="24">
        <f t="shared" si="53"/>
        <v>590691.70000000007</v>
      </c>
      <c r="BZ79" s="24">
        <f t="shared" si="53"/>
        <v>428441.7</v>
      </c>
      <c r="CA79" s="24">
        <f t="shared" si="53"/>
        <v>-25308.299999999988</v>
      </c>
      <c r="CB79" s="24">
        <f t="shared" si="53"/>
        <v>-25308.299999999988</v>
      </c>
      <c r="CC79" s="24">
        <f t="shared" si="53"/>
        <v>-25308.299999999988</v>
      </c>
      <c r="CD79" s="24">
        <f t="shared" si="53"/>
        <v>-25308.299999999988</v>
      </c>
      <c r="CE79" s="24">
        <f t="shared" si="53"/>
        <v>7172922.0003350452</v>
      </c>
      <c r="CF79" s="24">
        <f t="shared" si="53"/>
        <v>0</v>
      </c>
      <c r="CG79" s="24">
        <f t="shared" si="53"/>
        <v>0</v>
      </c>
      <c r="CH79" s="24">
        <f t="shared" si="53"/>
        <v>0</v>
      </c>
      <c r="CI79" s="24">
        <f t="shared" si="53"/>
        <v>0</v>
      </c>
      <c r="CJ79" s="24">
        <f t="shared" si="53"/>
        <v>0</v>
      </c>
      <c r="CK79" s="24">
        <f t="shared" si="53"/>
        <v>-58158.299999999988</v>
      </c>
      <c r="CL79" s="24">
        <f t="shared" si="53"/>
        <v>-58158.299999999988</v>
      </c>
      <c r="CM79" s="24">
        <f t="shared" si="53"/>
        <v>-58158.299999999988</v>
      </c>
      <c r="CN79" s="24">
        <f t="shared" si="53"/>
        <v>-58158.299999999988</v>
      </c>
      <c r="CO79" s="24">
        <f t="shared" si="53"/>
        <v>-58158.299999999988</v>
      </c>
      <c r="CP79" s="24">
        <f t="shared" si="53"/>
        <v>-58158.299999999988</v>
      </c>
      <c r="CQ79" s="24">
        <f t="shared" si="53"/>
        <v>-58158.299999999988</v>
      </c>
      <c r="CR79" s="24">
        <f t="shared" si="53"/>
        <v>-58158.299999999988</v>
      </c>
      <c r="CS79" s="24">
        <f t="shared" si="53"/>
        <v>-58158.299999999988</v>
      </c>
      <c r="CT79" s="24">
        <f t="shared" si="53"/>
        <v>-58158.299999999988</v>
      </c>
      <c r="CU79" s="24">
        <f t="shared" si="53"/>
        <v>-58158.299999999988</v>
      </c>
      <c r="CV79" s="24">
        <f t="shared" si="53"/>
        <v>-58158.299999999988</v>
      </c>
      <c r="CW79" s="24">
        <f t="shared" si="53"/>
        <v>11518990.640102955</v>
      </c>
      <c r="CX79" s="24" t="str">
        <f t="shared" si="53"/>
        <v/>
      </c>
      <c r="CY79" s="24" t="str">
        <f t="shared" si="53"/>
        <v/>
      </c>
      <c r="CZ79" s="24" t="str">
        <f t="shared" si="53"/>
        <v/>
      </c>
      <c r="DA79" s="24" t="str">
        <f t="shared" si="53"/>
        <v/>
      </c>
      <c r="DB79" s="24" t="str">
        <f t="shared" si="53"/>
        <v/>
      </c>
      <c r="DC79" s="24" t="str">
        <f t="shared" si="53"/>
        <v/>
      </c>
      <c r="DD79" s="24" t="str">
        <f t="shared" si="53"/>
        <v/>
      </c>
      <c r="DE79" s="24" t="str">
        <f t="shared" si="53"/>
        <v/>
      </c>
      <c r="DF79" s="24" t="str">
        <f t="shared" si="53"/>
        <v/>
      </c>
      <c r="DG79" s="24" t="str">
        <f t="shared" si="53"/>
        <v/>
      </c>
      <c r="DH79" s="24" t="str">
        <f t="shared" si="53"/>
        <v/>
      </c>
      <c r="DI79" s="24" t="str">
        <f t="shared" si="53"/>
        <v/>
      </c>
      <c r="DJ79" s="24" t="str">
        <f t="shared" si="53"/>
        <v/>
      </c>
      <c r="DK79" s="24" t="str">
        <f t="shared" si="53"/>
        <v/>
      </c>
      <c r="DL79" s="24" t="str">
        <f t="shared" si="53"/>
        <v/>
      </c>
      <c r="DM79" s="24" t="str">
        <f t="shared" si="53"/>
        <v/>
      </c>
      <c r="DN79" s="24" t="str">
        <f t="shared" si="53"/>
        <v/>
      </c>
      <c r="DO79" s="24" t="str">
        <f t="shared" si="53"/>
        <v/>
      </c>
      <c r="DP79" s="24" t="str">
        <f t="shared" si="53"/>
        <v/>
      </c>
      <c r="DQ79" s="24" t="str">
        <f t="shared" si="53"/>
        <v/>
      </c>
      <c r="DR79" s="24" t="str">
        <f t="shared" si="53"/>
        <v/>
      </c>
      <c r="DS79" s="24" t="str">
        <f t="shared" si="53"/>
        <v/>
      </c>
      <c r="DT79" s="24" t="str">
        <f t="shared" si="53"/>
        <v/>
      </c>
      <c r="DU79" s="24" t="str">
        <f t="shared" si="53"/>
        <v/>
      </c>
      <c r="DV79" s="24" t="str">
        <f t="shared" si="53"/>
        <v/>
      </c>
      <c r="DW79" s="24"/>
      <c r="DX79" s="24"/>
      <c r="DY79" s="70"/>
    </row>
    <row r="80" spans="2:129" outlineLevel="1" x14ac:dyDescent="0.2">
      <c r="B80" s="67" t="s">
        <v>45</v>
      </c>
      <c r="C80" s="16"/>
      <c r="D80" s="82">
        <f>IFERROR(D75/D77,"NA")</f>
        <v>5.1402729328448027</v>
      </c>
      <c r="E80" s="52"/>
      <c r="F80" s="63"/>
      <c r="G80" s="64"/>
      <c r="H80" s="65"/>
      <c r="I80" s="65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6"/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/>
      <c r="BJ80" s="66"/>
      <c r="BK80" s="66"/>
      <c r="BL80" s="66"/>
      <c r="BM80" s="66"/>
      <c r="BN80" s="66"/>
      <c r="BO80" s="66"/>
      <c r="BP80" s="66"/>
      <c r="BQ80" s="66"/>
      <c r="BR80" s="66"/>
      <c r="BS80" s="66"/>
      <c r="BT80" s="66"/>
      <c r="BU80" s="66"/>
      <c r="BV80" s="66"/>
      <c r="BW80" s="66"/>
      <c r="BX80" s="66"/>
      <c r="BY80" s="66"/>
      <c r="BZ80" s="66"/>
      <c r="CA80" s="66"/>
      <c r="CB80" s="66"/>
      <c r="CC80" s="66"/>
      <c r="CD80" s="66"/>
      <c r="CE80" s="66"/>
      <c r="CF80" s="66"/>
      <c r="CG80" s="66"/>
      <c r="CH80" s="66"/>
      <c r="CI80" s="66"/>
      <c r="CJ80" s="66"/>
      <c r="CK80" s="66"/>
      <c r="CL80" s="66"/>
      <c r="CM80" s="66"/>
      <c r="CN80" s="66"/>
      <c r="CO80" s="66"/>
      <c r="CP80" s="66"/>
      <c r="CQ80" s="66"/>
      <c r="CR80" s="66"/>
      <c r="CS80" s="66"/>
      <c r="CT80" s="66"/>
      <c r="CU80" s="66"/>
      <c r="CV80" s="66"/>
      <c r="CW80" s="66"/>
      <c r="CX80" s="66"/>
      <c r="CY80" s="66"/>
      <c r="CZ80" s="66"/>
      <c r="DA80" s="66"/>
      <c r="DB80" s="66"/>
      <c r="DC80" s="66"/>
      <c r="DD80" s="66"/>
      <c r="DE80" s="66"/>
      <c r="DF80" s="66"/>
      <c r="DG80" s="66"/>
      <c r="DH80" s="66"/>
      <c r="DI80" s="66"/>
      <c r="DJ80" s="66"/>
      <c r="DK80" s="66"/>
      <c r="DL80" s="66"/>
      <c r="DM80" s="66"/>
      <c r="DN80" s="66"/>
      <c r="DO80" s="66"/>
      <c r="DP80" s="66"/>
      <c r="DQ80" s="66"/>
      <c r="DR80" s="66"/>
      <c r="DS80" s="66"/>
      <c r="DT80" s="66"/>
      <c r="DU80" s="66"/>
      <c r="DV80" s="66"/>
      <c r="DW80" s="66"/>
      <c r="DX80" s="66"/>
      <c r="DY80" s="17"/>
    </row>
    <row r="81" spans="2:129" outlineLevel="1" x14ac:dyDescent="0.2">
      <c r="B81" s="83"/>
      <c r="C81" s="84"/>
      <c r="D81" s="85"/>
      <c r="E81" s="1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6"/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/>
      <c r="BJ81" s="66"/>
      <c r="BK81" s="66"/>
      <c r="BL81" s="66"/>
      <c r="BM81" s="66"/>
      <c r="BN81" s="66"/>
      <c r="BO81" s="66"/>
      <c r="BP81" s="66"/>
      <c r="BQ81" s="66"/>
      <c r="BR81" s="66"/>
      <c r="BS81" s="66"/>
      <c r="BT81" s="66"/>
      <c r="BU81" s="66"/>
      <c r="BV81" s="66"/>
      <c r="BW81" s="66"/>
      <c r="BX81" s="66"/>
      <c r="BY81" s="66"/>
      <c r="BZ81" s="66"/>
      <c r="CA81" s="66"/>
      <c r="CB81" s="66"/>
      <c r="CC81" s="66"/>
      <c r="CD81" s="66"/>
      <c r="CE81" s="66"/>
      <c r="CF81" s="66"/>
      <c r="CG81" s="66"/>
      <c r="CH81" s="66"/>
      <c r="CI81" s="66"/>
      <c r="CJ81" s="66"/>
      <c r="CK81" s="66"/>
      <c r="CL81" s="66"/>
      <c r="CM81" s="66"/>
      <c r="CN81" s="66"/>
      <c r="CO81" s="66"/>
      <c r="CP81" s="66"/>
      <c r="CQ81" s="66"/>
      <c r="CR81" s="66"/>
      <c r="CS81" s="66"/>
      <c r="CT81" s="66"/>
      <c r="CU81" s="66"/>
      <c r="CV81" s="66"/>
      <c r="CW81" s="66"/>
      <c r="CX81" s="66"/>
      <c r="CY81" s="66"/>
      <c r="CZ81" s="66"/>
      <c r="DA81" s="66"/>
      <c r="DB81" s="66"/>
      <c r="DC81" s="66"/>
      <c r="DD81" s="66"/>
      <c r="DE81" s="66"/>
      <c r="DF81" s="66"/>
      <c r="DG81" s="66"/>
      <c r="DH81" s="66"/>
      <c r="DI81" s="66"/>
      <c r="DJ81" s="66"/>
      <c r="DK81" s="66"/>
      <c r="DL81" s="66"/>
      <c r="DM81" s="66"/>
      <c r="DN81" s="66"/>
      <c r="DO81" s="66"/>
      <c r="DP81" s="66"/>
      <c r="DQ81" s="66"/>
      <c r="DR81" s="66"/>
      <c r="DS81" s="66"/>
      <c r="DT81" s="66"/>
      <c r="DU81" s="66"/>
      <c r="DV81" s="66"/>
      <c r="DW81" s="66"/>
      <c r="DX81" s="66"/>
      <c r="DY81" s="17"/>
    </row>
    <row r="82" spans="2:129" ht="16" outlineLevel="1" x14ac:dyDescent="0.2">
      <c r="B82" s="105" t="s">
        <v>46</v>
      </c>
      <c r="C82" s="100"/>
      <c r="D82" s="100"/>
      <c r="E82" s="102"/>
      <c r="F82" s="113">
        <f>F$21</f>
        <v>0</v>
      </c>
      <c r="G82" s="113">
        <f t="shared" ref="G82:BR82" si="54">G$21</f>
        <v>1</v>
      </c>
      <c r="H82" s="113">
        <f t="shared" si="54"/>
        <v>2</v>
      </c>
      <c r="I82" s="113">
        <f t="shared" si="54"/>
        <v>3</v>
      </c>
      <c r="J82" s="113">
        <f t="shared" si="54"/>
        <v>4</v>
      </c>
      <c r="K82" s="113">
        <f t="shared" si="54"/>
        <v>5</v>
      </c>
      <c r="L82" s="113">
        <f t="shared" si="54"/>
        <v>6</v>
      </c>
      <c r="M82" s="113">
        <f t="shared" si="54"/>
        <v>7</v>
      </c>
      <c r="N82" s="113">
        <f t="shared" si="54"/>
        <v>8</v>
      </c>
      <c r="O82" s="113">
        <f t="shared" si="54"/>
        <v>9</v>
      </c>
      <c r="P82" s="113">
        <f t="shared" si="54"/>
        <v>10</v>
      </c>
      <c r="Q82" s="113">
        <f t="shared" si="54"/>
        <v>11</v>
      </c>
      <c r="R82" s="113">
        <f t="shared" si="54"/>
        <v>12</v>
      </c>
      <c r="S82" s="113">
        <f t="shared" si="54"/>
        <v>13</v>
      </c>
      <c r="T82" s="113">
        <f t="shared" si="54"/>
        <v>14</v>
      </c>
      <c r="U82" s="113">
        <f t="shared" si="54"/>
        <v>15</v>
      </c>
      <c r="V82" s="113">
        <f t="shared" si="54"/>
        <v>16</v>
      </c>
      <c r="W82" s="113">
        <f t="shared" si="54"/>
        <v>17</v>
      </c>
      <c r="X82" s="113">
        <f t="shared" si="54"/>
        <v>18</v>
      </c>
      <c r="Y82" s="113">
        <f t="shared" si="54"/>
        <v>19</v>
      </c>
      <c r="Z82" s="113">
        <f t="shared" si="54"/>
        <v>20</v>
      </c>
      <c r="AA82" s="113">
        <f t="shared" si="54"/>
        <v>21</v>
      </c>
      <c r="AB82" s="113">
        <f t="shared" si="54"/>
        <v>22</v>
      </c>
      <c r="AC82" s="113">
        <f t="shared" si="54"/>
        <v>23</v>
      </c>
      <c r="AD82" s="113">
        <f t="shared" si="54"/>
        <v>24</v>
      </c>
      <c r="AE82" s="113">
        <f t="shared" si="54"/>
        <v>25</v>
      </c>
      <c r="AF82" s="113">
        <f t="shared" si="54"/>
        <v>26</v>
      </c>
      <c r="AG82" s="113">
        <f t="shared" si="54"/>
        <v>27</v>
      </c>
      <c r="AH82" s="113">
        <f t="shared" si="54"/>
        <v>28</v>
      </c>
      <c r="AI82" s="113">
        <f t="shared" si="54"/>
        <v>29</v>
      </c>
      <c r="AJ82" s="113">
        <f t="shared" si="54"/>
        <v>30</v>
      </c>
      <c r="AK82" s="113">
        <f t="shared" si="54"/>
        <v>31</v>
      </c>
      <c r="AL82" s="113">
        <f t="shared" si="54"/>
        <v>32</v>
      </c>
      <c r="AM82" s="113">
        <f t="shared" si="54"/>
        <v>33</v>
      </c>
      <c r="AN82" s="113">
        <f t="shared" si="54"/>
        <v>34</v>
      </c>
      <c r="AO82" s="113">
        <f t="shared" si="54"/>
        <v>35</v>
      </c>
      <c r="AP82" s="113">
        <f t="shared" si="54"/>
        <v>36</v>
      </c>
      <c r="AQ82" s="113">
        <f t="shared" si="54"/>
        <v>37</v>
      </c>
      <c r="AR82" s="113">
        <f t="shared" si="54"/>
        <v>38</v>
      </c>
      <c r="AS82" s="113">
        <f t="shared" si="54"/>
        <v>39</v>
      </c>
      <c r="AT82" s="113">
        <f t="shared" si="54"/>
        <v>40</v>
      </c>
      <c r="AU82" s="113">
        <f t="shared" si="54"/>
        <v>41</v>
      </c>
      <c r="AV82" s="113">
        <f t="shared" si="54"/>
        <v>42</v>
      </c>
      <c r="AW82" s="113">
        <f t="shared" si="54"/>
        <v>43</v>
      </c>
      <c r="AX82" s="113">
        <f t="shared" si="54"/>
        <v>44</v>
      </c>
      <c r="AY82" s="113">
        <f t="shared" si="54"/>
        <v>45</v>
      </c>
      <c r="AZ82" s="113">
        <f t="shared" si="54"/>
        <v>46</v>
      </c>
      <c r="BA82" s="113">
        <f t="shared" si="54"/>
        <v>47</v>
      </c>
      <c r="BB82" s="113">
        <f t="shared" si="54"/>
        <v>48</v>
      </c>
      <c r="BC82" s="113">
        <f t="shared" si="54"/>
        <v>49</v>
      </c>
      <c r="BD82" s="113">
        <f t="shared" si="54"/>
        <v>50</v>
      </c>
      <c r="BE82" s="113">
        <f t="shared" si="54"/>
        <v>51</v>
      </c>
      <c r="BF82" s="113">
        <f t="shared" si="54"/>
        <v>52</v>
      </c>
      <c r="BG82" s="113">
        <f t="shared" si="54"/>
        <v>53</v>
      </c>
      <c r="BH82" s="113">
        <f t="shared" si="54"/>
        <v>54</v>
      </c>
      <c r="BI82" s="113">
        <f t="shared" si="54"/>
        <v>55</v>
      </c>
      <c r="BJ82" s="113">
        <f t="shared" si="54"/>
        <v>56</v>
      </c>
      <c r="BK82" s="113">
        <f t="shared" si="54"/>
        <v>57</v>
      </c>
      <c r="BL82" s="113">
        <f t="shared" si="54"/>
        <v>58</v>
      </c>
      <c r="BM82" s="113">
        <f t="shared" si="54"/>
        <v>59</v>
      </c>
      <c r="BN82" s="113">
        <f t="shared" si="54"/>
        <v>60</v>
      </c>
      <c r="BO82" s="113">
        <f t="shared" si="54"/>
        <v>61</v>
      </c>
      <c r="BP82" s="113">
        <f t="shared" si="54"/>
        <v>62</v>
      </c>
      <c r="BQ82" s="113">
        <f t="shared" si="54"/>
        <v>63</v>
      </c>
      <c r="BR82" s="113">
        <f t="shared" si="54"/>
        <v>64</v>
      </c>
      <c r="BS82" s="113">
        <f t="shared" ref="BS82:DV82" si="55">BS$21</f>
        <v>65</v>
      </c>
      <c r="BT82" s="113">
        <f t="shared" si="55"/>
        <v>66</v>
      </c>
      <c r="BU82" s="113">
        <f t="shared" si="55"/>
        <v>67</v>
      </c>
      <c r="BV82" s="113">
        <f t="shared" si="55"/>
        <v>68</v>
      </c>
      <c r="BW82" s="113">
        <f t="shared" si="55"/>
        <v>69</v>
      </c>
      <c r="BX82" s="113">
        <f t="shared" si="55"/>
        <v>70</v>
      </c>
      <c r="BY82" s="113">
        <f t="shared" si="55"/>
        <v>71</v>
      </c>
      <c r="BZ82" s="113">
        <f t="shared" si="55"/>
        <v>72</v>
      </c>
      <c r="CA82" s="113">
        <f t="shared" si="55"/>
        <v>73</v>
      </c>
      <c r="CB82" s="113">
        <f t="shared" si="55"/>
        <v>74</v>
      </c>
      <c r="CC82" s="113">
        <f t="shared" si="55"/>
        <v>75</v>
      </c>
      <c r="CD82" s="113">
        <f t="shared" si="55"/>
        <v>76</v>
      </c>
      <c r="CE82" s="113">
        <f t="shared" si="55"/>
        <v>77</v>
      </c>
      <c r="CF82" s="113">
        <f t="shared" si="55"/>
        <v>78</v>
      </c>
      <c r="CG82" s="113">
        <f t="shared" si="55"/>
        <v>79</v>
      </c>
      <c r="CH82" s="113">
        <f t="shared" si="55"/>
        <v>80</v>
      </c>
      <c r="CI82" s="113">
        <f t="shared" si="55"/>
        <v>81</v>
      </c>
      <c r="CJ82" s="113">
        <f t="shared" si="55"/>
        <v>82</v>
      </c>
      <c r="CK82" s="113">
        <f t="shared" si="55"/>
        <v>83</v>
      </c>
      <c r="CL82" s="113">
        <f t="shared" si="55"/>
        <v>84</v>
      </c>
      <c r="CM82" s="113">
        <f t="shared" si="55"/>
        <v>85</v>
      </c>
      <c r="CN82" s="113">
        <f t="shared" si="55"/>
        <v>86</v>
      </c>
      <c r="CO82" s="113">
        <f t="shared" si="55"/>
        <v>87</v>
      </c>
      <c r="CP82" s="113">
        <f t="shared" si="55"/>
        <v>88</v>
      </c>
      <c r="CQ82" s="113">
        <f t="shared" si="55"/>
        <v>89</v>
      </c>
      <c r="CR82" s="113">
        <f t="shared" si="55"/>
        <v>90</v>
      </c>
      <c r="CS82" s="113">
        <f t="shared" si="55"/>
        <v>91</v>
      </c>
      <c r="CT82" s="113">
        <f t="shared" si="55"/>
        <v>92</v>
      </c>
      <c r="CU82" s="113">
        <f t="shared" si="55"/>
        <v>93</v>
      </c>
      <c r="CV82" s="113">
        <f t="shared" si="55"/>
        <v>94</v>
      </c>
      <c r="CW82" s="113">
        <f t="shared" si="55"/>
        <v>95</v>
      </c>
      <c r="CX82" s="113" t="str">
        <f t="shared" si="55"/>
        <v/>
      </c>
      <c r="CY82" s="113" t="str">
        <f t="shared" si="55"/>
        <v/>
      </c>
      <c r="CZ82" s="113" t="str">
        <f t="shared" si="55"/>
        <v/>
      </c>
      <c r="DA82" s="113" t="str">
        <f t="shared" si="55"/>
        <v/>
      </c>
      <c r="DB82" s="113" t="str">
        <f t="shared" si="55"/>
        <v/>
      </c>
      <c r="DC82" s="113" t="str">
        <f t="shared" si="55"/>
        <v/>
      </c>
      <c r="DD82" s="113" t="str">
        <f t="shared" si="55"/>
        <v/>
      </c>
      <c r="DE82" s="113" t="str">
        <f t="shared" si="55"/>
        <v/>
      </c>
      <c r="DF82" s="113" t="str">
        <f t="shared" si="55"/>
        <v/>
      </c>
      <c r="DG82" s="113" t="str">
        <f t="shared" si="55"/>
        <v/>
      </c>
      <c r="DH82" s="113" t="str">
        <f t="shared" si="55"/>
        <v/>
      </c>
      <c r="DI82" s="113" t="str">
        <f t="shared" si="55"/>
        <v/>
      </c>
      <c r="DJ82" s="113" t="str">
        <f t="shared" si="55"/>
        <v/>
      </c>
      <c r="DK82" s="113" t="str">
        <f t="shared" si="55"/>
        <v/>
      </c>
      <c r="DL82" s="113" t="str">
        <f t="shared" si="55"/>
        <v/>
      </c>
      <c r="DM82" s="113" t="str">
        <f t="shared" si="55"/>
        <v/>
      </c>
      <c r="DN82" s="113" t="str">
        <f t="shared" si="55"/>
        <v/>
      </c>
      <c r="DO82" s="113" t="str">
        <f t="shared" si="55"/>
        <v/>
      </c>
      <c r="DP82" s="113" t="str">
        <f t="shared" si="55"/>
        <v/>
      </c>
      <c r="DQ82" s="113" t="str">
        <f t="shared" si="55"/>
        <v/>
      </c>
      <c r="DR82" s="113" t="str">
        <f t="shared" si="55"/>
        <v/>
      </c>
      <c r="DS82" s="113" t="str">
        <f t="shared" si="55"/>
        <v/>
      </c>
      <c r="DT82" s="113" t="str">
        <f t="shared" si="55"/>
        <v/>
      </c>
      <c r="DU82" s="113" t="str">
        <f t="shared" si="55"/>
        <v/>
      </c>
      <c r="DV82" s="113" t="str">
        <f t="shared" si="55"/>
        <v/>
      </c>
      <c r="DW82" s="114"/>
      <c r="DX82" s="114"/>
      <c r="DY82" s="115"/>
    </row>
    <row r="83" spans="2:129" outlineLevel="1" x14ac:dyDescent="0.2">
      <c r="B83" s="16"/>
      <c r="C83" s="16"/>
      <c r="D83" s="16"/>
      <c r="E83" s="66" t="s">
        <v>54</v>
      </c>
      <c r="F83" s="116">
        <f t="shared" ref="F83:BQ86" si="56">IF(F46="","",F46)</f>
        <v>46023</v>
      </c>
      <c r="G83" s="117">
        <f t="shared" si="56"/>
        <v>46054</v>
      </c>
      <c r="H83" s="117">
        <f t="shared" si="56"/>
        <v>46082</v>
      </c>
      <c r="I83" s="117">
        <f t="shared" si="56"/>
        <v>46113</v>
      </c>
      <c r="J83" s="117">
        <f t="shared" si="56"/>
        <v>46143</v>
      </c>
      <c r="K83" s="117">
        <f t="shared" si="56"/>
        <v>46174</v>
      </c>
      <c r="L83" s="117">
        <f t="shared" si="56"/>
        <v>46204</v>
      </c>
      <c r="M83" s="117">
        <f t="shared" si="56"/>
        <v>46235</v>
      </c>
      <c r="N83" s="117">
        <f t="shared" si="56"/>
        <v>46266</v>
      </c>
      <c r="O83" s="117">
        <f t="shared" si="56"/>
        <v>46296</v>
      </c>
      <c r="P83" s="117">
        <f t="shared" si="56"/>
        <v>46327</v>
      </c>
      <c r="Q83" s="117">
        <f t="shared" si="56"/>
        <v>46357</v>
      </c>
      <c r="R83" s="117">
        <f t="shared" si="56"/>
        <v>46388</v>
      </c>
      <c r="S83" s="117">
        <f t="shared" si="56"/>
        <v>46419</v>
      </c>
      <c r="T83" s="117">
        <f t="shared" si="56"/>
        <v>46447</v>
      </c>
      <c r="U83" s="117">
        <f t="shared" si="56"/>
        <v>46478</v>
      </c>
      <c r="V83" s="117">
        <f t="shared" si="56"/>
        <v>46508</v>
      </c>
      <c r="W83" s="117">
        <f t="shared" si="56"/>
        <v>46539</v>
      </c>
      <c r="X83" s="117">
        <f t="shared" si="56"/>
        <v>46569</v>
      </c>
      <c r="Y83" s="117">
        <f t="shared" si="56"/>
        <v>46600</v>
      </c>
      <c r="Z83" s="117">
        <f t="shared" si="56"/>
        <v>46631</v>
      </c>
      <c r="AA83" s="117">
        <f t="shared" si="56"/>
        <v>46661</v>
      </c>
      <c r="AB83" s="117">
        <f t="shared" si="56"/>
        <v>46692</v>
      </c>
      <c r="AC83" s="117">
        <f t="shared" si="56"/>
        <v>46722</v>
      </c>
      <c r="AD83" s="117">
        <f t="shared" si="56"/>
        <v>46753</v>
      </c>
      <c r="AE83" s="117">
        <f t="shared" si="56"/>
        <v>46784</v>
      </c>
      <c r="AF83" s="117">
        <f t="shared" si="56"/>
        <v>46813</v>
      </c>
      <c r="AG83" s="117">
        <f t="shared" si="56"/>
        <v>46844</v>
      </c>
      <c r="AH83" s="117">
        <f t="shared" si="56"/>
        <v>46874</v>
      </c>
      <c r="AI83" s="117">
        <f t="shared" si="56"/>
        <v>46905</v>
      </c>
      <c r="AJ83" s="117">
        <f t="shared" si="56"/>
        <v>46935</v>
      </c>
      <c r="AK83" s="117">
        <f t="shared" si="56"/>
        <v>46966</v>
      </c>
      <c r="AL83" s="117">
        <f t="shared" si="56"/>
        <v>46997</v>
      </c>
      <c r="AM83" s="117">
        <f t="shared" si="56"/>
        <v>47027</v>
      </c>
      <c r="AN83" s="117">
        <f t="shared" si="56"/>
        <v>47058</v>
      </c>
      <c r="AO83" s="117">
        <f t="shared" si="56"/>
        <v>47088</v>
      </c>
      <c r="AP83" s="117">
        <f t="shared" si="56"/>
        <v>47119</v>
      </c>
      <c r="AQ83" s="117">
        <f t="shared" si="56"/>
        <v>47150</v>
      </c>
      <c r="AR83" s="117">
        <f t="shared" si="56"/>
        <v>47178</v>
      </c>
      <c r="AS83" s="117">
        <f t="shared" si="56"/>
        <v>47209</v>
      </c>
      <c r="AT83" s="117">
        <f t="shared" si="56"/>
        <v>47239</v>
      </c>
      <c r="AU83" s="117">
        <f t="shared" si="56"/>
        <v>47270</v>
      </c>
      <c r="AV83" s="117">
        <f t="shared" si="56"/>
        <v>47300</v>
      </c>
      <c r="AW83" s="117">
        <f t="shared" si="56"/>
        <v>47331</v>
      </c>
      <c r="AX83" s="117">
        <f t="shared" si="56"/>
        <v>47362</v>
      </c>
      <c r="AY83" s="117">
        <f t="shared" si="56"/>
        <v>47392</v>
      </c>
      <c r="AZ83" s="117">
        <f t="shared" si="56"/>
        <v>47423</v>
      </c>
      <c r="BA83" s="117">
        <f t="shared" si="56"/>
        <v>47453</v>
      </c>
      <c r="BB83" s="117">
        <f t="shared" si="56"/>
        <v>47484</v>
      </c>
      <c r="BC83" s="117">
        <f t="shared" si="56"/>
        <v>47515</v>
      </c>
      <c r="BD83" s="117">
        <f t="shared" si="56"/>
        <v>47543</v>
      </c>
      <c r="BE83" s="117">
        <f t="shared" si="56"/>
        <v>47574</v>
      </c>
      <c r="BF83" s="117">
        <f t="shared" si="56"/>
        <v>47604</v>
      </c>
      <c r="BG83" s="117">
        <f t="shared" si="56"/>
        <v>47635</v>
      </c>
      <c r="BH83" s="117">
        <f t="shared" si="56"/>
        <v>47665</v>
      </c>
      <c r="BI83" s="117">
        <f t="shared" si="56"/>
        <v>47696</v>
      </c>
      <c r="BJ83" s="117">
        <f t="shared" si="56"/>
        <v>47727</v>
      </c>
      <c r="BK83" s="117">
        <f t="shared" si="56"/>
        <v>47757</v>
      </c>
      <c r="BL83" s="117">
        <f t="shared" si="56"/>
        <v>47788</v>
      </c>
      <c r="BM83" s="117">
        <f t="shared" si="56"/>
        <v>47818</v>
      </c>
      <c r="BN83" s="117">
        <f t="shared" si="56"/>
        <v>47849</v>
      </c>
      <c r="BO83" s="117">
        <f t="shared" si="56"/>
        <v>47880</v>
      </c>
      <c r="BP83" s="117">
        <f t="shared" si="56"/>
        <v>47908</v>
      </c>
      <c r="BQ83" s="117">
        <f t="shared" si="56"/>
        <v>47939</v>
      </c>
      <c r="BR83" s="117">
        <f t="shared" ref="BR83:DV86" si="57">IF(BR46="","",BR46)</f>
        <v>47969</v>
      </c>
      <c r="BS83" s="117">
        <f t="shared" si="57"/>
        <v>48000</v>
      </c>
      <c r="BT83" s="117">
        <f t="shared" si="57"/>
        <v>48030</v>
      </c>
      <c r="BU83" s="117">
        <f t="shared" si="57"/>
        <v>48061</v>
      </c>
      <c r="BV83" s="117">
        <f t="shared" si="57"/>
        <v>48092</v>
      </c>
      <c r="BW83" s="117">
        <f t="shared" si="57"/>
        <v>48122</v>
      </c>
      <c r="BX83" s="117">
        <f t="shared" si="57"/>
        <v>48153</v>
      </c>
      <c r="BY83" s="117">
        <f t="shared" si="57"/>
        <v>48183</v>
      </c>
      <c r="BZ83" s="117">
        <f t="shared" si="57"/>
        <v>48214</v>
      </c>
      <c r="CA83" s="117">
        <f t="shared" si="57"/>
        <v>48245</v>
      </c>
      <c r="CB83" s="117">
        <f t="shared" si="57"/>
        <v>48274</v>
      </c>
      <c r="CC83" s="117">
        <f t="shared" si="57"/>
        <v>48305</v>
      </c>
      <c r="CD83" s="117">
        <f t="shared" si="57"/>
        <v>48335</v>
      </c>
      <c r="CE83" s="117">
        <f t="shared" si="57"/>
        <v>48366</v>
      </c>
      <c r="CF83" s="117">
        <f t="shared" si="57"/>
        <v>48396</v>
      </c>
      <c r="CG83" s="117">
        <f t="shared" si="57"/>
        <v>48427</v>
      </c>
      <c r="CH83" s="117">
        <f t="shared" si="57"/>
        <v>48458</v>
      </c>
      <c r="CI83" s="117">
        <f t="shared" si="57"/>
        <v>48488</v>
      </c>
      <c r="CJ83" s="117">
        <f t="shared" si="57"/>
        <v>48519</v>
      </c>
      <c r="CK83" s="117">
        <f t="shared" si="57"/>
        <v>48549</v>
      </c>
      <c r="CL83" s="117">
        <f t="shared" si="57"/>
        <v>48580</v>
      </c>
      <c r="CM83" s="117">
        <f t="shared" si="57"/>
        <v>48611</v>
      </c>
      <c r="CN83" s="117">
        <f t="shared" si="57"/>
        <v>48639</v>
      </c>
      <c r="CO83" s="117">
        <f t="shared" si="57"/>
        <v>48670</v>
      </c>
      <c r="CP83" s="117">
        <f t="shared" si="57"/>
        <v>48700</v>
      </c>
      <c r="CQ83" s="117">
        <f t="shared" si="57"/>
        <v>48731</v>
      </c>
      <c r="CR83" s="117">
        <f t="shared" si="57"/>
        <v>48761</v>
      </c>
      <c r="CS83" s="117">
        <f t="shared" si="57"/>
        <v>48792</v>
      </c>
      <c r="CT83" s="117">
        <f t="shared" si="57"/>
        <v>48823</v>
      </c>
      <c r="CU83" s="117">
        <f t="shared" si="57"/>
        <v>48853</v>
      </c>
      <c r="CV83" s="117">
        <f t="shared" si="57"/>
        <v>48884</v>
      </c>
      <c r="CW83" s="117">
        <f t="shared" si="57"/>
        <v>48914</v>
      </c>
      <c r="CX83" s="117" t="str">
        <f t="shared" si="57"/>
        <v/>
      </c>
      <c r="CY83" s="117" t="str">
        <f t="shared" si="57"/>
        <v/>
      </c>
      <c r="CZ83" s="117" t="str">
        <f t="shared" si="57"/>
        <v/>
      </c>
      <c r="DA83" s="117" t="str">
        <f t="shared" si="57"/>
        <v/>
      </c>
      <c r="DB83" s="117" t="str">
        <f t="shared" si="57"/>
        <v/>
      </c>
      <c r="DC83" s="117" t="str">
        <f t="shared" si="57"/>
        <v/>
      </c>
      <c r="DD83" s="117" t="str">
        <f t="shared" si="57"/>
        <v/>
      </c>
      <c r="DE83" s="117" t="str">
        <f t="shared" si="57"/>
        <v/>
      </c>
      <c r="DF83" s="117" t="str">
        <f t="shared" si="57"/>
        <v/>
      </c>
      <c r="DG83" s="117" t="str">
        <f t="shared" si="57"/>
        <v/>
      </c>
      <c r="DH83" s="117" t="str">
        <f t="shared" si="57"/>
        <v/>
      </c>
      <c r="DI83" s="117" t="str">
        <f t="shared" si="57"/>
        <v/>
      </c>
      <c r="DJ83" s="117" t="str">
        <f t="shared" si="57"/>
        <v/>
      </c>
      <c r="DK83" s="117" t="str">
        <f t="shared" si="57"/>
        <v/>
      </c>
      <c r="DL83" s="117" t="str">
        <f t="shared" si="57"/>
        <v/>
      </c>
      <c r="DM83" s="117" t="str">
        <f t="shared" si="57"/>
        <v/>
      </c>
      <c r="DN83" s="117" t="str">
        <f t="shared" si="57"/>
        <v/>
      </c>
      <c r="DO83" s="117" t="str">
        <f t="shared" si="57"/>
        <v/>
      </c>
      <c r="DP83" s="117" t="str">
        <f t="shared" si="57"/>
        <v/>
      </c>
      <c r="DQ83" s="117" t="str">
        <f t="shared" si="57"/>
        <v/>
      </c>
      <c r="DR83" s="117" t="str">
        <f t="shared" si="57"/>
        <v/>
      </c>
      <c r="DS83" s="117" t="str">
        <f t="shared" si="57"/>
        <v/>
      </c>
      <c r="DT83" s="117" t="str">
        <f t="shared" si="57"/>
        <v/>
      </c>
      <c r="DU83" s="117" t="str">
        <f t="shared" si="57"/>
        <v/>
      </c>
      <c r="DV83" s="117" t="str">
        <f t="shared" si="57"/>
        <v/>
      </c>
      <c r="DW83" s="117"/>
      <c r="DX83" s="117"/>
      <c r="DY83" s="118"/>
    </row>
    <row r="84" spans="2:129" outlineLevel="1" x14ac:dyDescent="0.2">
      <c r="B84" s="90" t="s">
        <v>47</v>
      </c>
      <c r="C84" s="16"/>
      <c r="D84" s="16"/>
      <c r="E84" s="91"/>
      <c r="F84" s="119">
        <f t="shared" si="56"/>
        <v>-104026917</v>
      </c>
      <c r="G84" s="119">
        <f t="shared" si="56"/>
        <v>-26917</v>
      </c>
      <c r="H84" s="119">
        <f t="shared" si="56"/>
        <v>-26917</v>
      </c>
      <c r="I84" s="119">
        <f t="shared" si="56"/>
        <v>-26917</v>
      </c>
      <c r="J84" s="119">
        <f t="shared" si="56"/>
        <v>-26917</v>
      </c>
      <c r="K84" s="119">
        <f t="shared" si="56"/>
        <v>-26917</v>
      </c>
      <c r="L84" s="119">
        <f t="shared" si="56"/>
        <v>-26917</v>
      </c>
      <c r="M84" s="119">
        <f t="shared" si="56"/>
        <v>-26917</v>
      </c>
      <c r="N84" s="119">
        <f t="shared" si="56"/>
        <v>-26917</v>
      </c>
      <c r="O84" s="119">
        <f t="shared" si="56"/>
        <v>-26917</v>
      </c>
      <c r="P84" s="119">
        <f t="shared" si="56"/>
        <v>-26917</v>
      </c>
      <c r="Q84" s="119">
        <f t="shared" si="56"/>
        <v>-26917</v>
      </c>
      <c r="R84" s="119">
        <f t="shared" si="56"/>
        <v>-26917</v>
      </c>
      <c r="S84" s="119">
        <f t="shared" si="56"/>
        <v>-26917</v>
      </c>
      <c r="T84" s="119">
        <f t="shared" si="56"/>
        <v>-26917</v>
      </c>
      <c r="U84" s="119">
        <f t="shared" si="56"/>
        <v>-26917</v>
      </c>
      <c r="V84" s="119">
        <f t="shared" si="56"/>
        <v>-26917</v>
      </c>
      <c r="W84" s="119">
        <f t="shared" si="56"/>
        <v>-26917</v>
      </c>
      <c r="X84" s="119">
        <f t="shared" si="56"/>
        <v>-26917</v>
      </c>
      <c r="Y84" s="119">
        <f t="shared" si="56"/>
        <v>-26917</v>
      </c>
      <c r="Z84" s="119">
        <f t="shared" si="56"/>
        <v>-26917</v>
      </c>
      <c r="AA84" s="119">
        <f t="shared" si="56"/>
        <v>-26917</v>
      </c>
      <c r="AB84" s="119">
        <f t="shared" si="56"/>
        <v>-26917</v>
      </c>
      <c r="AC84" s="119">
        <f t="shared" si="56"/>
        <v>-386604</v>
      </c>
      <c r="AD84" s="119">
        <f t="shared" si="56"/>
        <v>-935646</v>
      </c>
      <c r="AE84" s="119">
        <f t="shared" si="56"/>
        <v>28435454</v>
      </c>
      <c r="AF84" s="119">
        <f t="shared" si="56"/>
        <v>-935646</v>
      </c>
      <c r="AG84" s="119">
        <f t="shared" si="56"/>
        <v>-935646</v>
      </c>
      <c r="AH84" s="119">
        <f t="shared" si="56"/>
        <v>-935646</v>
      </c>
      <c r="AI84" s="119">
        <f t="shared" si="56"/>
        <v>-935646</v>
      </c>
      <c r="AJ84" s="119">
        <f t="shared" si="56"/>
        <v>-935646</v>
      </c>
      <c r="AK84" s="119">
        <f t="shared" si="56"/>
        <v>-935646</v>
      </c>
      <c r="AL84" s="119">
        <f t="shared" si="56"/>
        <v>-935646</v>
      </c>
      <c r="AM84" s="119">
        <f t="shared" si="56"/>
        <v>-753368</v>
      </c>
      <c r="AN84" s="119">
        <f t="shared" si="56"/>
        <v>-753368</v>
      </c>
      <c r="AO84" s="119">
        <f t="shared" si="56"/>
        <v>-982326</v>
      </c>
      <c r="AP84" s="119">
        <f t="shared" si="56"/>
        <v>-676201</v>
      </c>
      <c r="AQ84" s="119">
        <f t="shared" si="56"/>
        <v>-676201</v>
      </c>
      <c r="AR84" s="119">
        <f t="shared" si="56"/>
        <v>-676201</v>
      </c>
      <c r="AS84" s="119">
        <f t="shared" si="56"/>
        <v>-676201</v>
      </c>
      <c r="AT84" s="119">
        <f t="shared" si="56"/>
        <v>-676201</v>
      </c>
      <c r="AU84" s="119">
        <f t="shared" si="56"/>
        <v>41396761</v>
      </c>
      <c r="AV84" s="119">
        <f t="shared" si="56"/>
        <v>-745384</v>
      </c>
      <c r="AW84" s="119">
        <f t="shared" si="56"/>
        <v>-745384</v>
      </c>
      <c r="AX84" s="119">
        <f t="shared" si="56"/>
        <v>-745384</v>
      </c>
      <c r="AY84" s="119">
        <f t="shared" si="56"/>
        <v>-745384</v>
      </c>
      <c r="AZ84" s="119">
        <f t="shared" si="56"/>
        <v>-745384</v>
      </c>
      <c r="BA84" s="119">
        <f t="shared" si="56"/>
        <v>172949924</v>
      </c>
      <c r="BB84" s="119">
        <f t="shared" si="56"/>
        <v>-557276</v>
      </c>
      <c r="BC84" s="119">
        <f t="shared" si="56"/>
        <v>-557276</v>
      </c>
      <c r="BD84" s="119">
        <f t="shared" si="56"/>
        <v>-557276</v>
      </c>
      <c r="BE84" s="119">
        <f t="shared" si="56"/>
        <v>-557276</v>
      </c>
      <c r="BF84" s="119">
        <f t="shared" si="56"/>
        <v>-557276</v>
      </c>
      <c r="BG84" s="119">
        <f t="shared" si="56"/>
        <v>-557276</v>
      </c>
      <c r="BH84" s="119">
        <f t="shared" si="56"/>
        <v>-557276</v>
      </c>
      <c r="BI84" s="119">
        <f t="shared" si="56"/>
        <v>-557276</v>
      </c>
      <c r="BJ84" s="119">
        <f t="shared" si="56"/>
        <v>-557276</v>
      </c>
      <c r="BK84" s="119">
        <f t="shared" si="56"/>
        <v>-557276</v>
      </c>
      <c r="BL84" s="119">
        <f t="shared" si="56"/>
        <v>-557276</v>
      </c>
      <c r="BM84" s="119">
        <f t="shared" si="56"/>
        <v>-409821</v>
      </c>
      <c r="BN84" s="119">
        <f t="shared" si="56"/>
        <v>-409821</v>
      </c>
      <c r="BO84" s="119">
        <f t="shared" si="56"/>
        <v>-409821</v>
      </c>
      <c r="BP84" s="119">
        <f t="shared" si="56"/>
        <v>-253083</v>
      </c>
      <c r="BQ84" s="119">
        <f t="shared" si="56"/>
        <v>-253083</v>
      </c>
      <c r="BR84" s="119">
        <f t="shared" si="57"/>
        <v>-253083</v>
      </c>
      <c r="BS84" s="119">
        <f t="shared" si="57"/>
        <v>-253083</v>
      </c>
      <c r="BT84" s="119">
        <f t="shared" si="57"/>
        <v>-253083</v>
      </c>
      <c r="BU84" s="119">
        <f t="shared" si="57"/>
        <v>-253083</v>
      </c>
      <c r="BV84" s="119">
        <f t="shared" si="57"/>
        <v>-253083</v>
      </c>
      <c r="BW84" s="119">
        <f t="shared" si="57"/>
        <v>-253083</v>
      </c>
      <c r="BX84" s="119">
        <f t="shared" si="57"/>
        <v>-253083</v>
      </c>
      <c r="BY84" s="119">
        <f t="shared" si="57"/>
        <v>5906917</v>
      </c>
      <c r="BZ84" s="119">
        <f t="shared" si="57"/>
        <v>4284417</v>
      </c>
      <c r="CA84" s="119">
        <f t="shared" si="57"/>
        <v>-253083</v>
      </c>
      <c r="CB84" s="119">
        <f t="shared" si="57"/>
        <v>-253083</v>
      </c>
      <c r="CC84" s="119">
        <f t="shared" si="57"/>
        <v>-253083</v>
      </c>
      <c r="CD84" s="119">
        <f t="shared" si="57"/>
        <v>-253083</v>
      </c>
      <c r="CE84" s="119">
        <f t="shared" si="57"/>
        <v>14789500</v>
      </c>
      <c r="CF84" s="119">
        <f t="shared" si="57"/>
        <v>0</v>
      </c>
      <c r="CG84" s="119">
        <f t="shared" si="57"/>
        <v>0</v>
      </c>
      <c r="CH84" s="119">
        <f t="shared" si="57"/>
        <v>0</v>
      </c>
      <c r="CI84" s="119">
        <f t="shared" si="57"/>
        <v>0</v>
      </c>
      <c r="CJ84" s="119">
        <f t="shared" si="57"/>
        <v>0</v>
      </c>
      <c r="CK84" s="119">
        <f t="shared" si="57"/>
        <v>-581583</v>
      </c>
      <c r="CL84" s="119">
        <f t="shared" si="57"/>
        <v>-581583</v>
      </c>
      <c r="CM84" s="119">
        <f t="shared" si="57"/>
        <v>-581583</v>
      </c>
      <c r="CN84" s="119">
        <f t="shared" si="57"/>
        <v>-581583</v>
      </c>
      <c r="CO84" s="119">
        <f t="shared" si="57"/>
        <v>-581583</v>
      </c>
      <c r="CP84" s="119">
        <f t="shared" si="57"/>
        <v>-581583</v>
      </c>
      <c r="CQ84" s="119">
        <f t="shared" si="57"/>
        <v>-581583</v>
      </c>
      <c r="CR84" s="119">
        <f t="shared" si="57"/>
        <v>-581583</v>
      </c>
      <c r="CS84" s="119">
        <f t="shared" si="57"/>
        <v>-581583</v>
      </c>
      <c r="CT84" s="119">
        <f t="shared" si="57"/>
        <v>-581583</v>
      </c>
      <c r="CU84" s="119">
        <f t="shared" si="57"/>
        <v>-581583</v>
      </c>
      <c r="CV84" s="119">
        <f t="shared" si="57"/>
        <v>-581583</v>
      </c>
      <c r="CW84" s="119">
        <f t="shared" si="57"/>
        <v>27055800</v>
      </c>
      <c r="CX84" s="119" t="str">
        <f t="shared" si="57"/>
        <v/>
      </c>
      <c r="CY84" s="119" t="str">
        <f t="shared" si="57"/>
        <v/>
      </c>
      <c r="CZ84" s="119" t="str">
        <f t="shared" si="57"/>
        <v/>
      </c>
      <c r="DA84" s="119" t="str">
        <f t="shared" si="57"/>
        <v/>
      </c>
      <c r="DB84" s="119" t="str">
        <f t="shared" si="57"/>
        <v/>
      </c>
      <c r="DC84" s="119" t="str">
        <f t="shared" si="57"/>
        <v/>
      </c>
      <c r="DD84" s="119" t="str">
        <f t="shared" si="57"/>
        <v/>
      </c>
      <c r="DE84" s="119" t="str">
        <f t="shared" si="57"/>
        <v/>
      </c>
      <c r="DF84" s="119" t="str">
        <f t="shared" si="57"/>
        <v/>
      </c>
      <c r="DG84" s="119" t="str">
        <f t="shared" si="57"/>
        <v/>
      </c>
      <c r="DH84" s="119" t="str">
        <f t="shared" si="57"/>
        <v/>
      </c>
      <c r="DI84" s="119" t="str">
        <f t="shared" si="57"/>
        <v/>
      </c>
      <c r="DJ84" s="119" t="str">
        <f t="shared" si="57"/>
        <v/>
      </c>
      <c r="DK84" s="119" t="str">
        <f t="shared" si="57"/>
        <v/>
      </c>
      <c r="DL84" s="119" t="str">
        <f t="shared" si="57"/>
        <v/>
      </c>
      <c r="DM84" s="119" t="str">
        <f t="shared" si="57"/>
        <v/>
      </c>
      <c r="DN84" s="119" t="str">
        <f t="shared" si="57"/>
        <v/>
      </c>
      <c r="DO84" s="119" t="str">
        <f t="shared" si="57"/>
        <v/>
      </c>
      <c r="DP84" s="119" t="str">
        <f t="shared" si="57"/>
        <v/>
      </c>
      <c r="DQ84" s="119" t="str">
        <f t="shared" si="57"/>
        <v/>
      </c>
      <c r="DR84" s="119" t="str">
        <f t="shared" si="57"/>
        <v/>
      </c>
      <c r="DS84" s="119" t="str">
        <f t="shared" si="57"/>
        <v/>
      </c>
      <c r="DT84" s="119" t="str">
        <f t="shared" si="57"/>
        <v/>
      </c>
      <c r="DU84" s="119" t="str">
        <f t="shared" si="57"/>
        <v/>
      </c>
      <c r="DV84" s="119" t="str">
        <f t="shared" si="57"/>
        <v/>
      </c>
      <c r="DW84" s="119"/>
      <c r="DX84" s="119"/>
      <c r="DY84" s="119"/>
    </row>
    <row r="85" spans="2:129" outlineLevel="1" x14ac:dyDescent="0.2">
      <c r="B85" s="120" t="str">
        <f>IF(B48="","",B48)</f>
        <v>Asset Management Fees</v>
      </c>
      <c r="C85" s="16"/>
      <c r="D85" s="16"/>
      <c r="E85" s="91"/>
      <c r="F85" s="119">
        <f t="shared" si="56"/>
        <v>0</v>
      </c>
      <c r="G85" s="119">
        <f t="shared" si="56"/>
        <v>0</v>
      </c>
      <c r="H85" s="119">
        <f t="shared" si="56"/>
        <v>0</v>
      </c>
      <c r="I85" s="119">
        <f t="shared" si="56"/>
        <v>0</v>
      </c>
      <c r="J85" s="119">
        <f t="shared" si="56"/>
        <v>0</v>
      </c>
      <c r="K85" s="119">
        <f t="shared" si="56"/>
        <v>0</v>
      </c>
      <c r="L85" s="119">
        <f t="shared" si="56"/>
        <v>0</v>
      </c>
      <c r="M85" s="119">
        <f t="shared" si="56"/>
        <v>0</v>
      </c>
      <c r="N85" s="119">
        <f t="shared" si="56"/>
        <v>0</v>
      </c>
      <c r="O85" s="119">
        <f t="shared" si="56"/>
        <v>0</v>
      </c>
      <c r="P85" s="119">
        <f t="shared" si="56"/>
        <v>0</v>
      </c>
      <c r="Q85" s="119">
        <f t="shared" si="56"/>
        <v>0</v>
      </c>
      <c r="R85" s="119">
        <f t="shared" si="56"/>
        <v>0</v>
      </c>
      <c r="S85" s="119">
        <f t="shared" si="56"/>
        <v>0</v>
      </c>
      <c r="T85" s="119">
        <f t="shared" si="56"/>
        <v>0</v>
      </c>
      <c r="U85" s="119">
        <f t="shared" si="56"/>
        <v>0</v>
      </c>
      <c r="V85" s="119">
        <f t="shared" si="56"/>
        <v>0</v>
      </c>
      <c r="W85" s="119">
        <f t="shared" si="56"/>
        <v>0</v>
      </c>
      <c r="X85" s="119">
        <f t="shared" si="56"/>
        <v>0</v>
      </c>
      <c r="Y85" s="119">
        <f t="shared" si="56"/>
        <v>0</v>
      </c>
      <c r="Z85" s="119">
        <f t="shared" si="56"/>
        <v>0</v>
      </c>
      <c r="AA85" s="119">
        <f t="shared" si="56"/>
        <v>0</v>
      </c>
      <c r="AB85" s="119">
        <f t="shared" si="56"/>
        <v>0</v>
      </c>
      <c r="AC85" s="119">
        <f t="shared" si="56"/>
        <v>0</v>
      </c>
      <c r="AD85" s="119">
        <f t="shared" si="56"/>
        <v>0</v>
      </c>
      <c r="AE85" s="119">
        <f t="shared" si="56"/>
        <v>0</v>
      </c>
      <c r="AF85" s="119">
        <f t="shared" si="56"/>
        <v>0</v>
      </c>
      <c r="AG85" s="119">
        <f t="shared" si="56"/>
        <v>0</v>
      </c>
      <c r="AH85" s="119">
        <f t="shared" si="56"/>
        <v>0</v>
      </c>
      <c r="AI85" s="119">
        <f t="shared" si="56"/>
        <v>0</v>
      </c>
      <c r="AJ85" s="119">
        <f t="shared" si="56"/>
        <v>0</v>
      </c>
      <c r="AK85" s="119">
        <f t="shared" si="56"/>
        <v>0</v>
      </c>
      <c r="AL85" s="119">
        <f t="shared" si="56"/>
        <v>0</v>
      </c>
      <c r="AM85" s="119">
        <f t="shared" si="56"/>
        <v>0</v>
      </c>
      <c r="AN85" s="119">
        <f t="shared" si="56"/>
        <v>0</v>
      </c>
      <c r="AO85" s="119">
        <f t="shared" si="56"/>
        <v>0</v>
      </c>
      <c r="AP85" s="119">
        <f t="shared" si="56"/>
        <v>0</v>
      </c>
      <c r="AQ85" s="119">
        <f t="shared" si="56"/>
        <v>0</v>
      </c>
      <c r="AR85" s="119">
        <f t="shared" si="56"/>
        <v>0</v>
      </c>
      <c r="AS85" s="119">
        <f t="shared" si="56"/>
        <v>0</v>
      </c>
      <c r="AT85" s="119">
        <f t="shared" si="56"/>
        <v>0</v>
      </c>
      <c r="AU85" s="119">
        <f t="shared" si="56"/>
        <v>0</v>
      </c>
      <c r="AV85" s="119">
        <f t="shared" si="56"/>
        <v>0</v>
      </c>
      <c r="AW85" s="119">
        <f t="shared" si="56"/>
        <v>0</v>
      </c>
      <c r="AX85" s="119">
        <f t="shared" si="56"/>
        <v>0</v>
      </c>
      <c r="AY85" s="119">
        <f t="shared" si="56"/>
        <v>0</v>
      </c>
      <c r="AZ85" s="119">
        <f t="shared" si="56"/>
        <v>0</v>
      </c>
      <c r="BA85" s="119">
        <f t="shared" si="56"/>
        <v>0</v>
      </c>
      <c r="BB85" s="119">
        <f t="shared" si="56"/>
        <v>0</v>
      </c>
      <c r="BC85" s="119">
        <f t="shared" si="56"/>
        <v>0</v>
      </c>
      <c r="BD85" s="119">
        <f t="shared" si="56"/>
        <v>0</v>
      </c>
      <c r="BE85" s="119">
        <f t="shared" si="56"/>
        <v>0</v>
      </c>
      <c r="BF85" s="119">
        <f t="shared" si="56"/>
        <v>0</v>
      </c>
      <c r="BG85" s="119">
        <f t="shared" si="56"/>
        <v>0</v>
      </c>
      <c r="BH85" s="119">
        <f t="shared" si="56"/>
        <v>0</v>
      </c>
      <c r="BI85" s="119">
        <f t="shared" si="56"/>
        <v>0</v>
      </c>
      <c r="BJ85" s="119">
        <f t="shared" si="56"/>
        <v>0</v>
      </c>
      <c r="BK85" s="119">
        <f t="shared" si="56"/>
        <v>0</v>
      </c>
      <c r="BL85" s="119">
        <f t="shared" si="56"/>
        <v>0</v>
      </c>
      <c r="BM85" s="119">
        <f t="shared" si="56"/>
        <v>0</v>
      </c>
      <c r="BN85" s="119">
        <f t="shared" si="56"/>
        <v>0</v>
      </c>
      <c r="BO85" s="119">
        <f t="shared" si="56"/>
        <v>0</v>
      </c>
      <c r="BP85" s="119">
        <f t="shared" si="56"/>
        <v>0</v>
      </c>
      <c r="BQ85" s="119">
        <f t="shared" si="56"/>
        <v>0</v>
      </c>
      <c r="BR85" s="119">
        <f t="shared" si="57"/>
        <v>0</v>
      </c>
      <c r="BS85" s="119">
        <f t="shared" si="57"/>
        <v>0</v>
      </c>
      <c r="BT85" s="119">
        <f t="shared" si="57"/>
        <v>0</v>
      </c>
      <c r="BU85" s="119">
        <f t="shared" si="57"/>
        <v>0</v>
      </c>
      <c r="BV85" s="119">
        <f t="shared" si="57"/>
        <v>0</v>
      </c>
      <c r="BW85" s="119">
        <f t="shared" si="57"/>
        <v>0</v>
      </c>
      <c r="BX85" s="119">
        <f t="shared" si="57"/>
        <v>0</v>
      </c>
      <c r="BY85" s="119">
        <f t="shared" si="57"/>
        <v>0</v>
      </c>
      <c r="BZ85" s="119">
        <f t="shared" si="57"/>
        <v>0</v>
      </c>
      <c r="CA85" s="119">
        <f t="shared" si="57"/>
        <v>0</v>
      </c>
      <c r="CB85" s="119">
        <f t="shared" si="57"/>
        <v>0</v>
      </c>
      <c r="CC85" s="119">
        <f t="shared" si="57"/>
        <v>0</v>
      </c>
      <c r="CD85" s="119">
        <f t="shared" si="57"/>
        <v>0</v>
      </c>
      <c r="CE85" s="119">
        <f t="shared" si="57"/>
        <v>0</v>
      </c>
      <c r="CF85" s="119">
        <f t="shared" si="57"/>
        <v>0</v>
      </c>
      <c r="CG85" s="119">
        <f t="shared" si="57"/>
        <v>0</v>
      </c>
      <c r="CH85" s="119">
        <f t="shared" si="57"/>
        <v>0</v>
      </c>
      <c r="CI85" s="119">
        <f t="shared" si="57"/>
        <v>0</v>
      </c>
      <c r="CJ85" s="119">
        <f t="shared" si="57"/>
        <v>0</v>
      </c>
      <c r="CK85" s="119">
        <f t="shared" si="57"/>
        <v>0</v>
      </c>
      <c r="CL85" s="119">
        <f t="shared" si="57"/>
        <v>0</v>
      </c>
      <c r="CM85" s="119">
        <f t="shared" si="57"/>
        <v>0</v>
      </c>
      <c r="CN85" s="119">
        <f t="shared" si="57"/>
        <v>0</v>
      </c>
      <c r="CO85" s="119">
        <f t="shared" si="57"/>
        <v>0</v>
      </c>
      <c r="CP85" s="119">
        <f t="shared" si="57"/>
        <v>0</v>
      </c>
      <c r="CQ85" s="119">
        <f t="shared" si="57"/>
        <v>0</v>
      </c>
      <c r="CR85" s="119">
        <f t="shared" si="57"/>
        <v>0</v>
      </c>
      <c r="CS85" s="119">
        <f t="shared" si="57"/>
        <v>0</v>
      </c>
      <c r="CT85" s="119">
        <f t="shared" si="57"/>
        <v>0</v>
      </c>
      <c r="CU85" s="119">
        <f t="shared" si="57"/>
        <v>0</v>
      </c>
      <c r="CV85" s="119">
        <f t="shared" si="57"/>
        <v>0</v>
      </c>
      <c r="CW85" s="119">
        <f t="shared" si="57"/>
        <v>0</v>
      </c>
      <c r="CX85" s="119">
        <f t="shared" si="57"/>
        <v>0</v>
      </c>
      <c r="CY85" s="119">
        <f t="shared" si="57"/>
        <v>0</v>
      </c>
      <c r="CZ85" s="119">
        <f t="shared" si="57"/>
        <v>0</v>
      </c>
      <c r="DA85" s="119">
        <f t="shared" si="57"/>
        <v>0</v>
      </c>
      <c r="DB85" s="119">
        <f t="shared" si="57"/>
        <v>0</v>
      </c>
      <c r="DC85" s="119">
        <f t="shared" si="57"/>
        <v>0</v>
      </c>
      <c r="DD85" s="119">
        <f t="shared" si="57"/>
        <v>0</v>
      </c>
      <c r="DE85" s="119">
        <f t="shared" si="57"/>
        <v>0</v>
      </c>
      <c r="DF85" s="119">
        <f t="shared" si="57"/>
        <v>0</v>
      </c>
      <c r="DG85" s="119">
        <f t="shared" si="57"/>
        <v>0</v>
      </c>
      <c r="DH85" s="119">
        <f t="shared" si="57"/>
        <v>0</v>
      </c>
      <c r="DI85" s="119">
        <f t="shared" si="57"/>
        <v>0</v>
      </c>
      <c r="DJ85" s="119">
        <f t="shared" si="57"/>
        <v>0</v>
      </c>
      <c r="DK85" s="119">
        <f t="shared" si="57"/>
        <v>0</v>
      </c>
      <c r="DL85" s="119">
        <f t="shared" si="57"/>
        <v>0</v>
      </c>
      <c r="DM85" s="119">
        <f t="shared" si="57"/>
        <v>0</v>
      </c>
      <c r="DN85" s="119">
        <f t="shared" si="57"/>
        <v>0</v>
      </c>
      <c r="DO85" s="119">
        <f t="shared" si="57"/>
        <v>0</v>
      </c>
      <c r="DP85" s="119">
        <f t="shared" si="57"/>
        <v>0</v>
      </c>
      <c r="DQ85" s="119">
        <f t="shared" si="57"/>
        <v>0</v>
      </c>
      <c r="DR85" s="119">
        <f t="shared" si="57"/>
        <v>0</v>
      </c>
      <c r="DS85" s="119">
        <f t="shared" si="57"/>
        <v>0</v>
      </c>
      <c r="DT85" s="119">
        <f t="shared" si="57"/>
        <v>0</v>
      </c>
      <c r="DU85" s="119">
        <f t="shared" si="57"/>
        <v>0</v>
      </c>
      <c r="DV85" s="119">
        <f t="shared" si="57"/>
        <v>0</v>
      </c>
      <c r="DW85" s="119"/>
      <c r="DX85" s="119"/>
      <c r="DY85" s="119"/>
    </row>
    <row r="86" spans="2:129" outlineLevel="1" x14ac:dyDescent="0.2">
      <c r="B86" s="120" t="str">
        <f>IF(B49="","",B49)</f>
        <v>Acquisition/Disposition Fees</v>
      </c>
      <c r="C86" s="16"/>
      <c r="D86" s="16"/>
      <c r="E86" s="91"/>
      <c r="F86" s="119">
        <f t="shared" si="56"/>
        <v>0</v>
      </c>
      <c r="G86" s="119">
        <f t="shared" si="56"/>
        <v>0</v>
      </c>
      <c r="H86" s="119">
        <f t="shared" si="56"/>
        <v>0</v>
      </c>
      <c r="I86" s="119">
        <f t="shared" si="56"/>
        <v>0</v>
      </c>
      <c r="J86" s="119">
        <f t="shared" si="56"/>
        <v>0</v>
      </c>
      <c r="K86" s="119">
        <f t="shared" si="56"/>
        <v>0</v>
      </c>
      <c r="L86" s="119">
        <f t="shared" si="56"/>
        <v>0</v>
      </c>
      <c r="M86" s="119">
        <f t="shared" si="56"/>
        <v>0</v>
      </c>
      <c r="N86" s="119">
        <f t="shared" si="56"/>
        <v>0</v>
      </c>
      <c r="O86" s="119">
        <f t="shared" si="56"/>
        <v>0</v>
      </c>
      <c r="P86" s="119">
        <f t="shared" si="56"/>
        <v>0</v>
      </c>
      <c r="Q86" s="119">
        <f t="shared" si="56"/>
        <v>0</v>
      </c>
      <c r="R86" s="119">
        <f t="shared" si="56"/>
        <v>0</v>
      </c>
      <c r="S86" s="119">
        <f t="shared" si="56"/>
        <v>0</v>
      </c>
      <c r="T86" s="119">
        <f t="shared" si="56"/>
        <v>0</v>
      </c>
      <c r="U86" s="119">
        <f t="shared" si="56"/>
        <v>0</v>
      </c>
      <c r="V86" s="119">
        <f t="shared" si="56"/>
        <v>0</v>
      </c>
      <c r="W86" s="119">
        <f t="shared" si="56"/>
        <v>0</v>
      </c>
      <c r="X86" s="119">
        <f t="shared" si="56"/>
        <v>0</v>
      </c>
      <c r="Y86" s="119">
        <f t="shared" si="56"/>
        <v>0</v>
      </c>
      <c r="Z86" s="119">
        <f t="shared" si="56"/>
        <v>0</v>
      </c>
      <c r="AA86" s="119">
        <f t="shared" si="56"/>
        <v>0</v>
      </c>
      <c r="AB86" s="119">
        <f t="shared" si="56"/>
        <v>0</v>
      </c>
      <c r="AC86" s="119">
        <f t="shared" si="56"/>
        <v>0</v>
      </c>
      <c r="AD86" s="119">
        <f t="shared" si="56"/>
        <v>0</v>
      </c>
      <c r="AE86" s="119">
        <f t="shared" si="56"/>
        <v>0</v>
      </c>
      <c r="AF86" s="119">
        <f t="shared" si="56"/>
        <v>0</v>
      </c>
      <c r="AG86" s="119">
        <f t="shared" si="56"/>
        <v>0</v>
      </c>
      <c r="AH86" s="119">
        <f t="shared" si="56"/>
        <v>0</v>
      </c>
      <c r="AI86" s="119">
        <f t="shared" si="56"/>
        <v>0</v>
      </c>
      <c r="AJ86" s="119">
        <f t="shared" si="56"/>
        <v>0</v>
      </c>
      <c r="AK86" s="119">
        <f t="shared" si="56"/>
        <v>0</v>
      </c>
      <c r="AL86" s="119">
        <f t="shared" si="56"/>
        <v>0</v>
      </c>
      <c r="AM86" s="119">
        <f t="shared" si="56"/>
        <v>0</v>
      </c>
      <c r="AN86" s="119">
        <f t="shared" si="56"/>
        <v>0</v>
      </c>
      <c r="AO86" s="119">
        <f t="shared" si="56"/>
        <v>0</v>
      </c>
      <c r="AP86" s="119">
        <f t="shared" si="56"/>
        <v>0</v>
      </c>
      <c r="AQ86" s="119">
        <f t="shared" si="56"/>
        <v>0</v>
      </c>
      <c r="AR86" s="119">
        <f t="shared" si="56"/>
        <v>0</v>
      </c>
      <c r="AS86" s="119">
        <f t="shared" si="56"/>
        <v>0</v>
      </c>
      <c r="AT86" s="119">
        <f t="shared" si="56"/>
        <v>0</v>
      </c>
      <c r="AU86" s="119">
        <f t="shared" si="56"/>
        <v>0</v>
      </c>
      <c r="AV86" s="119">
        <f t="shared" si="56"/>
        <v>0</v>
      </c>
      <c r="AW86" s="119">
        <f t="shared" si="56"/>
        <v>0</v>
      </c>
      <c r="AX86" s="119">
        <f t="shared" si="56"/>
        <v>0</v>
      </c>
      <c r="AY86" s="119">
        <f t="shared" si="56"/>
        <v>0</v>
      </c>
      <c r="AZ86" s="119">
        <f t="shared" si="56"/>
        <v>0</v>
      </c>
      <c r="BA86" s="119">
        <f t="shared" si="56"/>
        <v>0</v>
      </c>
      <c r="BB86" s="119">
        <f t="shared" si="56"/>
        <v>0</v>
      </c>
      <c r="BC86" s="119">
        <f t="shared" si="56"/>
        <v>0</v>
      </c>
      <c r="BD86" s="119">
        <f t="shared" si="56"/>
        <v>0</v>
      </c>
      <c r="BE86" s="119">
        <f t="shared" si="56"/>
        <v>0</v>
      </c>
      <c r="BF86" s="119">
        <f t="shared" si="56"/>
        <v>0</v>
      </c>
      <c r="BG86" s="119">
        <f t="shared" si="56"/>
        <v>0</v>
      </c>
      <c r="BH86" s="119">
        <f t="shared" si="56"/>
        <v>0</v>
      </c>
      <c r="BI86" s="119">
        <f t="shared" si="56"/>
        <v>0</v>
      </c>
      <c r="BJ86" s="119">
        <f t="shared" si="56"/>
        <v>0</v>
      </c>
      <c r="BK86" s="119">
        <f t="shared" si="56"/>
        <v>0</v>
      </c>
      <c r="BL86" s="119">
        <f t="shared" si="56"/>
        <v>0</v>
      </c>
      <c r="BM86" s="119">
        <f t="shared" si="56"/>
        <v>0</v>
      </c>
      <c r="BN86" s="119">
        <f t="shared" si="56"/>
        <v>0</v>
      </c>
      <c r="BO86" s="119">
        <f t="shared" si="56"/>
        <v>0</v>
      </c>
      <c r="BP86" s="119">
        <f t="shared" si="56"/>
        <v>0</v>
      </c>
      <c r="BQ86" s="119">
        <f t="shared" ref="BQ86:CB86" si="58">IF(BQ49="","",BQ49)</f>
        <v>0</v>
      </c>
      <c r="BR86" s="119">
        <f t="shared" si="58"/>
        <v>0</v>
      </c>
      <c r="BS86" s="119">
        <f t="shared" si="58"/>
        <v>0</v>
      </c>
      <c r="BT86" s="119">
        <f t="shared" si="58"/>
        <v>0</v>
      </c>
      <c r="BU86" s="119">
        <f t="shared" si="58"/>
        <v>0</v>
      </c>
      <c r="BV86" s="119">
        <f t="shared" si="58"/>
        <v>0</v>
      </c>
      <c r="BW86" s="119">
        <f t="shared" si="58"/>
        <v>0</v>
      </c>
      <c r="BX86" s="119">
        <f t="shared" si="58"/>
        <v>0</v>
      </c>
      <c r="BY86" s="119">
        <f t="shared" si="58"/>
        <v>0</v>
      </c>
      <c r="BZ86" s="119">
        <f t="shared" si="58"/>
        <v>0</v>
      </c>
      <c r="CA86" s="119">
        <f t="shared" si="58"/>
        <v>0</v>
      </c>
      <c r="CB86" s="119">
        <f t="shared" si="58"/>
        <v>0</v>
      </c>
      <c r="CC86" s="119">
        <f t="shared" si="57"/>
        <v>0</v>
      </c>
      <c r="CD86" s="119">
        <f t="shared" si="57"/>
        <v>0</v>
      </c>
      <c r="CE86" s="119">
        <f t="shared" si="57"/>
        <v>0</v>
      </c>
      <c r="CF86" s="119">
        <f t="shared" si="57"/>
        <v>0</v>
      </c>
      <c r="CG86" s="119">
        <f t="shared" si="57"/>
        <v>0</v>
      </c>
      <c r="CH86" s="119">
        <f t="shared" si="57"/>
        <v>0</v>
      </c>
      <c r="CI86" s="119">
        <f t="shared" si="57"/>
        <v>0</v>
      </c>
      <c r="CJ86" s="119">
        <f t="shared" si="57"/>
        <v>0</v>
      </c>
      <c r="CK86" s="119">
        <f t="shared" si="57"/>
        <v>0</v>
      </c>
      <c r="CL86" s="119">
        <f t="shared" si="57"/>
        <v>0</v>
      </c>
      <c r="CM86" s="119">
        <f t="shared" si="57"/>
        <v>0</v>
      </c>
      <c r="CN86" s="119">
        <f t="shared" si="57"/>
        <v>0</v>
      </c>
      <c r="CO86" s="119">
        <f t="shared" si="57"/>
        <v>0</v>
      </c>
      <c r="CP86" s="119">
        <f t="shared" si="57"/>
        <v>0</v>
      </c>
      <c r="CQ86" s="119">
        <f t="shared" si="57"/>
        <v>0</v>
      </c>
      <c r="CR86" s="119">
        <f t="shared" si="57"/>
        <v>0</v>
      </c>
      <c r="CS86" s="119">
        <f t="shared" si="57"/>
        <v>0</v>
      </c>
      <c r="CT86" s="119">
        <f t="shared" si="57"/>
        <v>0</v>
      </c>
      <c r="CU86" s="119">
        <f t="shared" si="57"/>
        <v>0</v>
      </c>
      <c r="CV86" s="119">
        <f t="shared" si="57"/>
        <v>0</v>
      </c>
      <c r="CW86" s="119">
        <f t="shared" si="57"/>
        <v>0</v>
      </c>
      <c r="CX86" s="119">
        <f t="shared" si="57"/>
        <v>0</v>
      </c>
      <c r="CY86" s="119">
        <f t="shared" si="57"/>
        <v>0</v>
      </c>
      <c r="CZ86" s="119">
        <f t="shared" si="57"/>
        <v>0</v>
      </c>
      <c r="DA86" s="119">
        <f t="shared" si="57"/>
        <v>0</v>
      </c>
      <c r="DB86" s="119">
        <f t="shared" si="57"/>
        <v>0</v>
      </c>
      <c r="DC86" s="119">
        <f t="shared" si="57"/>
        <v>0</v>
      </c>
      <c r="DD86" s="119">
        <f t="shared" si="57"/>
        <v>0</v>
      </c>
      <c r="DE86" s="119">
        <f t="shared" si="57"/>
        <v>0</v>
      </c>
      <c r="DF86" s="119">
        <f t="shared" si="57"/>
        <v>0</v>
      </c>
      <c r="DG86" s="119">
        <f t="shared" si="57"/>
        <v>0</v>
      </c>
      <c r="DH86" s="119">
        <f t="shared" si="57"/>
        <v>0</v>
      </c>
      <c r="DI86" s="119">
        <f t="shared" si="57"/>
        <v>0</v>
      </c>
      <c r="DJ86" s="119">
        <f t="shared" si="57"/>
        <v>0</v>
      </c>
      <c r="DK86" s="119">
        <f t="shared" si="57"/>
        <v>0</v>
      </c>
      <c r="DL86" s="119">
        <f t="shared" si="57"/>
        <v>0</v>
      </c>
      <c r="DM86" s="119">
        <f t="shared" si="57"/>
        <v>0</v>
      </c>
      <c r="DN86" s="119">
        <f t="shared" si="57"/>
        <v>0</v>
      </c>
      <c r="DO86" s="119">
        <f t="shared" si="57"/>
        <v>0</v>
      </c>
      <c r="DP86" s="119">
        <f t="shared" si="57"/>
        <v>0</v>
      </c>
      <c r="DQ86" s="119">
        <f t="shared" si="57"/>
        <v>0</v>
      </c>
      <c r="DR86" s="119">
        <f t="shared" si="57"/>
        <v>0</v>
      </c>
      <c r="DS86" s="119">
        <f t="shared" si="57"/>
        <v>0</v>
      </c>
      <c r="DT86" s="119">
        <f t="shared" si="57"/>
        <v>0</v>
      </c>
      <c r="DU86" s="119">
        <f t="shared" si="57"/>
        <v>0</v>
      </c>
      <c r="DV86" s="119">
        <f t="shared" si="57"/>
        <v>0</v>
      </c>
      <c r="DW86" s="119"/>
      <c r="DX86" s="119"/>
      <c r="DY86" s="119"/>
    </row>
    <row r="87" spans="2:129" outlineLevel="1" x14ac:dyDescent="0.2">
      <c r="B87" s="90" t="s">
        <v>50</v>
      </c>
      <c r="C87" s="16"/>
      <c r="D87" s="16"/>
      <c r="E87" s="91"/>
      <c r="F87" s="94">
        <f>IF(F82="","",F84-F85-F86)</f>
        <v>-104026917</v>
      </c>
      <c r="G87" s="94">
        <f t="shared" ref="G87:BR87" si="59">IF(G82="","",G84-G85-G86)</f>
        <v>-26917</v>
      </c>
      <c r="H87" s="94">
        <f t="shared" si="59"/>
        <v>-26917</v>
      </c>
      <c r="I87" s="94">
        <f t="shared" si="59"/>
        <v>-26917</v>
      </c>
      <c r="J87" s="94">
        <f t="shared" si="59"/>
        <v>-26917</v>
      </c>
      <c r="K87" s="94">
        <f t="shared" si="59"/>
        <v>-26917</v>
      </c>
      <c r="L87" s="94">
        <f t="shared" si="59"/>
        <v>-26917</v>
      </c>
      <c r="M87" s="94">
        <f t="shared" si="59"/>
        <v>-26917</v>
      </c>
      <c r="N87" s="94">
        <f t="shared" si="59"/>
        <v>-26917</v>
      </c>
      <c r="O87" s="94">
        <f t="shared" si="59"/>
        <v>-26917</v>
      </c>
      <c r="P87" s="94">
        <f t="shared" si="59"/>
        <v>-26917</v>
      </c>
      <c r="Q87" s="94">
        <f t="shared" si="59"/>
        <v>-26917</v>
      </c>
      <c r="R87" s="94">
        <f t="shared" si="59"/>
        <v>-26917</v>
      </c>
      <c r="S87" s="94">
        <f t="shared" si="59"/>
        <v>-26917</v>
      </c>
      <c r="T87" s="94">
        <f t="shared" si="59"/>
        <v>-26917</v>
      </c>
      <c r="U87" s="94">
        <f t="shared" si="59"/>
        <v>-26917</v>
      </c>
      <c r="V87" s="94">
        <f t="shared" si="59"/>
        <v>-26917</v>
      </c>
      <c r="W87" s="94">
        <f t="shared" si="59"/>
        <v>-26917</v>
      </c>
      <c r="X87" s="94">
        <f t="shared" si="59"/>
        <v>-26917</v>
      </c>
      <c r="Y87" s="94">
        <f t="shared" si="59"/>
        <v>-26917</v>
      </c>
      <c r="Z87" s="94">
        <f t="shared" si="59"/>
        <v>-26917</v>
      </c>
      <c r="AA87" s="94">
        <f t="shared" si="59"/>
        <v>-26917</v>
      </c>
      <c r="AB87" s="94">
        <f t="shared" si="59"/>
        <v>-26917</v>
      </c>
      <c r="AC87" s="94">
        <f t="shared" si="59"/>
        <v>-386604</v>
      </c>
      <c r="AD87" s="94">
        <f t="shared" si="59"/>
        <v>-935646</v>
      </c>
      <c r="AE87" s="94">
        <f t="shared" si="59"/>
        <v>28435454</v>
      </c>
      <c r="AF87" s="94">
        <f t="shared" si="59"/>
        <v>-935646</v>
      </c>
      <c r="AG87" s="94">
        <f t="shared" si="59"/>
        <v>-935646</v>
      </c>
      <c r="AH87" s="94">
        <f t="shared" si="59"/>
        <v>-935646</v>
      </c>
      <c r="AI87" s="94">
        <f t="shared" si="59"/>
        <v>-935646</v>
      </c>
      <c r="AJ87" s="94">
        <f t="shared" si="59"/>
        <v>-935646</v>
      </c>
      <c r="AK87" s="94">
        <f t="shared" si="59"/>
        <v>-935646</v>
      </c>
      <c r="AL87" s="94">
        <f t="shared" si="59"/>
        <v>-935646</v>
      </c>
      <c r="AM87" s="94">
        <f t="shared" si="59"/>
        <v>-753368</v>
      </c>
      <c r="AN87" s="94">
        <f t="shared" si="59"/>
        <v>-753368</v>
      </c>
      <c r="AO87" s="94">
        <f t="shared" si="59"/>
        <v>-982326</v>
      </c>
      <c r="AP87" s="94">
        <f t="shared" si="59"/>
        <v>-676201</v>
      </c>
      <c r="AQ87" s="94">
        <f t="shared" si="59"/>
        <v>-676201</v>
      </c>
      <c r="AR87" s="94">
        <f t="shared" si="59"/>
        <v>-676201</v>
      </c>
      <c r="AS87" s="94">
        <f t="shared" si="59"/>
        <v>-676201</v>
      </c>
      <c r="AT87" s="94">
        <f t="shared" si="59"/>
        <v>-676201</v>
      </c>
      <c r="AU87" s="94">
        <f t="shared" si="59"/>
        <v>41396761</v>
      </c>
      <c r="AV87" s="94">
        <f t="shared" si="59"/>
        <v>-745384</v>
      </c>
      <c r="AW87" s="94">
        <f t="shared" si="59"/>
        <v>-745384</v>
      </c>
      <c r="AX87" s="94">
        <f t="shared" si="59"/>
        <v>-745384</v>
      </c>
      <c r="AY87" s="94">
        <f t="shared" si="59"/>
        <v>-745384</v>
      </c>
      <c r="AZ87" s="94">
        <f t="shared" si="59"/>
        <v>-745384</v>
      </c>
      <c r="BA87" s="94">
        <f t="shared" si="59"/>
        <v>172949924</v>
      </c>
      <c r="BB87" s="94">
        <f t="shared" si="59"/>
        <v>-557276</v>
      </c>
      <c r="BC87" s="94">
        <f t="shared" si="59"/>
        <v>-557276</v>
      </c>
      <c r="BD87" s="94">
        <f t="shared" si="59"/>
        <v>-557276</v>
      </c>
      <c r="BE87" s="94">
        <f t="shared" si="59"/>
        <v>-557276</v>
      </c>
      <c r="BF87" s="94">
        <f t="shared" si="59"/>
        <v>-557276</v>
      </c>
      <c r="BG87" s="94">
        <f t="shared" si="59"/>
        <v>-557276</v>
      </c>
      <c r="BH87" s="94">
        <f t="shared" si="59"/>
        <v>-557276</v>
      </c>
      <c r="BI87" s="94">
        <f t="shared" si="59"/>
        <v>-557276</v>
      </c>
      <c r="BJ87" s="94">
        <f t="shared" si="59"/>
        <v>-557276</v>
      </c>
      <c r="BK87" s="94">
        <f t="shared" si="59"/>
        <v>-557276</v>
      </c>
      <c r="BL87" s="94">
        <f t="shared" si="59"/>
        <v>-557276</v>
      </c>
      <c r="BM87" s="94">
        <f t="shared" si="59"/>
        <v>-409821</v>
      </c>
      <c r="BN87" s="94">
        <f t="shared" si="59"/>
        <v>-409821</v>
      </c>
      <c r="BO87" s="94">
        <f t="shared" si="59"/>
        <v>-409821</v>
      </c>
      <c r="BP87" s="94">
        <f t="shared" si="59"/>
        <v>-253083</v>
      </c>
      <c r="BQ87" s="94">
        <f t="shared" si="59"/>
        <v>-253083</v>
      </c>
      <c r="BR87" s="94">
        <f t="shared" si="59"/>
        <v>-253083</v>
      </c>
      <c r="BS87" s="94">
        <f t="shared" ref="BS87:DV87" si="60">IF(BS82="","",BS84-BS85-BS86)</f>
        <v>-253083</v>
      </c>
      <c r="BT87" s="94">
        <f t="shared" si="60"/>
        <v>-253083</v>
      </c>
      <c r="BU87" s="94">
        <f t="shared" si="60"/>
        <v>-253083</v>
      </c>
      <c r="BV87" s="94">
        <f t="shared" si="60"/>
        <v>-253083</v>
      </c>
      <c r="BW87" s="94">
        <f t="shared" si="60"/>
        <v>-253083</v>
      </c>
      <c r="BX87" s="94">
        <f t="shared" si="60"/>
        <v>-253083</v>
      </c>
      <c r="BY87" s="94">
        <f t="shared" si="60"/>
        <v>5906917</v>
      </c>
      <c r="BZ87" s="94">
        <f t="shared" si="60"/>
        <v>4284417</v>
      </c>
      <c r="CA87" s="94">
        <f t="shared" si="60"/>
        <v>-253083</v>
      </c>
      <c r="CB87" s="94">
        <f t="shared" si="60"/>
        <v>-253083</v>
      </c>
      <c r="CC87" s="94">
        <f t="shared" si="60"/>
        <v>-253083</v>
      </c>
      <c r="CD87" s="94">
        <f t="shared" si="60"/>
        <v>-253083</v>
      </c>
      <c r="CE87" s="94">
        <f t="shared" si="60"/>
        <v>14789500</v>
      </c>
      <c r="CF87" s="94">
        <f t="shared" si="60"/>
        <v>0</v>
      </c>
      <c r="CG87" s="94">
        <f t="shared" si="60"/>
        <v>0</v>
      </c>
      <c r="CH87" s="94">
        <f t="shared" si="60"/>
        <v>0</v>
      </c>
      <c r="CI87" s="94">
        <f t="shared" si="60"/>
        <v>0</v>
      </c>
      <c r="CJ87" s="94">
        <f t="shared" si="60"/>
        <v>0</v>
      </c>
      <c r="CK87" s="94">
        <f t="shared" si="60"/>
        <v>-581583</v>
      </c>
      <c r="CL87" s="94">
        <f t="shared" si="60"/>
        <v>-581583</v>
      </c>
      <c r="CM87" s="94">
        <f t="shared" si="60"/>
        <v>-581583</v>
      </c>
      <c r="CN87" s="94">
        <f t="shared" si="60"/>
        <v>-581583</v>
      </c>
      <c r="CO87" s="94">
        <f t="shared" si="60"/>
        <v>-581583</v>
      </c>
      <c r="CP87" s="94">
        <f t="shared" si="60"/>
        <v>-581583</v>
      </c>
      <c r="CQ87" s="94">
        <f t="shared" si="60"/>
        <v>-581583</v>
      </c>
      <c r="CR87" s="94">
        <f t="shared" si="60"/>
        <v>-581583</v>
      </c>
      <c r="CS87" s="94">
        <f t="shared" si="60"/>
        <v>-581583</v>
      </c>
      <c r="CT87" s="94">
        <f t="shared" si="60"/>
        <v>-581583</v>
      </c>
      <c r="CU87" s="94">
        <f t="shared" si="60"/>
        <v>-581583</v>
      </c>
      <c r="CV87" s="94">
        <f t="shared" si="60"/>
        <v>-581583</v>
      </c>
      <c r="CW87" s="94">
        <f t="shared" si="60"/>
        <v>27055800</v>
      </c>
      <c r="CX87" s="94" t="str">
        <f t="shared" si="60"/>
        <v/>
      </c>
      <c r="CY87" s="94" t="str">
        <f t="shared" si="60"/>
        <v/>
      </c>
      <c r="CZ87" s="94" t="str">
        <f t="shared" si="60"/>
        <v/>
      </c>
      <c r="DA87" s="94" t="str">
        <f t="shared" si="60"/>
        <v/>
      </c>
      <c r="DB87" s="94" t="str">
        <f t="shared" si="60"/>
        <v/>
      </c>
      <c r="DC87" s="94" t="str">
        <f t="shared" si="60"/>
        <v/>
      </c>
      <c r="DD87" s="94" t="str">
        <f t="shared" si="60"/>
        <v/>
      </c>
      <c r="DE87" s="94" t="str">
        <f t="shared" si="60"/>
        <v/>
      </c>
      <c r="DF87" s="94" t="str">
        <f t="shared" si="60"/>
        <v/>
      </c>
      <c r="DG87" s="94" t="str">
        <f t="shared" si="60"/>
        <v/>
      </c>
      <c r="DH87" s="94" t="str">
        <f t="shared" si="60"/>
        <v/>
      </c>
      <c r="DI87" s="94" t="str">
        <f t="shared" si="60"/>
        <v/>
      </c>
      <c r="DJ87" s="94" t="str">
        <f t="shared" si="60"/>
        <v/>
      </c>
      <c r="DK87" s="94" t="str">
        <f t="shared" si="60"/>
        <v/>
      </c>
      <c r="DL87" s="94" t="str">
        <f t="shared" si="60"/>
        <v/>
      </c>
      <c r="DM87" s="94" t="str">
        <f t="shared" si="60"/>
        <v/>
      </c>
      <c r="DN87" s="94" t="str">
        <f t="shared" si="60"/>
        <v/>
      </c>
      <c r="DO87" s="94" t="str">
        <f t="shared" si="60"/>
        <v/>
      </c>
      <c r="DP87" s="94" t="str">
        <f t="shared" si="60"/>
        <v/>
      </c>
      <c r="DQ87" s="94" t="str">
        <f t="shared" si="60"/>
        <v/>
      </c>
      <c r="DR87" s="94" t="str">
        <f t="shared" si="60"/>
        <v/>
      </c>
      <c r="DS87" s="94" t="str">
        <f t="shared" si="60"/>
        <v/>
      </c>
      <c r="DT87" s="94" t="str">
        <f t="shared" si="60"/>
        <v/>
      </c>
      <c r="DU87" s="94" t="str">
        <f t="shared" si="60"/>
        <v/>
      </c>
      <c r="DV87" s="94" t="str">
        <f t="shared" si="60"/>
        <v/>
      </c>
      <c r="DW87" s="94"/>
      <c r="DX87" s="94"/>
      <c r="DY87" s="94"/>
    </row>
    <row r="88" spans="2:129" outlineLevel="1" x14ac:dyDescent="0.2">
      <c r="B88" s="16" t="s">
        <v>51</v>
      </c>
      <c r="C88" s="16"/>
      <c r="D88" s="16"/>
      <c r="E88" s="16"/>
      <c r="F88" s="79">
        <f ca="1">XIRR(OFFSET(F87,0,0,1,$E$21+1),OFFSET($F$46,0,0,1,$E$21+1))</f>
        <v>0.25431432127952569</v>
      </c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6"/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/>
      <c r="BJ88" s="66"/>
      <c r="BK88" s="66"/>
      <c r="BL88" s="66"/>
      <c r="BM88" s="66"/>
      <c r="BN88" s="66"/>
      <c r="BO88" s="66"/>
      <c r="BP88" s="66"/>
      <c r="BQ88" s="66"/>
      <c r="BR88" s="66"/>
      <c r="BS88" s="66"/>
      <c r="BT88" s="66"/>
      <c r="BU88" s="66"/>
      <c r="BV88" s="66"/>
      <c r="BW88" s="66"/>
      <c r="BX88" s="66"/>
      <c r="BY88" s="66"/>
      <c r="BZ88" s="66"/>
      <c r="CA88" s="66"/>
      <c r="CB88" s="66"/>
      <c r="CC88" s="66"/>
      <c r="CD88" s="66"/>
      <c r="CE88" s="66"/>
      <c r="CF88" s="66"/>
      <c r="CG88" s="66"/>
      <c r="CH88" s="66"/>
      <c r="CI88" s="66"/>
      <c r="CJ88" s="66"/>
      <c r="CK88" s="66"/>
      <c r="CL88" s="66"/>
      <c r="CM88" s="66"/>
      <c r="CN88" s="66"/>
      <c r="CO88" s="66"/>
      <c r="CP88" s="66"/>
      <c r="CQ88" s="66"/>
      <c r="CR88" s="66"/>
      <c r="CS88" s="66"/>
      <c r="CT88" s="66"/>
      <c r="CU88" s="66"/>
      <c r="CV88" s="66"/>
      <c r="CW88" s="66"/>
      <c r="CX88" s="66"/>
      <c r="CY88" s="66"/>
      <c r="CZ88" s="66"/>
      <c r="DA88" s="66"/>
      <c r="DB88" s="66"/>
      <c r="DC88" s="66"/>
      <c r="DD88" s="66"/>
      <c r="DE88" s="66"/>
      <c r="DF88" s="66"/>
      <c r="DG88" s="66"/>
      <c r="DH88" s="66"/>
      <c r="DI88" s="66"/>
      <c r="DJ88" s="66"/>
      <c r="DK88" s="66"/>
      <c r="DL88" s="66"/>
      <c r="DM88" s="66"/>
      <c r="DN88" s="66"/>
      <c r="DO88" s="66"/>
      <c r="DP88" s="66"/>
      <c r="DQ88" s="66"/>
      <c r="DR88" s="66"/>
      <c r="DS88" s="66"/>
      <c r="DT88" s="66"/>
      <c r="DU88" s="66"/>
      <c r="DV88" s="66"/>
      <c r="DW88" s="66"/>
      <c r="DX88" s="66"/>
      <c r="DY88" s="17"/>
    </row>
    <row r="89" spans="2:129" outlineLevel="1" x14ac:dyDescent="0.2">
      <c r="B89" s="16" t="s">
        <v>22</v>
      </c>
      <c r="C89" s="16"/>
      <c r="D89" s="16"/>
      <c r="E89" s="16"/>
      <c r="F89" s="95">
        <f>SUMIF(F87:DY87,"&gt;0")/-SUMIF(F87:DY87,"&lt;0")</f>
        <v>2.1101225221739144</v>
      </c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6"/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/>
      <c r="BJ89" s="66"/>
      <c r="BK89" s="66"/>
      <c r="BL89" s="66"/>
      <c r="BM89" s="66"/>
      <c r="BN89" s="66"/>
      <c r="BO89" s="66"/>
      <c r="BP89" s="66"/>
      <c r="BQ89" s="66"/>
      <c r="BR89" s="66"/>
      <c r="BS89" s="66"/>
      <c r="BT89" s="66"/>
      <c r="BU89" s="66"/>
      <c r="BV89" s="66"/>
      <c r="BW89" s="66"/>
      <c r="BX89" s="66"/>
      <c r="BY89" s="66"/>
      <c r="BZ89" s="66"/>
      <c r="CA89" s="66"/>
      <c r="CB89" s="66"/>
      <c r="CC89" s="66"/>
      <c r="CD89" s="66"/>
      <c r="CE89" s="66"/>
      <c r="CF89" s="66"/>
      <c r="CG89" s="66"/>
      <c r="CH89" s="66"/>
      <c r="CI89" s="66"/>
      <c r="CJ89" s="66"/>
      <c r="CK89" s="66"/>
      <c r="CL89" s="66"/>
      <c r="CM89" s="66"/>
      <c r="CN89" s="66"/>
      <c r="CO89" s="66"/>
      <c r="CP89" s="66"/>
      <c r="CQ89" s="66"/>
      <c r="CR89" s="66"/>
      <c r="CS89" s="66"/>
      <c r="CT89" s="66"/>
      <c r="CU89" s="66"/>
      <c r="CV89" s="66"/>
      <c r="CW89" s="66"/>
      <c r="CX89" s="66"/>
      <c r="CY89" s="66"/>
      <c r="CZ89" s="66"/>
      <c r="DA89" s="66"/>
      <c r="DB89" s="66"/>
      <c r="DC89" s="66"/>
      <c r="DD89" s="66"/>
      <c r="DE89" s="66"/>
      <c r="DF89" s="66"/>
      <c r="DG89" s="66"/>
      <c r="DH89" s="66"/>
      <c r="DI89" s="66"/>
      <c r="DJ89" s="66"/>
      <c r="DK89" s="66"/>
      <c r="DL89" s="66"/>
      <c r="DM89" s="66"/>
      <c r="DN89" s="66"/>
      <c r="DO89" s="66"/>
      <c r="DP89" s="66"/>
      <c r="DQ89" s="66"/>
      <c r="DR89" s="66"/>
      <c r="DS89" s="66"/>
      <c r="DT89" s="66"/>
      <c r="DU89" s="66"/>
      <c r="DV89" s="66"/>
      <c r="DW89" s="66"/>
      <c r="DX89" s="66"/>
      <c r="DY89" s="17"/>
    </row>
    <row r="90" spans="2:129" outlineLevel="1" x14ac:dyDescent="0.2">
      <c r="B90" s="16"/>
      <c r="C90" s="16"/>
      <c r="D90" s="16"/>
      <c r="E90" s="66"/>
      <c r="F90" s="96"/>
      <c r="G90" s="66"/>
      <c r="H90" s="66"/>
      <c r="I90" s="66"/>
      <c r="J90" s="66"/>
      <c r="K90" s="66"/>
      <c r="L90" s="66"/>
      <c r="M90" s="66"/>
      <c r="N90" s="66"/>
      <c r="O90" s="6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6"/>
      <c r="AQ90" s="96"/>
      <c r="AR90" s="96"/>
      <c r="AS90" s="96"/>
      <c r="AT90" s="96"/>
      <c r="AU90" s="96"/>
      <c r="AV90" s="96"/>
      <c r="AW90" s="96"/>
      <c r="AX90" s="96"/>
      <c r="AY90" s="96"/>
      <c r="AZ90" s="96"/>
      <c r="BA90" s="96"/>
      <c r="BB90" s="96"/>
      <c r="BC90" s="96"/>
      <c r="BD90" s="96"/>
      <c r="BE90" s="96"/>
      <c r="BF90" s="96"/>
      <c r="BG90" s="96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/>
      <c r="BS90" s="96"/>
      <c r="BT90" s="96"/>
      <c r="BU90" s="96"/>
      <c r="BV90" s="96"/>
      <c r="BW90" s="96"/>
      <c r="BX90" s="96"/>
      <c r="BY90" s="96"/>
      <c r="BZ90" s="96"/>
      <c r="CA90" s="96"/>
      <c r="CB90" s="96"/>
      <c r="CC90" s="96"/>
      <c r="CD90" s="96"/>
      <c r="CE90" s="96"/>
      <c r="CF90" s="96"/>
      <c r="CG90" s="96"/>
      <c r="CH90" s="96"/>
      <c r="CI90" s="96"/>
      <c r="CJ90" s="96"/>
      <c r="CK90" s="96"/>
      <c r="CL90" s="96"/>
      <c r="CM90" s="96"/>
      <c r="CN90" s="96"/>
      <c r="CO90" s="96"/>
      <c r="CP90" s="96"/>
      <c r="CQ90" s="96"/>
      <c r="CR90" s="96"/>
      <c r="CS90" s="96"/>
      <c r="CT90" s="96"/>
      <c r="CU90" s="96"/>
      <c r="CV90" s="96"/>
      <c r="CW90" s="96"/>
      <c r="CX90" s="96"/>
      <c r="CY90" s="96"/>
      <c r="CZ90" s="96"/>
      <c r="DA90" s="96"/>
      <c r="DB90" s="96"/>
      <c r="DC90" s="96"/>
      <c r="DD90" s="96"/>
      <c r="DE90" s="96"/>
      <c r="DF90" s="96"/>
      <c r="DG90" s="96"/>
      <c r="DH90" s="96"/>
      <c r="DI90" s="96"/>
      <c r="DJ90" s="96"/>
      <c r="DK90" s="96"/>
      <c r="DL90" s="96"/>
      <c r="DM90" s="96"/>
      <c r="DN90" s="96"/>
      <c r="DO90" s="96"/>
      <c r="DP90" s="96"/>
      <c r="DQ90" s="96"/>
      <c r="DR90" s="96"/>
      <c r="DS90" s="96"/>
      <c r="DT90" s="96"/>
      <c r="DU90" s="96"/>
      <c r="DV90" s="96"/>
      <c r="DW90" s="66"/>
      <c r="DX90" s="66"/>
      <c r="DY90" s="17"/>
    </row>
    <row r="91" spans="2:129" ht="16" outlineLevel="1" x14ac:dyDescent="0.2">
      <c r="B91" s="105" t="s">
        <v>55</v>
      </c>
      <c r="C91" s="100"/>
      <c r="D91" s="100"/>
      <c r="E91" s="100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  <c r="AA91" s="101"/>
      <c r="AB91" s="101"/>
      <c r="AC91" s="101"/>
      <c r="AD91" s="101"/>
      <c r="AE91" s="101"/>
      <c r="AF91" s="101"/>
      <c r="AG91" s="101"/>
      <c r="AH91" s="101"/>
      <c r="AI91" s="101"/>
      <c r="AJ91" s="101"/>
      <c r="AK91" s="101"/>
      <c r="AL91" s="101"/>
      <c r="AM91" s="101"/>
      <c r="AN91" s="101"/>
      <c r="AO91" s="101"/>
      <c r="AP91" s="101"/>
      <c r="AQ91" s="101"/>
      <c r="AR91" s="101"/>
      <c r="AS91" s="101"/>
      <c r="AT91" s="101"/>
      <c r="AU91" s="101"/>
      <c r="AV91" s="101"/>
      <c r="AW91" s="101"/>
      <c r="AX91" s="101"/>
      <c r="AY91" s="101"/>
      <c r="AZ91" s="101"/>
      <c r="BA91" s="101"/>
      <c r="BB91" s="101"/>
      <c r="BC91" s="101"/>
      <c r="BD91" s="101"/>
      <c r="BE91" s="101"/>
      <c r="BF91" s="101"/>
      <c r="BG91" s="101"/>
      <c r="BH91" s="101"/>
      <c r="BI91" s="101"/>
      <c r="BJ91" s="101"/>
      <c r="BK91" s="101"/>
      <c r="BL91" s="101"/>
      <c r="BM91" s="101"/>
      <c r="BN91" s="101"/>
      <c r="BO91" s="101"/>
      <c r="BP91" s="101"/>
      <c r="BQ91" s="101"/>
      <c r="BR91" s="101"/>
      <c r="BS91" s="101"/>
      <c r="BT91" s="101"/>
      <c r="BU91" s="101"/>
      <c r="BV91" s="101"/>
      <c r="BW91" s="101"/>
      <c r="BX91" s="101"/>
      <c r="BY91" s="101"/>
      <c r="BZ91" s="101"/>
      <c r="CA91" s="101"/>
      <c r="CB91" s="101"/>
      <c r="CC91" s="101"/>
      <c r="CD91" s="101"/>
      <c r="CE91" s="101"/>
      <c r="CF91" s="101"/>
      <c r="CG91" s="101"/>
      <c r="CH91" s="101"/>
      <c r="CI91" s="101"/>
      <c r="CJ91" s="101"/>
      <c r="CK91" s="101"/>
      <c r="CL91" s="101"/>
      <c r="CM91" s="101"/>
      <c r="CN91" s="101"/>
      <c r="CO91" s="101"/>
      <c r="CP91" s="101"/>
      <c r="CQ91" s="101"/>
      <c r="CR91" s="101"/>
      <c r="CS91" s="101"/>
      <c r="CT91" s="101"/>
      <c r="CU91" s="101"/>
      <c r="CV91" s="101"/>
      <c r="CW91" s="101"/>
      <c r="CX91" s="101"/>
      <c r="CY91" s="101"/>
      <c r="CZ91" s="101"/>
      <c r="DA91" s="101"/>
      <c r="DB91" s="101"/>
      <c r="DC91" s="101"/>
      <c r="DD91" s="101"/>
      <c r="DE91" s="101"/>
      <c r="DF91" s="101"/>
      <c r="DG91" s="101"/>
      <c r="DH91" s="101"/>
      <c r="DI91" s="101"/>
      <c r="DJ91" s="101"/>
      <c r="DK91" s="101"/>
      <c r="DL91" s="101"/>
      <c r="DM91" s="101"/>
      <c r="DN91" s="101"/>
      <c r="DO91" s="101"/>
      <c r="DP91" s="101"/>
      <c r="DQ91" s="101"/>
      <c r="DR91" s="101"/>
      <c r="DS91" s="101"/>
      <c r="DT91" s="101"/>
      <c r="DU91" s="101"/>
      <c r="DV91" s="101"/>
      <c r="DW91" s="101"/>
      <c r="DX91" s="101"/>
      <c r="DY91" s="17"/>
    </row>
    <row r="92" spans="2:129" outlineLevel="1" x14ac:dyDescent="0.2">
      <c r="B92" s="121" t="s">
        <v>56</v>
      </c>
      <c r="C92" s="122">
        <f>E60</f>
        <v>0.08</v>
      </c>
      <c r="D92" s="100"/>
      <c r="E92" s="100"/>
      <c r="F92" s="113">
        <f>F$21</f>
        <v>0</v>
      </c>
      <c r="G92" s="113">
        <f t="shared" ref="G92:BR92" si="61">G$21</f>
        <v>1</v>
      </c>
      <c r="H92" s="113">
        <f t="shared" si="61"/>
        <v>2</v>
      </c>
      <c r="I92" s="113">
        <f t="shared" si="61"/>
        <v>3</v>
      </c>
      <c r="J92" s="113">
        <f t="shared" si="61"/>
        <v>4</v>
      </c>
      <c r="K92" s="113">
        <f t="shared" si="61"/>
        <v>5</v>
      </c>
      <c r="L92" s="113">
        <f t="shared" si="61"/>
        <v>6</v>
      </c>
      <c r="M92" s="113">
        <f t="shared" si="61"/>
        <v>7</v>
      </c>
      <c r="N92" s="113">
        <f t="shared" si="61"/>
        <v>8</v>
      </c>
      <c r="O92" s="113">
        <f t="shared" si="61"/>
        <v>9</v>
      </c>
      <c r="P92" s="113">
        <f t="shared" si="61"/>
        <v>10</v>
      </c>
      <c r="Q92" s="113">
        <f t="shared" si="61"/>
        <v>11</v>
      </c>
      <c r="R92" s="113">
        <f t="shared" si="61"/>
        <v>12</v>
      </c>
      <c r="S92" s="113">
        <f t="shared" si="61"/>
        <v>13</v>
      </c>
      <c r="T92" s="113">
        <f t="shared" si="61"/>
        <v>14</v>
      </c>
      <c r="U92" s="113">
        <f t="shared" si="61"/>
        <v>15</v>
      </c>
      <c r="V92" s="113">
        <f t="shared" si="61"/>
        <v>16</v>
      </c>
      <c r="W92" s="113">
        <f t="shared" si="61"/>
        <v>17</v>
      </c>
      <c r="X92" s="113">
        <f t="shared" si="61"/>
        <v>18</v>
      </c>
      <c r="Y92" s="113">
        <f t="shared" si="61"/>
        <v>19</v>
      </c>
      <c r="Z92" s="113">
        <f t="shared" si="61"/>
        <v>20</v>
      </c>
      <c r="AA92" s="113">
        <f t="shared" si="61"/>
        <v>21</v>
      </c>
      <c r="AB92" s="113">
        <f t="shared" si="61"/>
        <v>22</v>
      </c>
      <c r="AC92" s="113">
        <f t="shared" si="61"/>
        <v>23</v>
      </c>
      <c r="AD92" s="113">
        <f t="shared" si="61"/>
        <v>24</v>
      </c>
      <c r="AE92" s="113">
        <f t="shared" si="61"/>
        <v>25</v>
      </c>
      <c r="AF92" s="113">
        <f t="shared" si="61"/>
        <v>26</v>
      </c>
      <c r="AG92" s="113">
        <f t="shared" si="61"/>
        <v>27</v>
      </c>
      <c r="AH92" s="113">
        <f t="shared" si="61"/>
        <v>28</v>
      </c>
      <c r="AI92" s="113">
        <f t="shared" si="61"/>
        <v>29</v>
      </c>
      <c r="AJ92" s="113">
        <f t="shared" si="61"/>
        <v>30</v>
      </c>
      <c r="AK92" s="113">
        <f t="shared" si="61"/>
        <v>31</v>
      </c>
      <c r="AL92" s="113">
        <f t="shared" si="61"/>
        <v>32</v>
      </c>
      <c r="AM92" s="113">
        <f t="shared" si="61"/>
        <v>33</v>
      </c>
      <c r="AN92" s="113">
        <f t="shared" si="61"/>
        <v>34</v>
      </c>
      <c r="AO92" s="113">
        <f t="shared" si="61"/>
        <v>35</v>
      </c>
      <c r="AP92" s="113">
        <f t="shared" si="61"/>
        <v>36</v>
      </c>
      <c r="AQ92" s="113">
        <f t="shared" si="61"/>
        <v>37</v>
      </c>
      <c r="AR92" s="113">
        <f t="shared" si="61"/>
        <v>38</v>
      </c>
      <c r="AS92" s="113">
        <f t="shared" si="61"/>
        <v>39</v>
      </c>
      <c r="AT92" s="113">
        <f t="shared" si="61"/>
        <v>40</v>
      </c>
      <c r="AU92" s="113">
        <f t="shared" si="61"/>
        <v>41</v>
      </c>
      <c r="AV92" s="113">
        <f t="shared" si="61"/>
        <v>42</v>
      </c>
      <c r="AW92" s="113">
        <f t="shared" si="61"/>
        <v>43</v>
      </c>
      <c r="AX92" s="113">
        <f t="shared" si="61"/>
        <v>44</v>
      </c>
      <c r="AY92" s="113">
        <f t="shared" si="61"/>
        <v>45</v>
      </c>
      <c r="AZ92" s="113">
        <f t="shared" si="61"/>
        <v>46</v>
      </c>
      <c r="BA92" s="113">
        <f t="shared" si="61"/>
        <v>47</v>
      </c>
      <c r="BB92" s="113">
        <f t="shared" si="61"/>
        <v>48</v>
      </c>
      <c r="BC92" s="113">
        <f t="shared" si="61"/>
        <v>49</v>
      </c>
      <c r="BD92" s="113">
        <f t="shared" si="61"/>
        <v>50</v>
      </c>
      <c r="BE92" s="113">
        <f t="shared" si="61"/>
        <v>51</v>
      </c>
      <c r="BF92" s="113">
        <f t="shared" si="61"/>
        <v>52</v>
      </c>
      <c r="BG92" s="113">
        <f t="shared" si="61"/>
        <v>53</v>
      </c>
      <c r="BH92" s="113">
        <f t="shared" si="61"/>
        <v>54</v>
      </c>
      <c r="BI92" s="113">
        <f t="shared" si="61"/>
        <v>55</v>
      </c>
      <c r="BJ92" s="113">
        <f t="shared" si="61"/>
        <v>56</v>
      </c>
      <c r="BK92" s="113">
        <f t="shared" si="61"/>
        <v>57</v>
      </c>
      <c r="BL92" s="113">
        <f t="shared" si="61"/>
        <v>58</v>
      </c>
      <c r="BM92" s="113">
        <f t="shared" si="61"/>
        <v>59</v>
      </c>
      <c r="BN92" s="113">
        <f t="shared" si="61"/>
        <v>60</v>
      </c>
      <c r="BO92" s="113">
        <f t="shared" si="61"/>
        <v>61</v>
      </c>
      <c r="BP92" s="113">
        <f t="shared" si="61"/>
        <v>62</v>
      </c>
      <c r="BQ92" s="113">
        <f t="shared" si="61"/>
        <v>63</v>
      </c>
      <c r="BR92" s="113">
        <f t="shared" si="61"/>
        <v>64</v>
      </c>
      <c r="BS92" s="113">
        <f t="shared" ref="BS92:DV92" si="62">BS$21</f>
        <v>65</v>
      </c>
      <c r="BT92" s="113">
        <f t="shared" si="62"/>
        <v>66</v>
      </c>
      <c r="BU92" s="113">
        <f t="shared" si="62"/>
        <v>67</v>
      </c>
      <c r="BV92" s="113">
        <f t="shared" si="62"/>
        <v>68</v>
      </c>
      <c r="BW92" s="113">
        <f t="shared" si="62"/>
        <v>69</v>
      </c>
      <c r="BX92" s="113">
        <f t="shared" si="62"/>
        <v>70</v>
      </c>
      <c r="BY92" s="113">
        <f t="shared" si="62"/>
        <v>71</v>
      </c>
      <c r="BZ92" s="113">
        <f t="shared" si="62"/>
        <v>72</v>
      </c>
      <c r="CA92" s="113">
        <f t="shared" si="62"/>
        <v>73</v>
      </c>
      <c r="CB92" s="113">
        <f t="shared" si="62"/>
        <v>74</v>
      </c>
      <c r="CC92" s="113">
        <f t="shared" si="62"/>
        <v>75</v>
      </c>
      <c r="CD92" s="113">
        <f t="shared" si="62"/>
        <v>76</v>
      </c>
      <c r="CE92" s="113">
        <f t="shared" si="62"/>
        <v>77</v>
      </c>
      <c r="CF92" s="113">
        <f t="shared" si="62"/>
        <v>78</v>
      </c>
      <c r="CG92" s="113">
        <f t="shared" si="62"/>
        <v>79</v>
      </c>
      <c r="CH92" s="113">
        <f t="shared" si="62"/>
        <v>80</v>
      </c>
      <c r="CI92" s="113">
        <f t="shared" si="62"/>
        <v>81</v>
      </c>
      <c r="CJ92" s="113">
        <f t="shared" si="62"/>
        <v>82</v>
      </c>
      <c r="CK92" s="113">
        <f t="shared" si="62"/>
        <v>83</v>
      </c>
      <c r="CL92" s="113">
        <f t="shared" si="62"/>
        <v>84</v>
      </c>
      <c r="CM92" s="113">
        <f t="shared" si="62"/>
        <v>85</v>
      </c>
      <c r="CN92" s="113">
        <f t="shared" si="62"/>
        <v>86</v>
      </c>
      <c r="CO92" s="113">
        <f t="shared" si="62"/>
        <v>87</v>
      </c>
      <c r="CP92" s="113">
        <f t="shared" si="62"/>
        <v>88</v>
      </c>
      <c r="CQ92" s="113">
        <f t="shared" si="62"/>
        <v>89</v>
      </c>
      <c r="CR92" s="113">
        <f t="shared" si="62"/>
        <v>90</v>
      </c>
      <c r="CS92" s="113">
        <f t="shared" si="62"/>
        <v>91</v>
      </c>
      <c r="CT92" s="113">
        <f t="shared" si="62"/>
        <v>92</v>
      </c>
      <c r="CU92" s="113">
        <f t="shared" si="62"/>
        <v>93</v>
      </c>
      <c r="CV92" s="113">
        <f t="shared" si="62"/>
        <v>94</v>
      </c>
      <c r="CW92" s="113">
        <f t="shared" si="62"/>
        <v>95</v>
      </c>
      <c r="CX92" s="113" t="str">
        <f t="shared" si="62"/>
        <v/>
      </c>
      <c r="CY92" s="113" t="str">
        <f t="shared" si="62"/>
        <v/>
      </c>
      <c r="CZ92" s="113" t="str">
        <f t="shared" si="62"/>
        <v/>
      </c>
      <c r="DA92" s="113" t="str">
        <f t="shared" si="62"/>
        <v/>
      </c>
      <c r="DB92" s="113" t="str">
        <f t="shared" si="62"/>
        <v/>
      </c>
      <c r="DC92" s="113" t="str">
        <f t="shared" si="62"/>
        <v/>
      </c>
      <c r="DD92" s="113" t="str">
        <f t="shared" si="62"/>
        <v/>
      </c>
      <c r="DE92" s="113" t="str">
        <f t="shared" si="62"/>
        <v/>
      </c>
      <c r="DF92" s="113" t="str">
        <f t="shared" si="62"/>
        <v/>
      </c>
      <c r="DG92" s="113" t="str">
        <f t="shared" si="62"/>
        <v/>
      </c>
      <c r="DH92" s="113" t="str">
        <f t="shared" si="62"/>
        <v/>
      </c>
      <c r="DI92" s="113" t="str">
        <f t="shared" si="62"/>
        <v/>
      </c>
      <c r="DJ92" s="113" t="str">
        <f t="shared" si="62"/>
        <v/>
      </c>
      <c r="DK92" s="113" t="str">
        <f t="shared" si="62"/>
        <v/>
      </c>
      <c r="DL92" s="113" t="str">
        <f t="shared" si="62"/>
        <v/>
      </c>
      <c r="DM92" s="113" t="str">
        <f t="shared" si="62"/>
        <v/>
      </c>
      <c r="DN92" s="113" t="str">
        <f t="shared" si="62"/>
        <v/>
      </c>
      <c r="DO92" s="113" t="str">
        <f t="shared" si="62"/>
        <v/>
      </c>
      <c r="DP92" s="113" t="str">
        <f t="shared" si="62"/>
        <v/>
      </c>
      <c r="DQ92" s="113" t="str">
        <f t="shared" si="62"/>
        <v/>
      </c>
      <c r="DR92" s="113" t="str">
        <f t="shared" si="62"/>
        <v/>
      </c>
      <c r="DS92" s="113" t="str">
        <f t="shared" si="62"/>
        <v/>
      </c>
      <c r="DT92" s="113" t="str">
        <f t="shared" si="62"/>
        <v/>
      </c>
      <c r="DU92" s="113" t="str">
        <f t="shared" si="62"/>
        <v/>
      </c>
      <c r="DV92" s="113" t="str">
        <f t="shared" si="62"/>
        <v/>
      </c>
      <c r="DW92" s="114"/>
      <c r="DX92" s="114"/>
      <c r="DY92" s="115"/>
    </row>
    <row r="93" spans="2:129" outlineLevel="1" x14ac:dyDescent="0.2">
      <c r="B93" s="16" t="s">
        <v>57</v>
      </c>
      <c r="C93" s="16"/>
      <c r="D93" s="16"/>
      <c r="E93" s="16"/>
      <c r="F93" s="77">
        <f>IF(F92="","",E98)</f>
        <v>0</v>
      </c>
      <c r="G93" s="77">
        <f>IF(G92="","",F98)</f>
        <v>93624225.299999997</v>
      </c>
      <c r="H93" s="77">
        <f t="shared" ref="H93:BS93" si="63">IF(H92="","",G98)</f>
        <v>94262421.996490687</v>
      </c>
      <c r="I93" s="77">
        <f t="shared" si="63"/>
        <v>94844805.527225912</v>
      </c>
      <c r="J93" s="77">
        <f t="shared" si="63"/>
        <v>95491006.576695099</v>
      </c>
      <c r="K93" s="77">
        <f t="shared" si="63"/>
        <v>96121180.912628457</v>
      </c>
      <c r="L93" s="77">
        <f t="shared" si="63"/>
        <v>96775752.210025579</v>
      </c>
      <c r="M93" s="77">
        <f t="shared" si="63"/>
        <v>97414079.04540202</v>
      </c>
      <c r="N93" s="77">
        <f t="shared" si="63"/>
        <v>98077128.94403249</v>
      </c>
      <c r="O93" s="77">
        <f t="shared" si="63"/>
        <v>98744527.008652046</v>
      </c>
      <c r="P93" s="77">
        <f t="shared" si="63"/>
        <v>99395346.928288102</v>
      </c>
      <c r="Q93" s="77">
        <f t="shared" si="63"/>
        <v>100071389.63732612</v>
      </c>
      <c r="R93" s="77">
        <f t="shared" si="63"/>
        <v>100730629.31458633</v>
      </c>
      <c r="S93" s="77">
        <f t="shared" si="63"/>
        <v>101415428.57342541</v>
      </c>
      <c r="T93" s="77">
        <f t="shared" si="63"/>
        <v>102104718.62677754</v>
      </c>
      <c r="U93" s="77">
        <f t="shared" si="63"/>
        <v>102733538.92753577</v>
      </c>
      <c r="V93" s="77">
        <f t="shared" si="63"/>
        <v>103431472.91948658</v>
      </c>
      <c r="W93" s="77">
        <f t="shared" si="63"/>
        <v>104112034.38712759</v>
      </c>
      <c r="X93" s="77">
        <f t="shared" si="63"/>
        <v>104819008.31270316</v>
      </c>
      <c r="Y93" s="77">
        <f t="shared" si="63"/>
        <v>105508374.54389191</v>
      </c>
      <c r="Z93" s="77">
        <f t="shared" si="63"/>
        <v>106224505.42551467</v>
      </c>
      <c r="AA93" s="77">
        <f t="shared" si="63"/>
        <v>106945332.56898688</v>
      </c>
      <c r="AB93" s="77">
        <f t="shared" si="63"/>
        <v>107648191.63242619</v>
      </c>
      <c r="AC93" s="77">
        <f t="shared" si="63"/>
        <v>108378355.06258938</v>
      </c>
      <c r="AD93" s="77">
        <f t="shared" si="63"/>
        <v>109414025.83314207</v>
      </c>
      <c r="AE93" s="77">
        <f t="shared" si="63"/>
        <v>110973625.39707014</v>
      </c>
      <c r="AF93" s="77">
        <f t="shared" si="63"/>
        <v>86109462.543861121</v>
      </c>
      <c r="AG93" s="77">
        <f t="shared" si="63"/>
        <v>87479691.67186597</v>
      </c>
      <c r="AH93" s="77">
        <f t="shared" si="63"/>
        <v>88895449.684817895</v>
      </c>
      <c r="AI93" s="77">
        <f t="shared" si="63"/>
        <v>90301627.264829516</v>
      </c>
      <c r="AJ93" s="77">
        <f t="shared" si="63"/>
        <v>91735891.040913433</v>
      </c>
      <c r="AK93" s="77">
        <f t="shared" si="63"/>
        <v>93160092.96440047</v>
      </c>
      <c r="AL93" s="77">
        <f t="shared" si="63"/>
        <v>94613102.061706141</v>
      </c>
      <c r="AM93" s="77">
        <f t="shared" si="63"/>
        <v>96075639.740121335</v>
      </c>
      <c r="AN93" s="77">
        <f t="shared" si="63"/>
        <v>97363329.832243815</v>
      </c>
      <c r="AO93" s="77">
        <f t="shared" si="63"/>
        <v>98679852.826355219</v>
      </c>
      <c r="AP93" s="77">
        <f t="shared" si="63"/>
        <v>100190130.44861652</v>
      </c>
      <c r="AQ93" s="77">
        <f t="shared" si="63"/>
        <v>101455740.80983785</v>
      </c>
      <c r="AR93" s="77">
        <f t="shared" si="63"/>
        <v>102729650.82382962</v>
      </c>
      <c r="AS93" s="77">
        <f t="shared" si="63"/>
        <v>103946527.14986919</v>
      </c>
      <c r="AT93" s="77">
        <f t="shared" si="63"/>
        <v>105236771.30774999</v>
      </c>
      <c r="AU93" s="77">
        <f t="shared" si="63"/>
        <v>106513144.10150759</v>
      </c>
      <c r="AV93" s="77">
        <f t="shared" si="63"/>
        <v>69954553.887248039</v>
      </c>
      <c r="AW93" s="77">
        <f t="shared" si="63"/>
        <v>71069304.06011565</v>
      </c>
      <c r="AX93" s="77">
        <f t="shared" si="63"/>
        <v>72206209.803434253</v>
      </c>
      <c r="AY93" s="77">
        <f t="shared" si="63"/>
        <v>73350571.177009523</v>
      </c>
      <c r="AZ93" s="77">
        <f t="shared" si="63"/>
        <v>74486871.163587511</v>
      </c>
      <c r="BA93" s="77">
        <f t="shared" si="63"/>
        <v>75646188.717956036</v>
      </c>
      <c r="BB93" s="77">
        <f t="shared" si="63"/>
        <v>0</v>
      </c>
      <c r="BC93" s="77">
        <f t="shared" si="63"/>
        <v>501548.4</v>
      </c>
      <c r="BD93" s="77">
        <f t="shared" si="63"/>
        <v>1006385.8672320007</v>
      </c>
      <c r="BE93" s="77">
        <f t="shared" si="63"/>
        <v>1513893.4028365586</v>
      </c>
      <c r="BF93" s="77">
        <f t="shared" si="63"/>
        <v>2025369.6526393127</v>
      </c>
      <c r="BG93" s="77">
        <f t="shared" si="63"/>
        <v>2539770.2659777468</v>
      </c>
      <c r="BH93" s="77">
        <f t="shared" si="63"/>
        <v>3057974.0379391308</v>
      </c>
      <c r="BI93" s="77">
        <f t="shared" si="63"/>
        <v>3578927.1597723877</v>
      </c>
      <c r="BJ93" s="77">
        <f t="shared" si="63"/>
        <v>4103945.5420251959</v>
      </c>
      <c r="BK93" s="77">
        <f t="shared" si="63"/>
        <v>4632406.9035742516</v>
      </c>
      <c r="BL93" s="77">
        <f t="shared" si="63"/>
        <v>5163350.7681096205</v>
      </c>
      <c r="BM93" s="77">
        <f t="shared" si="63"/>
        <v>5698759.5249938508</v>
      </c>
      <c r="BN93" s="77">
        <f t="shared" si="63"/>
        <v>6103760.5512922332</v>
      </c>
      <c r="BO93" s="77">
        <f t="shared" si="63"/>
        <v>6512626.852079941</v>
      </c>
      <c r="BP93" s="77">
        <f t="shared" si="63"/>
        <v>6924174.4270022893</v>
      </c>
      <c r="BQ93" s="77">
        <f t="shared" si="63"/>
        <v>7192949.3990685176</v>
      </c>
      <c r="BR93" s="77">
        <f t="shared" si="63"/>
        <v>7467894.2110057008</v>
      </c>
      <c r="BS93" s="77">
        <f t="shared" si="63"/>
        <v>7743057.2825375982</v>
      </c>
      <c r="BT93" s="77">
        <f t="shared" ref="BT93:DV93" si="64">IF(BT92="","",BS98)</f>
        <v>8021609.6063591447</v>
      </c>
      <c r="BU93" s="77">
        <f t="shared" si="64"/>
        <v>8300286.3418686688</v>
      </c>
      <c r="BV93" s="77">
        <f t="shared" si="64"/>
        <v>8582492.8770081345</v>
      </c>
      <c r="BW93" s="77">
        <f t="shared" si="64"/>
        <v>8866550.0735541228</v>
      </c>
      <c r="BX93" s="77">
        <f t="shared" si="64"/>
        <v>9150588.4748358745</v>
      </c>
      <c r="BY93" s="77">
        <f t="shared" si="64"/>
        <v>9438371.1435705069</v>
      </c>
      <c r="BZ93" s="77">
        <f t="shared" si="64"/>
        <v>4182038.1004463872</v>
      </c>
      <c r="CA93" s="77">
        <f t="shared" si="64"/>
        <v>353487.87942013377</v>
      </c>
      <c r="CB93" s="77">
        <f t="shared" si="64"/>
        <v>583580.69149288721</v>
      </c>
      <c r="CC93" s="77">
        <f t="shared" si="64"/>
        <v>814934.75207898393</v>
      </c>
      <c r="CD93" s="77">
        <f t="shared" si="64"/>
        <v>1048053.6525375668</v>
      </c>
      <c r="CE93" s="77">
        <f t="shared" si="64"/>
        <v>1282478.8961136418</v>
      </c>
      <c r="CF93" s="77">
        <f t="shared" si="64"/>
        <v>0</v>
      </c>
      <c r="CG93" s="77">
        <f t="shared" si="64"/>
        <v>0</v>
      </c>
      <c r="CH93" s="77">
        <f t="shared" si="64"/>
        <v>0</v>
      </c>
      <c r="CI93" s="77">
        <f t="shared" si="64"/>
        <v>0</v>
      </c>
      <c r="CJ93" s="77">
        <f t="shared" si="64"/>
        <v>0</v>
      </c>
      <c r="CK93" s="77">
        <f t="shared" si="64"/>
        <v>0</v>
      </c>
      <c r="CL93" s="77">
        <f t="shared" si="64"/>
        <v>523424.7</v>
      </c>
      <c r="CM93" s="77">
        <f t="shared" si="64"/>
        <v>1050281.9282050342</v>
      </c>
      <c r="CN93" s="77">
        <f t="shared" si="64"/>
        <v>1580594.1945384562</v>
      </c>
      <c r="CO93" s="77">
        <f t="shared" si="64"/>
        <v>2113378.103016749</v>
      </c>
      <c r="CP93" s="77">
        <f t="shared" si="64"/>
        <v>2650661.9692855682</v>
      </c>
      <c r="CQ93" s="77">
        <f t="shared" si="64"/>
        <v>3190906.7460912704</v>
      </c>
      <c r="CR93" s="77">
        <f t="shared" si="64"/>
        <v>3735256.8579138159</v>
      </c>
      <c r="CS93" s="77">
        <f t="shared" si="64"/>
        <v>4282384.054862557</v>
      </c>
      <c r="CT93" s="77">
        <f t="shared" si="64"/>
        <v>4833891.8851640206</v>
      </c>
      <c r="CU93" s="77">
        <f t="shared" si="64"/>
        <v>5389016.4079578463</v>
      </c>
      <c r="CV93" s="77">
        <f t="shared" si="64"/>
        <v>5946637.724101048</v>
      </c>
      <c r="CW93" s="77">
        <f t="shared" si="64"/>
        <v>6509059.4406978907</v>
      </c>
      <c r="CX93" s="77" t="str">
        <f t="shared" si="64"/>
        <v/>
      </c>
      <c r="CY93" s="77" t="str">
        <f t="shared" si="64"/>
        <v/>
      </c>
      <c r="CZ93" s="77" t="str">
        <f t="shared" si="64"/>
        <v/>
      </c>
      <c r="DA93" s="77" t="str">
        <f t="shared" si="64"/>
        <v/>
      </c>
      <c r="DB93" s="77" t="str">
        <f t="shared" si="64"/>
        <v/>
      </c>
      <c r="DC93" s="77" t="str">
        <f t="shared" si="64"/>
        <v/>
      </c>
      <c r="DD93" s="77" t="str">
        <f t="shared" si="64"/>
        <v/>
      </c>
      <c r="DE93" s="77" t="str">
        <f t="shared" si="64"/>
        <v/>
      </c>
      <c r="DF93" s="77" t="str">
        <f t="shared" si="64"/>
        <v/>
      </c>
      <c r="DG93" s="77" t="str">
        <f t="shared" si="64"/>
        <v/>
      </c>
      <c r="DH93" s="77" t="str">
        <f t="shared" si="64"/>
        <v/>
      </c>
      <c r="DI93" s="77" t="str">
        <f t="shared" si="64"/>
        <v/>
      </c>
      <c r="DJ93" s="77" t="str">
        <f t="shared" si="64"/>
        <v/>
      </c>
      <c r="DK93" s="77" t="str">
        <f t="shared" si="64"/>
        <v/>
      </c>
      <c r="DL93" s="77" t="str">
        <f t="shared" si="64"/>
        <v/>
      </c>
      <c r="DM93" s="77" t="str">
        <f t="shared" si="64"/>
        <v/>
      </c>
      <c r="DN93" s="77" t="str">
        <f t="shared" si="64"/>
        <v/>
      </c>
      <c r="DO93" s="77" t="str">
        <f t="shared" si="64"/>
        <v/>
      </c>
      <c r="DP93" s="77" t="str">
        <f t="shared" si="64"/>
        <v/>
      </c>
      <c r="DQ93" s="77" t="str">
        <f t="shared" si="64"/>
        <v/>
      </c>
      <c r="DR93" s="77" t="str">
        <f t="shared" si="64"/>
        <v/>
      </c>
      <c r="DS93" s="77" t="str">
        <f t="shared" si="64"/>
        <v/>
      </c>
      <c r="DT93" s="77" t="str">
        <f t="shared" si="64"/>
        <v/>
      </c>
      <c r="DU93" s="77" t="str">
        <f t="shared" si="64"/>
        <v/>
      </c>
      <c r="DV93" s="77" t="str">
        <f t="shared" si="64"/>
        <v/>
      </c>
      <c r="DW93" s="77"/>
      <c r="DX93" s="77"/>
      <c r="DY93" s="78"/>
    </row>
    <row r="94" spans="2:129" outlineLevel="1" x14ac:dyDescent="0.2">
      <c r="B94" s="16" t="s">
        <v>58</v>
      </c>
      <c r="C94" s="16"/>
      <c r="D94" s="16"/>
      <c r="E94" s="16"/>
      <c r="F94" s="123" t="str">
        <f>IF(ROUND(SUM(G94:DY94),0)=ROUND(SUM(F96:DY96),0),"All Capital Returned","Capital Not Returned")</f>
        <v>All Capital Returned</v>
      </c>
      <c r="G94" s="77">
        <f>IF(G92="","",G100-G95)</f>
        <v>-613971.39649069891</v>
      </c>
      <c r="H94" s="77">
        <f t="shared" ref="H94:BS94" si="65">IF(H92="","",H100-H95)</f>
        <v>-558158.23073523142</v>
      </c>
      <c r="I94" s="77">
        <f t="shared" si="65"/>
        <v>-621975.74946918839</v>
      </c>
      <c r="J94" s="77">
        <f t="shared" si="65"/>
        <v>-605949.03593336407</v>
      </c>
      <c r="K94" s="77">
        <f t="shared" si="65"/>
        <v>-630345.99739712453</v>
      </c>
      <c r="L94" s="77">
        <f t="shared" si="65"/>
        <v>-614101.53537644981</v>
      </c>
      <c r="M94" s="77">
        <f t="shared" si="65"/>
        <v>-638824.5986304658</v>
      </c>
      <c r="N94" s="77">
        <f t="shared" si="65"/>
        <v>-643172.7646195644</v>
      </c>
      <c r="O94" s="77">
        <f t="shared" si="65"/>
        <v>-626594.61963605962</v>
      </c>
      <c r="P94" s="77">
        <f t="shared" si="65"/>
        <v>-651817.40903802752</v>
      </c>
      <c r="Q94" s="77">
        <f t="shared" si="65"/>
        <v>-635014.37726020103</v>
      </c>
      <c r="R94" s="77">
        <f t="shared" si="65"/>
        <v>-660573.95883908577</v>
      </c>
      <c r="S94" s="77">
        <f t="shared" si="65"/>
        <v>-665064.75335212972</v>
      </c>
      <c r="T94" s="77">
        <f t="shared" si="65"/>
        <v>-604595.00075822894</v>
      </c>
      <c r="U94" s="77">
        <f t="shared" si="65"/>
        <v>-673708.6919508077</v>
      </c>
      <c r="V94" s="77">
        <f t="shared" si="65"/>
        <v>-656336.16764101211</v>
      </c>
      <c r="W94" s="77">
        <f t="shared" si="65"/>
        <v>-682748.62557556876</v>
      </c>
      <c r="X94" s="77">
        <f t="shared" si="65"/>
        <v>-665140.93118874705</v>
      </c>
      <c r="Y94" s="77">
        <f t="shared" si="65"/>
        <v>-691905.58162276214</v>
      </c>
      <c r="Z94" s="77">
        <f t="shared" si="65"/>
        <v>-696601.8434722051</v>
      </c>
      <c r="AA94" s="77">
        <f t="shared" si="65"/>
        <v>-678633.76343931106</v>
      </c>
      <c r="AB94" s="77">
        <f t="shared" si="65"/>
        <v>-705938.13016318833</v>
      </c>
      <c r="AC94" s="77">
        <f t="shared" si="65"/>
        <v>-687727.17055270076</v>
      </c>
      <c r="AD94" s="77">
        <f t="shared" si="65"/>
        <v>-717518.16392806661</v>
      </c>
      <c r="AE94" s="77">
        <f t="shared" si="65"/>
        <v>24864162.85320903</v>
      </c>
      <c r="AF94" s="77">
        <f t="shared" si="65"/>
        <v>-528147.72800483764</v>
      </c>
      <c r="AG94" s="77">
        <f t="shared" si="65"/>
        <v>-573676.61295191839</v>
      </c>
      <c r="AH94" s="77">
        <f t="shared" si="65"/>
        <v>-564096.18001162086</v>
      </c>
      <c r="AI94" s="77">
        <f t="shared" si="65"/>
        <v>-592182.37608391664</v>
      </c>
      <c r="AJ94" s="77">
        <f t="shared" si="65"/>
        <v>-582120.52348703472</v>
      </c>
      <c r="AK94" s="77">
        <f t="shared" si="65"/>
        <v>-610927.69730567036</v>
      </c>
      <c r="AL94" s="77">
        <f t="shared" si="65"/>
        <v>-620456.27841518424</v>
      </c>
      <c r="AM94" s="77">
        <f t="shared" si="65"/>
        <v>-609658.89212247299</v>
      </c>
      <c r="AN94" s="77">
        <f t="shared" si="65"/>
        <v>-638491.79411140352</v>
      </c>
      <c r="AO94" s="77">
        <f t="shared" si="65"/>
        <v>-626184.2222612967</v>
      </c>
      <c r="AP94" s="77">
        <f t="shared" si="65"/>
        <v>-657029.46122131892</v>
      </c>
      <c r="AQ94" s="77">
        <f t="shared" si="65"/>
        <v>-665329.11399176659</v>
      </c>
      <c r="AR94" s="77">
        <f t="shared" si="65"/>
        <v>-608295.42603956803</v>
      </c>
      <c r="AS94" s="77">
        <f t="shared" si="65"/>
        <v>-681663.25788079482</v>
      </c>
      <c r="AT94" s="77">
        <f t="shared" si="65"/>
        <v>-667791.89375760371</v>
      </c>
      <c r="AU94" s="77">
        <f t="shared" si="65"/>
        <v>36558590.214259535</v>
      </c>
      <c r="AV94" s="77">
        <f t="shared" si="65"/>
        <v>-443904.57286761561</v>
      </c>
      <c r="AW94" s="77">
        <f t="shared" si="65"/>
        <v>-466060.14331860433</v>
      </c>
      <c r="AX94" s="77">
        <f t="shared" si="65"/>
        <v>-473515.77357527061</v>
      </c>
      <c r="AY94" s="77">
        <f t="shared" si="65"/>
        <v>-465454.38657799095</v>
      </c>
      <c r="AZ94" s="77">
        <f t="shared" si="65"/>
        <v>-488471.95436853025</v>
      </c>
      <c r="BA94" s="77">
        <f t="shared" si="65"/>
        <v>75646188.717956036</v>
      </c>
      <c r="BB94" s="77">
        <f t="shared" si="65"/>
        <v>0</v>
      </c>
      <c r="BC94" s="77">
        <f t="shared" si="65"/>
        <v>-3289.0672320006438</v>
      </c>
      <c r="BD94" s="77">
        <f t="shared" si="65"/>
        <v>-5959.1356045579587</v>
      </c>
      <c r="BE94" s="77">
        <f t="shared" si="65"/>
        <v>-9927.8498027541809</v>
      </c>
      <c r="BF94" s="77">
        <f t="shared" si="65"/>
        <v>-12852.213338433941</v>
      </c>
      <c r="BG94" s="77">
        <f t="shared" si="65"/>
        <v>-16655.37196138392</v>
      </c>
      <c r="BH94" s="77">
        <f t="shared" si="65"/>
        <v>-19404.721833256892</v>
      </c>
      <c r="BI94" s="77">
        <f t="shared" si="65"/>
        <v>-23469.982252808488</v>
      </c>
      <c r="BJ94" s="77">
        <f t="shared" si="65"/>
        <v>-26912.961549055271</v>
      </c>
      <c r="BK94" s="77">
        <f t="shared" si="65"/>
        <v>-29395.464535368468</v>
      </c>
      <c r="BL94" s="77">
        <f t="shared" si="65"/>
        <v>-33860.356884230328</v>
      </c>
      <c r="BM94" s="77">
        <f t="shared" si="65"/>
        <v>-36162.12629838226</v>
      </c>
      <c r="BN94" s="77">
        <f t="shared" si="65"/>
        <v>-40027.400787707564</v>
      </c>
      <c r="BO94" s="77">
        <f t="shared" si="65"/>
        <v>-42708.674922347745</v>
      </c>
      <c r="BP94" s="77">
        <f t="shared" si="65"/>
        <v>-41000.272066228208</v>
      </c>
      <c r="BQ94" s="77">
        <f t="shared" si="65"/>
        <v>-47170.111937182897</v>
      </c>
      <c r="BR94" s="77">
        <f t="shared" si="65"/>
        <v>-47388.371531897079</v>
      </c>
      <c r="BS94" s="77">
        <f t="shared" si="65"/>
        <v>-50777.623821546164</v>
      </c>
      <c r="BT94" s="77">
        <f t="shared" ref="BT94:DV94" si="66">IF(BT92="","",BT100-BT95)</f>
        <v>-50902.035509524125</v>
      </c>
      <c r="BU94" s="77">
        <f t="shared" si="66"/>
        <v>-54431.835139465569</v>
      </c>
      <c r="BV94" s="77">
        <f t="shared" si="66"/>
        <v>-56282.496545989154</v>
      </c>
      <c r="BW94" s="77">
        <f t="shared" si="66"/>
        <v>-56263.701281752314</v>
      </c>
      <c r="BX94" s="77">
        <f t="shared" si="66"/>
        <v>-60007.968734633432</v>
      </c>
      <c r="BY94" s="77">
        <f t="shared" si="66"/>
        <v>5256333.0431241188</v>
      </c>
      <c r="BZ94" s="77">
        <f t="shared" si="66"/>
        <v>3828550.2210262534</v>
      </c>
      <c r="CA94" s="77">
        <f t="shared" si="66"/>
        <v>-2318.1120727534108</v>
      </c>
      <c r="CB94" s="77">
        <f t="shared" si="66"/>
        <v>-3579.3605860966286</v>
      </c>
      <c r="CC94" s="77">
        <f t="shared" si="66"/>
        <v>-5344.2004585829691</v>
      </c>
      <c r="CD94" s="77">
        <f t="shared" si="66"/>
        <v>-6650.5435760750452</v>
      </c>
      <c r="CE94" s="77">
        <f t="shared" si="66"/>
        <v>1282478.8961136418</v>
      </c>
      <c r="CF94" s="77">
        <f t="shared" si="66"/>
        <v>0</v>
      </c>
      <c r="CG94" s="77">
        <f t="shared" si="66"/>
        <v>0</v>
      </c>
      <c r="CH94" s="77">
        <f t="shared" si="66"/>
        <v>0</v>
      </c>
      <c r="CI94" s="77">
        <f t="shared" si="66"/>
        <v>0</v>
      </c>
      <c r="CJ94" s="77">
        <f t="shared" si="66"/>
        <v>0</v>
      </c>
      <c r="CK94" s="77">
        <f t="shared" si="66"/>
        <v>0</v>
      </c>
      <c r="CL94" s="77">
        <f t="shared" si="66"/>
        <v>-3432.5282050341848</v>
      </c>
      <c r="CM94" s="77">
        <f t="shared" si="66"/>
        <v>-6887.5663334219207</v>
      </c>
      <c r="CN94" s="77">
        <f t="shared" si="66"/>
        <v>-9359.2084782927304</v>
      </c>
      <c r="CO94" s="77">
        <f t="shared" si="66"/>
        <v>-13859.166268818863</v>
      </c>
      <c r="CP94" s="77">
        <f t="shared" si="66"/>
        <v>-16820.076805702167</v>
      </c>
      <c r="CQ94" s="77">
        <f t="shared" si="66"/>
        <v>-20925.411822545135</v>
      </c>
      <c r="CR94" s="77">
        <f t="shared" si="66"/>
        <v>-23702.496948741427</v>
      </c>
      <c r="CS94" s="77">
        <f t="shared" si="66"/>
        <v>-28083.130301463396</v>
      </c>
      <c r="CT94" s="77">
        <f t="shared" si="66"/>
        <v>-31699.822793825679</v>
      </c>
      <c r="CU94" s="77">
        <f t="shared" si="66"/>
        <v>-34196.616143201136</v>
      </c>
      <c r="CV94" s="77">
        <f t="shared" si="66"/>
        <v>-38997.016596842179</v>
      </c>
      <c r="CW94" s="77">
        <f t="shared" si="66"/>
        <v>6509059.4406978907</v>
      </c>
      <c r="CX94" s="77" t="str">
        <f t="shared" si="66"/>
        <v/>
      </c>
      <c r="CY94" s="77" t="str">
        <f t="shared" si="66"/>
        <v/>
      </c>
      <c r="CZ94" s="77" t="str">
        <f t="shared" si="66"/>
        <v/>
      </c>
      <c r="DA94" s="77" t="str">
        <f t="shared" si="66"/>
        <v/>
      </c>
      <c r="DB94" s="77" t="str">
        <f t="shared" si="66"/>
        <v/>
      </c>
      <c r="DC94" s="77" t="str">
        <f t="shared" si="66"/>
        <v/>
      </c>
      <c r="DD94" s="77" t="str">
        <f t="shared" si="66"/>
        <v/>
      </c>
      <c r="DE94" s="77" t="str">
        <f t="shared" si="66"/>
        <v/>
      </c>
      <c r="DF94" s="77" t="str">
        <f t="shared" si="66"/>
        <v/>
      </c>
      <c r="DG94" s="77" t="str">
        <f t="shared" si="66"/>
        <v/>
      </c>
      <c r="DH94" s="77" t="str">
        <f t="shared" si="66"/>
        <v/>
      </c>
      <c r="DI94" s="77" t="str">
        <f t="shared" si="66"/>
        <v/>
      </c>
      <c r="DJ94" s="77" t="str">
        <f t="shared" si="66"/>
        <v/>
      </c>
      <c r="DK94" s="77" t="str">
        <f t="shared" si="66"/>
        <v/>
      </c>
      <c r="DL94" s="77" t="str">
        <f t="shared" si="66"/>
        <v/>
      </c>
      <c r="DM94" s="77" t="str">
        <f t="shared" si="66"/>
        <v/>
      </c>
      <c r="DN94" s="77" t="str">
        <f t="shared" si="66"/>
        <v/>
      </c>
      <c r="DO94" s="77" t="str">
        <f t="shared" si="66"/>
        <v/>
      </c>
      <c r="DP94" s="77" t="str">
        <f t="shared" si="66"/>
        <v/>
      </c>
      <c r="DQ94" s="77" t="str">
        <f t="shared" si="66"/>
        <v/>
      </c>
      <c r="DR94" s="77" t="str">
        <f t="shared" si="66"/>
        <v/>
      </c>
      <c r="DS94" s="77" t="str">
        <f t="shared" si="66"/>
        <v/>
      </c>
      <c r="DT94" s="77" t="str">
        <f t="shared" si="66"/>
        <v/>
      </c>
      <c r="DU94" s="77" t="str">
        <f t="shared" si="66"/>
        <v/>
      </c>
      <c r="DV94" s="77" t="str">
        <f t="shared" si="66"/>
        <v/>
      </c>
      <c r="DW94" s="77"/>
      <c r="DX94" s="77"/>
      <c r="DY94" s="78"/>
    </row>
    <row r="95" spans="2:129" outlineLevel="1" x14ac:dyDescent="0.2">
      <c r="B95" s="16" t="s">
        <v>59</v>
      </c>
      <c r="C95" s="16"/>
      <c r="D95" s="16"/>
      <c r="E95" s="16"/>
      <c r="F95" s="77">
        <v>0</v>
      </c>
      <c r="G95" s="77">
        <f>IF(G92="","",G93*((1+$C92)^((G46-F46)/365)-1))</f>
        <v>613971.39649069891</v>
      </c>
      <c r="H95" s="77">
        <f t="shared" ref="H95:BS95" si="67">IF(H92="","",H93*((1+$C92)^((H46-G46)/365)-1))</f>
        <v>558158.23073523142</v>
      </c>
      <c r="I95" s="77">
        <f t="shared" si="67"/>
        <v>621975.74946918839</v>
      </c>
      <c r="J95" s="77">
        <f t="shared" si="67"/>
        <v>605949.03593336407</v>
      </c>
      <c r="K95" s="77">
        <f t="shared" si="67"/>
        <v>630345.99739712453</v>
      </c>
      <c r="L95" s="77">
        <f t="shared" si="67"/>
        <v>614101.53537644981</v>
      </c>
      <c r="M95" s="77">
        <f t="shared" si="67"/>
        <v>638824.5986304658</v>
      </c>
      <c r="N95" s="77">
        <f t="shared" si="67"/>
        <v>643172.7646195644</v>
      </c>
      <c r="O95" s="77">
        <f t="shared" si="67"/>
        <v>626594.61963605962</v>
      </c>
      <c r="P95" s="77">
        <f t="shared" si="67"/>
        <v>651817.40903802752</v>
      </c>
      <c r="Q95" s="77">
        <f t="shared" si="67"/>
        <v>635014.37726020103</v>
      </c>
      <c r="R95" s="77">
        <f t="shared" si="67"/>
        <v>660573.95883908577</v>
      </c>
      <c r="S95" s="77">
        <f t="shared" si="67"/>
        <v>665064.75335212972</v>
      </c>
      <c r="T95" s="77">
        <f t="shared" si="67"/>
        <v>604595.00075822894</v>
      </c>
      <c r="U95" s="77">
        <f t="shared" si="67"/>
        <v>673708.6919508077</v>
      </c>
      <c r="V95" s="77">
        <f t="shared" si="67"/>
        <v>656336.16764101211</v>
      </c>
      <c r="W95" s="77">
        <f t="shared" si="67"/>
        <v>682748.62557556876</v>
      </c>
      <c r="X95" s="77">
        <f t="shared" si="67"/>
        <v>665140.93118874705</v>
      </c>
      <c r="Y95" s="77">
        <f t="shared" si="67"/>
        <v>691905.58162276214</v>
      </c>
      <c r="Z95" s="77">
        <f t="shared" si="67"/>
        <v>696601.8434722051</v>
      </c>
      <c r="AA95" s="77">
        <f t="shared" si="67"/>
        <v>678633.76343931106</v>
      </c>
      <c r="AB95" s="77">
        <f t="shared" si="67"/>
        <v>705938.13016318833</v>
      </c>
      <c r="AC95" s="77">
        <f t="shared" si="67"/>
        <v>687727.17055270076</v>
      </c>
      <c r="AD95" s="77">
        <f t="shared" si="67"/>
        <v>717518.16392806661</v>
      </c>
      <c r="AE95" s="77">
        <f t="shared" si="67"/>
        <v>727745.74679097335</v>
      </c>
      <c r="AF95" s="77">
        <f t="shared" si="67"/>
        <v>528147.72800483764</v>
      </c>
      <c r="AG95" s="77">
        <f t="shared" si="67"/>
        <v>573676.61295191839</v>
      </c>
      <c r="AH95" s="77">
        <f t="shared" si="67"/>
        <v>564096.18001162086</v>
      </c>
      <c r="AI95" s="77">
        <f t="shared" si="67"/>
        <v>592182.37608391664</v>
      </c>
      <c r="AJ95" s="77">
        <f t="shared" si="67"/>
        <v>582120.52348703472</v>
      </c>
      <c r="AK95" s="77">
        <f t="shared" si="67"/>
        <v>610927.69730567036</v>
      </c>
      <c r="AL95" s="77">
        <f t="shared" si="67"/>
        <v>620456.27841518424</v>
      </c>
      <c r="AM95" s="77">
        <f t="shared" si="67"/>
        <v>609658.89212247299</v>
      </c>
      <c r="AN95" s="77">
        <f t="shared" si="67"/>
        <v>638491.79411140352</v>
      </c>
      <c r="AO95" s="77">
        <f t="shared" si="67"/>
        <v>626184.2222612967</v>
      </c>
      <c r="AP95" s="77">
        <f t="shared" si="67"/>
        <v>657029.46122131892</v>
      </c>
      <c r="AQ95" s="77">
        <f t="shared" si="67"/>
        <v>665329.11399176659</v>
      </c>
      <c r="AR95" s="77">
        <f t="shared" si="67"/>
        <v>608295.42603956803</v>
      </c>
      <c r="AS95" s="77">
        <f t="shared" si="67"/>
        <v>681663.25788079482</v>
      </c>
      <c r="AT95" s="77">
        <f t="shared" si="67"/>
        <v>667791.89375760371</v>
      </c>
      <c r="AU95" s="77">
        <f t="shared" si="67"/>
        <v>698494.68574046146</v>
      </c>
      <c r="AV95" s="77">
        <f t="shared" si="67"/>
        <v>443904.57286761561</v>
      </c>
      <c r="AW95" s="77">
        <f t="shared" si="67"/>
        <v>466060.14331860433</v>
      </c>
      <c r="AX95" s="77">
        <f t="shared" si="67"/>
        <v>473515.77357527061</v>
      </c>
      <c r="AY95" s="77">
        <f t="shared" si="67"/>
        <v>465454.38657799095</v>
      </c>
      <c r="AZ95" s="77">
        <f t="shared" si="67"/>
        <v>488471.95436853025</v>
      </c>
      <c r="BA95" s="77">
        <f t="shared" si="67"/>
        <v>480021.48860859987</v>
      </c>
      <c r="BB95" s="77">
        <f t="shared" si="67"/>
        <v>0</v>
      </c>
      <c r="BC95" s="77">
        <f t="shared" si="67"/>
        <v>3289.0672320006438</v>
      </c>
      <c r="BD95" s="77">
        <f t="shared" si="67"/>
        <v>5959.1356045579587</v>
      </c>
      <c r="BE95" s="77">
        <f t="shared" si="67"/>
        <v>9927.8498027541809</v>
      </c>
      <c r="BF95" s="77">
        <f t="shared" si="67"/>
        <v>12852.213338433941</v>
      </c>
      <c r="BG95" s="77">
        <f t="shared" si="67"/>
        <v>16655.37196138392</v>
      </c>
      <c r="BH95" s="77">
        <f t="shared" si="67"/>
        <v>19404.721833256892</v>
      </c>
      <c r="BI95" s="77">
        <f t="shared" si="67"/>
        <v>23469.982252808488</v>
      </c>
      <c r="BJ95" s="77">
        <f t="shared" si="67"/>
        <v>26912.961549055271</v>
      </c>
      <c r="BK95" s="77">
        <f t="shared" si="67"/>
        <v>29395.464535368468</v>
      </c>
      <c r="BL95" s="77">
        <f t="shared" si="67"/>
        <v>33860.356884230328</v>
      </c>
      <c r="BM95" s="77">
        <f t="shared" si="67"/>
        <v>36162.12629838226</v>
      </c>
      <c r="BN95" s="77">
        <f t="shared" si="67"/>
        <v>40027.400787707564</v>
      </c>
      <c r="BO95" s="77">
        <f t="shared" si="67"/>
        <v>42708.674922347745</v>
      </c>
      <c r="BP95" s="77">
        <f t="shared" si="67"/>
        <v>41000.272066228208</v>
      </c>
      <c r="BQ95" s="77">
        <f t="shared" si="67"/>
        <v>47170.111937182897</v>
      </c>
      <c r="BR95" s="77">
        <f t="shared" si="67"/>
        <v>47388.371531897079</v>
      </c>
      <c r="BS95" s="77">
        <f t="shared" si="67"/>
        <v>50777.623821546164</v>
      </c>
      <c r="BT95" s="77">
        <f t="shared" ref="BT95:DV95" si="68">IF(BT92="","",BT93*((1+$C92)^((BT46-BS46)/365)-1))</f>
        <v>50902.035509524125</v>
      </c>
      <c r="BU95" s="77">
        <f t="shared" si="68"/>
        <v>54431.835139465569</v>
      </c>
      <c r="BV95" s="77">
        <f t="shared" si="68"/>
        <v>56282.496545989154</v>
      </c>
      <c r="BW95" s="77">
        <f t="shared" si="68"/>
        <v>56263.701281752314</v>
      </c>
      <c r="BX95" s="77">
        <f t="shared" si="68"/>
        <v>60007.968734633432</v>
      </c>
      <c r="BY95" s="77">
        <f t="shared" si="68"/>
        <v>59892.256875880652</v>
      </c>
      <c r="BZ95" s="77">
        <f t="shared" si="68"/>
        <v>27425.078973746957</v>
      </c>
      <c r="CA95" s="77">
        <f t="shared" si="68"/>
        <v>2318.1120727534108</v>
      </c>
      <c r="CB95" s="77">
        <f t="shared" si="68"/>
        <v>3579.3605860966286</v>
      </c>
      <c r="CC95" s="77">
        <f t="shared" si="68"/>
        <v>5344.2004585829691</v>
      </c>
      <c r="CD95" s="77">
        <f t="shared" si="68"/>
        <v>6650.5435760750452</v>
      </c>
      <c r="CE95" s="77">
        <f t="shared" si="68"/>
        <v>8410.2736903153054</v>
      </c>
      <c r="CF95" s="77">
        <f t="shared" si="68"/>
        <v>0</v>
      </c>
      <c r="CG95" s="77">
        <f t="shared" si="68"/>
        <v>0</v>
      </c>
      <c r="CH95" s="77">
        <f t="shared" si="68"/>
        <v>0</v>
      </c>
      <c r="CI95" s="77">
        <f t="shared" si="68"/>
        <v>0</v>
      </c>
      <c r="CJ95" s="77">
        <f t="shared" si="68"/>
        <v>0</v>
      </c>
      <c r="CK95" s="77">
        <f t="shared" si="68"/>
        <v>0</v>
      </c>
      <c r="CL95" s="77">
        <f t="shared" si="68"/>
        <v>3432.5282050341848</v>
      </c>
      <c r="CM95" s="77">
        <f t="shared" si="68"/>
        <v>6887.5663334219207</v>
      </c>
      <c r="CN95" s="77">
        <f t="shared" si="68"/>
        <v>9359.2084782927304</v>
      </c>
      <c r="CO95" s="77">
        <f t="shared" si="68"/>
        <v>13859.166268818863</v>
      </c>
      <c r="CP95" s="77">
        <f t="shared" si="68"/>
        <v>16820.076805702167</v>
      </c>
      <c r="CQ95" s="77">
        <f t="shared" si="68"/>
        <v>20925.411822545135</v>
      </c>
      <c r="CR95" s="77">
        <f t="shared" si="68"/>
        <v>23702.496948741427</v>
      </c>
      <c r="CS95" s="77">
        <f t="shared" si="68"/>
        <v>28083.130301463396</v>
      </c>
      <c r="CT95" s="77">
        <f t="shared" si="68"/>
        <v>31699.822793825679</v>
      </c>
      <c r="CU95" s="77">
        <f t="shared" si="68"/>
        <v>34196.616143201136</v>
      </c>
      <c r="CV95" s="77">
        <f t="shared" si="68"/>
        <v>38997.016596842179</v>
      </c>
      <c r="CW95" s="77">
        <f t="shared" si="68"/>
        <v>41303.976513809561</v>
      </c>
      <c r="CX95" s="77" t="str">
        <f t="shared" si="68"/>
        <v/>
      </c>
      <c r="CY95" s="77" t="str">
        <f t="shared" si="68"/>
        <v/>
      </c>
      <c r="CZ95" s="77" t="str">
        <f t="shared" si="68"/>
        <v/>
      </c>
      <c r="DA95" s="77" t="str">
        <f t="shared" si="68"/>
        <v/>
      </c>
      <c r="DB95" s="77" t="str">
        <f t="shared" si="68"/>
        <v/>
      </c>
      <c r="DC95" s="77" t="str">
        <f t="shared" si="68"/>
        <v/>
      </c>
      <c r="DD95" s="77" t="str">
        <f t="shared" si="68"/>
        <v/>
      </c>
      <c r="DE95" s="77" t="str">
        <f t="shared" si="68"/>
        <v/>
      </c>
      <c r="DF95" s="77" t="str">
        <f t="shared" si="68"/>
        <v/>
      </c>
      <c r="DG95" s="77" t="str">
        <f t="shared" si="68"/>
        <v/>
      </c>
      <c r="DH95" s="77" t="str">
        <f t="shared" si="68"/>
        <v/>
      </c>
      <c r="DI95" s="77" t="str">
        <f t="shared" si="68"/>
        <v/>
      </c>
      <c r="DJ95" s="77" t="str">
        <f t="shared" si="68"/>
        <v/>
      </c>
      <c r="DK95" s="77" t="str">
        <f t="shared" si="68"/>
        <v/>
      </c>
      <c r="DL95" s="77" t="str">
        <f t="shared" si="68"/>
        <v/>
      </c>
      <c r="DM95" s="77" t="str">
        <f t="shared" si="68"/>
        <v/>
      </c>
      <c r="DN95" s="77" t="str">
        <f t="shared" si="68"/>
        <v/>
      </c>
      <c r="DO95" s="77" t="str">
        <f t="shared" si="68"/>
        <v/>
      </c>
      <c r="DP95" s="77" t="str">
        <f t="shared" si="68"/>
        <v/>
      </c>
      <c r="DQ95" s="77" t="str">
        <f t="shared" si="68"/>
        <v/>
      </c>
      <c r="DR95" s="77" t="str">
        <f t="shared" si="68"/>
        <v/>
      </c>
      <c r="DS95" s="77" t="str">
        <f t="shared" si="68"/>
        <v/>
      </c>
      <c r="DT95" s="77" t="str">
        <f t="shared" si="68"/>
        <v/>
      </c>
      <c r="DU95" s="77" t="str">
        <f t="shared" si="68"/>
        <v/>
      </c>
      <c r="DV95" s="77" t="str">
        <f t="shared" si="68"/>
        <v/>
      </c>
      <c r="DW95" s="77"/>
      <c r="DX95" s="77"/>
      <c r="DY95" s="78"/>
    </row>
    <row r="96" spans="2:129" outlineLevel="1" x14ac:dyDescent="0.2">
      <c r="B96" s="16" t="s">
        <v>60</v>
      </c>
      <c r="C96" s="16"/>
      <c r="D96" s="16"/>
      <c r="E96" s="16"/>
      <c r="F96" s="77">
        <f t="shared" ref="F96:AK96" si="69">IF(F92="","",-MIN(0,F87*Equity_Share_LP))</f>
        <v>93624225.299999997</v>
      </c>
      <c r="G96" s="77">
        <f t="shared" si="69"/>
        <v>24225.3</v>
      </c>
      <c r="H96" s="77">
        <f t="shared" si="69"/>
        <v>24225.3</v>
      </c>
      <c r="I96" s="77">
        <f t="shared" si="69"/>
        <v>24225.3</v>
      </c>
      <c r="J96" s="77">
        <f t="shared" si="69"/>
        <v>24225.3</v>
      </c>
      <c r="K96" s="77">
        <f t="shared" si="69"/>
        <v>24225.3</v>
      </c>
      <c r="L96" s="77">
        <f t="shared" si="69"/>
        <v>24225.3</v>
      </c>
      <c r="M96" s="77">
        <f t="shared" si="69"/>
        <v>24225.3</v>
      </c>
      <c r="N96" s="77">
        <f t="shared" si="69"/>
        <v>24225.3</v>
      </c>
      <c r="O96" s="77">
        <f t="shared" si="69"/>
        <v>24225.3</v>
      </c>
      <c r="P96" s="77">
        <f t="shared" si="69"/>
        <v>24225.3</v>
      </c>
      <c r="Q96" s="77">
        <f t="shared" si="69"/>
        <v>24225.3</v>
      </c>
      <c r="R96" s="77">
        <f t="shared" si="69"/>
        <v>24225.3</v>
      </c>
      <c r="S96" s="77">
        <f t="shared" si="69"/>
        <v>24225.3</v>
      </c>
      <c r="T96" s="77">
        <f t="shared" si="69"/>
        <v>24225.3</v>
      </c>
      <c r="U96" s="77">
        <f t="shared" si="69"/>
        <v>24225.3</v>
      </c>
      <c r="V96" s="77">
        <f t="shared" si="69"/>
        <v>24225.3</v>
      </c>
      <c r="W96" s="77">
        <f t="shared" si="69"/>
        <v>24225.3</v>
      </c>
      <c r="X96" s="77">
        <f t="shared" si="69"/>
        <v>24225.3</v>
      </c>
      <c r="Y96" s="77">
        <f t="shared" si="69"/>
        <v>24225.3</v>
      </c>
      <c r="Z96" s="77">
        <f t="shared" si="69"/>
        <v>24225.3</v>
      </c>
      <c r="AA96" s="77">
        <f t="shared" si="69"/>
        <v>24225.3</v>
      </c>
      <c r="AB96" s="77">
        <f t="shared" si="69"/>
        <v>24225.3</v>
      </c>
      <c r="AC96" s="77">
        <f t="shared" si="69"/>
        <v>347943.60000000003</v>
      </c>
      <c r="AD96" s="77">
        <f t="shared" si="69"/>
        <v>842081.4</v>
      </c>
      <c r="AE96" s="77">
        <f t="shared" si="69"/>
        <v>0</v>
      </c>
      <c r="AF96" s="77">
        <f t="shared" si="69"/>
        <v>842081.4</v>
      </c>
      <c r="AG96" s="77">
        <f t="shared" si="69"/>
        <v>842081.4</v>
      </c>
      <c r="AH96" s="77">
        <f t="shared" si="69"/>
        <v>842081.4</v>
      </c>
      <c r="AI96" s="77">
        <f t="shared" si="69"/>
        <v>842081.4</v>
      </c>
      <c r="AJ96" s="77">
        <f t="shared" si="69"/>
        <v>842081.4</v>
      </c>
      <c r="AK96" s="77">
        <f t="shared" si="69"/>
        <v>842081.4</v>
      </c>
      <c r="AL96" s="77">
        <f t="shared" ref="AL96:BQ96" si="70">IF(AL92="","",-MIN(0,AL87*Equity_Share_LP))</f>
        <v>842081.4</v>
      </c>
      <c r="AM96" s="77">
        <f t="shared" si="70"/>
        <v>678031.20000000007</v>
      </c>
      <c r="AN96" s="77">
        <f t="shared" si="70"/>
        <v>678031.20000000007</v>
      </c>
      <c r="AO96" s="77">
        <f t="shared" si="70"/>
        <v>884093.4</v>
      </c>
      <c r="AP96" s="77">
        <f t="shared" si="70"/>
        <v>608580.9</v>
      </c>
      <c r="AQ96" s="77">
        <f t="shared" si="70"/>
        <v>608580.9</v>
      </c>
      <c r="AR96" s="77">
        <f t="shared" si="70"/>
        <v>608580.9</v>
      </c>
      <c r="AS96" s="77">
        <f t="shared" si="70"/>
        <v>608580.9</v>
      </c>
      <c r="AT96" s="77">
        <f t="shared" si="70"/>
        <v>608580.9</v>
      </c>
      <c r="AU96" s="77">
        <f t="shared" si="70"/>
        <v>0</v>
      </c>
      <c r="AV96" s="77">
        <f t="shared" si="70"/>
        <v>670845.6</v>
      </c>
      <c r="AW96" s="77">
        <f t="shared" si="70"/>
        <v>670845.6</v>
      </c>
      <c r="AX96" s="77">
        <f t="shared" si="70"/>
        <v>670845.6</v>
      </c>
      <c r="AY96" s="77">
        <f t="shared" si="70"/>
        <v>670845.6</v>
      </c>
      <c r="AZ96" s="77">
        <f t="shared" si="70"/>
        <v>670845.6</v>
      </c>
      <c r="BA96" s="77">
        <f t="shared" si="70"/>
        <v>0</v>
      </c>
      <c r="BB96" s="77">
        <f t="shared" si="70"/>
        <v>501548.4</v>
      </c>
      <c r="BC96" s="77">
        <f t="shared" si="70"/>
        <v>501548.4</v>
      </c>
      <c r="BD96" s="77">
        <f t="shared" si="70"/>
        <v>501548.4</v>
      </c>
      <c r="BE96" s="77">
        <f t="shared" si="70"/>
        <v>501548.4</v>
      </c>
      <c r="BF96" s="77">
        <f t="shared" si="70"/>
        <v>501548.4</v>
      </c>
      <c r="BG96" s="77">
        <f t="shared" si="70"/>
        <v>501548.4</v>
      </c>
      <c r="BH96" s="77">
        <f t="shared" si="70"/>
        <v>501548.4</v>
      </c>
      <c r="BI96" s="77">
        <f t="shared" si="70"/>
        <v>501548.4</v>
      </c>
      <c r="BJ96" s="77">
        <f t="shared" si="70"/>
        <v>501548.4</v>
      </c>
      <c r="BK96" s="77">
        <f t="shared" si="70"/>
        <v>501548.4</v>
      </c>
      <c r="BL96" s="77">
        <f t="shared" si="70"/>
        <v>501548.4</v>
      </c>
      <c r="BM96" s="77">
        <f t="shared" si="70"/>
        <v>368838.9</v>
      </c>
      <c r="BN96" s="77">
        <f t="shared" si="70"/>
        <v>368838.9</v>
      </c>
      <c r="BO96" s="77">
        <f t="shared" si="70"/>
        <v>368838.9</v>
      </c>
      <c r="BP96" s="77">
        <f t="shared" si="70"/>
        <v>227774.7</v>
      </c>
      <c r="BQ96" s="77">
        <f t="shared" si="70"/>
        <v>227774.7</v>
      </c>
      <c r="BR96" s="77">
        <f t="shared" ref="BR96:CW96" si="71">IF(BR92="","",-MIN(0,BR87*Equity_Share_LP))</f>
        <v>227774.7</v>
      </c>
      <c r="BS96" s="77">
        <f t="shared" si="71"/>
        <v>227774.7</v>
      </c>
      <c r="BT96" s="77">
        <f t="shared" si="71"/>
        <v>227774.7</v>
      </c>
      <c r="BU96" s="77">
        <f t="shared" si="71"/>
        <v>227774.7</v>
      </c>
      <c r="BV96" s="77">
        <f t="shared" si="71"/>
        <v>227774.7</v>
      </c>
      <c r="BW96" s="77">
        <f t="shared" si="71"/>
        <v>227774.7</v>
      </c>
      <c r="BX96" s="77">
        <f t="shared" si="71"/>
        <v>227774.7</v>
      </c>
      <c r="BY96" s="77">
        <f t="shared" si="71"/>
        <v>0</v>
      </c>
      <c r="BZ96" s="77">
        <f t="shared" si="71"/>
        <v>0</v>
      </c>
      <c r="CA96" s="77">
        <f t="shared" si="71"/>
        <v>227774.7</v>
      </c>
      <c r="CB96" s="77">
        <f t="shared" si="71"/>
        <v>227774.7</v>
      </c>
      <c r="CC96" s="77">
        <f t="shared" si="71"/>
        <v>227774.7</v>
      </c>
      <c r="CD96" s="77">
        <f t="shared" si="71"/>
        <v>227774.7</v>
      </c>
      <c r="CE96" s="77">
        <f t="shared" si="71"/>
        <v>0</v>
      </c>
      <c r="CF96" s="77">
        <f t="shared" si="71"/>
        <v>0</v>
      </c>
      <c r="CG96" s="77">
        <f t="shared" si="71"/>
        <v>0</v>
      </c>
      <c r="CH96" s="77">
        <f t="shared" si="71"/>
        <v>0</v>
      </c>
      <c r="CI96" s="77">
        <f t="shared" si="71"/>
        <v>0</v>
      </c>
      <c r="CJ96" s="77">
        <f t="shared" si="71"/>
        <v>0</v>
      </c>
      <c r="CK96" s="77">
        <f t="shared" si="71"/>
        <v>523424.7</v>
      </c>
      <c r="CL96" s="77">
        <f t="shared" si="71"/>
        <v>523424.7</v>
      </c>
      <c r="CM96" s="77">
        <f t="shared" si="71"/>
        <v>523424.7</v>
      </c>
      <c r="CN96" s="77">
        <f t="shared" si="71"/>
        <v>523424.7</v>
      </c>
      <c r="CO96" s="77">
        <f t="shared" si="71"/>
        <v>523424.7</v>
      </c>
      <c r="CP96" s="77">
        <f t="shared" si="71"/>
        <v>523424.7</v>
      </c>
      <c r="CQ96" s="77">
        <f t="shared" si="71"/>
        <v>523424.7</v>
      </c>
      <c r="CR96" s="77">
        <f t="shared" si="71"/>
        <v>523424.7</v>
      </c>
      <c r="CS96" s="77">
        <f t="shared" si="71"/>
        <v>523424.7</v>
      </c>
      <c r="CT96" s="77">
        <f t="shared" si="71"/>
        <v>523424.7</v>
      </c>
      <c r="CU96" s="77">
        <f t="shared" si="71"/>
        <v>523424.7</v>
      </c>
      <c r="CV96" s="77">
        <f t="shared" si="71"/>
        <v>523424.7</v>
      </c>
      <c r="CW96" s="77">
        <f t="shared" si="71"/>
        <v>0</v>
      </c>
      <c r="CX96" s="77" t="str">
        <f t="shared" ref="CX96:DV96" si="72">IF(CX92="","",-MIN(0,CX87*Equity_Share_LP))</f>
        <v/>
      </c>
      <c r="CY96" s="77" t="str">
        <f t="shared" si="72"/>
        <v/>
      </c>
      <c r="CZ96" s="77" t="str">
        <f t="shared" si="72"/>
        <v/>
      </c>
      <c r="DA96" s="77" t="str">
        <f t="shared" si="72"/>
        <v/>
      </c>
      <c r="DB96" s="77" t="str">
        <f t="shared" si="72"/>
        <v/>
      </c>
      <c r="DC96" s="77" t="str">
        <f t="shared" si="72"/>
        <v/>
      </c>
      <c r="DD96" s="77" t="str">
        <f t="shared" si="72"/>
        <v/>
      </c>
      <c r="DE96" s="77" t="str">
        <f t="shared" si="72"/>
        <v/>
      </c>
      <c r="DF96" s="77" t="str">
        <f t="shared" si="72"/>
        <v/>
      </c>
      <c r="DG96" s="77" t="str">
        <f t="shared" si="72"/>
        <v/>
      </c>
      <c r="DH96" s="77" t="str">
        <f t="shared" si="72"/>
        <v/>
      </c>
      <c r="DI96" s="77" t="str">
        <f t="shared" si="72"/>
        <v/>
      </c>
      <c r="DJ96" s="77" t="str">
        <f t="shared" si="72"/>
        <v/>
      </c>
      <c r="DK96" s="77" t="str">
        <f t="shared" si="72"/>
        <v/>
      </c>
      <c r="DL96" s="77" t="str">
        <f t="shared" si="72"/>
        <v/>
      </c>
      <c r="DM96" s="77" t="str">
        <f t="shared" si="72"/>
        <v/>
      </c>
      <c r="DN96" s="77" t="str">
        <f t="shared" si="72"/>
        <v/>
      </c>
      <c r="DO96" s="77" t="str">
        <f t="shared" si="72"/>
        <v/>
      </c>
      <c r="DP96" s="77" t="str">
        <f t="shared" si="72"/>
        <v/>
      </c>
      <c r="DQ96" s="77" t="str">
        <f t="shared" si="72"/>
        <v/>
      </c>
      <c r="DR96" s="77" t="str">
        <f t="shared" si="72"/>
        <v/>
      </c>
      <c r="DS96" s="77" t="str">
        <f t="shared" si="72"/>
        <v/>
      </c>
      <c r="DT96" s="77" t="str">
        <f t="shared" si="72"/>
        <v/>
      </c>
      <c r="DU96" s="77" t="str">
        <f t="shared" si="72"/>
        <v/>
      </c>
      <c r="DV96" s="77" t="str">
        <f t="shared" si="72"/>
        <v/>
      </c>
      <c r="DW96" s="77"/>
      <c r="DX96" s="77"/>
      <c r="DY96" s="78"/>
    </row>
    <row r="97" spans="2:129" outlineLevel="1" x14ac:dyDescent="0.2">
      <c r="B97" s="16" t="s">
        <v>61</v>
      </c>
      <c r="C97" s="16"/>
      <c r="D97" s="16"/>
      <c r="E97" s="16"/>
      <c r="F97" s="24">
        <f>IF(F92="","",MIN(F93+F95,MAX(F87,0)*$I$15))</f>
        <v>0</v>
      </c>
      <c r="G97" s="24">
        <f>IF(G92="","",MIN(G93+G95,MAX(G87,0)*$I$15))</f>
        <v>0</v>
      </c>
      <c r="H97" s="24">
        <f t="shared" ref="H97:BS97" si="73">IF(H92="","",MIN(H93+H95,MAX(H87,0)*$I$15))</f>
        <v>0</v>
      </c>
      <c r="I97" s="24">
        <f t="shared" si="73"/>
        <v>0</v>
      </c>
      <c r="J97" s="24">
        <f t="shared" si="73"/>
        <v>0</v>
      </c>
      <c r="K97" s="24">
        <f t="shared" si="73"/>
        <v>0</v>
      </c>
      <c r="L97" s="24">
        <f t="shared" si="73"/>
        <v>0</v>
      </c>
      <c r="M97" s="24">
        <f t="shared" si="73"/>
        <v>0</v>
      </c>
      <c r="N97" s="24">
        <f t="shared" si="73"/>
        <v>0</v>
      </c>
      <c r="O97" s="24">
        <f t="shared" si="73"/>
        <v>0</v>
      </c>
      <c r="P97" s="24">
        <f t="shared" si="73"/>
        <v>0</v>
      </c>
      <c r="Q97" s="24">
        <f t="shared" si="73"/>
        <v>0</v>
      </c>
      <c r="R97" s="24">
        <f t="shared" si="73"/>
        <v>0</v>
      </c>
      <c r="S97" s="24">
        <f t="shared" si="73"/>
        <v>0</v>
      </c>
      <c r="T97" s="24">
        <f t="shared" si="73"/>
        <v>0</v>
      </c>
      <c r="U97" s="24">
        <f t="shared" si="73"/>
        <v>0</v>
      </c>
      <c r="V97" s="24">
        <f t="shared" si="73"/>
        <v>0</v>
      </c>
      <c r="W97" s="24">
        <f t="shared" si="73"/>
        <v>0</v>
      </c>
      <c r="X97" s="24">
        <f t="shared" si="73"/>
        <v>0</v>
      </c>
      <c r="Y97" s="24">
        <f t="shared" si="73"/>
        <v>0</v>
      </c>
      <c r="Z97" s="24">
        <f t="shared" si="73"/>
        <v>0</v>
      </c>
      <c r="AA97" s="24">
        <f t="shared" si="73"/>
        <v>0</v>
      </c>
      <c r="AB97" s="24">
        <f t="shared" si="73"/>
        <v>0</v>
      </c>
      <c r="AC97" s="24">
        <f t="shared" si="73"/>
        <v>0</v>
      </c>
      <c r="AD97" s="24">
        <f t="shared" si="73"/>
        <v>0</v>
      </c>
      <c r="AE97" s="24">
        <f t="shared" si="73"/>
        <v>25591908.600000001</v>
      </c>
      <c r="AF97" s="24">
        <f t="shared" si="73"/>
        <v>0</v>
      </c>
      <c r="AG97" s="24">
        <f t="shared" si="73"/>
        <v>0</v>
      </c>
      <c r="AH97" s="24">
        <f t="shared" si="73"/>
        <v>0</v>
      </c>
      <c r="AI97" s="24">
        <f t="shared" si="73"/>
        <v>0</v>
      </c>
      <c r="AJ97" s="24">
        <f t="shared" si="73"/>
        <v>0</v>
      </c>
      <c r="AK97" s="24">
        <f t="shared" si="73"/>
        <v>0</v>
      </c>
      <c r="AL97" s="24">
        <f t="shared" si="73"/>
        <v>0</v>
      </c>
      <c r="AM97" s="24">
        <f t="shared" si="73"/>
        <v>0</v>
      </c>
      <c r="AN97" s="24">
        <f t="shared" si="73"/>
        <v>0</v>
      </c>
      <c r="AO97" s="24">
        <f t="shared" si="73"/>
        <v>0</v>
      </c>
      <c r="AP97" s="24">
        <f t="shared" si="73"/>
        <v>0</v>
      </c>
      <c r="AQ97" s="24">
        <f t="shared" si="73"/>
        <v>0</v>
      </c>
      <c r="AR97" s="24">
        <f t="shared" si="73"/>
        <v>0</v>
      </c>
      <c r="AS97" s="24">
        <f t="shared" si="73"/>
        <v>0</v>
      </c>
      <c r="AT97" s="24">
        <f t="shared" si="73"/>
        <v>0</v>
      </c>
      <c r="AU97" s="24">
        <f t="shared" si="73"/>
        <v>37257084.899999999</v>
      </c>
      <c r="AV97" s="24">
        <f t="shared" si="73"/>
        <v>0</v>
      </c>
      <c r="AW97" s="24">
        <f t="shared" si="73"/>
        <v>0</v>
      </c>
      <c r="AX97" s="24">
        <f t="shared" si="73"/>
        <v>0</v>
      </c>
      <c r="AY97" s="24">
        <f t="shared" si="73"/>
        <v>0</v>
      </c>
      <c r="AZ97" s="24">
        <f t="shared" si="73"/>
        <v>0</v>
      </c>
      <c r="BA97" s="24">
        <f t="shared" si="73"/>
        <v>76126210.206564635</v>
      </c>
      <c r="BB97" s="24">
        <f t="shared" si="73"/>
        <v>0</v>
      </c>
      <c r="BC97" s="24">
        <f t="shared" si="73"/>
        <v>0</v>
      </c>
      <c r="BD97" s="24">
        <f t="shared" si="73"/>
        <v>0</v>
      </c>
      <c r="BE97" s="24">
        <f t="shared" si="73"/>
        <v>0</v>
      </c>
      <c r="BF97" s="24">
        <f t="shared" si="73"/>
        <v>0</v>
      </c>
      <c r="BG97" s="24">
        <f t="shared" si="73"/>
        <v>0</v>
      </c>
      <c r="BH97" s="24">
        <f t="shared" si="73"/>
        <v>0</v>
      </c>
      <c r="BI97" s="24">
        <f t="shared" si="73"/>
        <v>0</v>
      </c>
      <c r="BJ97" s="24">
        <f t="shared" si="73"/>
        <v>0</v>
      </c>
      <c r="BK97" s="24">
        <f t="shared" si="73"/>
        <v>0</v>
      </c>
      <c r="BL97" s="24">
        <f t="shared" si="73"/>
        <v>0</v>
      </c>
      <c r="BM97" s="24">
        <f t="shared" si="73"/>
        <v>0</v>
      </c>
      <c r="BN97" s="24">
        <f t="shared" si="73"/>
        <v>0</v>
      </c>
      <c r="BO97" s="24">
        <f t="shared" si="73"/>
        <v>0</v>
      </c>
      <c r="BP97" s="24">
        <f t="shared" si="73"/>
        <v>0</v>
      </c>
      <c r="BQ97" s="24">
        <f t="shared" si="73"/>
        <v>0</v>
      </c>
      <c r="BR97" s="24">
        <f t="shared" si="73"/>
        <v>0</v>
      </c>
      <c r="BS97" s="24">
        <f t="shared" si="73"/>
        <v>0</v>
      </c>
      <c r="BT97" s="24">
        <f t="shared" ref="BT97:DV97" si="74">IF(BT92="","",MIN(BT93+BT95,MAX(BT87,0)*$I$15))</f>
        <v>0</v>
      </c>
      <c r="BU97" s="24">
        <f t="shared" si="74"/>
        <v>0</v>
      </c>
      <c r="BV97" s="24">
        <f t="shared" si="74"/>
        <v>0</v>
      </c>
      <c r="BW97" s="24">
        <f t="shared" si="74"/>
        <v>0</v>
      </c>
      <c r="BX97" s="24">
        <f t="shared" si="74"/>
        <v>0</v>
      </c>
      <c r="BY97" s="24">
        <f t="shared" si="74"/>
        <v>5316225.3</v>
      </c>
      <c r="BZ97" s="24">
        <f t="shared" si="74"/>
        <v>3855975.3000000003</v>
      </c>
      <c r="CA97" s="24">
        <f t="shared" si="74"/>
        <v>0</v>
      </c>
      <c r="CB97" s="24">
        <f t="shared" si="74"/>
        <v>0</v>
      </c>
      <c r="CC97" s="24">
        <f t="shared" si="74"/>
        <v>0</v>
      </c>
      <c r="CD97" s="24">
        <f t="shared" si="74"/>
        <v>0</v>
      </c>
      <c r="CE97" s="24">
        <f t="shared" si="74"/>
        <v>1290889.169803957</v>
      </c>
      <c r="CF97" s="24">
        <f t="shared" si="74"/>
        <v>0</v>
      </c>
      <c r="CG97" s="24">
        <f t="shared" si="74"/>
        <v>0</v>
      </c>
      <c r="CH97" s="24">
        <f t="shared" si="74"/>
        <v>0</v>
      </c>
      <c r="CI97" s="24">
        <f t="shared" si="74"/>
        <v>0</v>
      </c>
      <c r="CJ97" s="24">
        <f t="shared" si="74"/>
        <v>0</v>
      </c>
      <c r="CK97" s="24">
        <f t="shared" si="74"/>
        <v>0</v>
      </c>
      <c r="CL97" s="24">
        <f t="shared" si="74"/>
        <v>0</v>
      </c>
      <c r="CM97" s="24">
        <f t="shared" si="74"/>
        <v>0</v>
      </c>
      <c r="CN97" s="24">
        <f t="shared" si="74"/>
        <v>0</v>
      </c>
      <c r="CO97" s="24">
        <f t="shared" si="74"/>
        <v>0</v>
      </c>
      <c r="CP97" s="24">
        <f t="shared" si="74"/>
        <v>0</v>
      </c>
      <c r="CQ97" s="24">
        <f t="shared" si="74"/>
        <v>0</v>
      </c>
      <c r="CR97" s="24">
        <f t="shared" si="74"/>
        <v>0</v>
      </c>
      <c r="CS97" s="24">
        <f t="shared" si="74"/>
        <v>0</v>
      </c>
      <c r="CT97" s="24">
        <f t="shared" si="74"/>
        <v>0</v>
      </c>
      <c r="CU97" s="24">
        <f t="shared" si="74"/>
        <v>0</v>
      </c>
      <c r="CV97" s="24">
        <f t="shared" si="74"/>
        <v>0</v>
      </c>
      <c r="CW97" s="24">
        <f t="shared" si="74"/>
        <v>6550363.4172117002</v>
      </c>
      <c r="CX97" s="24" t="str">
        <f t="shared" si="74"/>
        <v/>
      </c>
      <c r="CY97" s="24" t="str">
        <f t="shared" si="74"/>
        <v/>
      </c>
      <c r="CZ97" s="24" t="str">
        <f t="shared" si="74"/>
        <v/>
      </c>
      <c r="DA97" s="24" t="str">
        <f t="shared" si="74"/>
        <v/>
      </c>
      <c r="DB97" s="24" t="str">
        <f t="shared" si="74"/>
        <v/>
      </c>
      <c r="DC97" s="24" t="str">
        <f t="shared" si="74"/>
        <v/>
      </c>
      <c r="DD97" s="24" t="str">
        <f t="shared" si="74"/>
        <v/>
      </c>
      <c r="DE97" s="24" t="str">
        <f t="shared" si="74"/>
        <v/>
      </c>
      <c r="DF97" s="24" t="str">
        <f t="shared" si="74"/>
        <v/>
      </c>
      <c r="DG97" s="24" t="str">
        <f t="shared" si="74"/>
        <v/>
      </c>
      <c r="DH97" s="24" t="str">
        <f t="shared" si="74"/>
        <v/>
      </c>
      <c r="DI97" s="24" t="str">
        <f t="shared" si="74"/>
        <v/>
      </c>
      <c r="DJ97" s="24" t="str">
        <f t="shared" si="74"/>
        <v/>
      </c>
      <c r="DK97" s="24" t="str">
        <f t="shared" si="74"/>
        <v/>
      </c>
      <c r="DL97" s="24" t="str">
        <f t="shared" si="74"/>
        <v/>
      </c>
      <c r="DM97" s="24" t="str">
        <f t="shared" si="74"/>
        <v/>
      </c>
      <c r="DN97" s="24" t="str">
        <f t="shared" si="74"/>
        <v/>
      </c>
      <c r="DO97" s="24" t="str">
        <f t="shared" si="74"/>
        <v/>
      </c>
      <c r="DP97" s="24" t="str">
        <f t="shared" si="74"/>
        <v/>
      </c>
      <c r="DQ97" s="24" t="str">
        <f t="shared" si="74"/>
        <v/>
      </c>
      <c r="DR97" s="24" t="str">
        <f t="shared" si="74"/>
        <v/>
      </c>
      <c r="DS97" s="24" t="str">
        <f t="shared" si="74"/>
        <v/>
      </c>
      <c r="DT97" s="24" t="str">
        <f t="shared" si="74"/>
        <v/>
      </c>
      <c r="DU97" s="24" t="str">
        <f t="shared" si="74"/>
        <v/>
      </c>
      <c r="DV97" s="24" t="str">
        <f t="shared" si="74"/>
        <v/>
      </c>
      <c r="DW97" s="24"/>
      <c r="DX97" s="24"/>
      <c r="DY97" s="70"/>
    </row>
    <row r="98" spans="2:129" outlineLevel="1" x14ac:dyDescent="0.2">
      <c r="B98" s="16" t="s">
        <v>62</v>
      </c>
      <c r="C98" s="16"/>
      <c r="D98" s="16"/>
      <c r="E98" s="16"/>
      <c r="F98" s="77">
        <f>IF(F92="","",F93+F95+F96-F97)</f>
        <v>93624225.299999997</v>
      </c>
      <c r="G98" s="77">
        <f>IF(G92="","",G93+G95+G96-G97)</f>
        <v>94262421.996490687</v>
      </c>
      <c r="H98" s="77">
        <f t="shared" ref="H98:BS98" si="75">IF(H92="","",H93+H95+H96-H97)</f>
        <v>94844805.527225912</v>
      </c>
      <c r="I98" s="77">
        <f t="shared" si="75"/>
        <v>95491006.576695099</v>
      </c>
      <c r="J98" s="77">
        <f t="shared" si="75"/>
        <v>96121180.912628457</v>
      </c>
      <c r="K98" s="77">
        <f t="shared" si="75"/>
        <v>96775752.210025579</v>
      </c>
      <c r="L98" s="77">
        <f t="shared" si="75"/>
        <v>97414079.04540202</v>
      </c>
      <c r="M98" s="77">
        <f t="shared" si="75"/>
        <v>98077128.94403249</v>
      </c>
      <c r="N98" s="77">
        <f t="shared" si="75"/>
        <v>98744527.008652046</v>
      </c>
      <c r="O98" s="77">
        <f t="shared" si="75"/>
        <v>99395346.928288102</v>
      </c>
      <c r="P98" s="77">
        <f t="shared" si="75"/>
        <v>100071389.63732612</v>
      </c>
      <c r="Q98" s="77">
        <f t="shared" si="75"/>
        <v>100730629.31458633</v>
      </c>
      <c r="R98" s="77">
        <f t="shared" si="75"/>
        <v>101415428.57342541</v>
      </c>
      <c r="S98" s="77">
        <f t="shared" si="75"/>
        <v>102104718.62677754</v>
      </c>
      <c r="T98" s="77">
        <f t="shared" si="75"/>
        <v>102733538.92753577</v>
      </c>
      <c r="U98" s="77">
        <f t="shared" si="75"/>
        <v>103431472.91948658</v>
      </c>
      <c r="V98" s="77">
        <f t="shared" si="75"/>
        <v>104112034.38712759</v>
      </c>
      <c r="W98" s="77">
        <f t="shared" si="75"/>
        <v>104819008.31270316</v>
      </c>
      <c r="X98" s="77">
        <f t="shared" si="75"/>
        <v>105508374.54389191</v>
      </c>
      <c r="Y98" s="77">
        <f t="shared" si="75"/>
        <v>106224505.42551467</v>
      </c>
      <c r="Z98" s="77">
        <f t="shared" si="75"/>
        <v>106945332.56898688</v>
      </c>
      <c r="AA98" s="77">
        <f t="shared" si="75"/>
        <v>107648191.63242619</v>
      </c>
      <c r="AB98" s="77">
        <f t="shared" si="75"/>
        <v>108378355.06258938</v>
      </c>
      <c r="AC98" s="77">
        <f t="shared" si="75"/>
        <v>109414025.83314207</v>
      </c>
      <c r="AD98" s="77">
        <f t="shared" si="75"/>
        <v>110973625.39707014</v>
      </c>
      <c r="AE98" s="77">
        <f t="shared" si="75"/>
        <v>86109462.543861121</v>
      </c>
      <c r="AF98" s="77">
        <f t="shared" si="75"/>
        <v>87479691.67186597</v>
      </c>
      <c r="AG98" s="77">
        <f t="shared" si="75"/>
        <v>88895449.684817895</v>
      </c>
      <c r="AH98" s="77">
        <f t="shared" si="75"/>
        <v>90301627.264829516</v>
      </c>
      <c r="AI98" s="77">
        <f t="shared" si="75"/>
        <v>91735891.040913433</v>
      </c>
      <c r="AJ98" s="77">
        <f t="shared" si="75"/>
        <v>93160092.96440047</v>
      </c>
      <c r="AK98" s="77">
        <f t="shared" si="75"/>
        <v>94613102.061706141</v>
      </c>
      <c r="AL98" s="77">
        <f t="shared" si="75"/>
        <v>96075639.740121335</v>
      </c>
      <c r="AM98" s="77">
        <f t="shared" si="75"/>
        <v>97363329.832243815</v>
      </c>
      <c r="AN98" s="77">
        <f t="shared" si="75"/>
        <v>98679852.826355219</v>
      </c>
      <c r="AO98" s="77">
        <f t="shared" si="75"/>
        <v>100190130.44861652</v>
      </c>
      <c r="AP98" s="77">
        <f t="shared" si="75"/>
        <v>101455740.80983785</v>
      </c>
      <c r="AQ98" s="77">
        <f t="shared" si="75"/>
        <v>102729650.82382962</v>
      </c>
      <c r="AR98" s="77">
        <f t="shared" si="75"/>
        <v>103946527.14986919</v>
      </c>
      <c r="AS98" s="77">
        <f t="shared" si="75"/>
        <v>105236771.30774999</v>
      </c>
      <c r="AT98" s="77">
        <f t="shared" si="75"/>
        <v>106513144.10150759</v>
      </c>
      <c r="AU98" s="77">
        <f t="shared" si="75"/>
        <v>69954553.887248039</v>
      </c>
      <c r="AV98" s="77">
        <f t="shared" si="75"/>
        <v>71069304.06011565</v>
      </c>
      <c r="AW98" s="77">
        <f t="shared" si="75"/>
        <v>72206209.803434253</v>
      </c>
      <c r="AX98" s="77">
        <f t="shared" si="75"/>
        <v>73350571.177009523</v>
      </c>
      <c r="AY98" s="77">
        <f t="shared" si="75"/>
        <v>74486871.163587511</v>
      </c>
      <c r="AZ98" s="77">
        <f t="shared" si="75"/>
        <v>75646188.717956036</v>
      </c>
      <c r="BA98" s="77">
        <f t="shared" si="75"/>
        <v>0</v>
      </c>
      <c r="BB98" s="77">
        <f t="shared" si="75"/>
        <v>501548.4</v>
      </c>
      <c r="BC98" s="77">
        <f t="shared" si="75"/>
        <v>1006385.8672320007</v>
      </c>
      <c r="BD98" s="77">
        <f t="shared" si="75"/>
        <v>1513893.4028365586</v>
      </c>
      <c r="BE98" s="77">
        <f t="shared" si="75"/>
        <v>2025369.6526393127</v>
      </c>
      <c r="BF98" s="77">
        <f t="shared" si="75"/>
        <v>2539770.2659777468</v>
      </c>
      <c r="BG98" s="77">
        <f t="shared" si="75"/>
        <v>3057974.0379391308</v>
      </c>
      <c r="BH98" s="77">
        <f t="shared" si="75"/>
        <v>3578927.1597723877</v>
      </c>
      <c r="BI98" s="77">
        <f t="shared" si="75"/>
        <v>4103945.5420251959</v>
      </c>
      <c r="BJ98" s="77">
        <f t="shared" si="75"/>
        <v>4632406.9035742516</v>
      </c>
      <c r="BK98" s="77">
        <f t="shared" si="75"/>
        <v>5163350.7681096205</v>
      </c>
      <c r="BL98" s="77">
        <f t="shared" si="75"/>
        <v>5698759.5249938508</v>
      </c>
      <c r="BM98" s="77">
        <f t="shared" si="75"/>
        <v>6103760.5512922332</v>
      </c>
      <c r="BN98" s="77">
        <f t="shared" si="75"/>
        <v>6512626.852079941</v>
      </c>
      <c r="BO98" s="77">
        <f t="shared" si="75"/>
        <v>6924174.4270022893</v>
      </c>
      <c r="BP98" s="77">
        <f t="shared" si="75"/>
        <v>7192949.3990685176</v>
      </c>
      <c r="BQ98" s="77">
        <f t="shared" si="75"/>
        <v>7467894.2110057008</v>
      </c>
      <c r="BR98" s="77">
        <f t="shared" si="75"/>
        <v>7743057.2825375982</v>
      </c>
      <c r="BS98" s="77">
        <f t="shared" si="75"/>
        <v>8021609.6063591447</v>
      </c>
      <c r="BT98" s="77">
        <f t="shared" ref="BT98:DV98" si="76">IF(BT92="","",BT93+BT95+BT96-BT97)</f>
        <v>8300286.3418686688</v>
      </c>
      <c r="BU98" s="77">
        <f t="shared" si="76"/>
        <v>8582492.8770081345</v>
      </c>
      <c r="BV98" s="77">
        <f t="shared" si="76"/>
        <v>8866550.0735541228</v>
      </c>
      <c r="BW98" s="77">
        <f t="shared" si="76"/>
        <v>9150588.4748358745</v>
      </c>
      <c r="BX98" s="77">
        <f t="shared" si="76"/>
        <v>9438371.1435705069</v>
      </c>
      <c r="BY98" s="77">
        <f t="shared" si="76"/>
        <v>4182038.1004463872</v>
      </c>
      <c r="BZ98" s="77">
        <f t="shared" si="76"/>
        <v>353487.87942013377</v>
      </c>
      <c r="CA98" s="77">
        <f t="shared" si="76"/>
        <v>583580.69149288721</v>
      </c>
      <c r="CB98" s="77">
        <f t="shared" si="76"/>
        <v>814934.75207898393</v>
      </c>
      <c r="CC98" s="77">
        <f t="shared" si="76"/>
        <v>1048053.6525375668</v>
      </c>
      <c r="CD98" s="77">
        <f t="shared" si="76"/>
        <v>1282478.8961136418</v>
      </c>
      <c r="CE98" s="77">
        <f t="shared" si="76"/>
        <v>0</v>
      </c>
      <c r="CF98" s="77">
        <f t="shared" si="76"/>
        <v>0</v>
      </c>
      <c r="CG98" s="77">
        <f t="shared" si="76"/>
        <v>0</v>
      </c>
      <c r="CH98" s="77">
        <f t="shared" si="76"/>
        <v>0</v>
      </c>
      <c r="CI98" s="77">
        <f t="shared" si="76"/>
        <v>0</v>
      </c>
      <c r="CJ98" s="77">
        <f t="shared" si="76"/>
        <v>0</v>
      </c>
      <c r="CK98" s="77">
        <f t="shared" si="76"/>
        <v>523424.7</v>
      </c>
      <c r="CL98" s="77">
        <f t="shared" si="76"/>
        <v>1050281.9282050342</v>
      </c>
      <c r="CM98" s="77">
        <f t="shared" si="76"/>
        <v>1580594.1945384562</v>
      </c>
      <c r="CN98" s="77">
        <f t="shared" si="76"/>
        <v>2113378.103016749</v>
      </c>
      <c r="CO98" s="77">
        <f t="shared" si="76"/>
        <v>2650661.9692855682</v>
      </c>
      <c r="CP98" s="77">
        <f t="shared" si="76"/>
        <v>3190906.7460912704</v>
      </c>
      <c r="CQ98" s="77">
        <f t="shared" si="76"/>
        <v>3735256.8579138159</v>
      </c>
      <c r="CR98" s="77">
        <f t="shared" si="76"/>
        <v>4282384.054862557</v>
      </c>
      <c r="CS98" s="77">
        <f t="shared" si="76"/>
        <v>4833891.8851640206</v>
      </c>
      <c r="CT98" s="77">
        <f t="shared" si="76"/>
        <v>5389016.4079578463</v>
      </c>
      <c r="CU98" s="77">
        <f t="shared" si="76"/>
        <v>5946637.724101048</v>
      </c>
      <c r="CV98" s="77">
        <f t="shared" si="76"/>
        <v>6509059.4406978907</v>
      </c>
      <c r="CW98" s="77">
        <f t="shared" si="76"/>
        <v>0</v>
      </c>
      <c r="CX98" s="77" t="str">
        <f t="shared" si="76"/>
        <v/>
      </c>
      <c r="CY98" s="77" t="str">
        <f t="shared" si="76"/>
        <v/>
      </c>
      <c r="CZ98" s="77" t="str">
        <f t="shared" si="76"/>
        <v/>
      </c>
      <c r="DA98" s="77" t="str">
        <f t="shared" si="76"/>
        <v/>
      </c>
      <c r="DB98" s="77" t="str">
        <f t="shared" si="76"/>
        <v/>
      </c>
      <c r="DC98" s="77" t="str">
        <f t="shared" si="76"/>
        <v/>
      </c>
      <c r="DD98" s="77" t="str">
        <f t="shared" si="76"/>
        <v/>
      </c>
      <c r="DE98" s="77" t="str">
        <f t="shared" si="76"/>
        <v/>
      </c>
      <c r="DF98" s="77" t="str">
        <f t="shared" si="76"/>
        <v/>
      </c>
      <c r="DG98" s="77" t="str">
        <f t="shared" si="76"/>
        <v/>
      </c>
      <c r="DH98" s="77" t="str">
        <f t="shared" si="76"/>
        <v/>
      </c>
      <c r="DI98" s="77" t="str">
        <f t="shared" si="76"/>
        <v/>
      </c>
      <c r="DJ98" s="77" t="str">
        <f t="shared" si="76"/>
        <v/>
      </c>
      <c r="DK98" s="77" t="str">
        <f t="shared" si="76"/>
        <v/>
      </c>
      <c r="DL98" s="77" t="str">
        <f t="shared" si="76"/>
        <v/>
      </c>
      <c r="DM98" s="77" t="str">
        <f t="shared" si="76"/>
        <v/>
      </c>
      <c r="DN98" s="77" t="str">
        <f t="shared" si="76"/>
        <v/>
      </c>
      <c r="DO98" s="77" t="str">
        <f t="shared" si="76"/>
        <v/>
      </c>
      <c r="DP98" s="77" t="str">
        <f t="shared" si="76"/>
        <v/>
      </c>
      <c r="DQ98" s="77" t="str">
        <f t="shared" si="76"/>
        <v/>
      </c>
      <c r="DR98" s="77" t="str">
        <f t="shared" si="76"/>
        <v/>
      </c>
      <c r="DS98" s="77" t="str">
        <f t="shared" si="76"/>
        <v/>
      </c>
      <c r="DT98" s="77" t="str">
        <f t="shared" si="76"/>
        <v/>
      </c>
      <c r="DU98" s="77" t="str">
        <f t="shared" si="76"/>
        <v/>
      </c>
      <c r="DV98" s="77" t="str">
        <f t="shared" si="76"/>
        <v/>
      </c>
      <c r="DW98" s="77"/>
      <c r="DX98" s="77"/>
      <c r="DY98" s="78"/>
    </row>
    <row r="99" spans="2:129" outlineLevel="1" x14ac:dyDescent="0.2">
      <c r="B99" s="124" t="str">
        <f>IF(D57="Equity Multiple", "LP EMx Check","LP IRR Check")</f>
        <v>LP IRR Check</v>
      </c>
      <c r="C99" s="16"/>
      <c r="D99" s="16"/>
      <c r="E99" s="79">
        <f ca="1">XIRR(OFFSET(F99,0,0,1,$E$21+1),OFFSET($F$46,0,0,1,$E$21+1))</f>
        <v>7.9999998211860726E-2</v>
      </c>
      <c r="F99" s="77">
        <f>IF(F92="","",-F96+F97)</f>
        <v>-93624225.299999997</v>
      </c>
      <c r="G99" s="77">
        <f>IF(G92="","",-G96+G97)</f>
        <v>-24225.3</v>
      </c>
      <c r="H99" s="77">
        <f t="shared" ref="H99:BS99" si="77">IF(H92="","",-H96+H97)</f>
        <v>-24225.3</v>
      </c>
      <c r="I99" s="77">
        <f t="shared" si="77"/>
        <v>-24225.3</v>
      </c>
      <c r="J99" s="77">
        <f t="shared" si="77"/>
        <v>-24225.3</v>
      </c>
      <c r="K99" s="77">
        <f t="shared" si="77"/>
        <v>-24225.3</v>
      </c>
      <c r="L99" s="77">
        <f t="shared" si="77"/>
        <v>-24225.3</v>
      </c>
      <c r="M99" s="77">
        <f t="shared" si="77"/>
        <v>-24225.3</v>
      </c>
      <c r="N99" s="77">
        <f t="shared" si="77"/>
        <v>-24225.3</v>
      </c>
      <c r="O99" s="77">
        <f t="shared" si="77"/>
        <v>-24225.3</v>
      </c>
      <c r="P99" s="77">
        <f t="shared" si="77"/>
        <v>-24225.3</v>
      </c>
      <c r="Q99" s="77">
        <f t="shared" si="77"/>
        <v>-24225.3</v>
      </c>
      <c r="R99" s="77">
        <f t="shared" si="77"/>
        <v>-24225.3</v>
      </c>
      <c r="S99" s="77">
        <f t="shared" si="77"/>
        <v>-24225.3</v>
      </c>
      <c r="T99" s="77">
        <f t="shared" si="77"/>
        <v>-24225.3</v>
      </c>
      <c r="U99" s="77">
        <f t="shared" si="77"/>
        <v>-24225.3</v>
      </c>
      <c r="V99" s="77">
        <f t="shared" si="77"/>
        <v>-24225.3</v>
      </c>
      <c r="W99" s="77">
        <f t="shared" si="77"/>
        <v>-24225.3</v>
      </c>
      <c r="X99" s="77">
        <f t="shared" si="77"/>
        <v>-24225.3</v>
      </c>
      <c r="Y99" s="77">
        <f t="shared" si="77"/>
        <v>-24225.3</v>
      </c>
      <c r="Z99" s="77">
        <f t="shared" si="77"/>
        <v>-24225.3</v>
      </c>
      <c r="AA99" s="77">
        <f t="shared" si="77"/>
        <v>-24225.3</v>
      </c>
      <c r="AB99" s="77">
        <f t="shared" si="77"/>
        <v>-24225.3</v>
      </c>
      <c r="AC99" s="77">
        <f t="shared" si="77"/>
        <v>-347943.60000000003</v>
      </c>
      <c r="AD99" s="77">
        <f t="shared" si="77"/>
        <v>-842081.4</v>
      </c>
      <c r="AE99" s="77">
        <f t="shared" si="77"/>
        <v>25591908.600000001</v>
      </c>
      <c r="AF99" s="77">
        <f t="shared" si="77"/>
        <v>-842081.4</v>
      </c>
      <c r="AG99" s="77">
        <f t="shared" si="77"/>
        <v>-842081.4</v>
      </c>
      <c r="AH99" s="77">
        <f t="shared" si="77"/>
        <v>-842081.4</v>
      </c>
      <c r="AI99" s="77">
        <f t="shared" si="77"/>
        <v>-842081.4</v>
      </c>
      <c r="AJ99" s="77">
        <f t="shared" si="77"/>
        <v>-842081.4</v>
      </c>
      <c r="AK99" s="77">
        <f t="shared" si="77"/>
        <v>-842081.4</v>
      </c>
      <c r="AL99" s="77">
        <f t="shared" si="77"/>
        <v>-842081.4</v>
      </c>
      <c r="AM99" s="77">
        <f t="shared" si="77"/>
        <v>-678031.20000000007</v>
      </c>
      <c r="AN99" s="77">
        <f t="shared" si="77"/>
        <v>-678031.20000000007</v>
      </c>
      <c r="AO99" s="77">
        <f t="shared" si="77"/>
        <v>-884093.4</v>
      </c>
      <c r="AP99" s="77">
        <f t="shared" si="77"/>
        <v>-608580.9</v>
      </c>
      <c r="AQ99" s="77">
        <f t="shared" si="77"/>
        <v>-608580.9</v>
      </c>
      <c r="AR99" s="77">
        <f t="shared" si="77"/>
        <v>-608580.9</v>
      </c>
      <c r="AS99" s="77">
        <f t="shared" si="77"/>
        <v>-608580.9</v>
      </c>
      <c r="AT99" s="77">
        <f t="shared" si="77"/>
        <v>-608580.9</v>
      </c>
      <c r="AU99" s="77">
        <f t="shared" si="77"/>
        <v>37257084.899999999</v>
      </c>
      <c r="AV99" s="77">
        <f t="shared" si="77"/>
        <v>-670845.6</v>
      </c>
      <c r="AW99" s="77">
        <f t="shared" si="77"/>
        <v>-670845.6</v>
      </c>
      <c r="AX99" s="77">
        <f t="shared" si="77"/>
        <v>-670845.6</v>
      </c>
      <c r="AY99" s="77">
        <f t="shared" si="77"/>
        <v>-670845.6</v>
      </c>
      <c r="AZ99" s="77">
        <f t="shared" si="77"/>
        <v>-670845.6</v>
      </c>
      <c r="BA99" s="77">
        <f t="shared" si="77"/>
        <v>76126210.206564635</v>
      </c>
      <c r="BB99" s="77">
        <f t="shared" si="77"/>
        <v>-501548.4</v>
      </c>
      <c r="BC99" s="77">
        <f t="shared" si="77"/>
        <v>-501548.4</v>
      </c>
      <c r="BD99" s="77">
        <f t="shared" si="77"/>
        <v>-501548.4</v>
      </c>
      <c r="BE99" s="77">
        <f t="shared" si="77"/>
        <v>-501548.4</v>
      </c>
      <c r="BF99" s="77">
        <f t="shared" si="77"/>
        <v>-501548.4</v>
      </c>
      <c r="BG99" s="77">
        <f t="shared" si="77"/>
        <v>-501548.4</v>
      </c>
      <c r="BH99" s="77">
        <f t="shared" si="77"/>
        <v>-501548.4</v>
      </c>
      <c r="BI99" s="77">
        <f t="shared" si="77"/>
        <v>-501548.4</v>
      </c>
      <c r="BJ99" s="77">
        <f t="shared" si="77"/>
        <v>-501548.4</v>
      </c>
      <c r="BK99" s="77">
        <f t="shared" si="77"/>
        <v>-501548.4</v>
      </c>
      <c r="BL99" s="77">
        <f t="shared" si="77"/>
        <v>-501548.4</v>
      </c>
      <c r="BM99" s="77">
        <f t="shared" si="77"/>
        <v>-368838.9</v>
      </c>
      <c r="BN99" s="77">
        <f t="shared" si="77"/>
        <v>-368838.9</v>
      </c>
      <c r="BO99" s="77">
        <f t="shared" si="77"/>
        <v>-368838.9</v>
      </c>
      <c r="BP99" s="77">
        <f t="shared" si="77"/>
        <v>-227774.7</v>
      </c>
      <c r="BQ99" s="77">
        <f t="shared" si="77"/>
        <v>-227774.7</v>
      </c>
      <c r="BR99" s="77">
        <f t="shared" si="77"/>
        <v>-227774.7</v>
      </c>
      <c r="BS99" s="77">
        <f t="shared" si="77"/>
        <v>-227774.7</v>
      </c>
      <c r="BT99" s="77">
        <f t="shared" ref="BT99:DV99" si="78">IF(BT92="","",-BT96+BT97)</f>
        <v>-227774.7</v>
      </c>
      <c r="BU99" s="77">
        <f t="shared" si="78"/>
        <v>-227774.7</v>
      </c>
      <c r="BV99" s="77">
        <f t="shared" si="78"/>
        <v>-227774.7</v>
      </c>
      <c r="BW99" s="77">
        <f t="shared" si="78"/>
        <v>-227774.7</v>
      </c>
      <c r="BX99" s="77">
        <f t="shared" si="78"/>
        <v>-227774.7</v>
      </c>
      <c r="BY99" s="77">
        <f t="shared" si="78"/>
        <v>5316225.3</v>
      </c>
      <c r="BZ99" s="77">
        <f t="shared" si="78"/>
        <v>3855975.3000000003</v>
      </c>
      <c r="CA99" s="77">
        <f t="shared" si="78"/>
        <v>-227774.7</v>
      </c>
      <c r="CB99" s="77">
        <f t="shared" si="78"/>
        <v>-227774.7</v>
      </c>
      <c r="CC99" s="77">
        <f t="shared" si="78"/>
        <v>-227774.7</v>
      </c>
      <c r="CD99" s="77">
        <f t="shared" si="78"/>
        <v>-227774.7</v>
      </c>
      <c r="CE99" s="77">
        <f t="shared" si="78"/>
        <v>1290889.169803957</v>
      </c>
      <c r="CF99" s="77">
        <f t="shared" si="78"/>
        <v>0</v>
      </c>
      <c r="CG99" s="77">
        <f t="shared" si="78"/>
        <v>0</v>
      </c>
      <c r="CH99" s="77">
        <f t="shared" si="78"/>
        <v>0</v>
      </c>
      <c r="CI99" s="77">
        <f t="shared" si="78"/>
        <v>0</v>
      </c>
      <c r="CJ99" s="77">
        <f t="shared" si="78"/>
        <v>0</v>
      </c>
      <c r="CK99" s="77">
        <f t="shared" si="78"/>
        <v>-523424.7</v>
      </c>
      <c r="CL99" s="77">
        <f t="shared" si="78"/>
        <v>-523424.7</v>
      </c>
      <c r="CM99" s="77">
        <f t="shared" si="78"/>
        <v>-523424.7</v>
      </c>
      <c r="CN99" s="77">
        <f t="shared" si="78"/>
        <v>-523424.7</v>
      </c>
      <c r="CO99" s="77">
        <f t="shared" si="78"/>
        <v>-523424.7</v>
      </c>
      <c r="CP99" s="77">
        <f t="shared" si="78"/>
        <v>-523424.7</v>
      </c>
      <c r="CQ99" s="77">
        <f t="shared" si="78"/>
        <v>-523424.7</v>
      </c>
      <c r="CR99" s="77">
        <f t="shared" si="78"/>
        <v>-523424.7</v>
      </c>
      <c r="CS99" s="77">
        <f t="shared" si="78"/>
        <v>-523424.7</v>
      </c>
      <c r="CT99" s="77">
        <f t="shared" si="78"/>
        <v>-523424.7</v>
      </c>
      <c r="CU99" s="77">
        <f t="shared" si="78"/>
        <v>-523424.7</v>
      </c>
      <c r="CV99" s="77">
        <f t="shared" si="78"/>
        <v>-523424.7</v>
      </c>
      <c r="CW99" s="77">
        <f t="shared" si="78"/>
        <v>6550363.4172117002</v>
      </c>
      <c r="CX99" s="77" t="str">
        <f t="shared" si="78"/>
        <v/>
      </c>
      <c r="CY99" s="77" t="str">
        <f t="shared" si="78"/>
        <v/>
      </c>
      <c r="CZ99" s="77" t="str">
        <f t="shared" si="78"/>
        <v/>
      </c>
      <c r="DA99" s="77" t="str">
        <f t="shared" si="78"/>
        <v/>
      </c>
      <c r="DB99" s="77" t="str">
        <f t="shared" si="78"/>
        <v/>
      </c>
      <c r="DC99" s="77" t="str">
        <f t="shared" si="78"/>
        <v/>
      </c>
      <c r="DD99" s="77" t="str">
        <f t="shared" si="78"/>
        <v/>
      </c>
      <c r="DE99" s="77" t="str">
        <f t="shared" si="78"/>
        <v/>
      </c>
      <c r="DF99" s="77" t="str">
        <f t="shared" si="78"/>
        <v/>
      </c>
      <c r="DG99" s="77" t="str">
        <f t="shared" si="78"/>
        <v/>
      </c>
      <c r="DH99" s="77" t="str">
        <f t="shared" si="78"/>
        <v/>
      </c>
      <c r="DI99" s="77" t="str">
        <f t="shared" si="78"/>
        <v/>
      </c>
      <c r="DJ99" s="77" t="str">
        <f t="shared" si="78"/>
        <v/>
      </c>
      <c r="DK99" s="77" t="str">
        <f t="shared" si="78"/>
        <v/>
      </c>
      <c r="DL99" s="77" t="str">
        <f t="shared" si="78"/>
        <v/>
      </c>
      <c r="DM99" s="77" t="str">
        <f t="shared" si="78"/>
        <v/>
      </c>
      <c r="DN99" s="77" t="str">
        <f t="shared" si="78"/>
        <v/>
      </c>
      <c r="DO99" s="77" t="str">
        <f t="shared" si="78"/>
        <v/>
      </c>
      <c r="DP99" s="77" t="str">
        <f t="shared" si="78"/>
        <v/>
      </c>
      <c r="DQ99" s="77" t="str">
        <f t="shared" si="78"/>
        <v/>
      </c>
      <c r="DR99" s="77" t="str">
        <f t="shared" si="78"/>
        <v/>
      </c>
      <c r="DS99" s="77" t="str">
        <f t="shared" si="78"/>
        <v/>
      </c>
      <c r="DT99" s="77" t="str">
        <f t="shared" si="78"/>
        <v/>
      </c>
      <c r="DU99" s="77" t="str">
        <f t="shared" si="78"/>
        <v/>
      </c>
      <c r="DV99" s="77" t="str">
        <f t="shared" si="78"/>
        <v/>
      </c>
      <c r="DW99" s="77"/>
      <c r="DX99" s="77"/>
      <c r="DY99" s="78"/>
    </row>
    <row r="100" spans="2:129" outlineLevel="1" x14ac:dyDescent="0.2">
      <c r="B100" s="16" t="s">
        <v>63</v>
      </c>
      <c r="C100" s="16"/>
      <c r="D100" s="16"/>
      <c r="E100" s="16"/>
      <c r="F100" s="77">
        <f>IF(F92="","",MIN(F93+F95,MAX(F87,0)*$I$15))</f>
        <v>0</v>
      </c>
      <c r="G100" s="77">
        <f>IF(G92="","",MIN(G93+G95,MAX(G87,0)*$I$15))</f>
        <v>0</v>
      </c>
      <c r="H100" s="77">
        <f t="shared" ref="H100:BS100" si="79">IF(H92="","",MIN(H93+H95,MAX(H87,0)*$I$15))</f>
        <v>0</v>
      </c>
      <c r="I100" s="77">
        <f t="shared" si="79"/>
        <v>0</v>
      </c>
      <c r="J100" s="77">
        <f t="shared" si="79"/>
        <v>0</v>
      </c>
      <c r="K100" s="77">
        <f t="shared" si="79"/>
        <v>0</v>
      </c>
      <c r="L100" s="77">
        <f t="shared" si="79"/>
        <v>0</v>
      </c>
      <c r="M100" s="77">
        <f t="shared" si="79"/>
        <v>0</v>
      </c>
      <c r="N100" s="77">
        <f t="shared" si="79"/>
        <v>0</v>
      </c>
      <c r="O100" s="77">
        <f t="shared" si="79"/>
        <v>0</v>
      </c>
      <c r="P100" s="77">
        <f t="shared" si="79"/>
        <v>0</v>
      </c>
      <c r="Q100" s="77">
        <f t="shared" si="79"/>
        <v>0</v>
      </c>
      <c r="R100" s="77">
        <f t="shared" si="79"/>
        <v>0</v>
      </c>
      <c r="S100" s="77">
        <f t="shared" si="79"/>
        <v>0</v>
      </c>
      <c r="T100" s="77">
        <f t="shared" si="79"/>
        <v>0</v>
      </c>
      <c r="U100" s="77">
        <f t="shared" si="79"/>
        <v>0</v>
      </c>
      <c r="V100" s="77">
        <f t="shared" si="79"/>
        <v>0</v>
      </c>
      <c r="W100" s="77">
        <f t="shared" si="79"/>
        <v>0</v>
      </c>
      <c r="X100" s="77">
        <f t="shared" si="79"/>
        <v>0</v>
      </c>
      <c r="Y100" s="77">
        <f t="shared" si="79"/>
        <v>0</v>
      </c>
      <c r="Z100" s="77">
        <f t="shared" si="79"/>
        <v>0</v>
      </c>
      <c r="AA100" s="77">
        <f t="shared" si="79"/>
        <v>0</v>
      </c>
      <c r="AB100" s="77">
        <f t="shared" si="79"/>
        <v>0</v>
      </c>
      <c r="AC100" s="77">
        <f t="shared" si="79"/>
        <v>0</v>
      </c>
      <c r="AD100" s="77">
        <f t="shared" si="79"/>
        <v>0</v>
      </c>
      <c r="AE100" s="77">
        <f t="shared" si="79"/>
        <v>25591908.600000001</v>
      </c>
      <c r="AF100" s="77">
        <f t="shared" si="79"/>
        <v>0</v>
      </c>
      <c r="AG100" s="77">
        <f t="shared" si="79"/>
        <v>0</v>
      </c>
      <c r="AH100" s="77">
        <f t="shared" si="79"/>
        <v>0</v>
      </c>
      <c r="AI100" s="77">
        <f t="shared" si="79"/>
        <v>0</v>
      </c>
      <c r="AJ100" s="77">
        <f t="shared" si="79"/>
        <v>0</v>
      </c>
      <c r="AK100" s="77">
        <f t="shared" si="79"/>
        <v>0</v>
      </c>
      <c r="AL100" s="77">
        <f t="shared" si="79"/>
        <v>0</v>
      </c>
      <c r="AM100" s="77">
        <f t="shared" si="79"/>
        <v>0</v>
      </c>
      <c r="AN100" s="77">
        <f t="shared" si="79"/>
        <v>0</v>
      </c>
      <c r="AO100" s="77">
        <f t="shared" si="79"/>
        <v>0</v>
      </c>
      <c r="AP100" s="77">
        <f t="shared" si="79"/>
        <v>0</v>
      </c>
      <c r="AQ100" s="77">
        <f t="shared" si="79"/>
        <v>0</v>
      </c>
      <c r="AR100" s="77">
        <f t="shared" si="79"/>
        <v>0</v>
      </c>
      <c r="AS100" s="77">
        <f t="shared" si="79"/>
        <v>0</v>
      </c>
      <c r="AT100" s="77">
        <f t="shared" si="79"/>
        <v>0</v>
      </c>
      <c r="AU100" s="77">
        <f t="shared" si="79"/>
        <v>37257084.899999999</v>
      </c>
      <c r="AV100" s="77">
        <f t="shared" si="79"/>
        <v>0</v>
      </c>
      <c r="AW100" s="77">
        <f t="shared" si="79"/>
        <v>0</v>
      </c>
      <c r="AX100" s="77">
        <f t="shared" si="79"/>
        <v>0</v>
      </c>
      <c r="AY100" s="77">
        <f t="shared" si="79"/>
        <v>0</v>
      </c>
      <c r="AZ100" s="77">
        <f t="shared" si="79"/>
        <v>0</v>
      </c>
      <c r="BA100" s="77">
        <f t="shared" si="79"/>
        <v>76126210.206564635</v>
      </c>
      <c r="BB100" s="77">
        <f t="shared" si="79"/>
        <v>0</v>
      </c>
      <c r="BC100" s="77">
        <f t="shared" si="79"/>
        <v>0</v>
      </c>
      <c r="BD100" s="77">
        <f t="shared" si="79"/>
        <v>0</v>
      </c>
      <c r="BE100" s="77">
        <f t="shared" si="79"/>
        <v>0</v>
      </c>
      <c r="BF100" s="77">
        <f t="shared" si="79"/>
        <v>0</v>
      </c>
      <c r="BG100" s="77">
        <f t="shared" si="79"/>
        <v>0</v>
      </c>
      <c r="BH100" s="77">
        <f t="shared" si="79"/>
        <v>0</v>
      </c>
      <c r="BI100" s="77">
        <f t="shared" si="79"/>
        <v>0</v>
      </c>
      <c r="BJ100" s="77">
        <f t="shared" si="79"/>
        <v>0</v>
      </c>
      <c r="BK100" s="77">
        <f t="shared" si="79"/>
        <v>0</v>
      </c>
      <c r="BL100" s="77">
        <f t="shared" si="79"/>
        <v>0</v>
      </c>
      <c r="BM100" s="77">
        <f t="shared" si="79"/>
        <v>0</v>
      </c>
      <c r="BN100" s="77">
        <f t="shared" si="79"/>
        <v>0</v>
      </c>
      <c r="BO100" s="77">
        <f t="shared" si="79"/>
        <v>0</v>
      </c>
      <c r="BP100" s="77">
        <f t="shared" si="79"/>
        <v>0</v>
      </c>
      <c r="BQ100" s="77">
        <f t="shared" si="79"/>
        <v>0</v>
      </c>
      <c r="BR100" s="77">
        <f t="shared" si="79"/>
        <v>0</v>
      </c>
      <c r="BS100" s="77">
        <f t="shared" si="79"/>
        <v>0</v>
      </c>
      <c r="BT100" s="77">
        <f t="shared" ref="BT100:DV100" si="80">IF(BT92="","",MIN(BT93+BT95,MAX(BT87,0)*$I$15))</f>
        <v>0</v>
      </c>
      <c r="BU100" s="77">
        <f t="shared" si="80"/>
        <v>0</v>
      </c>
      <c r="BV100" s="77">
        <f t="shared" si="80"/>
        <v>0</v>
      </c>
      <c r="BW100" s="77">
        <f t="shared" si="80"/>
        <v>0</v>
      </c>
      <c r="BX100" s="77">
        <f t="shared" si="80"/>
        <v>0</v>
      </c>
      <c r="BY100" s="77">
        <f t="shared" si="80"/>
        <v>5316225.3</v>
      </c>
      <c r="BZ100" s="77">
        <f t="shared" si="80"/>
        <v>3855975.3000000003</v>
      </c>
      <c r="CA100" s="77">
        <f t="shared" si="80"/>
        <v>0</v>
      </c>
      <c r="CB100" s="77">
        <f t="shared" si="80"/>
        <v>0</v>
      </c>
      <c r="CC100" s="77">
        <f t="shared" si="80"/>
        <v>0</v>
      </c>
      <c r="CD100" s="77">
        <f t="shared" si="80"/>
        <v>0</v>
      </c>
      <c r="CE100" s="77">
        <f t="shared" si="80"/>
        <v>1290889.169803957</v>
      </c>
      <c r="CF100" s="77">
        <f t="shared" si="80"/>
        <v>0</v>
      </c>
      <c r="CG100" s="77">
        <f t="shared" si="80"/>
        <v>0</v>
      </c>
      <c r="CH100" s="77">
        <f t="shared" si="80"/>
        <v>0</v>
      </c>
      <c r="CI100" s="77">
        <f t="shared" si="80"/>
        <v>0</v>
      </c>
      <c r="CJ100" s="77">
        <f t="shared" si="80"/>
        <v>0</v>
      </c>
      <c r="CK100" s="77">
        <f t="shared" si="80"/>
        <v>0</v>
      </c>
      <c r="CL100" s="77">
        <f t="shared" si="80"/>
        <v>0</v>
      </c>
      <c r="CM100" s="77">
        <f t="shared" si="80"/>
        <v>0</v>
      </c>
      <c r="CN100" s="77">
        <f t="shared" si="80"/>
        <v>0</v>
      </c>
      <c r="CO100" s="77">
        <f t="shared" si="80"/>
        <v>0</v>
      </c>
      <c r="CP100" s="77">
        <f t="shared" si="80"/>
        <v>0</v>
      </c>
      <c r="CQ100" s="77">
        <f t="shared" si="80"/>
        <v>0</v>
      </c>
      <c r="CR100" s="77">
        <f t="shared" si="80"/>
        <v>0</v>
      </c>
      <c r="CS100" s="77">
        <f t="shared" si="80"/>
        <v>0</v>
      </c>
      <c r="CT100" s="77">
        <f t="shared" si="80"/>
        <v>0</v>
      </c>
      <c r="CU100" s="77">
        <f t="shared" si="80"/>
        <v>0</v>
      </c>
      <c r="CV100" s="77">
        <f t="shared" si="80"/>
        <v>0</v>
      </c>
      <c r="CW100" s="77">
        <f t="shared" si="80"/>
        <v>6550363.4172117002</v>
      </c>
      <c r="CX100" s="77" t="str">
        <f t="shared" si="80"/>
        <v/>
      </c>
      <c r="CY100" s="77" t="str">
        <f t="shared" si="80"/>
        <v/>
      </c>
      <c r="CZ100" s="77" t="str">
        <f t="shared" si="80"/>
        <v/>
      </c>
      <c r="DA100" s="77" t="str">
        <f t="shared" si="80"/>
        <v/>
      </c>
      <c r="DB100" s="77" t="str">
        <f t="shared" si="80"/>
        <v/>
      </c>
      <c r="DC100" s="77" t="str">
        <f t="shared" si="80"/>
        <v/>
      </c>
      <c r="DD100" s="77" t="str">
        <f t="shared" si="80"/>
        <v/>
      </c>
      <c r="DE100" s="77" t="str">
        <f t="shared" si="80"/>
        <v/>
      </c>
      <c r="DF100" s="77" t="str">
        <f t="shared" si="80"/>
        <v/>
      </c>
      <c r="DG100" s="77" t="str">
        <f t="shared" si="80"/>
        <v/>
      </c>
      <c r="DH100" s="77" t="str">
        <f t="shared" si="80"/>
        <v/>
      </c>
      <c r="DI100" s="77" t="str">
        <f t="shared" si="80"/>
        <v/>
      </c>
      <c r="DJ100" s="77" t="str">
        <f t="shared" si="80"/>
        <v/>
      </c>
      <c r="DK100" s="77" t="str">
        <f t="shared" si="80"/>
        <v/>
      </c>
      <c r="DL100" s="77" t="str">
        <f t="shared" si="80"/>
        <v/>
      </c>
      <c r="DM100" s="77" t="str">
        <f t="shared" si="80"/>
        <v/>
      </c>
      <c r="DN100" s="77" t="str">
        <f t="shared" si="80"/>
        <v/>
      </c>
      <c r="DO100" s="77" t="str">
        <f t="shared" si="80"/>
        <v/>
      </c>
      <c r="DP100" s="77" t="str">
        <f t="shared" si="80"/>
        <v/>
      </c>
      <c r="DQ100" s="77" t="str">
        <f t="shared" si="80"/>
        <v/>
      </c>
      <c r="DR100" s="77" t="str">
        <f t="shared" si="80"/>
        <v/>
      </c>
      <c r="DS100" s="77" t="str">
        <f t="shared" si="80"/>
        <v/>
      </c>
      <c r="DT100" s="77" t="str">
        <f t="shared" si="80"/>
        <v/>
      </c>
      <c r="DU100" s="77" t="str">
        <f t="shared" si="80"/>
        <v/>
      </c>
      <c r="DV100" s="77" t="str">
        <f t="shared" si="80"/>
        <v/>
      </c>
      <c r="DW100" s="77"/>
      <c r="DX100" s="77"/>
      <c r="DY100" s="78"/>
    </row>
    <row r="101" spans="2:129" outlineLevel="1" x14ac:dyDescent="0.2">
      <c r="B101" s="16"/>
      <c r="C101" s="16"/>
      <c r="D101" s="16"/>
      <c r="E101" s="16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  <c r="Z101" s="77"/>
      <c r="AA101" s="77"/>
      <c r="AB101" s="77"/>
      <c r="AC101" s="77"/>
      <c r="AD101" s="77"/>
      <c r="AE101" s="77"/>
      <c r="AF101" s="77"/>
      <c r="AG101" s="77"/>
      <c r="AH101" s="77"/>
      <c r="AI101" s="77"/>
      <c r="AJ101" s="77"/>
      <c r="AK101" s="77"/>
      <c r="AL101" s="77"/>
      <c r="AM101" s="77"/>
      <c r="AN101" s="77"/>
      <c r="AO101" s="77"/>
      <c r="AP101" s="77"/>
      <c r="AQ101" s="77"/>
      <c r="AR101" s="77"/>
      <c r="AS101" s="77"/>
      <c r="AT101" s="77"/>
      <c r="AU101" s="77"/>
      <c r="AV101" s="77"/>
      <c r="AW101" s="77"/>
      <c r="AX101" s="77"/>
      <c r="AY101" s="77"/>
      <c r="AZ101" s="77"/>
      <c r="BA101" s="77"/>
      <c r="BB101" s="77"/>
      <c r="BC101" s="77"/>
      <c r="BD101" s="77"/>
      <c r="BE101" s="77"/>
      <c r="BF101" s="77"/>
      <c r="BG101" s="77"/>
      <c r="BH101" s="77"/>
      <c r="BI101" s="77"/>
      <c r="BJ101" s="77"/>
      <c r="BK101" s="77"/>
      <c r="BL101" s="77"/>
      <c r="BM101" s="77"/>
      <c r="BN101" s="77"/>
      <c r="BO101" s="77"/>
      <c r="BP101" s="77"/>
      <c r="BQ101" s="77"/>
      <c r="BR101" s="77"/>
      <c r="BS101" s="77"/>
      <c r="BT101" s="77"/>
      <c r="BU101" s="77"/>
      <c r="BV101" s="77"/>
      <c r="BW101" s="77"/>
      <c r="BX101" s="77"/>
      <c r="BY101" s="77"/>
      <c r="BZ101" s="77"/>
      <c r="CA101" s="77"/>
      <c r="CB101" s="77"/>
      <c r="CC101" s="77"/>
      <c r="CD101" s="77"/>
      <c r="CE101" s="77"/>
      <c r="CF101" s="77"/>
      <c r="CG101" s="77"/>
      <c r="CH101" s="77"/>
      <c r="CI101" s="77"/>
      <c r="CJ101" s="77"/>
      <c r="CK101" s="77"/>
      <c r="CL101" s="77"/>
      <c r="CM101" s="77"/>
      <c r="CN101" s="77"/>
      <c r="CO101" s="77"/>
      <c r="CP101" s="77"/>
      <c r="CQ101" s="77"/>
      <c r="CR101" s="77"/>
      <c r="CS101" s="77"/>
      <c r="CT101" s="77"/>
      <c r="CU101" s="77"/>
      <c r="CV101" s="77"/>
      <c r="CW101" s="77"/>
      <c r="CX101" s="77"/>
      <c r="CY101" s="77"/>
      <c r="CZ101" s="77"/>
      <c r="DA101" s="77"/>
      <c r="DB101" s="77"/>
      <c r="DC101" s="77"/>
      <c r="DD101" s="77"/>
      <c r="DE101" s="77"/>
      <c r="DF101" s="77"/>
      <c r="DG101" s="77"/>
      <c r="DH101" s="77"/>
      <c r="DI101" s="77"/>
      <c r="DJ101" s="77"/>
      <c r="DK101" s="77"/>
      <c r="DL101" s="77"/>
      <c r="DM101" s="77"/>
      <c r="DN101" s="77"/>
      <c r="DO101" s="77"/>
      <c r="DP101" s="77"/>
      <c r="DQ101" s="77"/>
      <c r="DR101" s="77"/>
      <c r="DS101" s="77"/>
      <c r="DT101" s="77"/>
      <c r="DU101" s="77"/>
      <c r="DV101" s="77"/>
      <c r="DW101" s="77"/>
      <c r="DX101" s="77"/>
      <c r="DY101" s="78"/>
    </row>
    <row r="102" spans="2:129" outlineLevel="1" x14ac:dyDescent="0.2">
      <c r="B102" s="16" t="s">
        <v>64</v>
      </c>
      <c r="C102" s="16"/>
      <c r="D102" s="16"/>
      <c r="E102" s="16"/>
      <c r="F102" s="77">
        <f>IF(F92="","",E106)</f>
        <v>0</v>
      </c>
      <c r="G102" s="77">
        <f>IF(G92="","",F106)</f>
        <v>10402691.700000001</v>
      </c>
      <c r="H102" s="77">
        <f t="shared" ref="H102:BS102" si="81">IF(H92="","",G106)</f>
        <v>10473602.444054522</v>
      </c>
      <c r="I102" s="77">
        <f t="shared" si="81"/>
        <v>10538311.725247324</v>
      </c>
      <c r="J102" s="77">
        <f t="shared" si="81"/>
        <v>10610111.84185501</v>
      </c>
      <c r="K102" s="77">
        <f t="shared" si="81"/>
        <v>10680131.212514272</v>
      </c>
      <c r="L102" s="77">
        <f t="shared" si="81"/>
        <v>10752861.356669508</v>
      </c>
      <c r="M102" s="77">
        <f t="shared" si="81"/>
        <v>10823786.560600223</v>
      </c>
      <c r="N102" s="77">
        <f t="shared" si="81"/>
        <v>10897458.771559162</v>
      </c>
      <c r="O102" s="77">
        <f t="shared" si="81"/>
        <v>10971614.112072445</v>
      </c>
      <c r="P102" s="77">
        <f t="shared" si="81"/>
        <v>11043927.43647645</v>
      </c>
      <c r="Q102" s="77">
        <f t="shared" si="81"/>
        <v>11119043.29303623</v>
      </c>
      <c r="R102" s="77">
        <f t="shared" si="81"/>
        <v>11192292.14606514</v>
      </c>
      <c r="S102" s="77">
        <f t="shared" si="81"/>
        <v>11268380.952602815</v>
      </c>
      <c r="T102" s="77">
        <f t="shared" si="81"/>
        <v>11344968.736308606</v>
      </c>
      <c r="U102" s="77">
        <f t="shared" si="81"/>
        <v>11414837.658615075</v>
      </c>
      <c r="V102" s="77">
        <f t="shared" si="81"/>
        <v>11492385.879942942</v>
      </c>
      <c r="W102" s="77">
        <f t="shared" si="81"/>
        <v>11568003.820791943</v>
      </c>
      <c r="X102" s="77">
        <f t="shared" si="81"/>
        <v>11646556.479189228</v>
      </c>
      <c r="Y102" s="77">
        <f t="shared" si="81"/>
        <v>11723152.727099089</v>
      </c>
      <c r="Z102" s="77">
        <f t="shared" si="81"/>
        <v>11802722.825057173</v>
      </c>
      <c r="AA102" s="77">
        <f t="shared" si="81"/>
        <v>11882814.729887417</v>
      </c>
      <c r="AB102" s="77">
        <f t="shared" si="81"/>
        <v>11960910.181380672</v>
      </c>
      <c r="AC102" s="77">
        <f t="shared" si="81"/>
        <v>12042039.451398803</v>
      </c>
      <c r="AD102" s="77">
        <f t="shared" si="81"/>
        <v>12157113.981460214</v>
      </c>
      <c r="AE102" s="77">
        <f t="shared" si="81"/>
        <v>12330402.821896665</v>
      </c>
      <c r="AF102" s="77">
        <f t="shared" si="81"/>
        <v>9567718.0604289938</v>
      </c>
      <c r="AG102" s="77">
        <f t="shared" si="81"/>
        <v>9719965.7413184196</v>
      </c>
      <c r="AH102" s="77">
        <f t="shared" si="81"/>
        <v>9877272.1872019656</v>
      </c>
      <c r="AI102" s="77">
        <f t="shared" si="81"/>
        <v>10033514.14053659</v>
      </c>
      <c r="AJ102" s="77">
        <f t="shared" si="81"/>
        <v>10192876.78232369</v>
      </c>
      <c r="AK102" s="77">
        <f t="shared" si="81"/>
        <v>10351121.440488916</v>
      </c>
      <c r="AL102" s="77">
        <f t="shared" si="81"/>
        <v>10512566.8957451</v>
      </c>
      <c r="AM102" s="77">
        <f t="shared" si="81"/>
        <v>10675071.082235675</v>
      </c>
      <c r="AN102" s="77">
        <f t="shared" si="81"/>
        <v>10818147.759138172</v>
      </c>
      <c r="AO102" s="77">
        <f t="shared" si="81"/>
        <v>10964428.091817219</v>
      </c>
      <c r="AP102" s="77">
        <f t="shared" si="81"/>
        <v>11132236.716512918</v>
      </c>
      <c r="AQ102" s="77">
        <f t="shared" si="81"/>
        <v>11272860.089981953</v>
      </c>
      <c r="AR102" s="77">
        <f t="shared" si="81"/>
        <v>11414405.647092149</v>
      </c>
      <c r="AS102" s="77">
        <f t="shared" si="81"/>
        <v>11549614.127763212</v>
      </c>
      <c r="AT102" s="77">
        <f t="shared" si="81"/>
        <v>11692974.589749966</v>
      </c>
      <c r="AU102" s="77">
        <f t="shared" si="81"/>
        <v>11834793.789056366</v>
      </c>
      <c r="AV102" s="77">
        <f t="shared" si="81"/>
        <v>7772728.2096941955</v>
      </c>
      <c r="AW102" s="77">
        <f t="shared" si="81"/>
        <v>7896589.3400128195</v>
      </c>
      <c r="AX102" s="77">
        <f t="shared" si="81"/>
        <v>8022912.2003815537</v>
      </c>
      <c r="AY102" s="77">
        <f t="shared" si="81"/>
        <v>8150063.4641121393</v>
      </c>
      <c r="AZ102" s="77">
        <f t="shared" si="81"/>
        <v>8276319.018176361</v>
      </c>
      <c r="BA102" s="77">
        <f t="shared" si="81"/>
        <v>8405132.0797728635</v>
      </c>
      <c r="BB102" s="77">
        <f t="shared" si="81"/>
        <v>-2.9802322387695312E-8</v>
      </c>
      <c r="BC102" s="77">
        <f t="shared" si="81"/>
        <v>55727.599999970007</v>
      </c>
      <c r="BD102" s="77">
        <f t="shared" si="81"/>
        <v>111820.65191463655</v>
      </c>
      <c r="BE102" s="77">
        <f t="shared" si="81"/>
        <v>168210.37809292058</v>
      </c>
      <c r="BF102" s="77">
        <f t="shared" si="81"/>
        <v>225041.07251544864</v>
      </c>
      <c r="BG102" s="77">
        <f t="shared" si="81"/>
        <v>282196.6962197189</v>
      </c>
      <c r="BH102" s="77">
        <f t="shared" si="81"/>
        <v>339774.8931043169</v>
      </c>
      <c r="BI102" s="77">
        <f t="shared" si="81"/>
        <v>397658.57330801187</v>
      </c>
      <c r="BJ102" s="77">
        <f t="shared" si="81"/>
        <v>455993.94911387924</v>
      </c>
      <c r="BK102" s="77">
        <f t="shared" si="81"/>
        <v>514711.87817488518</v>
      </c>
      <c r="BL102" s="77">
        <f t="shared" si="81"/>
        <v>573705.64090103703</v>
      </c>
      <c r="BM102" s="77">
        <f t="shared" si="81"/>
        <v>633195.50277706236</v>
      </c>
      <c r="BN102" s="77">
        <f t="shared" si="81"/>
        <v>678195.61681021575</v>
      </c>
      <c r="BO102" s="77">
        <f t="shared" si="81"/>
        <v>723625.20578662748</v>
      </c>
      <c r="BP102" s="77">
        <f t="shared" si="81"/>
        <v>769352.71411133255</v>
      </c>
      <c r="BQ102" s="77">
        <f t="shared" si="81"/>
        <v>799216.59989646892</v>
      </c>
      <c r="BR102" s="77">
        <f t="shared" si="81"/>
        <v>829766.02344504464</v>
      </c>
      <c r="BS102" s="77">
        <f t="shared" si="81"/>
        <v>860339.69805969973</v>
      </c>
      <c r="BT102" s="77">
        <f t="shared" ref="BT102:DV102" si="82">IF(BT92="","",BS106)</f>
        <v>891289.95626209362</v>
      </c>
      <c r="BU102" s="77">
        <f t="shared" si="82"/>
        <v>922254.03798537387</v>
      </c>
      <c r="BV102" s="77">
        <f t="shared" si="82"/>
        <v>953610.31966753653</v>
      </c>
      <c r="BW102" s="77">
        <f t="shared" si="82"/>
        <v>985172.23039486853</v>
      </c>
      <c r="BX102" s="77">
        <f t="shared" si="82"/>
        <v>1016732.0527595076</v>
      </c>
      <c r="BY102" s="77">
        <f t="shared" si="82"/>
        <v>1048707.9048411332</v>
      </c>
      <c r="BZ102" s="77">
        <f t="shared" si="82"/>
        <v>464670.90004956408</v>
      </c>
      <c r="CA102" s="77">
        <f t="shared" si="82"/>
        <v>39276.431046646845</v>
      </c>
      <c r="CB102" s="77">
        <f t="shared" si="82"/>
        <v>64842.299054730334</v>
      </c>
      <c r="CC102" s="77">
        <f t="shared" si="82"/>
        <v>90548.305786518642</v>
      </c>
      <c r="CD102" s="77">
        <f t="shared" si="82"/>
        <v>116450.40583747208</v>
      </c>
      <c r="CE102" s="77">
        <f t="shared" si="82"/>
        <v>142497.65512370243</v>
      </c>
      <c r="CF102" s="77">
        <f t="shared" si="82"/>
        <v>-3.5768607631325722E-8</v>
      </c>
      <c r="CG102" s="77">
        <f t="shared" si="82"/>
        <v>-3.5995581396582588E-8</v>
      </c>
      <c r="CH102" s="77">
        <f t="shared" si="82"/>
        <v>-3.623163416291244E-8</v>
      </c>
      <c r="CI102" s="77">
        <f t="shared" si="82"/>
        <v>-3.6469234922255047E-8</v>
      </c>
      <c r="CJ102" s="77">
        <f t="shared" si="82"/>
        <v>-3.6700654597621218E-8</v>
      </c>
      <c r="CK102" s="77">
        <f t="shared" si="82"/>
        <v>-3.69413311114532E-8</v>
      </c>
      <c r="CL102" s="77">
        <f t="shared" si="82"/>
        <v>58158.29999996283</v>
      </c>
      <c r="CM102" s="77">
        <f t="shared" si="82"/>
        <v>116697.99202274416</v>
      </c>
      <c r="CN102" s="77">
        <f t="shared" si="82"/>
        <v>175621.57717090193</v>
      </c>
      <c r="CO102" s="77">
        <f t="shared" si="82"/>
        <v>234819.78922404535</v>
      </c>
      <c r="CP102" s="77">
        <f t="shared" si="82"/>
        <v>294517.99658724718</v>
      </c>
      <c r="CQ102" s="77">
        <f t="shared" si="82"/>
        <v>354545.19401010271</v>
      </c>
      <c r="CR102" s="77">
        <f t="shared" si="82"/>
        <v>415028.539768163</v>
      </c>
      <c r="CS102" s="77">
        <f t="shared" si="82"/>
        <v>475820.4505402451</v>
      </c>
      <c r="CT102" s="77">
        <f t="shared" si="82"/>
        <v>537099.09835151862</v>
      </c>
      <c r="CU102" s="77">
        <f t="shared" si="82"/>
        <v>598779.60088416573</v>
      </c>
      <c r="CV102" s="77">
        <f t="shared" si="82"/>
        <v>660737.52490007679</v>
      </c>
      <c r="CW102" s="77">
        <f t="shared" si="82"/>
        <v>723228.82674417016</v>
      </c>
      <c r="CX102" s="77" t="str">
        <f t="shared" si="82"/>
        <v/>
      </c>
      <c r="CY102" s="77" t="str">
        <f t="shared" si="82"/>
        <v/>
      </c>
      <c r="CZ102" s="77" t="str">
        <f t="shared" si="82"/>
        <v/>
      </c>
      <c r="DA102" s="77" t="str">
        <f t="shared" si="82"/>
        <v/>
      </c>
      <c r="DB102" s="77" t="str">
        <f t="shared" si="82"/>
        <v/>
      </c>
      <c r="DC102" s="77" t="str">
        <f t="shared" si="82"/>
        <v/>
      </c>
      <c r="DD102" s="77" t="str">
        <f t="shared" si="82"/>
        <v/>
      </c>
      <c r="DE102" s="77" t="str">
        <f t="shared" si="82"/>
        <v/>
      </c>
      <c r="DF102" s="77" t="str">
        <f t="shared" si="82"/>
        <v/>
      </c>
      <c r="DG102" s="77" t="str">
        <f t="shared" si="82"/>
        <v/>
      </c>
      <c r="DH102" s="77" t="str">
        <f t="shared" si="82"/>
        <v/>
      </c>
      <c r="DI102" s="77" t="str">
        <f t="shared" si="82"/>
        <v/>
      </c>
      <c r="DJ102" s="77" t="str">
        <f t="shared" si="82"/>
        <v/>
      </c>
      <c r="DK102" s="77" t="str">
        <f t="shared" si="82"/>
        <v/>
      </c>
      <c r="DL102" s="77" t="str">
        <f t="shared" si="82"/>
        <v/>
      </c>
      <c r="DM102" s="77" t="str">
        <f t="shared" si="82"/>
        <v/>
      </c>
      <c r="DN102" s="77" t="str">
        <f t="shared" si="82"/>
        <v/>
      </c>
      <c r="DO102" s="77" t="str">
        <f t="shared" si="82"/>
        <v/>
      </c>
      <c r="DP102" s="77" t="str">
        <f t="shared" si="82"/>
        <v/>
      </c>
      <c r="DQ102" s="77" t="str">
        <f t="shared" si="82"/>
        <v/>
      </c>
      <c r="DR102" s="77" t="str">
        <f t="shared" si="82"/>
        <v/>
      </c>
      <c r="DS102" s="77" t="str">
        <f t="shared" si="82"/>
        <v/>
      </c>
      <c r="DT102" s="77" t="str">
        <f t="shared" si="82"/>
        <v/>
      </c>
      <c r="DU102" s="77" t="str">
        <f t="shared" si="82"/>
        <v/>
      </c>
      <c r="DV102" s="77" t="str">
        <f t="shared" si="82"/>
        <v/>
      </c>
      <c r="DW102" s="77"/>
      <c r="DX102" s="77"/>
      <c r="DY102" s="78"/>
    </row>
    <row r="103" spans="2:129" outlineLevel="1" x14ac:dyDescent="0.2">
      <c r="B103" s="16" t="s">
        <v>65</v>
      </c>
      <c r="C103" s="16"/>
      <c r="D103" s="16"/>
      <c r="E103" s="16"/>
      <c r="F103" s="77">
        <v>0</v>
      </c>
      <c r="G103" s="77">
        <f>IF(G92="","",IF($D$57="Equity Multiple",F104*$C92-F104,G102*((1+$C92)^((G46-F46)/365)-1)))</f>
        <v>68219.044054522106</v>
      </c>
      <c r="H103" s="77">
        <f t="shared" ref="H103:BS103" si="83">IF(H92="","",IF($D$57="Equity Multiple",G104*$C92-G104,H102*((1+$C92)^((H46-G46)/365)-1)))</f>
        <v>62017.581192803489</v>
      </c>
      <c r="I103" s="77">
        <f t="shared" si="83"/>
        <v>69108.416607687599</v>
      </c>
      <c r="J103" s="77">
        <f t="shared" si="83"/>
        <v>67327.670659262658</v>
      </c>
      <c r="K103" s="77">
        <f t="shared" si="83"/>
        <v>70038.444155236051</v>
      </c>
      <c r="L103" s="77">
        <f t="shared" si="83"/>
        <v>68233.50393071663</v>
      </c>
      <c r="M103" s="77">
        <f t="shared" si="83"/>
        <v>70980.510958940635</v>
      </c>
      <c r="N103" s="77">
        <f t="shared" si="83"/>
        <v>71463.640513284918</v>
      </c>
      <c r="O103" s="77">
        <f t="shared" si="83"/>
        <v>69621.624404006594</v>
      </c>
      <c r="P103" s="77">
        <f t="shared" si="83"/>
        <v>72424.156559780793</v>
      </c>
      <c r="Q103" s="77">
        <f t="shared" si="83"/>
        <v>70557.153028911183</v>
      </c>
      <c r="R103" s="77">
        <f t="shared" si="83"/>
        <v>73397.106537676154</v>
      </c>
      <c r="S103" s="77">
        <f t="shared" si="83"/>
        <v>73896.083705792131</v>
      </c>
      <c r="T103" s="77">
        <f t="shared" si="83"/>
        <v>67177.222306469819</v>
      </c>
      <c r="U103" s="77">
        <f t="shared" si="83"/>
        <v>74856.521327867449</v>
      </c>
      <c r="V103" s="77">
        <f t="shared" si="83"/>
        <v>72926.240849001275</v>
      </c>
      <c r="W103" s="77">
        <f t="shared" si="83"/>
        <v>75860.958397285343</v>
      </c>
      <c r="X103" s="77">
        <f t="shared" si="83"/>
        <v>73904.547909860717</v>
      </c>
      <c r="Y103" s="77">
        <f t="shared" si="83"/>
        <v>76878.397958084606</v>
      </c>
      <c r="Z103" s="77">
        <f t="shared" si="83"/>
        <v>77400.204830244926</v>
      </c>
      <c r="AA103" s="77">
        <f t="shared" si="83"/>
        <v>75403.751493256699</v>
      </c>
      <c r="AB103" s="77">
        <f t="shared" si="83"/>
        <v>78437.570018131941</v>
      </c>
      <c r="AC103" s="77">
        <f t="shared" si="83"/>
        <v>76414.130061411081</v>
      </c>
      <c r="AD103" s="77">
        <f t="shared" si="83"/>
        <v>79724.240436451742</v>
      </c>
      <c r="AE103" s="77">
        <f t="shared" si="83"/>
        <v>80860.638532330253</v>
      </c>
      <c r="AF103" s="77">
        <f t="shared" si="83"/>
        <v>58683.080889426281</v>
      </c>
      <c r="AG103" s="77">
        <f t="shared" si="83"/>
        <v>63741.845883546353</v>
      </c>
      <c r="AH103" s="77">
        <f t="shared" si="83"/>
        <v>62677.3533346244</v>
      </c>
      <c r="AI103" s="77">
        <f t="shared" si="83"/>
        <v>65798.041787101698</v>
      </c>
      <c r="AJ103" s="77">
        <f t="shared" si="83"/>
        <v>64680.058165225921</v>
      </c>
      <c r="AK103" s="77">
        <f t="shared" si="83"/>
        <v>67880.85525618543</v>
      </c>
      <c r="AL103" s="77">
        <f t="shared" si="83"/>
        <v>68939.586490575864</v>
      </c>
      <c r="AM103" s="77">
        <f t="shared" si="83"/>
        <v>67739.876902496821</v>
      </c>
      <c r="AN103" s="77">
        <f t="shared" si="83"/>
        <v>70943.532679044642</v>
      </c>
      <c r="AO103" s="77">
        <f t="shared" si="83"/>
        <v>69576.024695699467</v>
      </c>
      <c r="AP103" s="77">
        <f t="shared" si="83"/>
        <v>73003.273469035252</v>
      </c>
      <c r="AQ103" s="77">
        <f t="shared" si="83"/>
        <v>73925.457110196076</v>
      </c>
      <c r="AR103" s="77">
        <f t="shared" si="83"/>
        <v>67588.380671062929</v>
      </c>
      <c r="AS103" s="77">
        <f t="shared" si="83"/>
        <v>75740.361986754768</v>
      </c>
      <c r="AT103" s="77">
        <f t="shared" si="83"/>
        <v>74199.09930640021</v>
      </c>
      <c r="AU103" s="77">
        <f t="shared" si="83"/>
        <v>77610.520637828842</v>
      </c>
      <c r="AV103" s="77">
        <f t="shared" si="83"/>
        <v>49322.730318623762</v>
      </c>
      <c r="AW103" s="77">
        <f t="shared" si="83"/>
        <v>51784.460368733613</v>
      </c>
      <c r="AX103" s="77">
        <f t="shared" si="83"/>
        <v>52612.863730585428</v>
      </c>
      <c r="AY103" s="77">
        <f t="shared" si="83"/>
        <v>51717.154064221031</v>
      </c>
      <c r="AZ103" s="77">
        <f t="shared" si="83"/>
        <v>54274.661596503167</v>
      </c>
      <c r="BA103" s="77">
        <f t="shared" si="83"/>
        <v>53335.720956510908</v>
      </c>
      <c r="BB103" s="77">
        <f t="shared" si="83"/>
        <v>-1.9543845021315557E-10</v>
      </c>
      <c r="BC103" s="77">
        <f t="shared" si="83"/>
        <v>365.45191466654148</v>
      </c>
      <c r="BD103" s="77">
        <f t="shared" si="83"/>
        <v>662.12617828403882</v>
      </c>
      <c r="BE103" s="77">
        <f t="shared" si="83"/>
        <v>1103.0944225280432</v>
      </c>
      <c r="BF103" s="77">
        <f t="shared" si="83"/>
        <v>1428.023704270244</v>
      </c>
      <c r="BG103" s="77">
        <f t="shared" si="83"/>
        <v>1850.5968845980117</v>
      </c>
      <c r="BH103" s="77">
        <f t="shared" si="83"/>
        <v>2156.0802036950136</v>
      </c>
      <c r="BI103" s="77">
        <f t="shared" si="83"/>
        <v>2607.7758058674053</v>
      </c>
      <c r="BJ103" s="77">
        <f t="shared" si="83"/>
        <v>2990.3290610059353</v>
      </c>
      <c r="BK103" s="77">
        <f t="shared" si="83"/>
        <v>3266.1627261518511</v>
      </c>
      <c r="BL103" s="77">
        <f t="shared" si="83"/>
        <v>3762.2618760253831</v>
      </c>
      <c r="BM103" s="77">
        <f t="shared" si="83"/>
        <v>4018.0140331533808</v>
      </c>
      <c r="BN103" s="77">
        <f t="shared" si="83"/>
        <v>4447.4889764117397</v>
      </c>
      <c r="BO103" s="77">
        <f t="shared" si="83"/>
        <v>4745.4083247050912</v>
      </c>
      <c r="BP103" s="77">
        <f t="shared" si="83"/>
        <v>4555.5857851362725</v>
      </c>
      <c r="BQ103" s="77">
        <f t="shared" si="83"/>
        <v>5241.1235485756606</v>
      </c>
      <c r="BR103" s="77">
        <f t="shared" si="83"/>
        <v>5265.3746146550202</v>
      </c>
      <c r="BS103" s="77">
        <f t="shared" si="83"/>
        <v>5641.9582023937992</v>
      </c>
      <c r="BT103" s="77">
        <f t="shared" ref="BT103:DV103" si="84">IF(BT92="","",IF($D$57="Equity Multiple",BS104*$C92-BS104,BT102*((1+$C92)^((BT46-BS46)/365)-1)))</f>
        <v>5655.7817232802454</v>
      </c>
      <c r="BU103" s="77">
        <f t="shared" si="84"/>
        <v>6047.9816821626191</v>
      </c>
      <c r="BV103" s="77">
        <f t="shared" si="84"/>
        <v>6253.6107273319058</v>
      </c>
      <c r="BW103" s="77">
        <f t="shared" si="84"/>
        <v>6251.5223646389304</v>
      </c>
      <c r="BX103" s="77">
        <f t="shared" si="84"/>
        <v>6667.5520816257131</v>
      </c>
      <c r="BY103" s="77">
        <f t="shared" si="84"/>
        <v>6654.695208430966</v>
      </c>
      <c r="BZ103" s="77">
        <f t="shared" si="84"/>
        <v>3047.2309970827691</v>
      </c>
      <c r="CA103" s="77">
        <f t="shared" si="84"/>
        <v>257.56800808348481</v>
      </c>
      <c r="CB103" s="77">
        <f t="shared" si="84"/>
        <v>397.7067317883002</v>
      </c>
      <c r="CC103" s="77">
        <f t="shared" si="84"/>
        <v>593.8000509534329</v>
      </c>
      <c r="CD103" s="77">
        <f t="shared" si="84"/>
        <v>738.94928623033627</v>
      </c>
      <c r="CE103" s="77">
        <f t="shared" si="84"/>
        <v>934.47485447924521</v>
      </c>
      <c r="CF103" s="77">
        <f t="shared" si="84"/>
        <v>-2.2697376525686544E-10</v>
      </c>
      <c r="CG103" s="77">
        <f t="shared" si="84"/>
        <v>-2.3605276632985324E-10</v>
      </c>
      <c r="CH103" s="77">
        <f t="shared" si="84"/>
        <v>-2.3760075934260856E-10</v>
      </c>
      <c r="CI103" s="77">
        <f t="shared" si="84"/>
        <v>-2.3141967536617245E-10</v>
      </c>
      <c r="CJ103" s="77">
        <f t="shared" si="84"/>
        <v>-2.4067651383198455E-10</v>
      </c>
      <c r="CK103" s="77">
        <f t="shared" si="84"/>
        <v>-2.3441541539413703E-10</v>
      </c>
      <c r="CL103" s="77">
        <f t="shared" si="84"/>
        <v>381.39202278133234</v>
      </c>
      <c r="CM103" s="77">
        <f t="shared" si="84"/>
        <v>765.28514815774577</v>
      </c>
      <c r="CN103" s="77">
        <f t="shared" si="84"/>
        <v>1039.9120531434139</v>
      </c>
      <c r="CO103" s="77">
        <f t="shared" si="84"/>
        <v>1539.9073632018474</v>
      </c>
      <c r="CP103" s="77">
        <f t="shared" si="84"/>
        <v>1868.8974228555539</v>
      </c>
      <c r="CQ103" s="77">
        <f t="shared" si="84"/>
        <v>2325.0457580603183</v>
      </c>
      <c r="CR103" s="77">
        <f t="shared" si="84"/>
        <v>2633.6107720821351</v>
      </c>
      <c r="CS103" s="77">
        <f t="shared" si="84"/>
        <v>3120.3478112734547</v>
      </c>
      <c r="CT103" s="77">
        <f t="shared" si="84"/>
        <v>3522.2025326470402</v>
      </c>
      <c r="CU103" s="77">
        <f t="shared" si="84"/>
        <v>3799.6240159109871</v>
      </c>
      <c r="CV103" s="77">
        <f t="shared" si="84"/>
        <v>4333.0018440933154</v>
      </c>
      <c r="CW103" s="77">
        <f t="shared" si="84"/>
        <v>4589.330723756364</v>
      </c>
      <c r="CX103" s="77" t="str">
        <f t="shared" si="84"/>
        <v/>
      </c>
      <c r="CY103" s="77" t="str">
        <f t="shared" si="84"/>
        <v/>
      </c>
      <c r="CZ103" s="77" t="str">
        <f t="shared" si="84"/>
        <v/>
      </c>
      <c r="DA103" s="77" t="str">
        <f t="shared" si="84"/>
        <v/>
      </c>
      <c r="DB103" s="77" t="str">
        <f t="shared" si="84"/>
        <v/>
      </c>
      <c r="DC103" s="77" t="str">
        <f t="shared" si="84"/>
        <v/>
      </c>
      <c r="DD103" s="77" t="str">
        <f t="shared" si="84"/>
        <v/>
      </c>
      <c r="DE103" s="77" t="str">
        <f t="shared" si="84"/>
        <v/>
      </c>
      <c r="DF103" s="77" t="str">
        <f t="shared" si="84"/>
        <v/>
      </c>
      <c r="DG103" s="77" t="str">
        <f t="shared" si="84"/>
        <v/>
      </c>
      <c r="DH103" s="77" t="str">
        <f t="shared" si="84"/>
        <v/>
      </c>
      <c r="DI103" s="77" t="str">
        <f t="shared" si="84"/>
        <v/>
      </c>
      <c r="DJ103" s="77" t="str">
        <f t="shared" si="84"/>
        <v/>
      </c>
      <c r="DK103" s="77" t="str">
        <f t="shared" si="84"/>
        <v/>
      </c>
      <c r="DL103" s="77" t="str">
        <f t="shared" si="84"/>
        <v/>
      </c>
      <c r="DM103" s="77" t="str">
        <f t="shared" si="84"/>
        <v/>
      </c>
      <c r="DN103" s="77" t="str">
        <f t="shared" si="84"/>
        <v/>
      </c>
      <c r="DO103" s="77" t="str">
        <f t="shared" si="84"/>
        <v/>
      </c>
      <c r="DP103" s="77" t="str">
        <f t="shared" si="84"/>
        <v/>
      </c>
      <c r="DQ103" s="77" t="str">
        <f t="shared" si="84"/>
        <v/>
      </c>
      <c r="DR103" s="77" t="str">
        <f t="shared" si="84"/>
        <v/>
      </c>
      <c r="DS103" s="77" t="str">
        <f t="shared" si="84"/>
        <v/>
      </c>
      <c r="DT103" s="77" t="str">
        <f t="shared" si="84"/>
        <v/>
      </c>
      <c r="DU103" s="77" t="str">
        <f t="shared" si="84"/>
        <v/>
      </c>
      <c r="DV103" s="77" t="str">
        <f t="shared" si="84"/>
        <v/>
      </c>
      <c r="DW103" s="77"/>
      <c r="DX103" s="77"/>
      <c r="DY103" s="78"/>
    </row>
    <row r="104" spans="2:129" outlineLevel="1" x14ac:dyDescent="0.2">
      <c r="B104" s="16" t="s">
        <v>66</v>
      </c>
      <c r="C104" s="16"/>
      <c r="D104" s="16"/>
      <c r="E104" s="16"/>
      <c r="F104" s="77">
        <f t="shared" ref="F104:AK104" si="85">IF(F92="","",-MIN(0,F87*Equity_Share_GP))</f>
        <v>10402691.700000001</v>
      </c>
      <c r="G104" s="77">
        <f t="shared" si="85"/>
        <v>2691.7000000000003</v>
      </c>
      <c r="H104" s="77">
        <f t="shared" si="85"/>
        <v>2691.7000000000003</v>
      </c>
      <c r="I104" s="77">
        <f t="shared" si="85"/>
        <v>2691.7000000000003</v>
      </c>
      <c r="J104" s="77">
        <f t="shared" si="85"/>
        <v>2691.7000000000003</v>
      </c>
      <c r="K104" s="77">
        <f t="shared" si="85"/>
        <v>2691.7000000000003</v>
      </c>
      <c r="L104" s="77">
        <f t="shared" si="85"/>
        <v>2691.7000000000003</v>
      </c>
      <c r="M104" s="77">
        <f t="shared" si="85"/>
        <v>2691.7000000000003</v>
      </c>
      <c r="N104" s="77">
        <f t="shared" si="85"/>
        <v>2691.7000000000003</v>
      </c>
      <c r="O104" s="77">
        <f t="shared" si="85"/>
        <v>2691.7000000000003</v>
      </c>
      <c r="P104" s="77">
        <f t="shared" si="85"/>
        <v>2691.7000000000003</v>
      </c>
      <c r="Q104" s="77">
        <f t="shared" si="85"/>
        <v>2691.7000000000003</v>
      </c>
      <c r="R104" s="77">
        <f t="shared" si="85"/>
        <v>2691.7000000000003</v>
      </c>
      <c r="S104" s="77">
        <f t="shared" si="85"/>
        <v>2691.7000000000003</v>
      </c>
      <c r="T104" s="77">
        <f t="shared" si="85"/>
        <v>2691.7000000000003</v>
      </c>
      <c r="U104" s="77">
        <f t="shared" si="85"/>
        <v>2691.7000000000003</v>
      </c>
      <c r="V104" s="77">
        <f t="shared" si="85"/>
        <v>2691.7000000000003</v>
      </c>
      <c r="W104" s="77">
        <f t="shared" si="85"/>
        <v>2691.7000000000003</v>
      </c>
      <c r="X104" s="77">
        <f t="shared" si="85"/>
        <v>2691.7000000000003</v>
      </c>
      <c r="Y104" s="77">
        <f t="shared" si="85"/>
        <v>2691.7000000000003</v>
      </c>
      <c r="Z104" s="77">
        <f t="shared" si="85"/>
        <v>2691.7000000000003</v>
      </c>
      <c r="AA104" s="77">
        <f t="shared" si="85"/>
        <v>2691.7000000000003</v>
      </c>
      <c r="AB104" s="77">
        <f t="shared" si="85"/>
        <v>2691.7000000000003</v>
      </c>
      <c r="AC104" s="77">
        <f t="shared" si="85"/>
        <v>38660.400000000001</v>
      </c>
      <c r="AD104" s="77">
        <f t="shared" si="85"/>
        <v>93564.6</v>
      </c>
      <c r="AE104" s="77">
        <f t="shared" si="85"/>
        <v>0</v>
      </c>
      <c r="AF104" s="77">
        <f t="shared" si="85"/>
        <v>93564.6</v>
      </c>
      <c r="AG104" s="77">
        <f t="shared" si="85"/>
        <v>93564.6</v>
      </c>
      <c r="AH104" s="77">
        <f t="shared" si="85"/>
        <v>93564.6</v>
      </c>
      <c r="AI104" s="77">
        <f t="shared" si="85"/>
        <v>93564.6</v>
      </c>
      <c r="AJ104" s="77">
        <f t="shared" si="85"/>
        <v>93564.6</v>
      </c>
      <c r="AK104" s="77">
        <f t="shared" si="85"/>
        <v>93564.6</v>
      </c>
      <c r="AL104" s="77">
        <f t="shared" ref="AL104:BQ104" si="86">IF(AL92="","",-MIN(0,AL87*Equity_Share_GP))</f>
        <v>93564.6</v>
      </c>
      <c r="AM104" s="77">
        <f t="shared" si="86"/>
        <v>75336.800000000003</v>
      </c>
      <c r="AN104" s="77">
        <f t="shared" si="86"/>
        <v>75336.800000000003</v>
      </c>
      <c r="AO104" s="77">
        <f t="shared" si="86"/>
        <v>98232.6</v>
      </c>
      <c r="AP104" s="77">
        <f t="shared" si="86"/>
        <v>67620.100000000006</v>
      </c>
      <c r="AQ104" s="77">
        <f t="shared" si="86"/>
        <v>67620.100000000006</v>
      </c>
      <c r="AR104" s="77">
        <f t="shared" si="86"/>
        <v>67620.100000000006</v>
      </c>
      <c r="AS104" s="77">
        <f t="shared" si="86"/>
        <v>67620.100000000006</v>
      </c>
      <c r="AT104" s="77">
        <f t="shared" si="86"/>
        <v>67620.100000000006</v>
      </c>
      <c r="AU104" s="77">
        <f t="shared" si="86"/>
        <v>0</v>
      </c>
      <c r="AV104" s="77">
        <f t="shared" si="86"/>
        <v>74538.400000000009</v>
      </c>
      <c r="AW104" s="77">
        <f t="shared" si="86"/>
        <v>74538.400000000009</v>
      </c>
      <c r="AX104" s="77">
        <f t="shared" si="86"/>
        <v>74538.400000000009</v>
      </c>
      <c r="AY104" s="77">
        <f t="shared" si="86"/>
        <v>74538.400000000009</v>
      </c>
      <c r="AZ104" s="77">
        <f t="shared" si="86"/>
        <v>74538.400000000009</v>
      </c>
      <c r="BA104" s="77">
        <f t="shared" si="86"/>
        <v>0</v>
      </c>
      <c r="BB104" s="77">
        <f t="shared" si="86"/>
        <v>55727.600000000006</v>
      </c>
      <c r="BC104" s="77">
        <f t="shared" si="86"/>
        <v>55727.600000000006</v>
      </c>
      <c r="BD104" s="77">
        <f t="shared" si="86"/>
        <v>55727.600000000006</v>
      </c>
      <c r="BE104" s="77">
        <f t="shared" si="86"/>
        <v>55727.600000000006</v>
      </c>
      <c r="BF104" s="77">
        <f t="shared" si="86"/>
        <v>55727.600000000006</v>
      </c>
      <c r="BG104" s="77">
        <f t="shared" si="86"/>
        <v>55727.600000000006</v>
      </c>
      <c r="BH104" s="77">
        <f t="shared" si="86"/>
        <v>55727.600000000006</v>
      </c>
      <c r="BI104" s="77">
        <f t="shared" si="86"/>
        <v>55727.600000000006</v>
      </c>
      <c r="BJ104" s="77">
        <f t="shared" si="86"/>
        <v>55727.600000000006</v>
      </c>
      <c r="BK104" s="77">
        <f t="shared" si="86"/>
        <v>55727.600000000006</v>
      </c>
      <c r="BL104" s="77">
        <f t="shared" si="86"/>
        <v>55727.600000000006</v>
      </c>
      <c r="BM104" s="77">
        <f t="shared" si="86"/>
        <v>40982.100000000006</v>
      </c>
      <c r="BN104" s="77">
        <f t="shared" si="86"/>
        <v>40982.100000000006</v>
      </c>
      <c r="BO104" s="77">
        <f t="shared" si="86"/>
        <v>40982.100000000006</v>
      </c>
      <c r="BP104" s="77">
        <f t="shared" si="86"/>
        <v>25308.300000000003</v>
      </c>
      <c r="BQ104" s="77">
        <f t="shared" si="86"/>
        <v>25308.300000000003</v>
      </c>
      <c r="BR104" s="77">
        <f t="shared" ref="BR104:CW104" si="87">IF(BR92="","",-MIN(0,BR87*Equity_Share_GP))</f>
        <v>25308.300000000003</v>
      </c>
      <c r="BS104" s="77">
        <f t="shared" si="87"/>
        <v>25308.300000000003</v>
      </c>
      <c r="BT104" s="77">
        <f t="shared" si="87"/>
        <v>25308.300000000003</v>
      </c>
      <c r="BU104" s="77">
        <f t="shared" si="87"/>
        <v>25308.300000000003</v>
      </c>
      <c r="BV104" s="77">
        <f t="shared" si="87"/>
        <v>25308.300000000003</v>
      </c>
      <c r="BW104" s="77">
        <f t="shared" si="87"/>
        <v>25308.300000000003</v>
      </c>
      <c r="BX104" s="77">
        <f t="shared" si="87"/>
        <v>25308.300000000003</v>
      </c>
      <c r="BY104" s="77">
        <f t="shared" si="87"/>
        <v>0</v>
      </c>
      <c r="BZ104" s="77">
        <f t="shared" si="87"/>
        <v>0</v>
      </c>
      <c r="CA104" s="77">
        <f t="shared" si="87"/>
        <v>25308.300000000003</v>
      </c>
      <c r="CB104" s="77">
        <f t="shared" si="87"/>
        <v>25308.300000000003</v>
      </c>
      <c r="CC104" s="77">
        <f t="shared" si="87"/>
        <v>25308.300000000003</v>
      </c>
      <c r="CD104" s="77">
        <f t="shared" si="87"/>
        <v>25308.300000000003</v>
      </c>
      <c r="CE104" s="77">
        <f t="shared" si="87"/>
        <v>0</v>
      </c>
      <c r="CF104" s="77">
        <f t="shared" si="87"/>
        <v>0</v>
      </c>
      <c r="CG104" s="77">
        <f t="shared" si="87"/>
        <v>0</v>
      </c>
      <c r="CH104" s="77">
        <f t="shared" si="87"/>
        <v>0</v>
      </c>
      <c r="CI104" s="77">
        <f t="shared" si="87"/>
        <v>0</v>
      </c>
      <c r="CJ104" s="77">
        <f t="shared" si="87"/>
        <v>0</v>
      </c>
      <c r="CK104" s="77">
        <f t="shared" si="87"/>
        <v>58158.3</v>
      </c>
      <c r="CL104" s="77">
        <f t="shared" si="87"/>
        <v>58158.3</v>
      </c>
      <c r="CM104" s="77">
        <f t="shared" si="87"/>
        <v>58158.3</v>
      </c>
      <c r="CN104" s="77">
        <f t="shared" si="87"/>
        <v>58158.3</v>
      </c>
      <c r="CO104" s="77">
        <f t="shared" si="87"/>
        <v>58158.3</v>
      </c>
      <c r="CP104" s="77">
        <f t="shared" si="87"/>
        <v>58158.3</v>
      </c>
      <c r="CQ104" s="77">
        <f t="shared" si="87"/>
        <v>58158.3</v>
      </c>
      <c r="CR104" s="77">
        <f t="shared" si="87"/>
        <v>58158.3</v>
      </c>
      <c r="CS104" s="77">
        <f t="shared" si="87"/>
        <v>58158.3</v>
      </c>
      <c r="CT104" s="77">
        <f t="shared" si="87"/>
        <v>58158.3</v>
      </c>
      <c r="CU104" s="77">
        <f t="shared" si="87"/>
        <v>58158.3</v>
      </c>
      <c r="CV104" s="77">
        <f t="shared" si="87"/>
        <v>58158.3</v>
      </c>
      <c r="CW104" s="77">
        <f t="shared" si="87"/>
        <v>0</v>
      </c>
      <c r="CX104" s="77" t="str">
        <f t="shared" ref="CX104:DV104" si="88">IF(CX92="","",-MIN(0,CX87*Equity_Share_GP))</f>
        <v/>
      </c>
      <c r="CY104" s="77" t="str">
        <f t="shared" si="88"/>
        <v/>
      </c>
      <c r="CZ104" s="77" t="str">
        <f t="shared" si="88"/>
        <v/>
      </c>
      <c r="DA104" s="77" t="str">
        <f t="shared" si="88"/>
        <v/>
      </c>
      <c r="DB104" s="77" t="str">
        <f t="shared" si="88"/>
        <v/>
      </c>
      <c r="DC104" s="77" t="str">
        <f t="shared" si="88"/>
        <v/>
      </c>
      <c r="DD104" s="77" t="str">
        <f t="shared" si="88"/>
        <v/>
      </c>
      <c r="DE104" s="77" t="str">
        <f t="shared" si="88"/>
        <v/>
      </c>
      <c r="DF104" s="77" t="str">
        <f t="shared" si="88"/>
        <v/>
      </c>
      <c r="DG104" s="77" t="str">
        <f t="shared" si="88"/>
        <v/>
      </c>
      <c r="DH104" s="77" t="str">
        <f t="shared" si="88"/>
        <v/>
      </c>
      <c r="DI104" s="77" t="str">
        <f t="shared" si="88"/>
        <v/>
      </c>
      <c r="DJ104" s="77" t="str">
        <f t="shared" si="88"/>
        <v/>
      </c>
      <c r="DK104" s="77" t="str">
        <f t="shared" si="88"/>
        <v/>
      </c>
      <c r="DL104" s="77" t="str">
        <f t="shared" si="88"/>
        <v/>
      </c>
      <c r="DM104" s="77" t="str">
        <f t="shared" si="88"/>
        <v/>
      </c>
      <c r="DN104" s="77" t="str">
        <f t="shared" si="88"/>
        <v/>
      </c>
      <c r="DO104" s="77" t="str">
        <f t="shared" si="88"/>
        <v/>
      </c>
      <c r="DP104" s="77" t="str">
        <f t="shared" si="88"/>
        <v/>
      </c>
      <c r="DQ104" s="77" t="str">
        <f t="shared" si="88"/>
        <v/>
      </c>
      <c r="DR104" s="77" t="str">
        <f t="shared" si="88"/>
        <v/>
      </c>
      <c r="DS104" s="77" t="str">
        <f t="shared" si="88"/>
        <v/>
      </c>
      <c r="DT104" s="77" t="str">
        <f t="shared" si="88"/>
        <v/>
      </c>
      <c r="DU104" s="77" t="str">
        <f t="shared" si="88"/>
        <v/>
      </c>
      <c r="DV104" s="77" t="str">
        <f t="shared" si="88"/>
        <v/>
      </c>
      <c r="DW104" s="77"/>
      <c r="DX104" s="77"/>
      <c r="DY104" s="78"/>
    </row>
    <row r="105" spans="2:129" outlineLevel="1" x14ac:dyDescent="0.2">
      <c r="B105" s="16" t="s">
        <v>67</v>
      </c>
      <c r="C105" s="16"/>
      <c r="D105" s="16"/>
      <c r="E105" s="16"/>
      <c r="F105" s="77">
        <f t="shared" ref="F105:AK105" si="89">IF(F92="","",IF(CU?,MAX(MIN(F87-F100,F102+F103+F104),0),F97/$I$15*$H$15))</f>
        <v>0</v>
      </c>
      <c r="G105" s="77">
        <f t="shared" si="89"/>
        <v>0</v>
      </c>
      <c r="H105" s="24">
        <f t="shared" si="89"/>
        <v>0</v>
      </c>
      <c r="I105" s="24">
        <f t="shared" si="89"/>
        <v>0</v>
      </c>
      <c r="J105" s="24">
        <f t="shared" si="89"/>
        <v>0</v>
      </c>
      <c r="K105" s="24">
        <f t="shared" si="89"/>
        <v>0</v>
      </c>
      <c r="L105" s="24">
        <f t="shared" si="89"/>
        <v>0</v>
      </c>
      <c r="M105" s="24">
        <f t="shared" si="89"/>
        <v>0</v>
      </c>
      <c r="N105" s="24">
        <f t="shared" si="89"/>
        <v>0</v>
      </c>
      <c r="O105" s="24">
        <f t="shared" si="89"/>
        <v>0</v>
      </c>
      <c r="P105" s="24">
        <f t="shared" si="89"/>
        <v>0</v>
      </c>
      <c r="Q105" s="24">
        <f t="shared" si="89"/>
        <v>0</v>
      </c>
      <c r="R105" s="24">
        <f t="shared" si="89"/>
        <v>0</v>
      </c>
      <c r="S105" s="24">
        <f t="shared" si="89"/>
        <v>0</v>
      </c>
      <c r="T105" s="24">
        <f t="shared" si="89"/>
        <v>0</v>
      </c>
      <c r="U105" s="24">
        <f t="shared" si="89"/>
        <v>0</v>
      </c>
      <c r="V105" s="24">
        <f t="shared" si="89"/>
        <v>0</v>
      </c>
      <c r="W105" s="24">
        <f t="shared" si="89"/>
        <v>0</v>
      </c>
      <c r="X105" s="24">
        <f t="shared" si="89"/>
        <v>0</v>
      </c>
      <c r="Y105" s="24">
        <f t="shared" si="89"/>
        <v>0</v>
      </c>
      <c r="Z105" s="24">
        <f t="shared" si="89"/>
        <v>0</v>
      </c>
      <c r="AA105" s="24">
        <f t="shared" si="89"/>
        <v>0</v>
      </c>
      <c r="AB105" s="24">
        <f t="shared" si="89"/>
        <v>0</v>
      </c>
      <c r="AC105" s="24">
        <f t="shared" si="89"/>
        <v>0</v>
      </c>
      <c r="AD105" s="24">
        <f t="shared" si="89"/>
        <v>0</v>
      </c>
      <c r="AE105" s="24">
        <f t="shared" si="89"/>
        <v>2843545.4000000004</v>
      </c>
      <c r="AF105" s="24">
        <f t="shared" si="89"/>
        <v>0</v>
      </c>
      <c r="AG105" s="24">
        <f t="shared" si="89"/>
        <v>0</v>
      </c>
      <c r="AH105" s="24">
        <f t="shared" si="89"/>
        <v>0</v>
      </c>
      <c r="AI105" s="24">
        <f t="shared" si="89"/>
        <v>0</v>
      </c>
      <c r="AJ105" s="24">
        <f t="shared" si="89"/>
        <v>0</v>
      </c>
      <c r="AK105" s="24">
        <f t="shared" si="89"/>
        <v>0</v>
      </c>
      <c r="AL105" s="24">
        <f t="shared" ref="AL105:BQ105" si="90">IF(AL92="","",IF(CU?,MAX(MIN(AL87-AL100,AL102+AL103+AL104),0),AL97/$I$15*$H$15))</f>
        <v>0</v>
      </c>
      <c r="AM105" s="24">
        <f t="shared" si="90"/>
        <v>0</v>
      </c>
      <c r="AN105" s="24">
        <f t="shared" si="90"/>
        <v>0</v>
      </c>
      <c r="AO105" s="24">
        <f t="shared" si="90"/>
        <v>0</v>
      </c>
      <c r="AP105" s="24">
        <f t="shared" si="90"/>
        <v>0</v>
      </c>
      <c r="AQ105" s="24">
        <f t="shared" si="90"/>
        <v>0</v>
      </c>
      <c r="AR105" s="24">
        <f t="shared" si="90"/>
        <v>0</v>
      </c>
      <c r="AS105" s="24">
        <f t="shared" si="90"/>
        <v>0</v>
      </c>
      <c r="AT105" s="24">
        <f t="shared" si="90"/>
        <v>0</v>
      </c>
      <c r="AU105" s="24">
        <f t="shared" si="90"/>
        <v>4139676.1</v>
      </c>
      <c r="AV105" s="24">
        <f t="shared" si="90"/>
        <v>0</v>
      </c>
      <c r="AW105" s="24">
        <f t="shared" si="90"/>
        <v>0</v>
      </c>
      <c r="AX105" s="24">
        <f t="shared" si="90"/>
        <v>0</v>
      </c>
      <c r="AY105" s="24">
        <f t="shared" si="90"/>
        <v>0</v>
      </c>
      <c r="AZ105" s="24">
        <f t="shared" si="90"/>
        <v>0</v>
      </c>
      <c r="BA105" s="24">
        <f t="shared" si="90"/>
        <v>8458467.8007294051</v>
      </c>
      <c r="BB105" s="24">
        <f t="shared" si="90"/>
        <v>0</v>
      </c>
      <c r="BC105" s="24">
        <f t="shared" si="90"/>
        <v>0</v>
      </c>
      <c r="BD105" s="24">
        <f t="shared" si="90"/>
        <v>0</v>
      </c>
      <c r="BE105" s="24">
        <f t="shared" si="90"/>
        <v>0</v>
      </c>
      <c r="BF105" s="24">
        <f t="shared" si="90"/>
        <v>0</v>
      </c>
      <c r="BG105" s="24">
        <f t="shared" si="90"/>
        <v>0</v>
      </c>
      <c r="BH105" s="24">
        <f t="shared" si="90"/>
        <v>0</v>
      </c>
      <c r="BI105" s="24">
        <f t="shared" si="90"/>
        <v>0</v>
      </c>
      <c r="BJ105" s="24">
        <f t="shared" si="90"/>
        <v>0</v>
      </c>
      <c r="BK105" s="24">
        <f t="shared" si="90"/>
        <v>0</v>
      </c>
      <c r="BL105" s="24">
        <f t="shared" si="90"/>
        <v>0</v>
      </c>
      <c r="BM105" s="24">
        <f t="shared" si="90"/>
        <v>0</v>
      </c>
      <c r="BN105" s="24">
        <f t="shared" si="90"/>
        <v>0</v>
      </c>
      <c r="BO105" s="24">
        <f t="shared" si="90"/>
        <v>0</v>
      </c>
      <c r="BP105" s="24">
        <f t="shared" si="90"/>
        <v>0</v>
      </c>
      <c r="BQ105" s="24">
        <f t="shared" si="90"/>
        <v>0</v>
      </c>
      <c r="BR105" s="24">
        <f t="shared" ref="BR105:CW105" si="91">IF(BR92="","",IF(CU?,MAX(MIN(BR87-BR100,BR102+BR103+BR104),0),BR97/$I$15*$H$15))</f>
        <v>0</v>
      </c>
      <c r="BS105" s="24">
        <f t="shared" si="91"/>
        <v>0</v>
      </c>
      <c r="BT105" s="24">
        <f t="shared" si="91"/>
        <v>0</v>
      </c>
      <c r="BU105" s="24">
        <f t="shared" si="91"/>
        <v>0</v>
      </c>
      <c r="BV105" s="24">
        <f t="shared" si="91"/>
        <v>0</v>
      </c>
      <c r="BW105" s="24">
        <f t="shared" si="91"/>
        <v>0</v>
      </c>
      <c r="BX105" s="24">
        <f t="shared" si="91"/>
        <v>0</v>
      </c>
      <c r="BY105" s="24">
        <f t="shared" si="91"/>
        <v>590691.70000000007</v>
      </c>
      <c r="BZ105" s="24">
        <f t="shared" si="91"/>
        <v>428441.7</v>
      </c>
      <c r="CA105" s="24">
        <f t="shared" si="91"/>
        <v>0</v>
      </c>
      <c r="CB105" s="24">
        <f t="shared" si="91"/>
        <v>0</v>
      </c>
      <c r="CC105" s="24">
        <f t="shared" si="91"/>
        <v>0</v>
      </c>
      <c r="CD105" s="24">
        <f t="shared" si="91"/>
        <v>0</v>
      </c>
      <c r="CE105" s="24">
        <f t="shared" si="91"/>
        <v>143432.12997821745</v>
      </c>
      <c r="CF105" s="24">
        <f t="shared" si="91"/>
        <v>0</v>
      </c>
      <c r="CG105" s="24">
        <f t="shared" si="91"/>
        <v>0</v>
      </c>
      <c r="CH105" s="24">
        <f t="shared" si="91"/>
        <v>0</v>
      </c>
      <c r="CI105" s="24">
        <f t="shared" si="91"/>
        <v>0</v>
      </c>
      <c r="CJ105" s="24">
        <f t="shared" si="91"/>
        <v>0</v>
      </c>
      <c r="CK105" s="24">
        <f t="shared" si="91"/>
        <v>0</v>
      </c>
      <c r="CL105" s="24">
        <f t="shared" si="91"/>
        <v>0</v>
      </c>
      <c r="CM105" s="24">
        <f t="shared" si="91"/>
        <v>0</v>
      </c>
      <c r="CN105" s="24">
        <f t="shared" si="91"/>
        <v>0</v>
      </c>
      <c r="CO105" s="24">
        <f t="shared" si="91"/>
        <v>0</v>
      </c>
      <c r="CP105" s="24">
        <f t="shared" si="91"/>
        <v>0</v>
      </c>
      <c r="CQ105" s="24">
        <f t="shared" si="91"/>
        <v>0</v>
      </c>
      <c r="CR105" s="24">
        <f t="shared" si="91"/>
        <v>0</v>
      </c>
      <c r="CS105" s="24">
        <f t="shared" si="91"/>
        <v>0</v>
      </c>
      <c r="CT105" s="24">
        <f t="shared" si="91"/>
        <v>0</v>
      </c>
      <c r="CU105" s="24">
        <f t="shared" si="91"/>
        <v>0</v>
      </c>
      <c r="CV105" s="24">
        <f t="shared" si="91"/>
        <v>0</v>
      </c>
      <c r="CW105" s="24">
        <f t="shared" si="91"/>
        <v>727818.15746796678</v>
      </c>
      <c r="CX105" s="24" t="str">
        <f t="shared" ref="CX105:DV105" si="92">IF(CX92="","",IF(CU?,MAX(MIN(CX87-CX100,CX102+CX103+CX104),0),CX97/$I$15*$H$15))</f>
        <v/>
      </c>
      <c r="CY105" s="24" t="str">
        <f t="shared" si="92"/>
        <v/>
      </c>
      <c r="CZ105" s="24" t="str">
        <f t="shared" si="92"/>
        <v/>
      </c>
      <c r="DA105" s="24" t="str">
        <f t="shared" si="92"/>
        <v/>
      </c>
      <c r="DB105" s="24" t="str">
        <f t="shared" si="92"/>
        <v/>
      </c>
      <c r="DC105" s="24" t="str">
        <f t="shared" si="92"/>
        <v/>
      </c>
      <c r="DD105" s="24" t="str">
        <f t="shared" si="92"/>
        <v/>
      </c>
      <c r="DE105" s="24" t="str">
        <f t="shared" si="92"/>
        <v/>
      </c>
      <c r="DF105" s="24" t="str">
        <f t="shared" si="92"/>
        <v/>
      </c>
      <c r="DG105" s="24" t="str">
        <f t="shared" si="92"/>
        <v/>
      </c>
      <c r="DH105" s="24" t="str">
        <f t="shared" si="92"/>
        <v/>
      </c>
      <c r="DI105" s="24" t="str">
        <f t="shared" si="92"/>
        <v/>
      </c>
      <c r="DJ105" s="24" t="str">
        <f t="shared" si="92"/>
        <v/>
      </c>
      <c r="DK105" s="24" t="str">
        <f t="shared" si="92"/>
        <v/>
      </c>
      <c r="DL105" s="24" t="str">
        <f t="shared" si="92"/>
        <v/>
      </c>
      <c r="DM105" s="24" t="str">
        <f t="shared" si="92"/>
        <v/>
      </c>
      <c r="DN105" s="24" t="str">
        <f t="shared" si="92"/>
        <v/>
      </c>
      <c r="DO105" s="24" t="str">
        <f t="shared" si="92"/>
        <v/>
      </c>
      <c r="DP105" s="24" t="str">
        <f t="shared" si="92"/>
        <v/>
      </c>
      <c r="DQ105" s="24" t="str">
        <f t="shared" si="92"/>
        <v/>
      </c>
      <c r="DR105" s="24" t="str">
        <f t="shared" si="92"/>
        <v/>
      </c>
      <c r="DS105" s="24" t="str">
        <f t="shared" si="92"/>
        <v/>
      </c>
      <c r="DT105" s="24" t="str">
        <f t="shared" si="92"/>
        <v/>
      </c>
      <c r="DU105" s="24" t="str">
        <f t="shared" si="92"/>
        <v/>
      </c>
      <c r="DV105" s="24" t="str">
        <f t="shared" si="92"/>
        <v/>
      </c>
      <c r="DW105" s="24"/>
      <c r="DX105" s="24"/>
      <c r="DY105" s="70"/>
    </row>
    <row r="106" spans="2:129" outlineLevel="1" x14ac:dyDescent="0.2">
      <c r="B106" s="16" t="s">
        <v>68</v>
      </c>
      <c r="C106" s="16"/>
      <c r="D106" s="16"/>
      <c r="E106" s="16"/>
      <c r="F106" s="77">
        <f>IF(F92="","",F102+F103+F104-F105)</f>
        <v>10402691.700000001</v>
      </c>
      <c r="G106" s="77">
        <f>IF(G92="","",G102+G103+G104-G105)</f>
        <v>10473602.444054522</v>
      </c>
      <c r="H106" s="24">
        <f t="shared" ref="H106:BS106" si="93">IF(H92="","",H102+H103+H104-H105)</f>
        <v>10538311.725247324</v>
      </c>
      <c r="I106" s="24">
        <f t="shared" si="93"/>
        <v>10610111.84185501</v>
      </c>
      <c r="J106" s="24">
        <f t="shared" si="93"/>
        <v>10680131.212514272</v>
      </c>
      <c r="K106" s="24">
        <f t="shared" si="93"/>
        <v>10752861.356669508</v>
      </c>
      <c r="L106" s="24">
        <f t="shared" si="93"/>
        <v>10823786.560600223</v>
      </c>
      <c r="M106" s="24">
        <f t="shared" si="93"/>
        <v>10897458.771559162</v>
      </c>
      <c r="N106" s="24">
        <f t="shared" si="93"/>
        <v>10971614.112072445</v>
      </c>
      <c r="O106" s="24">
        <f t="shared" si="93"/>
        <v>11043927.43647645</v>
      </c>
      <c r="P106" s="24">
        <f t="shared" si="93"/>
        <v>11119043.29303623</v>
      </c>
      <c r="Q106" s="24">
        <f t="shared" si="93"/>
        <v>11192292.14606514</v>
      </c>
      <c r="R106" s="24">
        <f t="shared" si="93"/>
        <v>11268380.952602815</v>
      </c>
      <c r="S106" s="24">
        <f t="shared" si="93"/>
        <v>11344968.736308606</v>
      </c>
      <c r="T106" s="24">
        <f t="shared" si="93"/>
        <v>11414837.658615075</v>
      </c>
      <c r="U106" s="24">
        <f t="shared" si="93"/>
        <v>11492385.879942942</v>
      </c>
      <c r="V106" s="24">
        <f t="shared" si="93"/>
        <v>11568003.820791943</v>
      </c>
      <c r="W106" s="24">
        <f t="shared" si="93"/>
        <v>11646556.479189228</v>
      </c>
      <c r="X106" s="24">
        <f t="shared" si="93"/>
        <v>11723152.727099089</v>
      </c>
      <c r="Y106" s="24">
        <f t="shared" si="93"/>
        <v>11802722.825057173</v>
      </c>
      <c r="Z106" s="24">
        <f t="shared" si="93"/>
        <v>11882814.729887417</v>
      </c>
      <c r="AA106" s="24">
        <f t="shared" si="93"/>
        <v>11960910.181380672</v>
      </c>
      <c r="AB106" s="24">
        <f t="shared" si="93"/>
        <v>12042039.451398803</v>
      </c>
      <c r="AC106" s="24">
        <f t="shared" si="93"/>
        <v>12157113.981460214</v>
      </c>
      <c r="AD106" s="24">
        <f t="shared" si="93"/>
        <v>12330402.821896665</v>
      </c>
      <c r="AE106" s="24">
        <f t="shared" si="93"/>
        <v>9567718.0604289938</v>
      </c>
      <c r="AF106" s="24">
        <f t="shared" si="93"/>
        <v>9719965.7413184196</v>
      </c>
      <c r="AG106" s="24">
        <f t="shared" si="93"/>
        <v>9877272.1872019656</v>
      </c>
      <c r="AH106" s="24">
        <f t="shared" si="93"/>
        <v>10033514.14053659</v>
      </c>
      <c r="AI106" s="24">
        <f t="shared" si="93"/>
        <v>10192876.78232369</v>
      </c>
      <c r="AJ106" s="24">
        <f t="shared" si="93"/>
        <v>10351121.440488916</v>
      </c>
      <c r="AK106" s="24">
        <f t="shared" si="93"/>
        <v>10512566.8957451</v>
      </c>
      <c r="AL106" s="24">
        <f t="shared" si="93"/>
        <v>10675071.082235675</v>
      </c>
      <c r="AM106" s="24">
        <f t="shared" si="93"/>
        <v>10818147.759138172</v>
      </c>
      <c r="AN106" s="24">
        <f t="shared" si="93"/>
        <v>10964428.091817219</v>
      </c>
      <c r="AO106" s="24">
        <f t="shared" si="93"/>
        <v>11132236.716512918</v>
      </c>
      <c r="AP106" s="24">
        <f t="shared" si="93"/>
        <v>11272860.089981953</v>
      </c>
      <c r="AQ106" s="24">
        <f t="shared" si="93"/>
        <v>11414405.647092149</v>
      </c>
      <c r="AR106" s="24">
        <f t="shared" si="93"/>
        <v>11549614.127763212</v>
      </c>
      <c r="AS106" s="24">
        <f t="shared" si="93"/>
        <v>11692974.589749966</v>
      </c>
      <c r="AT106" s="24">
        <f t="shared" si="93"/>
        <v>11834793.789056366</v>
      </c>
      <c r="AU106" s="24">
        <f t="shared" si="93"/>
        <v>7772728.2096941955</v>
      </c>
      <c r="AV106" s="24">
        <f t="shared" si="93"/>
        <v>7896589.3400128195</v>
      </c>
      <c r="AW106" s="24">
        <f t="shared" si="93"/>
        <v>8022912.2003815537</v>
      </c>
      <c r="AX106" s="24">
        <f t="shared" si="93"/>
        <v>8150063.4641121393</v>
      </c>
      <c r="AY106" s="24">
        <f t="shared" si="93"/>
        <v>8276319.018176361</v>
      </c>
      <c r="AZ106" s="24">
        <f t="shared" si="93"/>
        <v>8405132.0797728635</v>
      </c>
      <c r="BA106" s="24">
        <f t="shared" si="93"/>
        <v>-2.9802322387695312E-8</v>
      </c>
      <c r="BB106" s="24">
        <f t="shared" si="93"/>
        <v>55727.599999970007</v>
      </c>
      <c r="BC106" s="24">
        <f t="shared" si="93"/>
        <v>111820.65191463655</v>
      </c>
      <c r="BD106" s="24">
        <f t="shared" si="93"/>
        <v>168210.37809292058</v>
      </c>
      <c r="BE106" s="24">
        <f t="shared" si="93"/>
        <v>225041.07251544864</v>
      </c>
      <c r="BF106" s="24">
        <f t="shared" si="93"/>
        <v>282196.6962197189</v>
      </c>
      <c r="BG106" s="24">
        <f t="shared" si="93"/>
        <v>339774.8931043169</v>
      </c>
      <c r="BH106" s="24">
        <f t="shared" si="93"/>
        <v>397658.57330801187</v>
      </c>
      <c r="BI106" s="24">
        <f t="shared" si="93"/>
        <v>455993.94911387924</v>
      </c>
      <c r="BJ106" s="24">
        <f t="shared" si="93"/>
        <v>514711.87817488518</v>
      </c>
      <c r="BK106" s="24">
        <f t="shared" si="93"/>
        <v>573705.64090103703</v>
      </c>
      <c r="BL106" s="24">
        <f t="shared" si="93"/>
        <v>633195.50277706236</v>
      </c>
      <c r="BM106" s="24">
        <f t="shared" si="93"/>
        <v>678195.61681021575</v>
      </c>
      <c r="BN106" s="24">
        <f t="shared" si="93"/>
        <v>723625.20578662748</v>
      </c>
      <c r="BO106" s="24">
        <f t="shared" si="93"/>
        <v>769352.71411133255</v>
      </c>
      <c r="BP106" s="24">
        <f t="shared" si="93"/>
        <v>799216.59989646892</v>
      </c>
      <c r="BQ106" s="24">
        <f t="shared" si="93"/>
        <v>829766.02344504464</v>
      </c>
      <c r="BR106" s="24">
        <f t="shared" si="93"/>
        <v>860339.69805969973</v>
      </c>
      <c r="BS106" s="24">
        <f t="shared" si="93"/>
        <v>891289.95626209362</v>
      </c>
      <c r="BT106" s="24">
        <f t="shared" ref="BT106:DV106" si="94">IF(BT92="","",BT102+BT103+BT104-BT105)</f>
        <v>922254.03798537387</v>
      </c>
      <c r="BU106" s="24">
        <f t="shared" si="94"/>
        <v>953610.31966753653</v>
      </c>
      <c r="BV106" s="24">
        <f t="shared" si="94"/>
        <v>985172.23039486853</v>
      </c>
      <c r="BW106" s="24">
        <f t="shared" si="94"/>
        <v>1016732.0527595076</v>
      </c>
      <c r="BX106" s="24">
        <f t="shared" si="94"/>
        <v>1048707.9048411332</v>
      </c>
      <c r="BY106" s="24">
        <f t="shared" si="94"/>
        <v>464670.90004956408</v>
      </c>
      <c r="BZ106" s="24">
        <f t="shared" si="94"/>
        <v>39276.431046646845</v>
      </c>
      <c r="CA106" s="24">
        <f t="shared" si="94"/>
        <v>64842.299054730334</v>
      </c>
      <c r="CB106" s="24">
        <f t="shared" si="94"/>
        <v>90548.305786518642</v>
      </c>
      <c r="CC106" s="24">
        <f t="shared" si="94"/>
        <v>116450.40583747208</v>
      </c>
      <c r="CD106" s="24">
        <f t="shared" si="94"/>
        <v>142497.65512370243</v>
      </c>
      <c r="CE106" s="24">
        <f t="shared" si="94"/>
        <v>-3.5768607631325722E-8</v>
      </c>
      <c r="CF106" s="24">
        <f t="shared" si="94"/>
        <v>-3.5995581396582588E-8</v>
      </c>
      <c r="CG106" s="24">
        <f t="shared" si="94"/>
        <v>-3.623163416291244E-8</v>
      </c>
      <c r="CH106" s="24">
        <f t="shared" si="94"/>
        <v>-3.6469234922255047E-8</v>
      </c>
      <c r="CI106" s="24">
        <f t="shared" si="94"/>
        <v>-3.6700654597621218E-8</v>
      </c>
      <c r="CJ106" s="24">
        <f t="shared" si="94"/>
        <v>-3.69413311114532E-8</v>
      </c>
      <c r="CK106" s="24">
        <f t="shared" si="94"/>
        <v>58158.29999996283</v>
      </c>
      <c r="CL106" s="24">
        <f t="shared" si="94"/>
        <v>116697.99202274416</v>
      </c>
      <c r="CM106" s="24">
        <f t="shared" si="94"/>
        <v>175621.57717090193</v>
      </c>
      <c r="CN106" s="24">
        <f t="shared" si="94"/>
        <v>234819.78922404535</v>
      </c>
      <c r="CO106" s="24">
        <f t="shared" si="94"/>
        <v>294517.99658724718</v>
      </c>
      <c r="CP106" s="24">
        <f t="shared" si="94"/>
        <v>354545.19401010271</v>
      </c>
      <c r="CQ106" s="24">
        <f t="shared" si="94"/>
        <v>415028.539768163</v>
      </c>
      <c r="CR106" s="24">
        <f t="shared" si="94"/>
        <v>475820.4505402451</v>
      </c>
      <c r="CS106" s="24">
        <f t="shared" si="94"/>
        <v>537099.09835151862</v>
      </c>
      <c r="CT106" s="24">
        <f t="shared" si="94"/>
        <v>598779.60088416573</v>
      </c>
      <c r="CU106" s="24">
        <f t="shared" si="94"/>
        <v>660737.52490007679</v>
      </c>
      <c r="CV106" s="24">
        <f t="shared" si="94"/>
        <v>723228.82674417016</v>
      </c>
      <c r="CW106" s="24">
        <f t="shared" si="94"/>
        <v>-4.0279701352119446E-8</v>
      </c>
      <c r="CX106" s="24" t="str">
        <f t="shared" si="94"/>
        <v/>
      </c>
      <c r="CY106" s="24" t="str">
        <f t="shared" si="94"/>
        <v/>
      </c>
      <c r="CZ106" s="24" t="str">
        <f t="shared" si="94"/>
        <v/>
      </c>
      <c r="DA106" s="24" t="str">
        <f t="shared" si="94"/>
        <v/>
      </c>
      <c r="DB106" s="24" t="str">
        <f t="shared" si="94"/>
        <v/>
      </c>
      <c r="DC106" s="24" t="str">
        <f t="shared" si="94"/>
        <v/>
      </c>
      <c r="DD106" s="24" t="str">
        <f t="shared" si="94"/>
        <v/>
      </c>
      <c r="DE106" s="24" t="str">
        <f t="shared" si="94"/>
        <v/>
      </c>
      <c r="DF106" s="24" t="str">
        <f t="shared" si="94"/>
        <v/>
      </c>
      <c r="DG106" s="24" t="str">
        <f t="shared" si="94"/>
        <v/>
      </c>
      <c r="DH106" s="24" t="str">
        <f t="shared" si="94"/>
        <v/>
      </c>
      <c r="DI106" s="24" t="str">
        <f t="shared" si="94"/>
        <v/>
      </c>
      <c r="DJ106" s="24" t="str">
        <f t="shared" si="94"/>
        <v/>
      </c>
      <c r="DK106" s="24" t="str">
        <f t="shared" si="94"/>
        <v/>
      </c>
      <c r="DL106" s="24" t="str">
        <f t="shared" si="94"/>
        <v/>
      </c>
      <c r="DM106" s="24" t="str">
        <f t="shared" si="94"/>
        <v/>
      </c>
      <c r="DN106" s="24" t="str">
        <f t="shared" si="94"/>
        <v/>
      </c>
      <c r="DO106" s="24" t="str">
        <f t="shared" si="94"/>
        <v/>
      </c>
      <c r="DP106" s="24" t="str">
        <f t="shared" si="94"/>
        <v/>
      </c>
      <c r="DQ106" s="24" t="str">
        <f t="shared" si="94"/>
        <v/>
      </c>
      <c r="DR106" s="24" t="str">
        <f t="shared" si="94"/>
        <v/>
      </c>
      <c r="DS106" s="24" t="str">
        <f t="shared" si="94"/>
        <v/>
      </c>
      <c r="DT106" s="24" t="str">
        <f t="shared" si="94"/>
        <v/>
      </c>
      <c r="DU106" s="24" t="str">
        <f t="shared" si="94"/>
        <v/>
      </c>
      <c r="DV106" s="24" t="str">
        <f t="shared" si="94"/>
        <v/>
      </c>
      <c r="DW106" s="24"/>
      <c r="DX106" s="24"/>
      <c r="DY106" s="70"/>
    </row>
    <row r="107" spans="2:129" outlineLevel="1" x14ac:dyDescent="0.2">
      <c r="B107" s="124" t="str">
        <f>IF(D57="Equity Multiple", "GP EMx Check","GP IRR Check")</f>
        <v>GP IRR Check</v>
      </c>
      <c r="C107" s="16"/>
      <c r="D107" s="16"/>
      <c r="E107" s="79">
        <f ca="1">XIRR(OFFSET(F107,0,0,1,$E$21+1),OFFSET($F$46,0,0,1,$E$21+1))</f>
        <v>7.9999998211860726E-2</v>
      </c>
      <c r="F107" s="77">
        <f>IF(F92="","",-F104+F105)</f>
        <v>-10402691.700000001</v>
      </c>
      <c r="G107" s="77">
        <f>IF(G92="","",-G104+G105)</f>
        <v>-2691.7000000000003</v>
      </c>
      <c r="H107" s="24">
        <f t="shared" ref="H107:BS107" si="95">IF(H92="","",-H104+H105)</f>
        <v>-2691.7000000000003</v>
      </c>
      <c r="I107" s="24">
        <f t="shared" si="95"/>
        <v>-2691.7000000000003</v>
      </c>
      <c r="J107" s="24">
        <f t="shared" si="95"/>
        <v>-2691.7000000000003</v>
      </c>
      <c r="K107" s="24">
        <f t="shared" si="95"/>
        <v>-2691.7000000000003</v>
      </c>
      <c r="L107" s="24">
        <f t="shared" si="95"/>
        <v>-2691.7000000000003</v>
      </c>
      <c r="M107" s="24">
        <f t="shared" si="95"/>
        <v>-2691.7000000000003</v>
      </c>
      <c r="N107" s="24">
        <f t="shared" si="95"/>
        <v>-2691.7000000000003</v>
      </c>
      <c r="O107" s="24">
        <f t="shared" si="95"/>
        <v>-2691.7000000000003</v>
      </c>
      <c r="P107" s="24">
        <f t="shared" si="95"/>
        <v>-2691.7000000000003</v>
      </c>
      <c r="Q107" s="24">
        <f t="shared" si="95"/>
        <v>-2691.7000000000003</v>
      </c>
      <c r="R107" s="24">
        <f t="shared" si="95"/>
        <v>-2691.7000000000003</v>
      </c>
      <c r="S107" s="24">
        <f t="shared" si="95"/>
        <v>-2691.7000000000003</v>
      </c>
      <c r="T107" s="24">
        <f t="shared" si="95"/>
        <v>-2691.7000000000003</v>
      </c>
      <c r="U107" s="24">
        <f t="shared" si="95"/>
        <v>-2691.7000000000003</v>
      </c>
      <c r="V107" s="24">
        <f t="shared" si="95"/>
        <v>-2691.7000000000003</v>
      </c>
      <c r="W107" s="24">
        <f t="shared" si="95"/>
        <v>-2691.7000000000003</v>
      </c>
      <c r="X107" s="24">
        <f t="shared" si="95"/>
        <v>-2691.7000000000003</v>
      </c>
      <c r="Y107" s="24">
        <f t="shared" si="95"/>
        <v>-2691.7000000000003</v>
      </c>
      <c r="Z107" s="24">
        <f t="shared" si="95"/>
        <v>-2691.7000000000003</v>
      </c>
      <c r="AA107" s="24">
        <f t="shared" si="95"/>
        <v>-2691.7000000000003</v>
      </c>
      <c r="AB107" s="24">
        <f t="shared" si="95"/>
        <v>-2691.7000000000003</v>
      </c>
      <c r="AC107" s="24">
        <f t="shared" si="95"/>
        <v>-38660.400000000001</v>
      </c>
      <c r="AD107" s="24">
        <f t="shared" si="95"/>
        <v>-93564.6</v>
      </c>
      <c r="AE107" s="24">
        <f t="shared" si="95"/>
        <v>2843545.4000000004</v>
      </c>
      <c r="AF107" s="24">
        <f t="shared" si="95"/>
        <v>-93564.6</v>
      </c>
      <c r="AG107" s="24">
        <f t="shared" si="95"/>
        <v>-93564.6</v>
      </c>
      <c r="AH107" s="24">
        <f t="shared" si="95"/>
        <v>-93564.6</v>
      </c>
      <c r="AI107" s="24">
        <f t="shared" si="95"/>
        <v>-93564.6</v>
      </c>
      <c r="AJ107" s="24">
        <f t="shared" si="95"/>
        <v>-93564.6</v>
      </c>
      <c r="AK107" s="24">
        <f t="shared" si="95"/>
        <v>-93564.6</v>
      </c>
      <c r="AL107" s="24">
        <f t="shared" si="95"/>
        <v>-93564.6</v>
      </c>
      <c r="AM107" s="24">
        <f t="shared" si="95"/>
        <v>-75336.800000000003</v>
      </c>
      <c r="AN107" s="24">
        <f t="shared" si="95"/>
        <v>-75336.800000000003</v>
      </c>
      <c r="AO107" s="24">
        <f t="shared" si="95"/>
        <v>-98232.6</v>
      </c>
      <c r="AP107" s="24">
        <f t="shared" si="95"/>
        <v>-67620.100000000006</v>
      </c>
      <c r="AQ107" s="24">
        <f t="shared" si="95"/>
        <v>-67620.100000000006</v>
      </c>
      <c r="AR107" s="24">
        <f t="shared" si="95"/>
        <v>-67620.100000000006</v>
      </c>
      <c r="AS107" s="24">
        <f t="shared" si="95"/>
        <v>-67620.100000000006</v>
      </c>
      <c r="AT107" s="24">
        <f t="shared" si="95"/>
        <v>-67620.100000000006</v>
      </c>
      <c r="AU107" s="24">
        <f t="shared" si="95"/>
        <v>4139676.1</v>
      </c>
      <c r="AV107" s="24">
        <f t="shared" si="95"/>
        <v>-74538.400000000009</v>
      </c>
      <c r="AW107" s="24">
        <f t="shared" si="95"/>
        <v>-74538.400000000009</v>
      </c>
      <c r="AX107" s="24">
        <f t="shared" si="95"/>
        <v>-74538.400000000009</v>
      </c>
      <c r="AY107" s="24">
        <f t="shared" si="95"/>
        <v>-74538.400000000009</v>
      </c>
      <c r="AZ107" s="24">
        <f t="shared" si="95"/>
        <v>-74538.400000000009</v>
      </c>
      <c r="BA107" s="24">
        <f t="shared" si="95"/>
        <v>8458467.8007294051</v>
      </c>
      <c r="BB107" s="24">
        <f t="shared" si="95"/>
        <v>-55727.600000000006</v>
      </c>
      <c r="BC107" s="24">
        <f t="shared" si="95"/>
        <v>-55727.600000000006</v>
      </c>
      <c r="BD107" s="24">
        <f t="shared" si="95"/>
        <v>-55727.600000000006</v>
      </c>
      <c r="BE107" s="24">
        <f t="shared" si="95"/>
        <v>-55727.600000000006</v>
      </c>
      <c r="BF107" s="24">
        <f t="shared" si="95"/>
        <v>-55727.600000000006</v>
      </c>
      <c r="BG107" s="24">
        <f t="shared" si="95"/>
        <v>-55727.600000000006</v>
      </c>
      <c r="BH107" s="24">
        <f t="shared" si="95"/>
        <v>-55727.600000000006</v>
      </c>
      <c r="BI107" s="24">
        <f t="shared" si="95"/>
        <v>-55727.600000000006</v>
      </c>
      <c r="BJ107" s="24">
        <f t="shared" si="95"/>
        <v>-55727.600000000006</v>
      </c>
      <c r="BK107" s="24">
        <f t="shared" si="95"/>
        <v>-55727.600000000006</v>
      </c>
      <c r="BL107" s="24">
        <f t="shared" si="95"/>
        <v>-55727.600000000006</v>
      </c>
      <c r="BM107" s="24">
        <f t="shared" si="95"/>
        <v>-40982.100000000006</v>
      </c>
      <c r="BN107" s="24">
        <f t="shared" si="95"/>
        <v>-40982.100000000006</v>
      </c>
      <c r="BO107" s="24">
        <f t="shared" si="95"/>
        <v>-40982.100000000006</v>
      </c>
      <c r="BP107" s="24">
        <f t="shared" si="95"/>
        <v>-25308.300000000003</v>
      </c>
      <c r="BQ107" s="24">
        <f t="shared" si="95"/>
        <v>-25308.300000000003</v>
      </c>
      <c r="BR107" s="24">
        <f t="shared" si="95"/>
        <v>-25308.300000000003</v>
      </c>
      <c r="BS107" s="24">
        <f t="shared" si="95"/>
        <v>-25308.300000000003</v>
      </c>
      <c r="BT107" s="24">
        <f t="shared" ref="BT107:DV107" si="96">IF(BT92="","",-BT104+BT105)</f>
        <v>-25308.300000000003</v>
      </c>
      <c r="BU107" s="24">
        <f t="shared" si="96"/>
        <v>-25308.300000000003</v>
      </c>
      <c r="BV107" s="24">
        <f t="shared" si="96"/>
        <v>-25308.300000000003</v>
      </c>
      <c r="BW107" s="24">
        <f t="shared" si="96"/>
        <v>-25308.300000000003</v>
      </c>
      <c r="BX107" s="24">
        <f t="shared" si="96"/>
        <v>-25308.300000000003</v>
      </c>
      <c r="BY107" s="24">
        <f t="shared" si="96"/>
        <v>590691.70000000007</v>
      </c>
      <c r="BZ107" s="24">
        <f t="shared" si="96"/>
        <v>428441.7</v>
      </c>
      <c r="CA107" s="24">
        <f t="shared" si="96"/>
        <v>-25308.300000000003</v>
      </c>
      <c r="CB107" s="24">
        <f t="shared" si="96"/>
        <v>-25308.300000000003</v>
      </c>
      <c r="CC107" s="24">
        <f t="shared" si="96"/>
        <v>-25308.300000000003</v>
      </c>
      <c r="CD107" s="24">
        <f t="shared" si="96"/>
        <v>-25308.300000000003</v>
      </c>
      <c r="CE107" s="24">
        <f t="shared" si="96"/>
        <v>143432.12997821745</v>
      </c>
      <c r="CF107" s="24">
        <f t="shared" si="96"/>
        <v>0</v>
      </c>
      <c r="CG107" s="24">
        <f t="shared" si="96"/>
        <v>0</v>
      </c>
      <c r="CH107" s="24">
        <f t="shared" si="96"/>
        <v>0</v>
      </c>
      <c r="CI107" s="24">
        <f t="shared" si="96"/>
        <v>0</v>
      </c>
      <c r="CJ107" s="24">
        <f t="shared" si="96"/>
        <v>0</v>
      </c>
      <c r="CK107" s="24">
        <f t="shared" si="96"/>
        <v>-58158.3</v>
      </c>
      <c r="CL107" s="24">
        <f t="shared" si="96"/>
        <v>-58158.3</v>
      </c>
      <c r="CM107" s="24">
        <f t="shared" si="96"/>
        <v>-58158.3</v>
      </c>
      <c r="CN107" s="24">
        <f t="shared" si="96"/>
        <v>-58158.3</v>
      </c>
      <c r="CO107" s="24">
        <f t="shared" si="96"/>
        <v>-58158.3</v>
      </c>
      <c r="CP107" s="24">
        <f t="shared" si="96"/>
        <v>-58158.3</v>
      </c>
      <c r="CQ107" s="24">
        <f t="shared" si="96"/>
        <v>-58158.3</v>
      </c>
      <c r="CR107" s="24">
        <f t="shared" si="96"/>
        <v>-58158.3</v>
      </c>
      <c r="CS107" s="24">
        <f t="shared" si="96"/>
        <v>-58158.3</v>
      </c>
      <c r="CT107" s="24">
        <f t="shared" si="96"/>
        <v>-58158.3</v>
      </c>
      <c r="CU107" s="24">
        <f t="shared" si="96"/>
        <v>-58158.3</v>
      </c>
      <c r="CV107" s="24">
        <f t="shared" si="96"/>
        <v>-58158.3</v>
      </c>
      <c r="CW107" s="24">
        <f t="shared" si="96"/>
        <v>727818.15746796678</v>
      </c>
      <c r="CX107" s="24" t="str">
        <f t="shared" si="96"/>
        <v/>
      </c>
      <c r="CY107" s="24" t="str">
        <f t="shared" si="96"/>
        <v/>
      </c>
      <c r="CZ107" s="24" t="str">
        <f t="shared" si="96"/>
        <v/>
      </c>
      <c r="DA107" s="24" t="str">
        <f t="shared" si="96"/>
        <v/>
      </c>
      <c r="DB107" s="24" t="str">
        <f t="shared" si="96"/>
        <v/>
      </c>
      <c r="DC107" s="24" t="str">
        <f t="shared" si="96"/>
        <v/>
      </c>
      <c r="DD107" s="24" t="str">
        <f t="shared" si="96"/>
        <v/>
      </c>
      <c r="DE107" s="24" t="str">
        <f t="shared" si="96"/>
        <v/>
      </c>
      <c r="DF107" s="24" t="str">
        <f t="shared" si="96"/>
        <v/>
      </c>
      <c r="DG107" s="24" t="str">
        <f t="shared" si="96"/>
        <v/>
      </c>
      <c r="DH107" s="24" t="str">
        <f t="shared" si="96"/>
        <v/>
      </c>
      <c r="DI107" s="24" t="str">
        <f t="shared" si="96"/>
        <v/>
      </c>
      <c r="DJ107" s="24" t="str">
        <f t="shared" si="96"/>
        <v/>
      </c>
      <c r="DK107" s="24" t="str">
        <f t="shared" si="96"/>
        <v/>
      </c>
      <c r="DL107" s="24" t="str">
        <f t="shared" si="96"/>
        <v/>
      </c>
      <c r="DM107" s="24" t="str">
        <f t="shared" si="96"/>
        <v/>
      </c>
      <c r="DN107" s="24" t="str">
        <f t="shared" si="96"/>
        <v/>
      </c>
      <c r="DO107" s="24" t="str">
        <f t="shared" si="96"/>
        <v/>
      </c>
      <c r="DP107" s="24" t="str">
        <f t="shared" si="96"/>
        <v/>
      </c>
      <c r="DQ107" s="24" t="str">
        <f t="shared" si="96"/>
        <v/>
      </c>
      <c r="DR107" s="24" t="str">
        <f t="shared" si="96"/>
        <v/>
      </c>
      <c r="DS107" s="24" t="str">
        <f t="shared" si="96"/>
        <v/>
      </c>
      <c r="DT107" s="24" t="str">
        <f t="shared" si="96"/>
        <v/>
      </c>
      <c r="DU107" s="24" t="str">
        <f t="shared" si="96"/>
        <v/>
      </c>
      <c r="DV107" s="24" t="str">
        <f t="shared" si="96"/>
        <v/>
      </c>
      <c r="DW107" s="24"/>
      <c r="DX107" s="24"/>
      <c r="DY107" s="70"/>
    </row>
    <row r="108" spans="2:129" outlineLevel="1" x14ac:dyDescent="0.2">
      <c r="B108" s="16"/>
      <c r="C108" s="16"/>
      <c r="D108" s="16"/>
      <c r="E108" s="16"/>
      <c r="F108" s="77"/>
      <c r="G108" s="7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  <c r="BG108" s="24"/>
      <c r="BH108" s="24"/>
      <c r="BI108" s="24"/>
      <c r="BJ108" s="24"/>
      <c r="BK108" s="24"/>
      <c r="BL108" s="24"/>
      <c r="BM108" s="24"/>
      <c r="BN108" s="24"/>
      <c r="BO108" s="24"/>
      <c r="BP108" s="24"/>
      <c r="BQ108" s="24"/>
      <c r="BR108" s="24"/>
      <c r="BS108" s="24"/>
      <c r="BT108" s="24"/>
      <c r="BU108" s="24"/>
      <c r="BV108" s="24"/>
      <c r="BW108" s="24"/>
      <c r="BX108" s="24"/>
      <c r="BY108" s="24"/>
      <c r="BZ108" s="24"/>
      <c r="CA108" s="24"/>
      <c r="CB108" s="24"/>
      <c r="CC108" s="24"/>
      <c r="CD108" s="24"/>
      <c r="CE108" s="24"/>
      <c r="CF108" s="24"/>
      <c r="CG108" s="24"/>
      <c r="CH108" s="24"/>
      <c r="CI108" s="24"/>
      <c r="CJ108" s="24"/>
      <c r="CK108" s="24"/>
      <c r="CL108" s="24"/>
      <c r="CM108" s="24"/>
      <c r="CN108" s="24"/>
      <c r="CO108" s="24"/>
      <c r="CP108" s="24"/>
      <c r="CQ108" s="24"/>
      <c r="CR108" s="24"/>
      <c r="CS108" s="24"/>
      <c r="CT108" s="24"/>
      <c r="CU108" s="24"/>
      <c r="CV108" s="24"/>
      <c r="CW108" s="24"/>
      <c r="CX108" s="24"/>
      <c r="CY108" s="24"/>
      <c r="CZ108" s="24"/>
      <c r="DA108" s="24"/>
      <c r="DB108" s="24"/>
      <c r="DC108" s="24"/>
      <c r="DD108" s="24"/>
      <c r="DE108" s="24"/>
      <c r="DF108" s="24"/>
      <c r="DG108" s="24"/>
      <c r="DH108" s="24"/>
      <c r="DI108" s="24"/>
      <c r="DJ108" s="24"/>
      <c r="DK108" s="24"/>
      <c r="DL108" s="24"/>
      <c r="DM108" s="24"/>
      <c r="DN108" s="24"/>
      <c r="DO108" s="24"/>
      <c r="DP108" s="24"/>
      <c r="DQ108" s="24"/>
      <c r="DR108" s="24"/>
      <c r="DS108" s="24"/>
      <c r="DT108" s="24"/>
      <c r="DU108" s="24"/>
      <c r="DV108" s="24"/>
      <c r="DW108" s="24"/>
      <c r="DX108" s="24"/>
      <c r="DY108" s="70"/>
    </row>
    <row r="109" spans="2:129" outlineLevel="1" x14ac:dyDescent="0.2">
      <c r="B109" s="16" t="str">
        <f>"Total Distributions ("&amp;B91&amp;")"</f>
        <v>Total Distributions (Tier 1 - Preferred Return + Return of Capital)</v>
      </c>
      <c r="C109" s="16"/>
      <c r="D109" s="16"/>
      <c r="E109" s="16"/>
      <c r="F109" s="77">
        <f>IF(F92="","",F105+F100)</f>
        <v>0</v>
      </c>
      <c r="G109" s="77">
        <f>IF(G92="","",G105+G100)</f>
        <v>0</v>
      </c>
      <c r="H109" s="77">
        <f t="shared" ref="H109:BS109" si="97">IF(H92="","",H105+H100)</f>
        <v>0</v>
      </c>
      <c r="I109" s="77">
        <f t="shared" si="97"/>
        <v>0</v>
      </c>
      <c r="J109" s="77">
        <f t="shared" si="97"/>
        <v>0</v>
      </c>
      <c r="K109" s="77">
        <f t="shared" si="97"/>
        <v>0</v>
      </c>
      <c r="L109" s="77">
        <f t="shared" si="97"/>
        <v>0</v>
      </c>
      <c r="M109" s="77">
        <f t="shared" si="97"/>
        <v>0</v>
      </c>
      <c r="N109" s="77">
        <f t="shared" si="97"/>
        <v>0</v>
      </c>
      <c r="O109" s="77">
        <f t="shared" si="97"/>
        <v>0</v>
      </c>
      <c r="P109" s="77">
        <f t="shared" si="97"/>
        <v>0</v>
      </c>
      <c r="Q109" s="77">
        <f t="shared" si="97"/>
        <v>0</v>
      </c>
      <c r="R109" s="77">
        <f t="shared" si="97"/>
        <v>0</v>
      </c>
      <c r="S109" s="77">
        <f t="shared" si="97"/>
        <v>0</v>
      </c>
      <c r="T109" s="77">
        <f t="shared" si="97"/>
        <v>0</v>
      </c>
      <c r="U109" s="77">
        <f t="shared" si="97"/>
        <v>0</v>
      </c>
      <c r="V109" s="77">
        <f t="shared" si="97"/>
        <v>0</v>
      </c>
      <c r="W109" s="77">
        <f t="shared" si="97"/>
        <v>0</v>
      </c>
      <c r="X109" s="77">
        <f t="shared" si="97"/>
        <v>0</v>
      </c>
      <c r="Y109" s="77">
        <f t="shared" si="97"/>
        <v>0</v>
      </c>
      <c r="Z109" s="77">
        <f t="shared" si="97"/>
        <v>0</v>
      </c>
      <c r="AA109" s="77">
        <f t="shared" si="97"/>
        <v>0</v>
      </c>
      <c r="AB109" s="77">
        <f t="shared" si="97"/>
        <v>0</v>
      </c>
      <c r="AC109" s="77">
        <f t="shared" si="97"/>
        <v>0</v>
      </c>
      <c r="AD109" s="77">
        <f t="shared" si="97"/>
        <v>0</v>
      </c>
      <c r="AE109" s="77">
        <f t="shared" si="97"/>
        <v>28435454</v>
      </c>
      <c r="AF109" s="77">
        <f t="shared" si="97"/>
        <v>0</v>
      </c>
      <c r="AG109" s="77">
        <f t="shared" si="97"/>
        <v>0</v>
      </c>
      <c r="AH109" s="77">
        <f t="shared" si="97"/>
        <v>0</v>
      </c>
      <c r="AI109" s="77">
        <f t="shared" si="97"/>
        <v>0</v>
      </c>
      <c r="AJ109" s="77">
        <f t="shared" si="97"/>
        <v>0</v>
      </c>
      <c r="AK109" s="77">
        <f t="shared" si="97"/>
        <v>0</v>
      </c>
      <c r="AL109" s="77">
        <f t="shared" si="97"/>
        <v>0</v>
      </c>
      <c r="AM109" s="77">
        <f t="shared" si="97"/>
        <v>0</v>
      </c>
      <c r="AN109" s="77">
        <f t="shared" si="97"/>
        <v>0</v>
      </c>
      <c r="AO109" s="77">
        <f t="shared" si="97"/>
        <v>0</v>
      </c>
      <c r="AP109" s="77">
        <f t="shared" si="97"/>
        <v>0</v>
      </c>
      <c r="AQ109" s="77">
        <f t="shared" si="97"/>
        <v>0</v>
      </c>
      <c r="AR109" s="77">
        <f t="shared" si="97"/>
        <v>0</v>
      </c>
      <c r="AS109" s="77">
        <f t="shared" si="97"/>
        <v>0</v>
      </c>
      <c r="AT109" s="77">
        <f t="shared" si="97"/>
        <v>0</v>
      </c>
      <c r="AU109" s="77">
        <f t="shared" si="97"/>
        <v>41396761</v>
      </c>
      <c r="AV109" s="77">
        <f t="shared" si="97"/>
        <v>0</v>
      </c>
      <c r="AW109" s="77">
        <f t="shared" si="97"/>
        <v>0</v>
      </c>
      <c r="AX109" s="77">
        <f t="shared" si="97"/>
        <v>0</v>
      </c>
      <c r="AY109" s="77">
        <f t="shared" si="97"/>
        <v>0</v>
      </c>
      <c r="AZ109" s="77">
        <f t="shared" si="97"/>
        <v>0</v>
      </c>
      <c r="BA109" s="77">
        <f t="shared" si="97"/>
        <v>84584678.007294044</v>
      </c>
      <c r="BB109" s="77">
        <f t="shared" si="97"/>
        <v>0</v>
      </c>
      <c r="BC109" s="77">
        <f t="shared" si="97"/>
        <v>0</v>
      </c>
      <c r="BD109" s="77">
        <f t="shared" si="97"/>
        <v>0</v>
      </c>
      <c r="BE109" s="77">
        <f t="shared" si="97"/>
        <v>0</v>
      </c>
      <c r="BF109" s="77">
        <f t="shared" si="97"/>
        <v>0</v>
      </c>
      <c r="BG109" s="77">
        <f t="shared" si="97"/>
        <v>0</v>
      </c>
      <c r="BH109" s="77">
        <f t="shared" si="97"/>
        <v>0</v>
      </c>
      <c r="BI109" s="77">
        <f t="shared" si="97"/>
        <v>0</v>
      </c>
      <c r="BJ109" s="77">
        <f t="shared" si="97"/>
        <v>0</v>
      </c>
      <c r="BK109" s="77">
        <f t="shared" si="97"/>
        <v>0</v>
      </c>
      <c r="BL109" s="77">
        <f t="shared" si="97"/>
        <v>0</v>
      </c>
      <c r="BM109" s="77">
        <f t="shared" si="97"/>
        <v>0</v>
      </c>
      <c r="BN109" s="77">
        <f t="shared" si="97"/>
        <v>0</v>
      </c>
      <c r="BO109" s="77">
        <f t="shared" si="97"/>
        <v>0</v>
      </c>
      <c r="BP109" s="77">
        <f t="shared" si="97"/>
        <v>0</v>
      </c>
      <c r="BQ109" s="77">
        <f t="shared" si="97"/>
        <v>0</v>
      </c>
      <c r="BR109" s="77">
        <f t="shared" si="97"/>
        <v>0</v>
      </c>
      <c r="BS109" s="77">
        <f t="shared" si="97"/>
        <v>0</v>
      </c>
      <c r="BT109" s="77">
        <f t="shared" ref="BT109:DV109" si="98">IF(BT92="","",BT105+BT100)</f>
        <v>0</v>
      </c>
      <c r="BU109" s="77">
        <f t="shared" si="98"/>
        <v>0</v>
      </c>
      <c r="BV109" s="77">
        <f t="shared" si="98"/>
        <v>0</v>
      </c>
      <c r="BW109" s="77">
        <f t="shared" si="98"/>
        <v>0</v>
      </c>
      <c r="BX109" s="77">
        <f t="shared" si="98"/>
        <v>0</v>
      </c>
      <c r="BY109" s="77">
        <f t="shared" si="98"/>
        <v>5906917</v>
      </c>
      <c r="BZ109" s="77">
        <f t="shared" si="98"/>
        <v>4284417</v>
      </c>
      <c r="CA109" s="77">
        <f t="shared" si="98"/>
        <v>0</v>
      </c>
      <c r="CB109" s="77">
        <f t="shared" si="98"/>
        <v>0</v>
      </c>
      <c r="CC109" s="77">
        <f t="shared" si="98"/>
        <v>0</v>
      </c>
      <c r="CD109" s="77">
        <f t="shared" si="98"/>
        <v>0</v>
      </c>
      <c r="CE109" s="77">
        <f t="shared" si="98"/>
        <v>1434321.2997821744</v>
      </c>
      <c r="CF109" s="77">
        <f t="shared" si="98"/>
        <v>0</v>
      </c>
      <c r="CG109" s="77">
        <f t="shared" si="98"/>
        <v>0</v>
      </c>
      <c r="CH109" s="77">
        <f t="shared" si="98"/>
        <v>0</v>
      </c>
      <c r="CI109" s="77">
        <f t="shared" si="98"/>
        <v>0</v>
      </c>
      <c r="CJ109" s="77">
        <f t="shared" si="98"/>
        <v>0</v>
      </c>
      <c r="CK109" s="77">
        <f t="shared" si="98"/>
        <v>0</v>
      </c>
      <c r="CL109" s="77">
        <f t="shared" si="98"/>
        <v>0</v>
      </c>
      <c r="CM109" s="77">
        <f t="shared" si="98"/>
        <v>0</v>
      </c>
      <c r="CN109" s="77">
        <f t="shared" si="98"/>
        <v>0</v>
      </c>
      <c r="CO109" s="77">
        <f t="shared" si="98"/>
        <v>0</v>
      </c>
      <c r="CP109" s="77">
        <f t="shared" si="98"/>
        <v>0</v>
      </c>
      <c r="CQ109" s="77">
        <f t="shared" si="98"/>
        <v>0</v>
      </c>
      <c r="CR109" s="77">
        <f t="shared" si="98"/>
        <v>0</v>
      </c>
      <c r="CS109" s="77">
        <f t="shared" si="98"/>
        <v>0</v>
      </c>
      <c r="CT109" s="77">
        <f t="shared" si="98"/>
        <v>0</v>
      </c>
      <c r="CU109" s="77">
        <f t="shared" si="98"/>
        <v>0</v>
      </c>
      <c r="CV109" s="77">
        <f t="shared" si="98"/>
        <v>0</v>
      </c>
      <c r="CW109" s="77">
        <f t="shared" si="98"/>
        <v>7278181.5746796671</v>
      </c>
      <c r="CX109" s="77" t="str">
        <f t="shared" si="98"/>
        <v/>
      </c>
      <c r="CY109" s="77" t="str">
        <f t="shared" si="98"/>
        <v/>
      </c>
      <c r="CZ109" s="77" t="str">
        <f t="shared" si="98"/>
        <v/>
      </c>
      <c r="DA109" s="77" t="str">
        <f t="shared" si="98"/>
        <v/>
      </c>
      <c r="DB109" s="77" t="str">
        <f t="shared" si="98"/>
        <v/>
      </c>
      <c r="DC109" s="77" t="str">
        <f t="shared" si="98"/>
        <v/>
      </c>
      <c r="DD109" s="77" t="str">
        <f t="shared" si="98"/>
        <v/>
      </c>
      <c r="DE109" s="77" t="str">
        <f t="shared" si="98"/>
        <v/>
      </c>
      <c r="DF109" s="77" t="str">
        <f t="shared" si="98"/>
        <v/>
      </c>
      <c r="DG109" s="77" t="str">
        <f t="shared" si="98"/>
        <v/>
      </c>
      <c r="DH109" s="77" t="str">
        <f t="shared" si="98"/>
        <v/>
      </c>
      <c r="DI109" s="77" t="str">
        <f t="shared" si="98"/>
        <v/>
      </c>
      <c r="DJ109" s="77" t="str">
        <f t="shared" si="98"/>
        <v/>
      </c>
      <c r="DK109" s="77" t="str">
        <f t="shared" si="98"/>
        <v/>
      </c>
      <c r="DL109" s="77" t="str">
        <f t="shared" si="98"/>
        <v/>
      </c>
      <c r="DM109" s="77" t="str">
        <f t="shared" si="98"/>
        <v/>
      </c>
      <c r="DN109" s="77" t="str">
        <f t="shared" si="98"/>
        <v/>
      </c>
      <c r="DO109" s="77" t="str">
        <f t="shared" si="98"/>
        <v/>
      </c>
      <c r="DP109" s="77" t="str">
        <f t="shared" si="98"/>
        <v/>
      </c>
      <c r="DQ109" s="77" t="str">
        <f t="shared" si="98"/>
        <v/>
      </c>
      <c r="DR109" s="77" t="str">
        <f t="shared" si="98"/>
        <v/>
      </c>
      <c r="DS109" s="77" t="str">
        <f t="shared" si="98"/>
        <v/>
      </c>
      <c r="DT109" s="77" t="str">
        <f t="shared" si="98"/>
        <v/>
      </c>
      <c r="DU109" s="77" t="str">
        <f t="shared" si="98"/>
        <v/>
      </c>
      <c r="DV109" s="77" t="str">
        <f t="shared" si="98"/>
        <v/>
      </c>
      <c r="DW109" s="77"/>
      <c r="DX109" s="77"/>
      <c r="DY109" s="78"/>
    </row>
    <row r="110" spans="2:129" outlineLevel="1" x14ac:dyDescent="0.2">
      <c r="B110" s="16" t="s">
        <v>69</v>
      </c>
      <c r="C110" s="16"/>
      <c r="D110" s="16"/>
      <c r="E110" s="16"/>
      <c r="F110" s="77">
        <f>IF(F92="","",MAX(F87-F109,0))</f>
        <v>0</v>
      </c>
      <c r="G110" s="77">
        <f>IF(G92="","",MAX(G87-G109,0))</f>
        <v>0</v>
      </c>
      <c r="H110" s="77">
        <f t="shared" ref="H110:BS110" si="99">IF(H92="","",MAX(H87-H109,0))</f>
        <v>0</v>
      </c>
      <c r="I110" s="77">
        <f t="shared" si="99"/>
        <v>0</v>
      </c>
      <c r="J110" s="77">
        <f t="shared" si="99"/>
        <v>0</v>
      </c>
      <c r="K110" s="77">
        <f t="shared" si="99"/>
        <v>0</v>
      </c>
      <c r="L110" s="77">
        <f t="shared" si="99"/>
        <v>0</v>
      </c>
      <c r="M110" s="77">
        <f t="shared" si="99"/>
        <v>0</v>
      </c>
      <c r="N110" s="77">
        <f t="shared" si="99"/>
        <v>0</v>
      </c>
      <c r="O110" s="77">
        <f t="shared" si="99"/>
        <v>0</v>
      </c>
      <c r="P110" s="77">
        <f t="shared" si="99"/>
        <v>0</v>
      </c>
      <c r="Q110" s="77">
        <f t="shared" si="99"/>
        <v>0</v>
      </c>
      <c r="R110" s="77">
        <f t="shared" si="99"/>
        <v>0</v>
      </c>
      <c r="S110" s="77">
        <f t="shared" si="99"/>
        <v>0</v>
      </c>
      <c r="T110" s="77">
        <f t="shared" si="99"/>
        <v>0</v>
      </c>
      <c r="U110" s="77">
        <f t="shared" si="99"/>
        <v>0</v>
      </c>
      <c r="V110" s="77">
        <f t="shared" si="99"/>
        <v>0</v>
      </c>
      <c r="W110" s="77">
        <f t="shared" si="99"/>
        <v>0</v>
      </c>
      <c r="X110" s="77">
        <f t="shared" si="99"/>
        <v>0</v>
      </c>
      <c r="Y110" s="77">
        <f t="shared" si="99"/>
        <v>0</v>
      </c>
      <c r="Z110" s="77">
        <f t="shared" si="99"/>
        <v>0</v>
      </c>
      <c r="AA110" s="77">
        <f t="shared" si="99"/>
        <v>0</v>
      </c>
      <c r="AB110" s="77">
        <f t="shared" si="99"/>
        <v>0</v>
      </c>
      <c r="AC110" s="77">
        <f t="shared" si="99"/>
        <v>0</v>
      </c>
      <c r="AD110" s="77">
        <f t="shared" si="99"/>
        <v>0</v>
      </c>
      <c r="AE110" s="77">
        <f t="shared" si="99"/>
        <v>0</v>
      </c>
      <c r="AF110" s="77">
        <f t="shared" si="99"/>
        <v>0</v>
      </c>
      <c r="AG110" s="77">
        <f t="shared" si="99"/>
        <v>0</v>
      </c>
      <c r="AH110" s="77">
        <f t="shared" si="99"/>
        <v>0</v>
      </c>
      <c r="AI110" s="77">
        <f t="shared" si="99"/>
        <v>0</v>
      </c>
      <c r="AJ110" s="77">
        <f t="shared" si="99"/>
        <v>0</v>
      </c>
      <c r="AK110" s="77">
        <f t="shared" si="99"/>
        <v>0</v>
      </c>
      <c r="AL110" s="77">
        <f t="shared" si="99"/>
        <v>0</v>
      </c>
      <c r="AM110" s="77">
        <f t="shared" si="99"/>
        <v>0</v>
      </c>
      <c r="AN110" s="77">
        <f t="shared" si="99"/>
        <v>0</v>
      </c>
      <c r="AO110" s="77">
        <f t="shared" si="99"/>
        <v>0</v>
      </c>
      <c r="AP110" s="77">
        <f t="shared" si="99"/>
        <v>0</v>
      </c>
      <c r="AQ110" s="77">
        <f t="shared" si="99"/>
        <v>0</v>
      </c>
      <c r="AR110" s="77">
        <f t="shared" si="99"/>
        <v>0</v>
      </c>
      <c r="AS110" s="77">
        <f t="shared" si="99"/>
        <v>0</v>
      </c>
      <c r="AT110" s="77">
        <f t="shared" si="99"/>
        <v>0</v>
      </c>
      <c r="AU110" s="77">
        <f t="shared" si="99"/>
        <v>0</v>
      </c>
      <c r="AV110" s="77">
        <f t="shared" si="99"/>
        <v>0</v>
      </c>
      <c r="AW110" s="77">
        <f t="shared" si="99"/>
        <v>0</v>
      </c>
      <c r="AX110" s="77">
        <f t="shared" si="99"/>
        <v>0</v>
      </c>
      <c r="AY110" s="77">
        <f t="shared" si="99"/>
        <v>0</v>
      </c>
      <c r="AZ110" s="77">
        <f t="shared" si="99"/>
        <v>0</v>
      </c>
      <c r="BA110" s="77">
        <f t="shared" si="99"/>
        <v>88365245.992705956</v>
      </c>
      <c r="BB110" s="77">
        <f t="shared" si="99"/>
        <v>0</v>
      </c>
      <c r="BC110" s="77">
        <f t="shared" si="99"/>
        <v>0</v>
      </c>
      <c r="BD110" s="77">
        <f t="shared" si="99"/>
        <v>0</v>
      </c>
      <c r="BE110" s="77">
        <f t="shared" si="99"/>
        <v>0</v>
      </c>
      <c r="BF110" s="77">
        <f t="shared" si="99"/>
        <v>0</v>
      </c>
      <c r="BG110" s="77">
        <f t="shared" si="99"/>
        <v>0</v>
      </c>
      <c r="BH110" s="77">
        <f t="shared" si="99"/>
        <v>0</v>
      </c>
      <c r="BI110" s="77">
        <f t="shared" si="99"/>
        <v>0</v>
      </c>
      <c r="BJ110" s="77">
        <f t="shared" si="99"/>
        <v>0</v>
      </c>
      <c r="BK110" s="77">
        <f t="shared" si="99"/>
        <v>0</v>
      </c>
      <c r="BL110" s="77">
        <f t="shared" si="99"/>
        <v>0</v>
      </c>
      <c r="BM110" s="77">
        <f t="shared" si="99"/>
        <v>0</v>
      </c>
      <c r="BN110" s="77">
        <f t="shared" si="99"/>
        <v>0</v>
      </c>
      <c r="BO110" s="77">
        <f t="shared" si="99"/>
        <v>0</v>
      </c>
      <c r="BP110" s="77">
        <f t="shared" si="99"/>
        <v>0</v>
      </c>
      <c r="BQ110" s="77">
        <f t="shared" si="99"/>
        <v>0</v>
      </c>
      <c r="BR110" s="77">
        <f t="shared" si="99"/>
        <v>0</v>
      </c>
      <c r="BS110" s="77">
        <f t="shared" si="99"/>
        <v>0</v>
      </c>
      <c r="BT110" s="77">
        <f t="shared" ref="BT110:DV110" si="100">IF(BT92="","",MAX(BT87-BT109,0))</f>
        <v>0</v>
      </c>
      <c r="BU110" s="77">
        <f t="shared" si="100"/>
        <v>0</v>
      </c>
      <c r="BV110" s="77">
        <f t="shared" si="100"/>
        <v>0</v>
      </c>
      <c r="BW110" s="77">
        <f t="shared" si="100"/>
        <v>0</v>
      </c>
      <c r="BX110" s="77">
        <f t="shared" si="100"/>
        <v>0</v>
      </c>
      <c r="BY110" s="77">
        <f t="shared" si="100"/>
        <v>0</v>
      </c>
      <c r="BZ110" s="77">
        <f t="shared" si="100"/>
        <v>0</v>
      </c>
      <c r="CA110" s="77">
        <f t="shared" si="100"/>
        <v>0</v>
      </c>
      <c r="CB110" s="77">
        <f t="shared" si="100"/>
        <v>0</v>
      </c>
      <c r="CC110" s="77">
        <f t="shared" si="100"/>
        <v>0</v>
      </c>
      <c r="CD110" s="77">
        <f t="shared" si="100"/>
        <v>0</v>
      </c>
      <c r="CE110" s="77">
        <f t="shared" si="100"/>
        <v>13355178.700217826</v>
      </c>
      <c r="CF110" s="77">
        <f t="shared" si="100"/>
        <v>0</v>
      </c>
      <c r="CG110" s="77">
        <f t="shared" si="100"/>
        <v>0</v>
      </c>
      <c r="CH110" s="77">
        <f t="shared" si="100"/>
        <v>0</v>
      </c>
      <c r="CI110" s="77">
        <f t="shared" si="100"/>
        <v>0</v>
      </c>
      <c r="CJ110" s="77">
        <f t="shared" si="100"/>
        <v>0</v>
      </c>
      <c r="CK110" s="77">
        <f t="shared" si="100"/>
        <v>0</v>
      </c>
      <c r="CL110" s="77">
        <f t="shared" si="100"/>
        <v>0</v>
      </c>
      <c r="CM110" s="77">
        <f t="shared" si="100"/>
        <v>0</v>
      </c>
      <c r="CN110" s="77">
        <f t="shared" si="100"/>
        <v>0</v>
      </c>
      <c r="CO110" s="77">
        <f t="shared" si="100"/>
        <v>0</v>
      </c>
      <c r="CP110" s="77">
        <f t="shared" si="100"/>
        <v>0</v>
      </c>
      <c r="CQ110" s="77">
        <f t="shared" si="100"/>
        <v>0</v>
      </c>
      <c r="CR110" s="77">
        <f t="shared" si="100"/>
        <v>0</v>
      </c>
      <c r="CS110" s="77">
        <f t="shared" si="100"/>
        <v>0</v>
      </c>
      <c r="CT110" s="77">
        <f t="shared" si="100"/>
        <v>0</v>
      </c>
      <c r="CU110" s="77">
        <f t="shared" si="100"/>
        <v>0</v>
      </c>
      <c r="CV110" s="77">
        <f t="shared" si="100"/>
        <v>0</v>
      </c>
      <c r="CW110" s="77">
        <f t="shared" si="100"/>
        <v>19777618.425320335</v>
      </c>
      <c r="CX110" s="77" t="str">
        <f t="shared" si="100"/>
        <v/>
      </c>
      <c r="CY110" s="77" t="str">
        <f t="shared" si="100"/>
        <v/>
      </c>
      <c r="CZ110" s="77" t="str">
        <f t="shared" si="100"/>
        <v/>
      </c>
      <c r="DA110" s="77" t="str">
        <f t="shared" si="100"/>
        <v/>
      </c>
      <c r="DB110" s="77" t="str">
        <f t="shared" si="100"/>
        <v/>
      </c>
      <c r="DC110" s="77" t="str">
        <f t="shared" si="100"/>
        <v/>
      </c>
      <c r="DD110" s="77" t="str">
        <f t="shared" si="100"/>
        <v/>
      </c>
      <c r="DE110" s="77" t="str">
        <f t="shared" si="100"/>
        <v/>
      </c>
      <c r="DF110" s="77" t="str">
        <f t="shared" si="100"/>
        <v/>
      </c>
      <c r="DG110" s="77" t="str">
        <f t="shared" si="100"/>
        <v/>
      </c>
      <c r="DH110" s="77" t="str">
        <f t="shared" si="100"/>
        <v/>
      </c>
      <c r="DI110" s="77" t="str">
        <f t="shared" si="100"/>
        <v/>
      </c>
      <c r="DJ110" s="77" t="str">
        <f t="shared" si="100"/>
        <v/>
      </c>
      <c r="DK110" s="77" t="str">
        <f t="shared" si="100"/>
        <v/>
      </c>
      <c r="DL110" s="77" t="str">
        <f t="shared" si="100"/>
        <v/>
      </c>
      <c r="DM110" s="77" t="str">
        <f t="shared" si="100"/>
        <v/>
      </c>
      <c r="DN110" s="77" t="str">
        <f t="shared" si="100"/>
        <v/>
      </c>
      <c r="DO110" s="77" t="str">
        <f t="shared" si="100"/>
        <v/>
      </c>
      <c r="DP110" s="77" t="str">
        <f t="shared" si="100"/>
        <v/>
      </c>
      <c r="DQ110" s="77" t="str">
        <f t="shared" si="100"/>
        <v/>
      </c>
      <c r="DR110" s="77" t="str">
        <f t="shared" si="100"/>
        <v/>
      </c>
      <c r="DS110" s="77" t="str">
        <f t="shared" si="100"/>
        <v/>
      </c>
      <c r="DT110" s="77" t="str">
        <f t="shared" si="100"/>
        <v/>
      </c>
      <c r="DU110" s="77" t="str">
        <f t="shared" si="100"/>
        <v/>
      </c>
      <c r="DV110" s="77" t="str">
        <f t="shared" si="100"/>
        <v/>
      </c>
      <c r="DW110" s="77"/>
      <c r="DX110" s="77"/>
      <c r="DY110" s="78"/>
    </row>
    <row r="111" spans="2:129" outlineLevel="1" x14ac:dyDescent="0.2">
      <c r="B111" s="16"/>
      <c r="C111" s="16"/>
      <c r="D111" s="16"/>
      <c r="E111" s="1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6"/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/>
      <c r="BJ111" s="66"/>
      <c r="BK111" s="66"/>
      <c r="BL111" s="66"/>
      <c r="BM111" s="66"/>
      <c r="BN111" s="66"/>
      <c r="BO111" s="66"/>
      <c r="BP111" s="66"/>
      <c r="BQ111" s="66"/>
      <c r="BR111" s="66"/>
      <c r="BS111" s="66"/>
      <c r="BT111" s="66"/>
      <c r="BU111" s="66"/>
      <c r="BV111" s="66"/>
      <c r="BW111" s="66"/>
      <c r="BX111" s="66"/>
      <c r="BY111" s="66"/>
      <c r="BZ111" s="66"/>
      <c r="CA111" s="66"/>
      <c r="CB111" s="66"/>
      <c r="CC111" s="66"/>
      <c r="CD111" s="66"/>
      <c r="CE111" s="66"/>
      <c r="CF111" s="66"/>
      <c r="CG111" s="66"/>
      <c r="CH111" s="66"/>
      <c r="CI111" s="66"/>
      <c r="CJ111" s="66"/>
      <c r="CK111" s="66"/>
      <c r="CL111" s="66"/>
      <c r="CM111" s="66"/>
      <c r="CN111" s="66"/>
      <c r="CO111" s="66"/>
      <c r="CP111" s="66"/>
      <c r="CQ111" s="66"/>
      <c r="CR111" s="66"/>
      <c r="CS111" s="66"/>
      <c r="CT111" s="66"/>
      <c r="CU111" s="66"/>
      <c r="CV111" s="66"/>
      <c r="CW111" s="66"/>
      <c r="CX111" s="66"/>
      <c r="CY111" s="66"/>
      <c r="CZ111" s="66"/>
      <c r="DA111" s="66"/>
      <c r="DB111" s="66"/>
      <c r="DC111" s="66"/>
      <c r="DD111" s="66"/>
      <c r="DE111" s="66"/>
      <c r="DF111" s="66"/>
      <c r="DG111" s="66"/>
      <c r="DH111" s="66"/>
      <c r="DI111" s="66"/>
      <c r="DJ111" s="66"/>
      <c r="DK111" s="66"/>
      <c r="DL111" s="66"/>
      <c r="DM111" s="66"/>
      <c r="DN111" s="66"/>
      <c r="DO111" s="66"/>
      <c r="DP111" s="66"/>
      <c r="DQ111" s="66"/>
      <c r="DR111" s="66"/>
      <c r="DS111" s="66"/>
      <c r="DT111" s="66"/>
      <c r="DU111" s="66"/>
      <c r="DV111" s="66"/>
      <c r="DW111" s="66"/>
      <c r="DX111" s="66"/>
      <c r="DY111" s="17"/>
    </row>
    <row r="112" spans="2:129" ht="16" outlineLevel="1" x14ac:dyDescent="0.2">
      <c r="B112" s="105" t="s">
        <v>70</v>
      </c>
      <c r="C112" s="100"/>
      <c r="D112" s="100"/>
      <c r="E112" s="100"/>
      <c r="F112" s="113">
        <f>F$21</f>
        <v>0</v>
      </c>
      <c r="G112" s="113">
        <f t="shared" ref="G112:BR112" si="101">G$21</f>
        <v>1</v>
      </c>
      <c r="H112" s="113">
        <f t="shared" si="101"/>
        <v>2</v>
      </c>
      <c r="I112" s="113">
        <f t="shared" si="101"/>
        <v>3</v>
      </c>
      <c r="J112" s="113">
        <f t="shared" si="101"/>
        <v>4</v>
      </c>
      <c r="K112" s="113">
        <f t="shared" si="101"/>
        <v>5</v>
      </c>
      <c r="L112" s="113">
        <f t="shared" si="101"/>
        <v>6</v>
      </c>
      <c r="M112" s="113">
        <f t="shared" si="101"/>
        <v>7</v>
      </c>
      <c r="N112" s="113">
        <f t="shared" si="101"/>
        <v>8</v>
      </c>
      <c r="O112" s="113">
        <f t="shared" si="101"/>
        <v>9</v>
      </c>
      <c r="P112" s="113">
        <f t="shared" si="101"/>
        <v>10</v>
      </c>
      <c r="Q112" s="113">
        <f t="shared" si="101"/>
        <v>11</v>
      </c>
      <c r="R112" s="113">
        <f t="shared" si="101"/>
        <v>12</v>
      </c>
      <c r="S112" s="113">
        <f t="shared" si="101"/>
        <v>13</v>
      </c>
      <c r="T112" s="113">
        <f t="shared" si="101"/>
        <v>14</v>
      </c>
      <c r="U112" s="113">
        <f t="shared" si="101"/>
        <v>15</v>
      </c>
      <c r="V112" s="113">
        <f t="shared" si="101"/>
        <v>16</v>
      </c>
      <c r="W112" s="113">
        <f t="shared" si="101"/>
        <v>17</v>
      </c>
      <c r="X112" s="113">
        <f t="shared" si="101"/>
        <v>18</v>
      </c>
      <c r="Y112" s="113">
        <f t="shared" si="101"/>
        <v>19</v>
      </c>
      <c r="Z112" s="113">
        <f t="shared" si="101"/>
        <v>20</v>
      </c>
      <c r="AA112" s="113">
        <f t="shared" si="101"/>
        <v>21</v>
      </c>
      <c r="AB112" s="113">
        <f t="shared" si="101"/>
        <v>22</v>
      </c>
      <c r="AC112" s="113">
        <f t="shared" si="101"/>
        <v>23</v>
      </c>
      <c r="AD112" s="113">
        <f t="shared" si="101"/>
        <v>24</v>
      </c>
      <c r="AE112" s="113">
        <f t="shared" si="101"/>
        <v>25</v>
      </c>
      <c r="AF112" s="113">
        <f t="shared" si="101"/>
        <v>26</v>
      </c>
      <c r="AG112" s="113">
        <f t="shared" si="101"/>
        <v>27</v>
      </c>
      <c r="AH112" s="113">
        <f t="shared" si="101"/>
        <v>28</v>
      </c>
      <c r="AI112" s="113">
        <f t="shared" si="101"/>
        <v>29</v>
      </c>
      <c r="AJ112" s="113">
        <f t="shared" si="101"/>
        <v>30</v>
      </c>
      <c r="AK112" s="113">
        <f t="shared" si="101"/>
        <v>31</v>
      </c>
      <c r="AL112" s="113">
        <f t="shared" si="101"/>
        <v>32</v>
      </c>
      <c r="AM112" s="113">
        <f t="shared" si="101"/>
        <v>33</v>
      </c>
      <c r="AN112" s="113">
        <f t="shared" si="101"/>
        <v>34</v>
      </c>
      <c r="AO112" s="113">
        <f t="shared" si="101"/>
        <v>35</v>
      </c>
      <c r="AP112" s="113">
        <f t="shared" si="101"/>
        <v>36</v>
      </c>
      <c r="AQ112" s="113">
        <f t="shared" si="101"/>
        <v>37</v>
      </c>
      <c r="AR112" s="113">
        <f t="shared" si="101"/>
        <v>38</v>
      </c>
      <c r="AS112" s="113">
        <f t="shared" si="101"/>
        <v>39</v>
      </c>
      <c r="AT112" s="113">
        <f t="shared" si="101"/>
        <v>40</v>
      </c>
      <c r="AU112" s="113">
        <f t="shared" si="101"/>
        <v>41</v>
      </c>
      <c r="AV112" s="113">
        <f t="shared" si="101"/>
        <v>42</v>
      </c>
      <c r="AW112" s="113">
        <f t="shared" si="101"/>
        <v>43</v>
      </c>
      <c r="AX112" s="113">
        <f t="shared" si="101"/>
        <v>44</v>
      </c>
      <c r="AY112" s="113">
        <f t="shared" si="101"/>
        <v>45</v>
      </c>
      <c r="AZ112" s="113">
        <f t="shared" si="101"/>
        <v>46</v>
      </c>
      <c r="BA112" s="113">
        <f t="shared" si="101"/>
        <v>47</v>
      </c>
      <c r="BB112" s="113">
        <f t="shared" si="101"/>
        <v>48</v>
      </c>
      <c r="BC112" s="113">
        <f t="shared" si="101"/>
        <v>49</v>
      </c>
      <c r="BD112" s="113">
        <f t="shared" si="101"/>
        <v>50</v>
      </c>
      <c r="BE112" s="113">
        <f t="shared" si="101"/>
        <v>51</v>
      </c>
      <c r="BF112" s="113">
        <f t="shared" si="101"/>
        <v>52</v>
      </c>
      <c r="BG112" s="113">
        <f t="shared" si="101"/>
        <v>53</v>
      </c>
      <c r="BH112" s="113">
        <f t="shared" si="101"/>
        <v>54</v>
      </c>
      <c r="BI112" s="113">
        <f t="shared" si="101"/>
        <v>55</v>
      </c>
      <c r="BJ112" s="113">
        <f t="shared" si="101"/>
        <v>56</v>
      </c>
      <c r="BK112" s="113">
        <f t="shared" si="101"/>
        <v>57</v>
      </c>
      <c r="BL112" s="113">
        <f t="shared" si="101"/>
        <v>58</v>
      </c>
      <c r="BM112" s="113">
        <f t="shared" si="101"/>
        <v>59</v>
      </c>
      <c r="BN112" s="113">
        <f t="shared" si="101"/>
        <v>60</v>
      </c>
      <c r="BO112" s="113">
        <f t="shared" si="101"/>
        <v>61</v>
      </c>
      <c r="BP112" s="113">
        <f t="shared" si="101"/>
        <v>62</v>
      </c>
      <c r="BQ112" s="113">
        <f t="shared" si="101"/>
        <v>63</v>
      </c>
      <c r="BR112" s="113">
        <f t="shared" si="101"/>
        <v>64</v>
      </c>
      <c r="BS112" s="113">
        <f t="shared" ref="BS112:DV112" si="102">BS$21</f>
        <v>65</v>
      </c>
      <c r="BT112" s="113">
        <f t="shared" si="102"/>
        <v>66</v>
      </c>
      <c r="BU112" s="113">
        <f t="shared" si="102"/>
        <v>67</v>
      </c>
      <c r="BV112" s="113">
        <f t="shared" si="102"/>
        <v>68</v>
      </c>
      <c r="BW112" s="113">
        <f t="shared" si="102"/>
        <v>69</v>
      </c>
      <c r="BX112" s="113">
        <f t="shared" si="102"/>
        <v>70</v>
      </c>
      <c r="BY112" s="113">
        <f t="shared" si="102"/>
        <v>71</v>
      </c>
      <c r="BZ112" s="113">
        <f t="shared" si="102"/>
        <v>72</v>
      </c>
      <c r="CA112" s="113">
        <f t="shared" si="102"/>
        <v>73</v>
      </c>
      <c r="CB112" s="113">
        <f t="shared" si="102"/>
        <v>74</v>
      </c>
      <c r="CC112" s="113">
        <f t="shared" si="102"/>
        <v>75</v>
      </c>
      <c r="CD112" s="113">
        <f t="shared" si="102"/>
        <v>76</v>
      </c>
      <c r="CE112" s="113">
        <f t="shared" si="102"/>
        <v>77</v>
      </c>
      <c r="CF112" s="113">
        <f t="shared" si="102"/>
        <v>78</v>
      </c>
      <c r="CG112" s="113">
        <f t="shared" si="102"/>
        <v>79</v>
      </c>
      <c r="CH112" s="113">
        <f t="shared" si="102"/>
        <v>80</v>
      </c>
      <c r="CI112" s="113">
        <f t="shared" si="102"/>
        <v>81</v>
      </c>
      <c r="CJ112" s="113">
        <f t="shared" si="102"/>
        <v>82</v>
      </c>
      <c r="CK112" s="113">
        <f t="shared" si="102"/>
        <v>83</v>
      </c>
      <c r="CL112" s="113">
        <f t="shared" si="102"/>
        <v>84</v>
      </c>
      <c r="CM112" s="113">
        <f t="shared" si="102"/>
        <v>85</v>
      </c>
      <c r="CN112" s="113">
        <f t="shared" si="102"/>
        <v>86</v>
      </c>
      <c r="CO112" s="113">
        <f t="shared" si="102"/>
        <v>87</v>
      </c>
      <c r="CP112" s="113">
        <f t="shared" si="102"/>
        <v>88</v>
      </c>
      <c r="CQ112" s="113">
        <f t="shared" si="102"/>
        <v>89</v>
      </c>
      <c r="CR112" s="113">
        <f t="shared" si="102"/>
        <v>90</v>
      </c>
      <c r="CS112" s="113">
        <f t="shared" si="102"/>
        <v>91</v>
      </c>
      <c r="CT112" s="113">
        <f t="shared" si="102"/>
        <v>92</v>
      </c>
      <c r="CU112" s="113">
        <f t="shared" si="102"/>
        <v>93</v>
      </c>
      <c r="CV112" s="113">
        <f t="shared" si="102"/>
        <v>94</v>
      </c>
      <c r="CW112" s="113">
        <f t="shared" si="102"/>
        <v>95</v>
      </c>
      <c r="CX112" s="113" t="str">
        <f t="shared" si="102"/>
        <v/>
      </c>
      <c r="CY112" s="113" t="str">
        <f t="shared" si="102"/>
        <v/>
      </c>
      <c r="CZ112" s="113" t="str">
        <f t="shared" si="102"/>
        <v/>
      </c>
      <c r="DA112" s="113" t="str">
        <f t="shared" si="102"/>
        <v/>
      </c>
      <c r="DB112" s="113" t="str">
        <f t="shared" si="102"/>
        <v/>
      </c>
      <c r="DC112" s="113" t="str">
        <f t="shared" si="102"/>
        <v/>
      </c>
      <c r="DD112" s="113" t="str">
        <f t="shared" si="102"/>
        <v/>
      </c>
      <c r="DE112" s="113" t="str">
        <f t="shared" si="102"/>
        <v/>
      </c>
      <c r="DF112" s="113" t="str">
        <f t="shared" si="102"/>
        <v/>
      </c>
      <c r="DG112" s="113" t="str">
        <f t="shared" si="102"/>
        <v/>
      </c>
      <c r="DH112" s="113" t="str">
        <f t="shared" si="102"/>
        <v/>
      </c>
      <c r="DI112" s="113" t="str">
        <f t="shared" si="102"/>
        <v/>
      </c>
      <c r="DJ112" s="113" t="str">
        <f t="shared" si="102"/>
        <v/>
      </c>
      <c r="DK112" s="113" t="str">
        <f t="shared" si="102"/>
        <v/>
      </c>
      <c r="DL112" s="113" t="str">
        <f t="shared" si="102"/>
        <v/>
      </c>
      <c r="DM112" s="113" t="str">
        <f t="shared" si="102"/>
        <v/>
      </c>
      <c r="DN112" s="113" t="str">
        <f t="shared" si="102"/>
        <v/>
      </c>
      <c r="DO112" s="113" t="str">
        <f t="shared" si="102"/>
        <v/>
      </c>
      <c r="DP112" s="113" t="str">
        <f t="shared" si="102"/>
        <v/>
      </c>
      <c r="DQ112" s="113" t="str">
        <f t="shared" si="102"/>
        <v/>
      </c>
      <c r="DR112" s="113" t="str">
        <f t="shared" si="102"/>
        <v/>
      </c>
      <c r="DS112" s="113" t="str">
        <f t="shared" si="102"/>
        <v/>
      </c>
      <c r="DT112" s="113" t="str">
        <f t="shared" si="102"/>
        <v/>
      </c>
      <c r="DU112" s="113" t="str">
        <f t="shared" si="102"/>
        <v/>
      </c>
      <c r="DV112" s="113" t="str">
        <f t="shared" si="102"/>
        <v/>
      </c>
      <c r="DW112" s="114"/>
      <c r="DX112" s="114"/>
      <c r="DY112" s="115"/>
    </row>
    <row r="113" spans="2:129" outlineLevel="1" x14ac:dyDescent="0.2">
      <c r="B113" s="125" t="s">
        <v>56</v>
      </c>
      <c r="C113" s="126">
        <f>E61</f>
        <v>0.15</v>
      </c>
      <c r="D113" s="16"/>
      <c r="E113" s="16"/>
      <c r="F113" s="66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27"/>
      <c r="Z113" s="127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127"/>
      <c r="AO113" s="127"/>
      <c r="AP113" s="127"/>
      <c r="AQ113" s="127"/>
      <c r="AR113" s="127"/>
      <c r="AS113" s="127"/>
      <c r="AT113" s="127"/>
      <c r="AU113" s="127"/>
      <c r="AV113" s="127"/>
      <c r="AW113" s="127"/>
      <c r="AX113" s="127"/>
      <c r="AY113" s="127"/>
      <c r="AZ113" s="127"/>
      <c r="BA113" s="127"/>
      <c r="BB113" s="127"/>
      <c r="BC113" s="127"/>
      <c r="BD113" s="127"/>
      <c r="BE113" s="127"/>
      <c r="BF113" s="127"/>
      <c r="BG113" s="127"/>
      <c r="BH113" s="127"/>
      <c r="BI113" s="127"/>
      <c r="BJ113" s="127"/>
      <c r="BK113" s="127"/>
      <c r="BL113" s="127"/>
      <c r="BM113" s="127"/>
      <c r="BN113" s="127"/>
      <c r="BO113" s="127"/>
      <c r="BP113" s="127"/>
      <c r="BQ113" s="127"/>
      <c r="BR113" s="127"/>
      <c r="BS113" s="127"/>
      <c r="BT113" s="127"/>
      <c r="BU113" s="127"/>
      <c r="BV113" s="127"/>
      <c r="BW113" s="127"/>
      <c r="BX113" s="127"/>
      <c r="BY113" s="127"/>
      <c r="BZ113" s="127"/>
      <c r="CA113" s="127"/>
      <c r="CB113" s="127"/>
      <c r="CC113" s="127"/>
      <c r="CD113" s="127"/>
      <c r="CE113" s="127"/>
      <c r="CF113" s="127"/>
      <c r="CG113" s="127"/>
      <c r="CH113" s="127"/>
      <c r="CI113" s="127"/>
      <c r="CJ113" s="127"/>
      <c r="CK113" s="127"/>
      <c r="CL113" s="127"/>
      <c r="CM113" s="127"/>
      <c r="CN113" s="127"/>
      <c r="CO113" s="127"/>
      <c r="CP113" s="127"/>
      <c r="CQ113" s="127"/>
      <c r="CR113" s="127"/>
      <c r="CS113" s="127"/>
      <c r="CT113" s="127"/>
      <c r="CU113" s="127"/>
      <c r="CV113" s="127"/>
      <c r="CW113" s="127"/>
      <c r="CX113" s="127"/>
      <c r="CY113" s="127"/>
      <c r="CZ113" s="127"/>
      <c r="DA113" s="127"/>
      <c r="DB113" s="127"/>
      <c r="DC113" s="127"/>
      <c r="DD113" s="127"/>
      <c r="DE113" s="127"/>
      <c r="DF113" s="127"/>
      <c r="DG113" s="127"/>
      <c r="DH113" s="127"/>
      <c r="DI113" s="127"/>
      <c r="DJ113" s="127"/>
      <c r="DK113" s="127"/>
      <c r="DL113" s="127"/>
      <c r="DM113" s="127"/>
      <c r="DN113" s="127"/>
      <c r="DO113" s="127"/>
      <c r="DP113" s="127"/>
      <c r="DQ113" s="127"/>
      <c r="DR113" s="127"/>
      <c r="DS113" s="127"/>
      <c r="DT113" s="127"/>
      <c r="DU113" s="127"/>
      <c r="DV113" s="127"/>
      <c r="DW113" s="127"/>
      <c r="DX113" s="127"/>
      <c r="DY113" s="115"/>
    </row>
    <row r="114" spans="2:129" outlineLevel="1" x14ac:dyDescent="0.2">
      <c r="B114" s="16" t="s">
        <v>57</v>
      </c>
      <c r="C114" s="16"/>
      <c r="D114" s="16"/>
      <c r="E114" s="16"/>
      <c r="F114" s="77">
        <f>IF(F112="","",E119)</f>
        <v>0</v>
      </c>
      <c r="G114" s="77">
        <f>IF(G112="","",F119)</f>
        <v>93624225.299999997</v>
      </c>
      <c r="H114" s="77">
        <f t="shared" ref="H114:BS114" si="103">IF(H112="","",G119)</f>
        <v>94766410.235589743</v>
      </c>
      <c r="I114" s="77">
        <f t="shared" si="103"/>
        <v>95812136.405569494</v>
      </c>
      <c r="J114" s="77">
        <f t="shared" si="103"/>
        <v>96980447.018508747</v>
      </c>
      <c r="K114" s="77">
        <f t="shared" si="103"/>
        <v>98125137.381027624</v>
      </c>
      <c r="L114" s="77">
        <f t="shared" si="103"/>
        <v>99321067.359781191</v>
      </c>
      <c r="M114" s="77">
        <f t="shared" si="103"/>
        <v>100492800.11484045</v>
      </c>
      <c r="N114" s="77">
        <f t="shared" si="103"/>
        <v>101717002.17123856</v>
      </c>
      <c r="O114" s="77">
        <f t="shared" si="103"/>
        <v>102955822.32974084</v>
      </c>
      <c r="P114" s="77">
        <f t="shared" si="103"/>
        <v>104169549.28136097</v>
      </c>
      <c r="Q114" s="77">
        <f t="shared" si="103"/>
        <v>105437655.11528234</v>
      </c>
      <c r="R114" s="77">
        <f t="shared" si="103"/>
        <v>106680055.9595551</v>
      </c>
      <c r="S114" s="77">
        <f t="shared" si="103"/>
        <v>107978139.55961666</v>
      </c>
      <c r="T114" s="77">
        <f t="shared" si="103"/>
        <v>109291723.47558299</v>
      </c>
      <c r="U114" s="77">
        <f t="shared" si="103"/>
        <v>110494020.10206199</v>
      </c>
      <c r="V114" s="77">
        <f t="shared" si="103"/>
        <v>111837645.95306604</v>
      </c>
      <c r="W114" s="77">
        <f t="shared" si="103"/>
        <v>113153989.18835303</v>
      </c>
      <c r="X114" s="77">
        <f t="shared" si="103"/>
        <v>114529377.52455641</v>
      </c>
      <c r="Y114" s="77">
        <f t="shared" si="103"/>
        <v>115876819.72129652</v>
      </c>
      <c r="Z114" s="77">
        <f t="shared" si="103"/>
        <v>117284721.16637346</v>
      </c>
      <c r="AA114" s="77">
        <f t="shared" si="103"/>
        <v>118709434.25375175</v>
      </c>
      <c r="AB114" s="77">
        <f t="shared" si="103"/>
        <v>120105170.79918171</v>
      </c>
      <c r="AC114" s="77">
        <f t="shared" si="103"/>
        <v>121563562.65755747</v>
      </c>
      <c r="AD114" s="77">
        <f t="shared" si="103"/>
        <v>123315992.71870074</v>
      </c>
      <c r="AE114" s="77">
        <f t="shared" si="103"/>
        <v>125630580.85336728</v>
      </c>
      <c r="AF114" s="77">
        <f t="shared" si="103"/>
        <v>101538817.30599353</v>
      </c>
      <c r="AG114" s="77">
        <f t="shared" si="103"/>
        <v>103514707.12403977</v>
      </c>
      <c r="AH114" s="77">
        <f t="shared" si="103"/>
        <v>105592849.63839082</v>
      </c>
      <c r="AI114" s="77">
        <f t="shared" si="103"/>
        <v>107654899.62493534</v>
      </c>
      <c r="AJ114" s="77">
        <f t="shared" si="103"/>
        <v>109782479.8578335</v>
      </c>
      <c r="AK114" s="77">
        <f t="shared" si="103"/>
        <v>111892934.80053237</v>
      </c>
      <c r="AL114" s="77">
        <f t="shared" si="103"/>
        <v>114071121.08379138</v>
      </c>
      <c r="AM114" s="77">
        <f t="shared" si="103"/>
        <v>116275316.92104857</v>
      </c>
      <c r="AN114" s="77">
        <f t="shared" si="103"/>
        <v>118296736.75503249</v>
      </c>
      <c r="AO114" s="77">
        <f t="shared" si="103"/>
        <v>120387340.14230925</v>
      </c>
      <c r="AP114" s="77">
        <f t="shared" si="103"/>
        <v>122662330.49881937</v>
      </c>
      <c r="AQ114" s="77">
        <f t="shared" si="103"/>
        <v>124735612.80345732</v>
      </c>
      <c r="AR114" s="77">
        <f t="shared" si="103"/>
        <v>126833652.01179558</v>
      </c>
      <c r="AS114" s="77">
        <f t="shared" si="103"/>
        <v>128809391.22823566</v>
      </c>
      <c r="AT114" s="77">
        <f t="shared" si="103"/>
        <v>130956075.10977304</v>
      </c>
      <c r="AU114" s="77">
        <f t="shared" si="103"/>
        <v>133077659.00569752</v>
      </c>
      <c r="AV114" s="77">
        <f t="shared" si="103"/>
        <v>97409644.142757118</v>
      </c>
      <c r="AW114" s="77">
        <f t="shared" si="103"/>
        <v>99205913.5407473</v>
      </c>
      <c r="AX114" s="77">
        <f t="shared" si="103"/>
        <v>101061369.28406201</v>
      </c>
      <c r="AY114" s="77">
        <f t="shared" si="103"/>
        <v>102938980.8809499</v>
      </c>
      <c r="AZ114" s="77">
        <f t="shared" si="103"/>
        <v>104799133.55463651</v>
      </c>
      <c r="BA114" s="77">
        <f t="shared" si="103"/>
        <v>106721377.50568767</v>
      </c>
      <c r="BB114" s="77">
        <f t="shared" si="103"/>
        <v>0</v>
      </c>
      <c r="BC114" s="77">
        <f t="shared" si="103"/>
        <v>501548.4</v>
      </c>
      <c r="BD114" s="77">
        <f t="shared" si="103"/>
        <v>1009085.7506663253</v>
      </c>
      <c r="BE114" s="77">
        <f t="shared" si="103"/>
        <v>1521511.2322148117</v>
      </c>
      <c r="BF114" s="77">
        <f t="shared" si="103"/>
        <v>2041227.8802004382</v>
      </c>
      <c r="BG114" s="77">
        <f t="shared" si="103"/>
        <v>2566359.637410243</v>
      </c>
      <c r="BH114" s="77">
        <f t="shared" si="103"/>
        <v>3098552.7394180619</v>
      </c>
      <c r="BI114" s="77">
        <f t="shared" si="103"/>
        <v>3635900.3153924467</v>
      </c>
      <c r="BJ114" s="77">
        <f t="shared" si="103"/>
        <v>4180864.7199426792</v>
      </c>
      <c r="BK114" s="77">
        <f t="shared" si="103"/>
        <v>4732336.5023127887</v>
      </c>
      <c r="BL114" s="77">
        <f t="shared" si="103"/>
        <v>5288560.023720636</v>
      </c>
      <c r="BM114" s="77">
        <f t="shared" si="103"/>
        <v>5853258.7100697961</v>
      </c>
      <c r="BN114" s="77">
        <f t="shared" si="103"/>
        <v>6289723.3231711788</v>
      </c>
      <c r="BO114" s="77">
        <f t="shared" si="103"/>
        <v>6733667.3230724204</v>
      </c>
      <c r="BP114" s="77">
        <f t="shared" si="103"/>
        <v>7182912.4239521911</v>
      </c>
      <c r="BQ114" s="77">
        <f t="shared" si="103"/>
        <v>7488112.7779557025</v>
      </c>
      <c r="BR114" s="77">
        <f t="shared" si="103"/>
        <v>7805302.4536809903</v>
      </c>
      <c r="BS114" s="77">
        <f t="shared" si="103"/>
        <v>8123255.8337202081</v>
      </c>
      <c r="BT114" s="77">
        <f t="shared" ref="BT114:DV114" si="104">IF(BT112="","",BS119)</f>
        <v>8448029.703567205</v>
      </c>
      <c r="BU114" s="77">
        <f t="shared" si="104"/>
        <v>8773408.8426162656</v>
      </c>
      <c r="BV114" s="77">
        <f t="shared" si="104"/>
        <v>9105946.1392747946</v>
      </c>
      <c r="BW114" s="77">
        <f t="shared" si="104"/>
        <v>9442454.2380820308</v>
      </c>
      <c r="BX114" s="77">
        <f t="shared" si="104"/>
        <v>9779322.4760421608</v>
      </c>
      <c r="BY114" s="77">
        <f t="shared" si="104"/>
        <v>10123871.309623491</v>
      </c>
      <c r="BZ114" s="77">
        <f t="shared" si="104"/>
        <v>4924612.3100335663</v>
      </c>
      <c r="CA114" s="77">
        <f t="shared" si="104"/>
        <v>1127441.42487283</v>
      </c>
      <c r="CB114" s="77">
        <f t="shared" si="104"/>
        <v>1368678.8157571692</v>
      </c>
      <c r="CC114" s="77">
        <f t="shared" si="104"/>
        <v>1611736.5336618442</v>
      </c>
      <c r="CD114" s="77">
        <f t="shared" si="104"/>
        <v>1858756.8549961259</v>
      </c>
      <c r="CE114" s="77">
        <f t="shared" si="104"/>
        <v>2108006.730454362</v>
      </c>
      <c r="CF114" s="77">
        <f t="shared" si="104"/>
        <v>0</v>
      </c>
      <c r="CG114" s="77">
        <f t="shared" si="104"/>
        <v>0</v>
      </c>
      <c r="CH114" s="77">
        <f t="shared" si="104"/>
        <v>0</v>
      </c>
      <c r="CI114" s="77">
        <f t="shared" si="104"/>
        <v>0</v>
      </c>
      <c r="CJ114" s="77">
        <f t="shared" si="104"/>
        <v>0</v>
      </c>
      <c r="CK114" s="77">
        <f t="shared" si="104"/>
        <v>0</v>
      </c>
      <c r="CL114" s="77">
        <f t="shared" si="104"/>
        <v>523424.7</v>
      </c>
      <c r="CM114" s="77">
        <f t="shared" si="104"/>
        <v>1053099.5738732216</v>
      </c>
      <c r="CN114" s="77">
        <f t="shared" si="104"/>
        <v>1589099.2544626421</v>
      </c>
      <c r="CO114" s="77">
        <f t="shared" si="104"/>
        <v>2129653.0856271796</v>
      </c>
      <c r="CP114" s="77">
        <f t="shared" si="104"/>
        <v>2678507.8084648731</v>
      </c>
      <c r="CQ114" s="77">
        <f t="shared" si="104"/>
        <v>3232878.6889717141</v>
      </c>
      <c r="CR114" s="77">
        <f t="shared" si="104"/>
        <v>3794906.9434411651</v>
      </c>
      <c r="CS114" s="77">
        <f t="shared" si="104"/>
        <v>4362176.1582517084</v>
      </c>
      <c r="CT114" s="77">
        <f t="shared" si="104"/>
        <v>4937689.2664882615</v>
      </c>
      <c r="CU114" s="77">
        <f t="shared" si="104"/>
        <v>5520074.5322534842</v>
      </c>
      <c r="CV114" s="77">
        <f t="shared" si="104"/>
        <v>6107275.4969134098</v>
      </c>
      <c r="CW114" s="77">
        <f t="shared" si="104"/>
        <v>6703626.7014275733</v>
      </c>
      <c r="CX114" s="77" t="str">
        <f t="shared" si="104"/>
        <v/>
      </c>
      <c r="CY114" s="77" t="str">
        <f t="shared" si="104"/>
        <v/>
      </c>
      <c r="CZ114" s="77" t="str">
        <f t="shared" si="104"/>
        <v/>
      </c>
      <c r="DA114" s="77" t="str">
        <f t="shared" si="104"/>
        <v/>
      </c>
      <c r="DB114" s="77" t="str">
        <f t="shared" si="104"/>
        <v/>
      </c>
      <c r="DC114" s="77" t="str">
        <f t="shared" si="104"/>
        <v/>
      </c>
      <c r="DD114" s="77" t="str">
        <f t="shared" si="104"/>
        <v/>
      </c>
      <c r="DE114" s="77" t="str">
        <f t="shared" si="104"/>
        <v/>
      </c>
      <c r="DF114" s="77" t="str">
        <f t="shared" si="104"/>
        <v/>
      </c>
      <c r="DG114" s="77" t="str">
        <f t="shared" si="104"/>
        <v/>
      </c>
      <c r="DH114" s="77" t="str">
        <f t="shared" si="104"/>
        <v/>
      </c>
      <c r="DI114" s="77" t="str">
        <f t="shared" si="104"/>
        <v/>
      </c>
      <c r="DJ114" s="77" t="str">
        <f t="shared" si="104"/>
        <v/>
      </c>
      <c r="DK114" s="77" t="str">
        <f t="shared" si="104"/>
        <v/>
      </c>
      <c r="DL114" s="77" t="str">
        <f t="shared" si="104"/>
        <v/>
      </c>
      <c r="DM114" s="77" t="str">
        <f t="shared" si="104"/>
        <v/>
      </c>
      <c r="DN114" s="77" t="str">
        <f t="shared" si="104"/>
        <v/>
      </c>
      <c r="DO114" s="77" t="str">
        <f t="shared" si="104"/>
        <v/>
      </c>
      <c r="DP114" s="77" t="str">
        <f t="shared" si="104"/>
        <v/>
      </c>
      <c r="DQ114" s="77" t="str">
        <f t="shared" si="104"/>
        <v/>
      </c>
      <c r="DR114" s="77" t="str">
        <f t="shared" si="104"/>
        <v/>
      </c>
      <c r="DS114" s="77" t="str">
        <f t="shared" si="104"/>
        <v/>
      </c>
      <c r="DT114" s="77" t="str">
        <f t="shared" si="104"/>
        <v/>
      </c>
      <c r="DU114" s="77" t="str">
        <f t="shared" si="104"/>
        <v/>
      </c>
      <c r="DV114" s="77" t="str">
        <f t="shared" si="104"/>
        <v/>
      </c>
      <c r="DW114" s="77"/>
      <c r="DX114" s="77"/>
      <c r="DY114" s="78"/>
    </row>
    <row r="115" spans="2:129" outlineLevel="1" x14ac:dyDescent="0.2">
      <c r="B115" s="16" t="s">
        <v>71</v>
      </c>
      <c r="C115" s="16"/>
      <c r="D115" s="16"/>
      <c r="E115" s="16"/>
      <c r="F115" s="77">
        <v>0</v>
      </c>
      <c r="G115" s="77">
        <f>IF(G112="","",IF($D$57="Equity Multiple",F116*$C113-F116,G114*((1+$C113)^((G46-F46)/365)-1)))</f>
        <v>1117959.6355897505</v>
      </c>
      <c r="H115" s="77">
        <f t="shared" ref="H115:BS115" si="105">IF(H112="","",IF($D$57="Equity Multiple",G116*$C113-G116,H114*((1+$C113)^((H46-G46)/365)-1)))</f>
        <v>1021500.8699797572</v>
      </c>
      <c r="I115" s="77">
        <f t="shared" si="105"/>
        <v>1144085.3129392564</v>
      </c>
      <c r="J115" s="77">
        <f t="shared" si="105"/>
        <v>1120465.0625188744</v>
      </c>
      <c r="K115" s="77">
        <f t="shared" si="105"/>
        <v>1171704.6787535646</v>
      </c>
      <c r="L115" s="77">
        <f t="shared" si="105"/>
        <v>1147507.4550592622</v>
      </c>
      <c r="M115" s="77">
        <f t="shared" si="105"/>
        <v>1199976.7563981186</v>
      </c>
      <c r="N115" s="77">
        <f t="shared" si="105"/>
        <v>1214594.858502287</v>
      </c>
      <c r="O115" s="77">
        <f t="shared" si="105"/>
        <v>1189501.6516201354</v>
      </c>
      <c r="P115" s="77">
        <f t="shared" si="105"/>
        <v>1243880.5339213726</v>
      </c>
      <c r="Q115" s="77">
        <f t="shared" si="105"/>
        <v>1218175.5442727692</v>
      </c>
      <c r="R115" s="77">
        <f t="shared" si="105"/>
        <v>1273858.3000615593</v>
      </c>
      <c r="S115" s="77">
        <f t="shared" si="105"/>
        <v>1289358.6159663345</v>
      </c>
      <c r="T115" s="77">
        <f t="shared" si="105"/>
        <v>1178071.3264790084</v>
      </c>
      <c r="U115" s="77">
        <f t="shared" si="105"/>
        <v>1319400.5510040552</v>
      </c>
      <c r="V115" s="77">
        <f t="shared" si="105"/>
        <v>1292117.9352870006</v>
      </c>
      <c r="W115" s="77">
        <f t="shared" si="105"/>
        <v>1351163.0362033846</v>
      </c>
      <c r="X115" s="77">
        <f t="shared" si="105"/>
        <v>1323216.8967401108</v>
      </c>
      <c r="Y115" s="77">
        <f t="shared" si="105"/>
        <v>1383676.1450769503</v>
      </c>
      <c r="Z115" s="77">
        <f t="shared" si="105"/>
        <v>1400487.7873782993</v>
      </c>
      <c r="AA115" s="77">
        <f t="shared" si="105"/>
        <v>1371511.2454299703</v>
      </c>
      <c r="AB115" s="77">
        <f t="shared" si="105"/>
        <v>1434166.5583757621</v>
      </c>
      <c r="AC115" s="77">
        <f t="shared" si="105"/>
        <v>1404486.461143265</v>
      </c>
      <c r="AD115" s="77">
        <f t="shared" si="105"/>
        <v>1472506.7346665352</v>
      </c>
      <c r="AE115" s="77">
        <f t="shared" si="105"/>
        <v>1500145.0526262373</v>
      </c>
      <c r="AF115" s="77">
        <f t="shared" si="105"/>
        <v>1133808.4180462351</v>
      </c>
      <c r="AG115" s="77">
        <f t="shared" si="105"/>
        <v>1236061.1143510446</v>
      </c>
      <c r="AH115" s="77">
        <f t="shared" si="105"/>
        <v>1219968.5865445186</v>
      </c>
      <c r="AI115" s="77">
        <f t="shared" si="105"/>
        <v>1285498.8328981549</v>
      </c>
      <c r="AJ115" s="77">
        <f t="shared" si="105"/>
        <v>1268373.5426988546</v>
      </c>
      <c r="AK115" s="77">
        <f t="shared" si="105"/>
        <v>1336104.883259001</v>
      </c>
      <c r="AL115" s="77">
        <f t="shared" si="105"/>
        <v>1362114.4372571884</v>
      </c>
      <c r="AM115" s="77">
        <f t="shared" si="105"/>
        <v>1343388.6339839224</v>
      </c>
      <c r="AN115" s="77">
        <f t="shared" si="105"/>
        <v>1412572.1872767559</v>
      </c>
      <c r="AO115" s="77">
        <f t="shared" si="105"/>
        <v>1390896.9565101075</v>
      </c>
      <c r="AP115" s="77">
        <f t="shared" si="105"/>
        <v>1464701.4046379474</v>
      </c>
      <c r="AQ115" s="77">
        <f t="shared" si="105"/>
        <v>1489458.3083382521</v>
      </c>
      <c r="AR115" s="77">
        <f t="shared" si="105"/>
        <v>1367158.3164400815</v>
      </c>
      <c r="AS115" s="77">
        <f t="shared" si="105"/>
        <v>1538102.9815373647</v>
      </c>
      <c r="AT115" s="77">
        <f t="shared" si="105"/>
        <v>1513002.9959244721</v>
      </c>
      <c r="AU115" s="77">
        <f t="shared" si="105"/>
        <v>1589070.037059593</v>
      </c>
      <c r="AV115" s="77">
        <f t="shared" si="105"/>
        <v>1125423.7979901813</v>
      </c>
      <c r="AW115" s="77">
        <f t="shared" si="105"/>
        <v>1184610.143314715</v>
      </c>
      <c r="AX115" s="77">
        <f t="shared" si="105"/>
        <v>1206765.996887893</v>
      </c>
      <c r="AY115" s="77">
        <f t="shared" si="105"/>
        <v>1189307.0736866181</v>
      </c>
      <c r="AZ115" s="77">
        <f t="shared" si="105"/>
        <v>1251398.3510511678</v>
      </c>
      <c r="BA115" s="77">
        <f t="shared" si="105"/>
        <v>1233007.0503406664</v>
      </c>
      <c r="BB115" s="77">
        <f t="shared" si="105"/>
        <v>0</v>
      </c>
      <c r="BC115" s="77">
        <f t="shared" si="105"/>
        <v>5988.9506663252732</v>
      </c>
      <c r="BD115" s="77">
        <f t="shared" si="105"/>
        <v>10877.08154848642</v>
      </c>
      <c r="BE115" s="77">
        <f t="shared" si="105"/>
        <v>18168.24798562668</v>
      </c>
      <c r="BF115" s="77">
        <f t="shared" si="105"/>
        <v>23583.357209804934</v>
      </c>
      <c r="BG115" s="77">
        <f t="shared" si="105"/>
        <v>30644.702007818909</v>
      </c>
      <c r="BH115" s="77">
        <f t="shared" si="105"/>
        <v>35799.175974384721</v>
      </c>
      <c r="BI115" s="77">
        <f t="shared" si="105"/>
        <v>43416.004550232567</v>
      </c>
      <c r="BJ115" s="77">
        <f t="shared" si="105"/>
        <v>49923.382370109313</v>
      </c>
      <c r="BK115" s="77">
        <f t="shared" si="105"/>
        <v>54675.121407847117</v>
      </c>
      <c r="BL115" s="77">
        <f t="shared" si="105"/>
        <v>63150.286349159731</v>
      </c>
      <c r="BM115" s="77">
        <f t="shared" si="105"/>
        <v>67625.713101382527</v>
      </c>
      <c r="BN115" s="77">
        <f t="shared" si="105"/>
        <v>75105.099901241119</v>
      </c>
      <c r="BO115" s="77">
        <f t="shared" si="105"/>
        <v>80406.200879770113</v>
      </c>
      <c r="BP115" s="77">
        <f t="shared" si="105"/>
        <v>77425.654003511168</v>
      </c>
      <c r="BQ115" s="77">
        <f t="shared" si="105"/>
        <v>89414.97572528712</v>
      </c>
      <c r="BR115" s="77">
        <f t="shared" si="105"/>
        <v>90178.680039217608</v>
      </c>
      <c r="BS115" s="77">
        <f t="shared" si="105"/>
        <v>96999.169846996418</v>
      </c>
      <c r="BT115" s="77">
        <f t="shared" ref="BT115:DV115" si="106">IF(BT112="","",IF($D$57="Equity Multiple",BS116*$C113-BS116,BT114*((1+$C113)^((BT46-BS46)/365)-1)))</f>
        <v>97604.439049061111</v>
      </c>
      <c r="BU115" s="77">
        <f t="shared" si="106"/>
        <v>104762.59665852932</v>
      </c>
      <c r="BV115" s="77">
        <f t="shared" si="106"/>
        <v>108733.3988072374</v>
      </c>
      <c r="BW115" s="77">
        <f t="shared" si="106"/>
        <v>109093.53796013138</v>
      </c>
      <c r="BX115" s="77">
        <f t="shared" si="106"/>
        <v>116774.13358133017</v>
      </c>
      <c r="BY115" s="77">
        <f t="shared" si="106"/>
        <v>116966.30041007571</v>
      </c>
      <c r="BZ115" s="77">
        <f t="shared" si="106"/>
        <v>58804.414839264107</v>
      </c>
      <c r="CA115" s="77">
        <f t="shared" si="106"/>
        <v>13462.690884339079</v>
      </c>
      <c r="CB115" s="77">
        <f t="shared" si="106"/>
        <v>15283.017904675075</v>
      </c>
      <c r="CC115" s="77">
        <f t="shared" si="106"/>
        <v>19245.621334281772</v>
      </c>
      <c r="CD115" s="77">
        <f t="shared" si="106"/>
        <v>21475.175458235844</v>
      </c>
      <c r="CE115" s="77">
        <f t="shared" si="106"/>
        <v>25171.545384199831</v>
      </c>
      <c r="CF115" s="77">
        <f t="shared" si="106"/>
        <v>0</v>
      </c>
      <c r="CG115" s="77">
        <f t="shared" si="106"/>
        <v>0</v>
      </c>
      <c r="CH115" s="77">
        <f t="shared" si="106"/>
        <v>0</v>
      </c>
      <c r="CI115" s="77">
        <f t="shared" si="106"/>
        <v>0</v>
      </c>
      <c r="CJ115" s="77">
        <f t="shared" si="106"/>
        <v>0</v>
      </c>
      <c r="CK115" s="77">
        <f t="shared" si="106"/>
        <v>0</v>
      </c>
      <c r="CL115" s="77">
        <f t="shared" si="106"/>
        <v>6250.1738732216199</v>
      </c>
      <c r="CM115" s="77">
        <f t="shared" si="106"/>
        <v>12574.980589420466</v>
      </c>
      <c r="CN115" s="77">
        <f t="shared" si="106"/>
        <v>17129.131164537361</v>
      </c>
      <c r="CO115" s="77">
        <f t="shared" si="106"/>
        <v>25430.022837693374</v>
      </c>
      <c r="CP115" s="77">
        <f t="shared" si="106"/>
        <v>30946.180506840854</v>
      </c>
      <c r="CQ115" s="77">
        <f t="shared" si="106"/>
        <v>38603.55446945085</v>
      </c>
      <c r="CR115" s="77">
        <f t="shared" si="106"/>
        <v>43844.514810543296</v>
      </c>
      <c r="CS115" s="77">
        <f t="shared" si="106"/>
        <v>52088.408236552619</v>
      </c>
      <c r="CT115" s="77">
        <f t="shared" si="106"/>
        <v>58960.565765222302</v>
      </c>
      <c r="CU115" s="77">
        <f t="shared" si="106"/>
        <v>63776.264659924986</v>
      </c>
      <c r="CV115" s="77">
        <f t="shared" si="106"/>
        <v>72926.504514163695</v>
      </c>
      <c r="CW115" s="77">
        <f t="shared" si="106"/>
        <v>77450.45256065618</v>
      </c>
      <c r="CX115" s="77" t="str">
        <f t="shared" si="106"/>
        <v/>
      </c>
      <c r="CY115" s="77" t="str">
        <f t="shared" si="106"/>
        <v/>
      </c>
      <c r="CZ115" s="77" t="str">
        <f t="shared" si="106"/>
        <v/>
      </c>
      <c r="DA115" s="77" t="str">
        <f t="shared" si="106"/>
        <v/>
      </c>
      <c r="DB115" s="77" t="str">
        <f t="shared" si="106"/>
        <v/>
      </c>
      <c r="DC115" s="77" t="str">
        <f t="shared" si="106"/>
        <v/>
      </c>
      <c r="DD115" s="77" t="str">
        <f t="shared" si="106"/>
        <v/>
      </c>
      <c r="DE115" s="77" t="str">
        <f t="shared" si="106"/>
        <v/>
      </c>
      <c r="DF115" s="77" t="str">
        <f t="shared" si="106"/>
        <v/>
      </c>
      <c r="DG115" s="77" t="str">
        <f t="shared" si="106"/>
        <v/>
      </c>
      <c r="DH115" s="77" t="str">
        <f t="shared" si="106"/>
        <v/>
      </c>
      <c r="DI115" s="77" t="str">
        <f t="shared" si="106"/>
        <v/>
      </c>
      <c r="DJ115" s="77" t="str">
        <f t="shared" si="106"/>
        <v/>
      </c>
      <c r="DK115" s="77" t="str">
        <f t="shared" si="106"/>
        <v/>
      </c>
      <c r="DL115" s="77" t="str">
        <f t="shared" si="106"/>
        <v/>
      </c>
      <c r="DM115" s="77" t="str">
        <f t="shared" si="106"/>
        <v/>
      </c>
      <c r="DN115" s="77" t="str">
        <f t="shared" si="106"/>
        <v/>
      </c>
      <c r="DO115" s="77" t="str">
        <f t="shared" si="106"/>
        <v/>
      </c>
      <c r="DP115" s="77" t="str">
        <f t="shared" si="106"/>
        <v/>
      </c>
      <c r="DQ115" s="77" t="str">
        <f t="shared" si="106"/>
        <v/>
      </c>
      <c r="DR115" s="77" t="str">
        <f t="shared" si="106"/>
        <v/>
      </c>
      <c r="DS115" s="77" t="str">
        <f t="shared" si="106"/>
        <v/>
      </c>
      <c r="DT115" s="77" t="str">
        <f t="shared" si="106"/>
        <v/>
      </c>
      <c r="DU115" s="77" t="str">
        <f t="shared" si="106"/>
        <v/>
      </c>
      <c r="DV115" s="77" t="str">
        <f t="shared" si="106"/>
        <v/>
      </c>
      <c r="DW115" s="77"/>
      <c r="DX115" s="77"/>
      <c r="DY115" s="78"/>
    </row>
    <row r="116" spans="2:129" outlineLevel="1" x14ac:dyDescent="0.2">
      <c r="B116" s="16" t="s">
        <v>60</v>
      </c>
      <c r="C116" s="16"/>
      <c r="D116" s="16"/>
      <c r="E116" s="16"/>
      <c r="F116" s="77">
        <f t="shared" ref="F116:AK116" si="107">IF(F112="","",-MIN(0,F$51*Equity_Share_LP))</f>
        <v>93624225.299999997</v>
      </c>
      <c r="G116" s="77">
        <f t="shared" si="107"/>
        <v>24225.3</v>
      </c>
      <c r="H116" s="77">
        <f t="shared" si="107"/>
        <v>24225.3</v>
      </c>
      <c r="I116" s="77">
        <f t="shared" si="107"/>
        <v>24225.3</v>
      </c>
      <c r="J116" s="77">
        <f t="shared" si="107"/>
        <v>24225.3</v>
      </c>
      <c r="K116" s="77">
        <f t="shared" si="107"/>
        <v>24225.3</v>
      </c>
      <c r="L116" s="77">
        <f t="shared" si="107"/>
        <v>24225.3</v>
      </c>
      <c r="M116" s="77">
        <f t="shared" si="107"/>
        <v>24225.3</v>
      </c>
      <c r="N116" s="77">
        <f t="shared" si="107"/>
        <v>24225.3</v>
      </c>
      <c r="O116" s="77">
        <f t="shared" si="107"/>
        <v>24225.3</v>
      </c>
      <c r="P116" s="77">
        <f t="shared" si="107"/>
        <v>24225.3</v>
      </c>
      <c r="Q116" s="77">
        <f t="shared" si="107"/>
        <v>24225.3</v>
      </c>
      <c r="R116" s="77">
        <f t="shared" si="107"/>
        <v>24225.3</v>
      </c>
      <c r="S116" s="77">
        <f t="shared" si="107"/>
        <v>24225.3</v>
      </c>
      <c r="T116" s="77">
        <f t="shared" si="107"/>
        <v>24225.3</v>
      </c>
      <c r="U116" s="77">
        <f t="shared" si="107"/>
        <v>24225.3</v>
      </c>
      <c r="V116" s="77">
        <f t="shared" si="107"/>
        <v>24225.3</v>
      </c>
      <c r="W116" s="77">
        <f t="shared" si="107"/>
        <v>24225.3</v>
      </c>
      <c r="X116" s="77">
        <f t="shared" si="107"/>
        <v>24225.3</v>
      </c>
      <c r="Y116" s="77">
        <f t="shared" si="107"/>
        <v>24225.3</v>
      </c>
      <c r="Z116" s="77">
        <f t="shared" si="107"/>
        <v>24225.3</v>
      </c>
      <c r="AA116" s="77">
        <f t="shared" si="107"/>
        <v>24225.3</v>
      </c>
      <c r="AB116" s="77">
        <f t="shared" si="107"/>
        <v>24225.3</v>
      </c>
      <c r="AC116" s="77">
        <f t="shared" si="107"/>
        <v>347943.60000000003</v>
      </c>
      <c r="AD116" s="77">
        <f t="shared" si="107"/>
        <v>842081.4</v>
      </c>
      <c r="AE116" s="77">
        <f t="shared" si="107"/>
        <v>0</v>
      </c>
      <c r="AF116" s="77">
        <f t="shared" si="107"/>
        <v>842081.4</v>
      </c>
      <c r="AG116" s="77">
        <f t="shared" si="107"/>
        <v>842081.4</v>
      </c>
      <c r="AH116" s="77">
        <f t="shared" si="107"/>
        <v>842081.4</v>
      </c>
      <c r="AI116" s="77">
        <f t="shared" si="107"/>
        <v>842081.4</v>
      </c>
      <c r="AJ116" s="77">
        <f t="shared" si="107"/>
        <v>842081.4</v>
      </c>
      <c r="AK116" s="77">
        <f t="shared" si="107"/>
        <v>842081.4</v>
      </c>
      <c r="AL116" s="77">
        <f t="shared" ref="AL116:BQ116" si="108">IF(AL112="","",-MIN(0,AL$51*Equity_Share_LP))</f>
        <v>842081.4</v>
      </c>
      <c r="AM116" s="77">
        <f t="shared" si="108"/>
        <v>678031.20000000007</v>
      </c>
      <c r="AN116" s="77">
        <f t="shared" si="108"/>
        <v>678031.20000000007</v>
      </c>
      <c r="AO116" s="77">
        <f t="shared" si="108"/>
        <v>884093.4</v>
      </c>
      <c r="AP116" s="77">
        <f t="shared" si="108"/>
        <v>608580.9</v>
      </c>
      <c r="AQ116" s="77">
        <f t="shared" si="108"/>
        <v>608580.9</v>
      </c>
      <c r="AR116" s="77">
        <f t="shared" si="108"/>
        <v>608580.9</v>
      </c>
      <c r="AS116" s="77">
        <f t="shared" si="108"/>
        <v>608580.9</v>
      </c>
      <c r="AT116" s="77">
        <f t="shared" si="108"/>
        <v>608580.9</v>
      </c>
      <c r="AU116" s="77">
        <f t="shared" si="108"/>
        <v>0</v>
      </c>
      <c r="AV116" s="77">
        <f t="shared" si="108"/>
        <v>670845.6</v>
      </c>
      <c r="AW116" s="77">
        <f t="shared" si="108"/>
        <v>670845.6</v>
      </c>
      <c r="AX116" s="77">
        <f t="shared" si="108"/>
        <v>670845.6</v>
      </c>
      <c r="AY116" s="77">
        <f t="shared" si="108"/>
        <v>670845.6</v>
      </c>
      <c r="AZ116" s="77">
        <f t="shared" si="108"/>
        <v>670845.6</v>
      </c>
      <c r="BA116" s="77">
        <f t="shared" si="108"/>
        <v>0</v>
      </c>
      <c r="BB116" s="77">
        <f t="shared" si="108"/>
        <v>501548.4</v>
      </c>
      <c r="BC116" s="77">
        <f t="shared" si="108"/>
        <v>501548.4</v>
      </c>
      <c r="BD116" s="77">
        <f t="shared" si="108"/>
        <v>501548.4</v>
      </c>
      <c r="BE116" s="77">
        <f t="shared" si="108"/>
        <v>501548.4</v>
      </c>
      <c r="BF116" s="77">
        <f t="shared" si="108"/>
        <v>501548.4</v>
      </c>
      <c r="BG116" s="77">
        <f t="shared" si="108"/>
        <v>501548.4</v>
      </c>
      <c r="BH116" s="77">
        <f t="shared" si="108"/>
        <v>501548.4</v>
      </c>
      <c r="BI116" s="77">
        <f t="shared" si="108"/>
        <v>501548.4</v>
      </c>
      <c r="BJ116" s="77">
        <f t="shared" si="108"/>
        <v>501548.4</v>
      </c>
      <c r="BK116" s="77">
        <f t="shared" si="108"/>
        <v>501548.4</v>
      </c>
      <c r="BL116" s="77">
        <f t="shared" si="108"/>
        <v>501548.4</v>
      </c>
      <c r="BM116" s="77">
        <f t="shared" si="108"/>
        <v>368838.9</v>
      </c>
      <c r="BN116" s="77">
        <f t="shared" si="108"/>
        <v>368838.9</v>
      </c>
      <c r="BO116" s="77">
        <f t="shared" si="108"/>
        <v>368838.9</v>
      </c>
      <c r="BP116" s="77">
        <f t="shared" si="108"/>
        <v>227774.7</v>
      </c>
      <c r="BQ116" s="77">
        <f t="shared" si="108"/>
        <v>227774.7</v>
      </c>
      <c r="BR116" s="77">
        <f t="shared" ref="BR116:CW116" si="109">IF(BR112="","",-MIN(0,BR$51*Equity_Share_LP))</f>
        <v>227774.7</v>
      </c>
      <c r="BS116" s="77">
        <f t="shared" si="109"/>
        <v>227774.7</v>
      </c>
      <c r="BT116" s="77">
        <f t="shared" si="109"/>
        <v>227774.7</v>
      </c>
      <c r="BU116" s="77">
        <f t="shared" si="109"/>
        <v>227774.7</v>
      </c>
      <c r="BV116" s="77">
        <f t="shared" si="109"/>
        <v>227774.7</v>
      </c>
      <c r="BW116" s="77">
        <f t="shared" si="109"/>
        <v>227774.7</v>
      </c>
      <c r="BX116" s="77">
        <f t="shared" si="109"/>
        <v>227774.7</v>
      </c>
      <c r="BY116" s="77">
        <f t="shared" si="109"/>
        <v>0</v>
      </c>
      <c r="BZ116" s="77">
        <f t="shared" si="109"/>
        <v>0</v>
      </c>
      <c r="CA116" s="77">
        <f t="shared" si="109"/>
        <v>227774.7</v>
      </c>
      <c r="CB116" s="77">
        <f t="shared" si="109"/>
        <v>227774.7</v>
      </c>
      <c r="CC116" s="77">
        <f t="shared" si="109"/>
        <v>227774.7</v>
      </c>
      <c r="CD116" s="77">
        <f t="shared" si="109"/>
        <v>227774.7</v>
      </c>
      <c r="CE116" s="77">
        <f t="shared" si="109"/>
        <v>0</v>
      </c>
      <c r="CF116" s="77">
        <f t="shared" si="109"/>
        <v>0</v>
      </c>
      <c r="CG116" s="77">
        <f t="shared" si="109"/>
        <v>0</v>
      </c>
      <c r="CH116" s="77">
        <f t="shared" si="109"/>
        <v>0</v>
      </c>
      <c r="CI116" s="77">
        <f t="shared" si="109"/>
        <v>0</v>
      </c>
      <c r="CJ116" s="77">
        <f t="shared" si="109"/>
        <v>0</v>
      </c>
      <c r="CK116" s="77">
        <f t="shared" si="109"/>
        <v>523424.7</v>
      </c>
      <c r="CL116" s="77">
        <f t="shared" si="109"/>
        <v>523424.7</v>
      </c>
      <c r="CM116" s="77">
        <f t="shared" si="109"/>
        <v>523424.7</v>
      </c>
      <c r="CN116" s="77">
        <f t="shared" si="109"/>
        <v>523424.7</v>
      </c>
      <c r="CO116" s="77">
        <f t="shared" si="109"/>
        <v>523424.7</v>
      </c>
      <c r="CP116" s="77">
        <f t="shared" si="109"/>
        <v>523424.7</v>
      </c>
      <c r="CQ116" s="77">
        <f t="shared" si="109"/>
        <v>523424.7</v>
      </c>
      <c r="CR116" s="77">
        <f t="shared" si="109"/>
        <v>523424.7</v>
      </c>
      <c r="CS116" s="77">
        <f t="shared" si="109"/>
        <v>523424.7</v>
      </c>
      <c r="CT116" s="77">
        <f t="shared" si="109"/>
        <v>523424.7</v>
      </c>
      <c r="CU116" s="77">
        <f t="shared" si="109"/>
        <v>523424.7</v>
      </c>
      <c r="CV116" s="77">
        <f t="shared" si="109"/>
        <v>523424.7</v>
      </c>
      <c r="CW116" s="77">
        <f t="shared" si="109"/>
        <v>0</v>
      </c>
      <c r="CX116" s="77" t="str">
        <f t="shared" ref="CX116:DV116" si="110">IF(CX112="","",-MIN(0,CX$51*Equity_Share_LP))</f>
        <v/>
      </c>
      <c r="CY116" s="77" t="str">
        <f t="shared" si="110"/>
        <v/>
      </c>
      <c r="CZ116" s="77" t="str">
        <f t="shared" si="110"/>
        <v/>
      </c>
      <c r="DA116" s="77" t="str">
        <f t="shared" si="110"/>
        <v/>
      </c>
      <c r="DB116" s="77" t="str">
        <f t="shared" si="110"/>
        <v/>
      </c>
      <c r="DC116" s="77" t="str">
        <f t="shared" si="110"/>
        <v/>
      </c>
      <c r="DD116" s="77" t="str">
        <f t="shared" si="110"/>
        <v/>
      </c>
      <c r="DE116" s="77" t="str">
        <f t="shared" si="110"/>
        <v/>
      </c>
      <c r="DF116" s="77" t="str">
        <f t="shared" si="110"/>
        <v/>
      </c>
      <c r="DG116" s="77" t="str">
        <f t="shared" si="110"/>
        <v/>
      </c>
      <c r="DH116" s="77" t="str">
        <f t="shared" si="110"/>
        <v/>
      </c>
      <c r="DI116" s="77" t="str">
        <f t="shared" si="110"/>
        <v/>
      </c>
      <c r="DJ116" s="77" t="str">
        <f t="shared" si="110"/>
        <v/>
      </c>
      <c r="DK116" s="77" t="str">
        <f t="shared" si="110"/>
        <v/>
      </c>
      <c r="DL116" s="77" t="str">
        <f t="shared" si="110"/>
        <v/>
      </c>
      <c r="DM116" s="77" t="str">
        <f t="shared" si="110"/>
        <v/>
      </c>
      <c r="DN116" s="77" t="str">
        <f t="shared" si="110"/>
        <v/>
      </c>
      <c r="DO116" s="77" t="str">
        <f t="shared" si="110"/>
        <v/>
      </c>
      <c r="DP116" s="77" t="str">
        <f t="shared" si="110"/>
        <v/>
      </c>
      <c r="DQ116" s="77" t="str">
        <f t="shared" si="110"/>
        <v/>
      </c>
      <c r="DR116" s="77" t="str">
        <f t="shared" si="110"/>
        <v/>
      </c>
      <c r="DS116" s="77" t="str">
        <f t="shared" si="110"/>
        <v/>
      </c>
      <c r="DT116" s="77" t="str">
        <f t="shared" si="110"/>
        <v/>
      </c>
      <c r="DU116" s="77" t="str">
        <f t="shared" si="110"/>
        <v/>
      </c>
      <c r="DV116" s="77" t="str">
        <f t="shared" si="110"/>
        <v/>
      </c>
      <c r="DW116" s="77"/>
      <c r="DX116" s="77"/>
      <c r="DY116" s="78"/>
    </row>
    <row r="117" spans="2:129" outlineLevel="1" x14ac:dyDescent="0.2">
      <c r="B117" s="16" t="s">
        <v>72</v>
      </c>
      <c r="C117" s="16"/>
      <c r="D117" s="16"/>
      <c r="E117" s="16"/>
      <c r="F117" s="77">
        <f t="shared" ref="F117:BQ117" si="111">F100</f>
        <v>0</v>
      </c>
      <c r="G117" s="77">
        <f t="shared" si="111"/>
        <v>0</v>
      </c>
      <c r="H117" s="77">
        <f t="shared" si="111"/>
        <v>0</v>
      </c>
      <c r="I117" s="77">
        <f t="shared" si="111"/>
        <v>0</v>
      </c>
      <c r="J117" s="77">
        <f t="shared" si="111"/>
        <v>0</v>
      </c>
      <c r="K117" s="77">
        <f t="shared" si="111"/>
        <v>0</v>
      </c>
      <c r="L117" s="77">
        <f t="shared" si="111"/>
        <v>0</v>
      </c>
      <c r="M117" s="77">
        <f t="shared" si="111"/>
        <v>0</v>
      </c>
      <c r="N117" s="77">
        <f t="shared" si="111"/>
        <v>0</v>
      </c>
      <c r="O117" s="77">
        <f t="shared" si="111"/>
        <v>0</v>
      </c>
      <c r="P117" s="77">
        <f t="shared" si="111"/>
        <v>0</v>
      </c>
      <c r="Q117" s="77">
        <f t="shared" si="111"/>
        <v>0</v>
      </c>
      <c r="R117" s="77">
        <f t="shared" si="111"/>
        <v>0</v>
      </c>
      <c r="S117" s="77">
        <f t="shared" si="111"/>
        <v>0</v>
      </c>
      <c r="T117" s="77">
        <f t="shared" si="111"/>
        <v>0</v>
      </c>
      <c r="U117" s="77">
        <f t="shared" si="111"/>
        <v>0</v>
      </c>
      <c r="V117" s="77">
        <f t="shared" si="111"/>
        <v>0</v>
      </c>
      <c r="W117" s="77">
        <f t="shared" si="111"/>
        <v>0</v>
      </c>
      <c r="X117" s="77">
        <f t="shared" si="111"/>
        <v>0</v>
      </c>
      <c r="Y117" s="77">
        <f t="shared" si="111"/>
        <v>0</v>
      </c>
      <c r="Z117" s="77">
        <f t="shared" si="111"/>
        <v>0</v>
      </c>
      <c r="AA117" s="77">
        <f t="shared" si="111"/>
        <v>0</v>
      </c>
      <c r="AB117" s="77">
        <f t="shared" si="111"/>
        <v>0</v>
      </c>
      <c r="AC117" s="77">
        <f t="shared" si="111"/>
        <v>0</v>
      </c>
      <c r="AD117" s="77">
        <f t="shared" si="111"/>
        <v>0</v>
      </c>
      <c r="AE117" s="77">
        <f t="shared" si="111"/>
        <v>25591908.600000001</v>
      </c>
      <c r="AF117" s="77">
        <f t="shared" si="111"/>
        <v>0</v>
      </c>
      <c r="AG117" s="77">
        <f t="shared" si="111"/>
        <v>0</v>
      </c>
      <c r="AH117" s="77">
        <f t="shared" si="111"/>
        <v>0</v>
      </c>
      <c r="AI117" s="77">
        <f t="shared" si="111"/>
        <v>0</v>
      </c>
      <c r="AJ117" s="77">
        <f t="shared" si="111"/>
        <v>0</v>
      </c>
      <c r="AK117" s="77">
        <f t="shared" si="111"/>
        <v>0</v>
      </c>
      <c r="AL117" s="77">
        <f t="shared" si="111"/>
        <v>0</v>
      </c>
      <c r="AM117" s="77">
        <f t="shared" si="111"/>
        <v>0</v>
      </c>
      <c r="AN117" s="77">
        <f t="shared" si="111"/>
        <v>0</v>
      </c>
      <c r="AO117" s="77">
        <f t="shared" si="111"/>
        <v>0</v>
      </c>
      <c r="AP117" s="77">
        <f t="shared" si="111"/>
        <v>0</v>
      </c>
      <c r="AQ117" s="77">
        <f t="shared" si="111"/>
        <v>0</v>
      </c>
      <c r="AR117" s="77">
        <f t="shared" si="111"/>
        <v>0</v>
      </c>
      <c r="AS117" s="77">
        <f t="shared" si="111"/>
        <v>0</v>
      </c>
      <c r="AT117" s="77">
        <f t="shared" si="111"/>
        <v>0</v>
      </c>
      <c r="AU117" s="77">
        <f t="shared" si="111"/>
        <v>37257084.899999999</v>
      </c>
      <c r="AV117" s="77">
        <f t="shared" si="111"/>
        <v>0</v>
      </c>
      <c r="AW117" s="77">
        <f t="shared" si="111"/>
        <v>0</v>
      </c>
      <c r="AX117" s="77">
        <f t="shared" si="111"/>
        <v>0</v>
      </c>
      <c r="AY117" s="77">
        <f t="shared" si="111"/>
        <v>0</v>
      </c>
      <c r="AZ117" s="77">
        <f t="shared" si="111"/>
        <v>0</v>
      </c>
      <c r="BA117" s="77">
        <f t="shared" si="111"/>
        <v>76126210.206564635</v>
      </c>
      <c r="BB117" s="77">
        <f t="shared" si="111"/>
        <v>0</v>
      </c>
      <c r="BC117" s="77">
        <f t="shared" si="111"/>
        <v>0</v>
      </c>
      <c r="BD117" s="77">
        <f t="shared" si="111"/>
        <v>0</v>
      </c>
      <c r="BE117" s="77">
        <f t="shared" si="111"/>
        <v>0</v>
      </c>
      <c r="BF117" s="77">
        <f t="shared" si="111"/>
        <v>0</v>
      </c>
      <c r="BG117" s="77">
        <f t="shared" si="111"/>
        <v>0</v>
      </c>
      <c r="BH117" s="77">
        <f t="shared" si="111"/>
        <v>0</v>
      </c>
      <c r="BI117" s="77">
        <f t="shared" si="111"/>
        <v>0</v>
      </c>
      <c r="BJ117" s="77">
        <f t="shared" si="111"/>
        <v>0</v>
      </c>
      <c r="BK117" s="77">
        <f t="shared" si="111"/>
        <v>0</v>
      </c>
      <c r="BL117" s="77">
        <f t="shared" si="111"/>
        <v>0</v>
      </c>
      <c r="BM117" s="77">
        <f t="shared" si="111"/>
        <v>0</v>
      </c>
      <c r="BN117" s="77">
        <f t="shared" si="111"/>
        <v>0</v>
      </c>
      <c r="BO117" s="77">
        <f t="shared" si="111"/>
        <v>0</v>
      </c>
      <c r="BP117" s="77">
        <f t="shared" si="111"/>
        <v>0</v>
      </c>
      <c r="BQ117" s="77">
        <f t="shared" si="111"/>
        <v>0</v>
      </c>
      <c r="BR117" s="77">
        <f t="shared" ref="BR117:DV117" si="112">BR100</f>
        <v>0</v>
      </c>
      <c r="BS117" s="77">
        <f t="shared" si="112"/>
        <v>0</v>
      </c>
      <c r="BT117" s="77">
        <f t="shared" si="112"/>
        <v>0</v>
      </c>
      <c r="BU117" s="77">
        <f t="shared" si="112"/>
        <v>0</v>
      </c>
      <c r="BV117" s="77">
        <f t="shared" si="112"/>
        <v>0</v>
      </c>
      <c r="BW117" s="77">
        <f t="shared" si="112"/>
        <v>0</v>
      </c>
      <c r="BX117" s="77">
        <f t="shared" si="112"/>
        <v>0</v>
      </c>
      <c r="BY117" s="77">
        <f t="shared" si="112"/>
        <v>5316225.3</v>
      </c>
      <c r="BZ117" s="77">
        <f t="shared" si="112"/>
        <v>3855975.3000000003</v>
      </c>
      <c r="CA117" s="77">
        <f t="shared" si="112"/>
        <v>0</v>
      </c>
      <c r="CB117" s="77">
        <f t="shared" si="112"/>
        <v>0</v>
      </c>
      <c r="CC117" s="77">
        <f t="shared" si="112"/>
        <v>0</v>
      </c>
      <c r="CD117" s="77">
        <f t="shared" si="112"/>
        <v>0</v>
      </c>
      <c r="CE117" s="77">
        <f t="shared" si="112"/>
        <v>1290889.169803957</v>
      </c>
      <c r="CF117" s="77">
        <f t="shared" si="112"/>
        <v>0</v>
      </c>
      <c r="CG117" s="77">
        <f t="shared" si="112"/>
        <v>0</v>
      </c>
      <c r="CH117" s="77">
        <f t="shared" si="112"/>
        <v>0</v>
      </c>
      <c r="CI117" s="77">
        <f t="shared" si="112"/>
        <v>0</v>
      </c>
      <c r="CJ117" s="77">
        <f t="shared" si="112"/>
        <v>0</v>
      </c>
      <c r="CK117" s="77">
        <f t="shared" si="112"/>
        <v>0</v>
      </c>
      <c r="CL117" s="77">
        <f t="shared" si="112"/>
        <v>0</v>
      </c>
      <c r="CM117" s="77">
        <f t="shared" si="112"/>
        <v>0</v>
      </c>
      <c r="CN117" s="77">
        <f t="shared" si="112"/>
        <v>0</v>
      </c>
      <c r="CO117" s="77">
        <f t="shared" si="112"/>
        <v>0</v>
      </c>
      <c r="CP117" s="77">
        <f t="shared" si="112"/>
        <v>0</v>
      </c>
      <c r="CQ117" s="77">
        <f t="shared" si="112"/>
        <v>0</v>
      </c>
      <c r="CR117" s="77">
        <f t="shared" si="112"/>
        <v>0</v>
      </c>
      <c r="CS117" s="77">
        <f t="shared" si="112"/>
        <v>0</v>
      </c>
      <c r="CT117" s="77">
        <f t="shared" si="112"/>
        <v>0</v>
      </c>
      <c r="CU117" s="77">
        <f t="shared" si="112"/>
        <v>0</v>
      </c>
      <c r="CV117" s="77">
        <f t="shared" si="112"/>
        <v>0</v>
      </c>
      <c r="CW117" s="77">
        <f t="shared" si="112"/>
        <v>6550363.4172117002</v>
      </c>
      <c r="CX117" s="77" t="str">
        <f t="shared" si="112"/>
        <v/>
      </c>
      <c r="CY117" s="77" t="str">
        <f t="shared" si="112"/>
        <v/>
      </c>
      <c r="CZ117" s="77" t="str">
        <f t="shared" si="112"/>
        <v/>
      </c>
      <c r="DA117" s="77" t="str">
        <f t="shared" si="112"/>
        <v/>
      </c>
      <c r="DB117" s="77" t="str">
        <f t="shared" si="112"/>
        <v/>
      </c>
      <c r="DC117" s="77" t="str">
        <f t="shared" si="112"/>
        <v/>
      </c>
      <c r="DD117" s="77" t="str">
        <f t="shared" si="112"/>
        <v/>
      </c>
      <c r="DE117" s="77" t="str">
        <f t="shared" si="112"/>
        <v/>
      </c>
      <c r="DF117" s="77" t="str">
        <f t="shared" si="112"/>
        <v/>
      </c>
      <c r="DG117" s="77" t="str">
        <f t="shared" si="112"/>
        <v/>
      </c>
      <c r="DH117" s="77" t="str">
        <f t="shared" si="112"/>
        <v/>
      </c>
      <c r="DI117" s="77" t="str">
        <f t="shared" si="112"/>
        <v/>
      </c>
      <c r="DJ117" s="77" t="str">
        <f t="shared" si="112"/>
        <v/>
      </c>
      <c r="DK117" s="77" t="str">
        <f t="shared" si="112"/>
        <v/>
      </c>
      <c r="DL117" s="77" t="str">
        <f t="shared" si="112"/>
        <v/>
      </c>
      <c r="DM117" s="77" t="str">
        <f t="shared" si="112"/>
        <v/>
      </c>
      <c r="DN117" s="77" t="str">
        <f t="shared" si="112"/>
        <v/>
      </c>
      <c r="DO117" s="77" t="str">
        <f t="shared" si="112"/>
        <v/>
      </c>
      <c r="DP117" s="77" t="str">
        <f t="shared" si="112"/>
        <v/>
      </c>
      <c r="DQ117" s="77" t="str">
        <f t="shared" si="112"/>
        <v/>
      </c>
      <c r="DR117" s="77" t="str">
        <f t="shared" si="112"/>
        <v/>
      </c>
      <c r="DS117" s="77" t="str">
        <f t="shared" si="112"/>
        <v/>
      </c>
      <c r="DT117" s="77" t="str">
        <f t="shared" si="112"/>
        <v/>
      </c>
      <c r="DU117" s="77" t="str">
        <f t="shared" si="112"/>
        <v/>
      </c>
      <c r="DV117" s="77" t="str">
        <f t="shared" si="112"/>
        <v/>
      </c>
      <c r="DW117" s="77"/>
      <c r="DX117" s="77"/>
      <c r="DY117" s="78"/>
    </row>
    <row r="118" spans="2:129" outlineLevel="1" x14ac:dyDescent="0.2">
      <c r="B118" s="16" t="str">
        <f>"Distributions to LP "&amp;B112</f>
        <v>Distributions to LP Tier 2</v>
      </c>
      <c r="C118" s="16"/>
      <c r="D118" s="16"/>
      <c r="E118" s="16"/>
      <c r="F118" s="77">
        <f>IF(F112="","",MIN(F114+F115-F117,F110*$I$16))</f>
        <v>0</v>
      </c>
      <c r="G118" s="77">
        <f>IF(G112="","",MIN(G114+G115-G117,G110*$I$16))</f>
        <v>0</v>
      </c>
      <c r="H118" s="77">
        <f t="shared" ref="H118:BS118" si="113">IF(H112="","",MIN(H114+H115-H117,H110*$I$16))</f>
        <v>0</v>
      </c>
      <c r="I118" s="77">
        <f t="shared" si="113"/>
        <v>0</v>
      </c>
      <c r="J118" s="77">
        <f t="shared" si="113"/>
        <v>0</v>
      </c>
      <c r="K118" s="77">
        <f t="shared" si="113"/>
        <v>0</v>
      </c>
      <c r="L118" s="77">
        <f t="shared" si="113"/>
        <v>0</v>
      </c>
      <c r="M118" s="77">
        <f t="shared" si="113"/>
        <v>0</v>
      </c>
      <c r="N118" s="77">
        <f t="shared" si="113"/>
        <v>0</v>
      </c>
      <c r="O118" s="77">
        <f t="shared" si="113"/>
        <v>0</v>
      </c>
      <c r="P118" s="77">
        <f t="shared" si="113"/>
        <v>0</v>
      </c>
      <c r="Q118" s="77">
        <f t="shared" si="113"/>
        <v>0</v>
      </c>
      <c r="R118" s="77">
        <f t="shared" si="113"/>
        <v>0</v>
      </c>
      <c r="S118" s="77">
        <f t="shared" si="113"/>
        <v>0</v>
      </c>
      <c r="T118" s="77">
        <f t="shared" si="113"/>
        <v>0</v>
      </c>
      <c r="U118" s="77">
        <f t="shared" si="113"/>
        <v>0</v>
      </c>
      <c r="V118" s="77">
        <f t="shared" si="113"/>
        <v>0</v>
      </c>
      <c r="W118" s="77">
        <f t="shared" si="113"/>
        <v>0</v>
      </c>
      <c r="X118" s="77">
        <f t="shared" si="113"/>
        <v>0</v>
      </c>
      <c r="Y118" s="77">
        <f t="shared" si="113"/>
        <v>0</v>
      </c>
      <c r="Z118" s="77">
        <f t="shared" si="113"/>
        <v>0</v>
      </c>
      <c r="AA118" s="77">
        <f t="shared" si="113"/>
        <v>0</v>
      </c>
      <c r="AB118" s="77">
        <f t="shared" si="113"/>
        <v>0</v>
      </c>
      <c r="AC118" s="77">
        <f t="shared" si="113"/>
        <v>0</v>
      </c>
      <c r="AD118" s="77">
        <f t="shared" si="113"/>
        <v>0</v>
      </c>
      <c r="AE118" s="77">
        <f t="shared" si="113"/>
        <v>0</v>
      </c>
      <c r="AF118" s="77">
        <f t="shared" si="113"/>
        <v>0</v>
      </c>
      <c r="AG118" s="77">
        <f t="shared" si="113"/>
        <v>0</v>
      </c>
      <c r="AH118" s="77">
        <f t="shared" si="113"/>
        <v>0</v>
      </c>
      <c r="AI118" s="77">
        <f t="shared" si="113"/>
        <v>0</v>
      </c>
      <c r="AJ118" s="77">
        <f t="shared" si="113"/>
        <v>0</v>
      </c>
      <c r="AK118" s="77">
        <f t="shared" si="113"/>
        <v>0</v>
      </c>
      <c r="AL118" s="77">
        <f t="shared" si="113"/>
        <v>0</v>
      </c>
      <c r="AM118" s="77">
        <f t="shared" si="113"/>
        <v>0</v>
      </c>
      <c r="AN118" s="77">
        <f t="shared" si="113"/>
        <v>0</v>
      </c>
      <c r="AO118" s="77">
        <f t="shared" si="113"/>
        <v>0</v>
      </c>
      <c r="AP118" s="77">
        <f t="shared" si="113"/>
        <v>0</v>
      </c>
      <c r="AQ118" s="77">
        <f t="shared" si="113"/>
        <v>0</v>
      </c>
      <c r="AR118" s="77">
        <f t="shared" si="113"/>
        <v>0</v>
      </c>
      <c r="AS118" s="77">
        <f t="shared" si="113"/>
        <v>0</v>
      </c>
      <c r="AT118" s="77">
        <f t="shared" si="113"/>
        <v>0</v>
      </c>
      <c r="AU118" s="77">
        <f t="shared" si="113"/>
        <v>0</v>
      </c>
      <c r="AV118" s="77">
        <f t="shared" si="113"/>
        <v>0</v>
      </c>
      <c r="AW118" s="77">
        <f t="shared" si="113"/>
        <v>0</v>
      </c>
      <c r="AX118" s="77">
        <f t="shared" si="113"/>
        <v>0</v>
      </c>
      <c r="AY118" s="77">
        <f t="shared" si="113"/>
        <v>0</v>
      </c>
      <c r="AZ118" s="77">
        <f t="shared" si="113"/>
        <v>0</v>
      </c>
      <c r="BA118" s="77">
        <f t="shared" si="113"/>
        <v>31828174.349463701</v>
      </c>
      <c r="BB118" s="77">
        <f t="shared" si="113"/>
        <v>0</v>
      </c>
      <c r="BC118" s="77">
        <f t="shared" si="113"/>
        <v>0</v>
      </c>
      <c r="BD118" s="77">
        <f t="shared" si="113"/>
        <v>0</v>
      </c>
      <c r="BE118" s="77">
        <f t="shared" si="113"/>
        <v>0</v>
      </c>
      <c r="BF118" s="77">
        <f t="shared" si="113"/>
        <v>0</v>
      </c>
      <c r="BG118" s="77">
        <f t="shared" si="113"/>
        <v>0</v>
      </c>
      <c r="BH118" s="77">
        <f t="shared" si="113"/>
        <v>0</v>
      </c>
      <c r="BI118" s="77">
        <f t="shared" si="113"/>
        <v>0</v>
      </c>
      <c r="BJ118" s="77">
        <f t="shared" si="113"/>
        <v>0</v>
      </c>
      <c r="BK118" s="77">
        <f t="shared" si="113"/>
        <v>0</v>
      </c>
      <c r="BL118" s="77">
        <f t="shared" si="113"/>
        <v>0</v>
      </c>
      <c r="BM118" s="77">
        <f t="shared" si="113"/>
        <v>0</v>
      </c>
      <c r="BN118" s="77">
        <f t="shared" si="113"/>
        <v>0</v>
      </c>
      <c r="BO118" s="77">
        <f t="shared" si="113"/>
        <v>0</v>
      </c>
      <c r="BP118" s="77">
        <f t="shared" si="113"/>
        <v>0</v>
      </c>
      <c r="BQ118" s="77">
        <f t="shared" si="113"/>
        <v>0</v>
      </c>
      <c r="BR118" s="77">
        <f t="shared" si="113"/>
        <v>0</v>
      </c>
      <c r="BS118" s="77">
        <f t="shared" si="113"/>
        <v>0</v>
      </c>
      <c r="BT118" s="77">
        <f t="shared" ref="BT118:DV118" si="114">IF(BT112="","",MIN(BT114+BT115-BT117,BT110*$I$16))</f>
        <v>0</v>
      </c>
      <c r="BU118" s="77">
        <f t="shared" si="114"/>
        <v>0</v>
      </c>
      <c r="BV118" s="77">
        <f t="shared" si="114"/>
        <v>0</v>
      </c>
      <c r="BW118" s="77">
        <f t="shared" si="114"/>
        <v>0</v>
      </c>
      <c r="BX118" s="77">
        <f t="shared" si="114"/>
        <v>0</v>
      </c>
      <c r="BY118" s="77">
        <f t="shared" si="114"/>
        <v>0</v>
      </c>
      <c r="BZ118" s="77">
        <f t="shared" si="114"/>
        <v>0</v>
      </c>
      <c r="CA118" s="77">
        <f t="shared" si="114"/>
        <v>0</v>
      </c>
      <c r="CB118" s="77">
        <f t="shared" si="114"/>
        <v>0</v>
      </c>
      <c r="CC118" s="77">
        <f t="shared" si="114"/>
        <v>0</v>
      </c>
      <c r="CD118" s="77">
        <f t="shared" si="114"/>
        <v>0</v>
      </c>
      <c r="CE118" s="77">
        <f t="shared" si="114"/>
        <v>842289.10603460483</v>
      </c>
      <c r="CF118" s="77">
        <f t="shared" si="114"/>
        <v>0</v>
      </c>
      <c r="CG118" s="77">
        <f t="shared" si="114"/>
        <v>0</v>
      </c>
      <c r="CH118" s="77">
        <f t="shared" si="114"/>
        <v>0</v>
      </c>
      <c r="CI118" s="77">
        <f t="shared" si="114"/>
        <v>0</v>
      </c>
      <c r="CJ118" s="77">
        <f t="shared" si="114"/>
        <v>0</v>
      </c>
      <c r="CK118" s="77">
        <f t="shared" si="114"/>
        <v>0</v>
      </c>
      <c r="CL118" s="77">
        <f t="shared" si="114"/>
        <v>0</v>
      </c>
      <c r="CM118" s="77">
        <f t="shared" si="114"/>
        <v>0</v>
      </c>
      <c r="CN118" s="77">
        <f t="shared" si="114"/>
        <v>0</v>
      </c>
      <c r="CO118" s="77">
        <f t="shared" si="114"/>
        <v>0</v>
      </c>
      <c r="CP118" s="77">
        <f t="shared" si="114"/>
        <v>0</v>
      </c>
      <c r="CQ118" s="77">
        <f t="shared" si="114"/>
        <v>0</v>
      </c>
      <c r="CR118" s="77">
        <f t="shared" si="114"/>
        <v>0</v>
      </c>
      <c r="CS118" s="77">
        <f t="shared" si="114"/>
        <v>0</v>
      </c>
      <c r="CT118" s="77">
        <f t="shared" si="114"/>
        <v>0</v>
      </c>
      <c r="CU118" s="77">
        <f t="shared" si="114"/>
        <v>0</v>
      </c>
      <c r="CV118" s="77">
        <f t="shared" si="114"/>
        <v>0</v>
      </c>
      <c r="CW118" s="77">
        <f t="shared" si="114"/>
        <v>230713.73677652888</v>
      </c>
      <c r="CX118" s="77" t="str">
        <f t="shared" si="114"/>
        <v/>
      </c>
      <c r="CY118" s="77" t="str">
        <f t="shared" si="114"/>
        <v/>
      </c>
      <c r="CZ118" s="77" t="str">
        <f t="shared" si="114"/>
        <v/>
      </c>
      <c r="DA118" s="77" t="str">
        <f t="shared" si="114"/>
        <v/>
      </c>
      <c r="DB118" s="77" t="str">
        <f t="shared" si="114"/>
        <v/>
      </c>
      <c r="DC118" s="77" t="str">
        <f t="shared" si="114"/>
        <v/>
      </c>
      <c r="DD118" s="77" t="str">
        <f t="shared" si="114"/>
        <v/>
      </c>
      <c r="DE118" s="77" t="str">
        <f t="shared" si="114"/>
        <v/>
      </c>
      <c r="DF118" s="77" t="str">
        <f t="shared" si="114"/>
        <v/>
      </c>
      <c r="DG118" s="77" t="str">
        <f t="shared" si="114"/>
        <v/>
      </c>
      <c r="DH118" s="77" t="str">
        <f t="shared" si="114"/>
        <v/>
      </c>
      <c r="DI118" s="77" t="str">
        <f t="shared" si="114"/>
        <v/>
      </c>
      <c r="DJ118" s="77" t="str">
        <f t="shared" si="114"/>
        <v/>
      </c>
      <c r="DK118" s="77" t="str">
        <f t="shared" si="114"/>
        <v/>
      </c>
      <c r="DL118" s="77" t="str">
        <f t="shared" si="114"/>
        <v/>
      </c>
      <c r="DM118" s="77" t="str">
        <f t="shared" si="114"/>
        <v/>
      </c>
      <c r="DN118" s="77" t="str">
        <f t="shared" si="114"/>
        <v/>
      </c>
      <c r="DO118" s="77" t="str">
        <f t="shared" si="114"/>
        <v/>
      </c>
      <c r="DP118" s="77" t="str">
        <f t="shared" si="114"/>
        <v/>
      </c>
      <c r="DQ118" s="77" t="str">
        <f t="shared" si="114"/>
        <v/>
      </c>
      <c r="DR118" s="77" t="str">
        <f t="shared" si="114"/>
        <v/>
      </c>
      <c r="DS118" s="77" t="str">
        <f t="shared" si="114"/>
        <v/>
      </c>
      <c r="DT118" s="77" t="str">
        <f t="shared" si="114"/>
        <v/>
      </c>
      <c r="DU118" s="77" t="str">
        <f t="shared" si="114"/>
        <v/>
      </c>
      <c r="DV118" s="77" t="str">
        <f t="shared" si="114"/>
        <v/>
      </c>
      <c r="DW118" s="77"/>
      <c r="DX118" s="77"/>
      <c r="DY118" s="78"/>
    </row>
    <row r="119" spans="2:129" outlineLevel="1" x14ac:dyDescent="0.2">
      <c r="B119" s="16" t="s">
        <v>62</v>
      </c>
      <c r="C119" s="16"/>
      <c r="D119" s="16"/>
      <c r="E119" s="16"/>
      <c r="F119" s="77">
        <f>IF(F112="","",F114+F115+F116-F117-F118)</f>
        <v>93624225.299999997</v>
      </c>
      <c r="G119" s="77">
        <f>IF(G112="","",G114+G115+G116-G117-G118)</f>
        <v>94766410.235589743</v>
      </c>
      <c r="H119" s="77">
        <f t="shared" ref="H119:BS119" si="115">IF(H112="","",H114+H115+H116-H117-H118)</f>
        <v>95812136.405569494</v>
      </c>
      <c r="I119" s="77">
        <f t="shared" si="115"/>
        <v>96980447.018508747</v>
      </c>
      <c r="J119" s="77">
        <f t="shared" si="115"/>
        <v>98125137.381027624</v>
      </c>
      <c r="K119" s="77">
        <f t="shared" si="115"/>
        <v>99321067.359781191</v>
      </c>
      <c r="L119" s="77">
        <f t="shared" si="115"/>
        <v>100492800.11484045</v>
      </c>
      <c r="M119" s="77">
        <f t="shared" si="115"/>
        <v>101717002.17123856</v>
      </c>
      <c r="N119" s="77">
        <f t="shared" si="115"/>
        <v>102955822.32974084</v>
      </c>
      <c r="O119" s="77">
        <f t="shared" si="115"/>
        <v>104169549.28136097</v>
      </c>
      <c r="P119" s="77">
        <f t="shared" si="115"/>
        <v>105437655.11528234</v>
      </c>
      <c r="Q119" s="77">
        <f t="shared" si="115"/>
        <v>106680055.9595551</v>
      </c>
      <c r="R119" s="77">
        <f t="shared" si="115"/>
        <v>107978139.55961666</v>
      </c>
      <c r="S119" s="77">
        <f t="shared" si="115"/>
        <v>109291723.47558299</v>
      </c>
      <c r="T119" s="77">
        <f t="shared" si="115"/>
        <v>110494020.10206199</v>
      </c>
      <c r="U119" s="77">
        <f t="shared" si="115"/>
        <v>111837645.95306604</v>
      </c>
      <c r="V119" s="77">
        <f t="shared" si="115"/>
        <v>113153989.18835303</v>
      </c>
      <c r="W119" s="77">
        <f t="shared" si="115"/>
        <v>114529377.52455641</v>
      </c>
      <c r="X119" s="77">
        <f t="shared" si="115"/>
        <v>115876819.72129652</v>
      </c>
      <c r="Y119" s="77">
        <f t="shared" si="115"/>
        <v>117284721.16637346</v>
      </c>
      <c r="Z119" s="77">
        <f t="shared" si="115"/>
        <v>118709434.25375175</v>
      </c>
      <c r="AA119" s="77">
        <f t="shared" si="115"/>
        <v>120105170.79918171</v>
      </c>
      <c r="AB119" s="77">
        <f t="shared" si="115"/>
        <v>121563562.65755747</v>
      </c>
      <c r="AC119" s="77">
        <f t="shared" si="115"/>
        <v>123315992.71870074</v>
      </c>
      <c r="AD119" s="77">
        <f t="shared" si="115"/>
        <v>125630580.85336728</v>
      </c>
      <c r="AE119" s="77">
        <f t="shared" si="115"/>
        <v>101538817.30599353</v>
      </c>
      <c r="AF119" s="77">
        <f t="shared" si="115"/>
        <v>103514707.12403977</v>
      </c>
      <c r="AG119" s="77">
        <f t="shared" si="115"/>
        <v>105592849.63839082</v>
      </c>
      <c r="AH119" s="77">
        <f t="shared" si="115"/>
        <v>107654899.62493534</v>
      </c>
      <c r="AI119" s="77">
        <f t="shared" si="115"/>
        <v>109782479.8578335</v>
      </c>
      <c r="AJ119" s="77">
        <f t="shared" si="115"/>
        <v>111892934.80053237</v>
      </c>
      <c r="AK119" s="77">
        <f t="shared" si="115"/>
        <v>114071121.08379138</v>
      </c>
      <c r="AL119" s="77">
        <f t="shared" si="115"/>
        <v>116275316.92104857</v>
      </c>
      <c r="AM119" s="77">
        <f t="shared" si="115"/>
        <v>118296736.75503249</v>
      </c>
      <c r="AN119" s="77">
        <f t="shared" si="115"/>
        <v>120387340.14230925</v>
      </c>
      <c r="AO119" s="77">
        <f t="shared" si="115"/>
        <v>122662330.49881937</v>
      </c>
      <c r="AP119" s="77">
        <f t="shared" si="115"/>
        <v>124735612.80345732</v>
      </c>
      <c r="AQ119" s="77">
        <f t="shared" si="115"/>
        <v>126833652.01179558</v>
      </c>
      <c r="AR119" s="77">
        <f t="shared" si="115"/>
        <v>128809391.22823566</v>
      </c>
      <c r="AS119" s="77">
        <f t="shared" si="115"/>
        <v>130956075.10977304</v>
      </c>
      <c r="AT119" s="77">
        <f t="shared" si="115"/>
        <v>133077659.00569752</v>
      </c>
      <c r="AU119" s="77">
        <f t="shared" si="115"/>
        <v>97409644.142757118</v>
      </c>
      <c r="AV119" s="77">
        <f t="shared" si="115"/>
        <v>99205913.5407473</v>
      </c>
      <c r="AW119" s="77">
        <f t="shared" si="115"/>
        <v>101061369.28406201</v>
      </c>
      <c r="AX119" s="77">
        <f t="shared" si="115"/>
        <v>102938980.8809499</v>
      </c>
      <c r="AY119" s="77">
        <f t="shared" si="115"/>
        <v>104799133.55463651</v>
      </c>
      <c r="AZ119" s="77">
        <f t="shared" si="115"/>
        <v>106721377.50568767</v>
      </c>
      <c r="BA119" s="77">
        <f t="shared" si="115"/>
        <v>0</v>
      </c>
      <c r="BB119" s="77">
        <f t="shared" si="115"/>
        <v>501548.4</v>
      </c>
      <c r="BC119" s="77">
        <f t="shared" si="115"/>
        <v>1009085.7506663253</v>
      </c>
      <c r="BD119" s="77">
        <f t="shared" si="115"/>
        <v>1521511.2322148117</v>
      </c>
      <c r="BE119" s="77">
        <f t="shared" si="115"/>
        <v>2041227.8802004382</v>
      </c>
      <c r="BF119" s="77">
        <f t="shared" si="115"/>
        <v>2566359.637410243</v>
      </c>
      <c r="BG119" s="77">
        <f t="shared" si="115"/>
        <v>3098552.7394180619</v>
      </c>
      <c r="BH119" s="77">
        <f t="shared" si="115"/>
        <v>3635900.3153924467</v>
      </c>
      <c r="BI119" s="77">
        <f t="shared" si="115"/>
        <v>4180864.7199426792</v>
      </c>
      <c r="BJ119" s="77">
        <f t="shared" si="115"/>
        <v>4732336.5023127887</v>
      </c>
      <c r="BK119" s="77">
        <f t="shared" si="115"/>
        <v>5288560.023720636</v>
      </c>
      <c r="BL119" s="77">
        <f t="shared" si="115"/>
        <v>5853258.7100697961</v>
      </c>
      <c r="BM119" s="77">
        <f t="shared" si="115"/>
        <v>6289723.3231711788</v>
      </c>
      <c r="BN119" s="77">
        <f t="shared" si="115"/>
        <v>6733667.3230724204</v>
      </c>
      <c r="BO119" s="77">
        <f t="shared" si="115"/>
        <v>7182912.4239521911</v>
      </c>
      <c r="BP119" s="77">
        <f t="shared" si="115"/>
        <v>7488112.7779557025</v>
      </c>
      <c r="BQ119" s="77">
        <f t="shared" si="115"/>
        <v>7805302.4536809903</v>
      </c>
      <c r="BR119" s="77">
        <f t="shared" si="115"/>
        <v>8123255.8337202081</v>
      </c>
      <c r="BS119" s="77">
        <f t="shared" si="115"/>
        <v>8448029.703567205</v>
      </c>
      <c r="BT119" s="77">
        <f t="shared" ref="BT119:DV119" si="116">IF(BT112="","",BT114+BT115+BT116-BT117-BT118)</f>
        <v>8773408.8426162656</v>
      </c>
      <c r="BU119" s="77">
        <f t="shared" si="116"/>
        <v>9105946.1392747946</v>
      </c>
      <c r="BV119" s="77">
        <f t="shared" si="116"/>
        <v>9442454.2380820308</v>
      </c>
      <c r="BW119" s="77">
        <f t="shared" si="116"/>
        <v>9779322.4760421608</v>
      </c>
      <c r="BX119" s="77">
        <f t="shared" si="116"/>
        <v>10123871.309623491</v>
      </c>
      <c r="BY119" s="77">
        <f t="shared" si="116"/>
        <v>4924612.3100335663</v>
      </c>
      <c r="BZ119" s="77">
        <f t="shared" si="116"/>
        <v>1127441.42487283</v>
      </c>
      <c r="CA119" s="77">
        <f t="shared" si="116"/>
        <v>1368678.8157571692</v>
      </c>
      <c r="CB119" s="77">
        <f t="shared" si="116"/>
        <v>1611736.5336618442</v>
      </c>
      <c r="CC119" s="77">
        <f t="shared" si="116"/>
        <v>1858756.8549961259</v>
      </c>
      <c r="CD119" s="77">
        <f t="shared" si="116"/>
        <v>2108006.730454362</v>
      </c>
      <c r="CE119" s="77">
        <f t="shared" si="116"/>
        <v>0</v>
      </c>
      <c r="CF119" s="77">
        <f t="shared" si="116"/>
        <v>0</v>
      </c>
      <c r="CG119" s="77">
        <f t="shared" si="116"/>
        <v>0</v>
      </c>
      <c r="CH119" s="77">
        <f t="shared" si="116"/>
        <v>0</v>
      </c>
      <c r="CI119" s="77">
        <f t="shared" si="116"/>
        <v>0</v>
      </c>
      <c r="CJ119" s="77">
        <f t="shared" si="116"/>
        <v>0</v>
      </c>
      <c r="CK119" s="77">
        <f t="shared" si="116"/>
        <v>523424.7</v>
      </c>
      <c r="CL119" s="77">
        <f t="shared" si="116"/>
        <v>1053099.5738732216</v>
      </c>
      <c r="CM119" s="77">
        <f t="shared" si="116"/>
        <v>1589099.2544626421</v>
      </c>
      <c r="CN119" s="77">
        <f t="shared" si="116"/>
        <v>2129653.0856271796</v>
      </c>
      <c r="CO119" s="77">
        <f t="shared" si="116"/>
        <v>2678507.8084648731</v>
      </c>
      <c r="CP119" s="77">
        <f t="shared" si="116"/>
        <v>3232878.6889717141</v>
      </c>
      <c r="CQ119" s="77">
        <f t="shared" si="116"/>
        <v>3794906.9434411651</v>
      </c>
      <c r="CR119" s="77">
        <f t="shared" si="116"/>
        <v>4362176.1582517084</v>
      </c>
      <c r="CS119" s="77">
        <f t="shared" si="116"/>
        <v>4937689.2664882615</v>
      </c>
      <c r="CT119" s="77">
        <f t="shared" si="116"/>
        <v>5520074.5322534842</v>
      </c>
      <c r="CU119" s="77">
        <f t="shared" si="116"/>
        <v>6107275.4969134098</v>
      </c>
      <c r="CV119" s="77">
        <f t="shared" si="116"/>
        <v>6703626.7014275733</v>
      </c>
      <c r="CW119" s="77">
        <f t="shared" si="116"/>
        <v>0</v>
      </c>
      <c r="CX119" s="77" t="str">
        <f t="shared" si="116"/>
        <v/>
      </c>
      <c r="CY119" s="77" t="str">
        <f t="shared" si="116"/>
        <v/>
      </c>
      <c r="CZ119" s="77" t="str">
        <f t="shared" si="116"/>
        <v/>
      </c>
      <c r="DA119" s="77" t="str">
        <f t="shared" si="116"/>
        <v/>
      </c>
      <c r="DB119" s="77" t="str">
        <f t="shared" si="116"/>
        <v/>
      </c>
      <c r="DC119" s="77" t="str">
        <f t="shared" si="116"/>
        <v/>
      </c>
      <c r="DD119" s="77" t="str">
        <f t="shared" si="116"/>
        <v/>
      </c>
      <c r="DE119" s="77" t="str">
        <f t="shared" si="116"/>
        <v/>
      </c>
      <c r="DF119" s="77" t="str">
        <f t="shared" si="116"/>
        <v/>
      </c>
      <c r="DG119" s="77" t="str">
        <f t="shared" si="116"/>
        <v/>
      </c>
      <c r="DH119" s="77" t="str">
        <f t="shared" si="116"/>
        <v/>
      </c>
      <c r="DI119" s="77" t="str">
        <f t="shared" si="116"/>
        <v/>
      </c>
      <c r="DJ119" s="77" t="str">
        <f t="shared" si="116"/>
        <v/>
      </c>
      <c r="DK119" s="77" t="str">
        <f t="shared" si="116"/>
        <v/>
      </c>
      <c r="DL119" s="77" t="str">
        <f t="shared" si="116"/>
        <v/>
      </c>
      <c r="DM119" s="77" t="str">
        <f t="shared" si="116"/>
        <v/>
      </c>
      <c r="DN119" s="77" t="str">
        <f t="shared" si="116"/>
        <v/>
      </c>
      <c r="DO119" s="77" t="str">
        <f t="shared" si="116"/>
        <v/>
      </c>
      <c r="DP119" s="77" t="str">
        <f t="shared" si="116"/>
        <v/>
      </c>
      <c r="DQ119" s="77" t="str">
        <f t="shared" si="116"/>
        <v/>
      </c>
      <c r="DR119" s="77" t="str">
        <f t="shared" si="116"/>
        <v/>
      </c>
      <c r="DS119" s="77" t="str">
        <f t="shared" si="116"/>
        <v/>
      </c>
      <c r="DT119" s="77" t="str">
        <f t="shared" si="116"/>
        <v/>
      </c>
      <c r="DU119" s="77" t="str">
        <f t="shared" si="116"/>
        <v/>
      </c>
      <c r="DV119" s="77" t="str">
        <f t="shared" si="116"/>
        <v/>
      </c>
      <c r="DW119" s="77"/>
      <c r="DX119" s="77"/>
      <c r="DY119" s="78"/>
    </row>
    <row r="120" spans="2:129" outlineLevel="1" x14ac:dyDescent="0.2">
      <c r="B120" s="128">
        <f>C113</f>
        <v>0.15</v>
      </c>
      <c r="C120" s="16"/>
      <c r="D120" s="16"/>
      <c r="E120" s="79">
        <f ca="1">XIRR(OFFSET(F120,0,0,1,$E$21+1),OFFSET($F$46,0,0,1,$E$21+1))</f>
        <v>0.15000000596046451</v>
      </c>
      <c r="F120" s="77">
        <f>IF(F112="","",-F116+F117+F118)</f>
        <v>-93624225.299999997</v>
      </c>
      <c r="G120" s="77">
        <f>IF(G112="","",-G116+G117+G118)</f>
        <v>-24225.3</v>
      </c>
      <c r="H120" s="77">
        <f t="shared" ref="H120:BS120" si="117">IF(H112="","",-H116+H117+H118)</f>
        <v>-24225.3</v>
      </c>
      <c r="I120" s="77">
        <f t="shared" si="117"/>
        <v>-24225.3</v>
      </c>
      <c r="J120" s="77">
        <f t="shared" si="117"/>
        <v>-24225.3</v>
      </c>
      <c r="K120" s="77">
        <f t="shared" si="117"/>
        <v>-24225.3</v>
      </c>
      <c r="L120" s="77">
        <f t="shared" si="117"/>
        <v>-24225.3</v>
      </c>
      <c r="M120" s="77">
        <f t="shared" si="117"/>
        <v>-24225.3</v>
      </c>
      <c r="N120" s="77">
        <f t="shared" si="117"/>
        <v>-24225.3</v>
      </c>
      <c r="O120" s="77">
        <f t="shared" si="117"/>
        <v>-24225.3</v>
      </c>
      <c r="P120" s="77">
        <f t="shared" si="117"/>
        <v>-24225.3</v>
      </c>
      <c r="Q120" s="77">
        <f t="shared" si="117"/>
        <v>-24225.3</v>
      </c>
      <c r="R120" s="77">
        <f t="shared" si="117"/>
        <v>-24225.3</v>
      </c>
      <c r="S120" s="77">
        <f t="shared" si="117"/>
        <v>-24225.3</v>
      </c>
      <c r="T120" s="77">
        <f t="shared" si="117"/>
        <v>-24225.3</v>
      </c>
      <c r="U120" s="77">
        <f t="shared" si="117"/>
        <v>-24225.3</v>
      </c>
      <c r="V120" s="77">
        <f t="shared" si="117"/>
        <v>-24225.3</v>
      </c>
      <c r="W120" s="77">
        <f t="shared" si="117"/>
        <v>-24225.3</v>
      </c>
      <c r="X120" s="77">
        <f t="shared" si="117"/>
        <v>-24225.3</v>
      </c>
      <c r="Y120" s="77">
        <f t="shared" si="117"/>
        <v>-24225.3</v>
      </c>
      <c r="Z120" s="77">
        <f t="shared" si="117"/>
        <v>-24225.3</v>
      </c>
      <c r="AA120" s="77">
        <f t="shared" si="117"/>
        <v>-24225.3</v>
      </c>
      <c r="AB120" s="77">
        <f t="shared" si="117"/>
        <v>-24225.3</v>
      </c>
      <c r="AC120" s="77">
        <f t="shared" si="117"/>
        <v>-347943.60000000003</v>
      </c>
      <c r="AD120" s="77">
        <f t="shared" si="117"/>
        <v>-842081.4</v>
      </c>
      <c r="AE120" s="77">
        <f t="shared" si="117"/>
        <v>25591908.600000001</v>
      </c>
      <c r="AF120" s="77">
        <f t="shared" si="117"/>
        <v>-842081.4</v>
      </c>
      <c r="AG120" s="77">
        <f t="shared" si="117"/>
        <v>-842081.4</v>
      </c>
      <c r="AH120" s="77">
        <f t="shared" si="117"/>
        <v>-842081.4</v>
      </c>
      <c r="AI120" s="77">
        <f t="shared" si="117"/>
        <v>-842081.4</v>
      </c>
      <c r="AJ120" s="77">
        <f t="shared" si="117"/>
        <v>-842081.4</v>
      </c>
      <c r="AK120" s="77">
        <f t="shared" si="117"/>
        <v>-842081.4</v>
      </c>
      <c r="AL120" s="77">
        <f t="shared" si="117"/>
        <v>-842081.4</v>
      </c>
      <c r="AM120" s="77">
        <f t="shared" si="117"/>
        <v>-678031.20000000007</v>
      </c>
      <c r="AN120" s="77">
        <f t="shared" si="117"/>
        <v>-678031.20000000007</v>
      </c>
      <c r="AO120" s="77">
        <f t="shared" si="117"/>
        <v>-884093.4</v>
      </c>
      <c r="AP120" s="77">
        <f t="shared" si="117"/>
        <v>-608580.9</v>
      </c>
      <c r="AQ120" s="77">
        <f t="shared" si="117"/>
        <v>-608580.9</v>
      </c>
      <c r="AR120" s="77">
        <f t="shared" si="117"/>
        <v>-608580.9</v>
      </c>
      <c r="AS120" s="77">
        <f t="shared" si="117"/>
        <v>-608580.9</v>
      </c>
      <c r="AT120" s="77">
        <f t="shared" si="117"/>
        <v>-608580.9</v>
      </c>
      <c r="AU120" s="77">
        <f t="shared" si="117"/>
        <v>37257084.899999999</v>
      </c>
      <c r="AV120" s="77">
        <f t="shared" si="117"/>
        <v>-670845.6</v>
      </c>
      <c r="AW120" s="77">
        <f t="shared" si="117"/>
        <v>-670845.6</v>
      </c>
      <c r="AX120" s="77">
        <f t="shared" si="117"/>
        <v>-670845.6</v>
      </c>
      <c r="AY120" s="77">
        <f t="shared" si="117"/>
        <v>-670845.6</v>
      </c>
      <c r="AZ120" s="77">
        <f t="shared" si="117"/>
        <v>-670845.6</v>
      </c>
      <c r="BA120" s="77">
        <f t="shared" si="117"/>
        <v>107954384.55602834</v>
      </c>
      <c r="BB120" s="77">
        <f t="shared" si="117"/>
        <v>-501548.4</v>
      </c>
      <c r="BC120" s="77">
        <f t="shared" si="117"/>
        <v>-501548.4</v>
      </c>
      <c r="BD120" s="77">
        <f t="shared" si="117"/>
        <v>-501548.4</v>
      </c>
      <c r="BE120" s="77">
        <f t="shared" si="117"/>
        <v>-501548.4</v>
      </c>
      <c r="BF120" s="77">
        <f t="shared" si="117"/>
        <v>-501548.4</v>
      </c>
      <c r="BG120" s="77">
        <f t="shared" si="117"/>
        <v>-501548.4</v>
      </c>
      <c r="BH120" s="77">
        <f t="shared" si="117"/>
        <v>-501548.4</v>
      </c>
      <c r="BI120" s="77">
        <f t="shared" si="117"/>
        <v>-501548.4</v>
      </c>
      <c r="BJ120" s="77">
        <f t="shared" si="117"/>
        <v>-501548.4</v>
      </c>
      <c r="BK120" s="77">
        <f t="shared" si="117"/>
        <v>-501548.4</v>
      </c>
      <c r="BL120" s="77">
        <f t="shared" si="117"/>
        <v>-501548.4</v>
      </c>
      <c r="BM120" s="77">
        <f t="shared" si="117"/>
        <v>-368838.9</v>
      </c>
      <c r="BN120" s="77">
        <f t="shared" si="117"/>
        <v>-368838.9</v>
      </c>
      <c r="BO120" s="77">
        <f t="shared" si="117"/>
        <v>-368838.9</v>
      </c>
      <c r="BP120" s="77">
        <f t="shared" si="117"/>
        <v>-227774.7</v>
      </c>
      <c r="BQ120" s="77">
        <f t="shared" si="117"/>
        <v>-227774.7</v>
      </c>
      <c r="BR120" s="77">
        <f t="shared" si="117"/>
        <v>-227774.7</v>
      </c>
      <c r="BS120" s="77">
        <f t="shared" si="117"/>
        <v>-227774.7</v>
      </c>
      <c r="BT120" s="77">
        <f t="shared" ref="BT120:DV120" si="118">IF(BT112="","",-BT116+BT117+BT118)</f>
        <v>-227774.7</v>
      </c>
      <c r="BU120" s="77">
        <f t="shared" si="118"/>
        <v>-227774.7</v>
      </c>
      <c r="BV120" s="77">
        <f t="shared" si="118"/>
        <v>-227774.7</v>
      </c>
      <c r="BW120" s="77">
        <f t="shared" si="118"/>
        <v>-227774.7</v>
      </c>
      <c r="BX120" s="77">
        <f t="shared" si="118"/>
        <v>-227774.7</v>
      </c>
      <c r="BY120" s="77">
        <f t="shared" si="118"/>
        <v>5316225.3</v>
      </c>
      <c r="BZ120" s="77">
        <f t="shared" si="118"/>
        <v>3855975.3000000003</v>
      </c>
      <c r="CA120" s="77">
        <f t="shared" si="118"/>
        <v>-227774.7</v>
      </c>
      <c r="CB120" s="77">
        <f t="shared" si="118"/>
        <v>-227774.7</v>
      </c>
      <c r="CC120" s="77">
        <f t="shared" si="118"/>
        <v>-227774.7</v>
      </c>
      <c r="CD120" s="77">
        <f t="shared" si="118"/>
        <v>-227774.7</v>
      </c>
      <c r="CE120" s="77">
        <f t="shared" si="118"/>
        <v>2133178.2758385618</v>
      </c>
      <c r="CF120" s="77">
        <f t="shared" si="118"/>
        <v>0</v>
      </c>
      <c r="CG120" s="77">
        <f t="shared" si="118"/>
        <v>0</v>
      </c>
      <c r="CH120" s="77">
        <f t="shared" si="118"/>
        <v>0</v>
      </c>
      <c r="CI120" s="77">
        <f t="shared" si="118"/>
        <v>0</v>
      </c>
      <c r="CJ120" s="77">
        <f t="shared" si="118"/>
        <v>0</v>
      </c>
      <c r="CK120" s="77">
        <f t="shared" si="118"/>
        <v>-523424.7</v>
      </c>
      <c r="CL120" s="77">
        <f t="shared" si="118"/>
        <v>-523424.7</v>
      </c>
      <c r="CM120" s="77">
        <f t="shared" si="118"/>
        <v>-523424.7</v>
      </c>
      <c r="CN120" s="77">
        <f t="shared" si="118"/>
        <v>-523424.7</v>
      </c>
      <c r="CO120" s="77">
        <f t="shared" si="118"/>
        <v>-523424.7</v>
      </c>
      <c r="CP120" s="77">
        <f t="shared" si="118"/>
        <v>-523424.7</v>
      </c>
      <c r="CQ120" s="77">
        <f t="shared" si="118"/>
        <v>-523424.7</v>
      </c>
      <c r="CR120" s="77">
        <f t="shared" si="118"/>
        <v>-523424.7</v>
      </c>
      <c r="CS120" s="77">
        <f t="shared" si="118"/>
        <v>-523424.7</v>
      </c>
      <c r="CT120" s="77">
        <f t="shared" si="118"/>
        <v>-523424.7</v>
      </c>
      <c r="CU120" s="77">
        <f t="shared" si="118"/>
        <v>-523424.7</v>
      </c>
      <c r="CV120" s="77">
        <f t="shared" si="118"/>
        <v>-523424.7</v>
      </c>
      <c r="CW120" s="77">
        <f t="shared" si="118"/>
        <v>6781077.1539882291</v>
      </c>
      <c r="CX120" s="77" t="str">
        <f t="shared" si="118"/>
        <v/>
      </c>
      <c r="CY120" s="77" t="str">
        <f t="shared" si="118"/>
        <v/>
      </c>
      <c r="CZ120" s="77" t="str">
        <f t="shared" si="118"/>
        <v/>
      </c>
      <c r="DA120" s="77" t="str">
        <f t="shared" si="118"/>
        <v/>
      </c>
      <c r="DB120" s="77" t="str">
        <f t="shared" si="118"/>
        <v/>
      </c>
      <c r="DC120" s="77" t="str">
        <f t="shared" si="118"/>
        <v/>
      </c>
      <c r="DD120" s="77" t="str">
        <f t="shared" si="118"/>
        <v/>
      </c>
      <c r="DE120" s="77" t="str">
        <f t="shared" si="118"/>
        <v/>
      </c>
      <c r="DF120" s="77" t="str">
        <f t="shared" si="118"/>
        <v/>
      </c>
      <c r="DG120" s="77" t="str">
        <f t="shared" si="118"/>
        <v/>
      </c>
      <c r="DH120" s="77" t="str">
        <f t="shared" si="118"/>
        <v/>
      </c>
      <c r="DI120" s="77" t="str">
        <f t="shared" si="118"/>
        <v/>
      </c>
      <c r="DJ120" s="77" t="str">
        <f t="shared" si="118"/>
        <v/>
      </c>
      <c r="DK120" s="77" t="str">
        <f t="shared" si="118"/>
        <v/>
      </c>
      <c r="DL120" s="77" t="str">
        <f t="shared" si="118"/>
        <v/>
      </c>
      <c r="DM120" s="77" t="str">
        <f t="shared" si="118"/>
        <v/>
      </c>
      <c r="DN120" s="77" t="str">
        <f t="shared" si="118"/>
        <v/>
      </c>
      <c r="DO120" s="77" t="str">
        <f t="shared" si="118"/>
        <v/>
      </c>
      <c r="DP120" s="77" t="str">
        <f t="shared" si="118"/>
        <v/>
      </c>
      <c r="DQ120" s="77" t="str">
        <f t="shared" si="118"/>
        <v/>
      </c>
      <c r="DR120" s="77" t="str">
        <f t="shared" si="118"/>
        <v/>
      </c>
      <c r="DS120" s="77" t="str">
        <f t="shared" si="118"/>
        <v/>
      </c>
      <c r="DT120" s="77" t="str">
        <f t="shared" si="118"/>
        <v/>
      </c>
      <c r="DU120" s="77" t="str">
        <f t="shared" si="118"/>
        <v/>
      </c>
      <c r="DV120" s="77" t="str">
        <f t="shared" si="118"/>
        <v/>
      </c>
      <c r="DW120" s="77"/>
      <c r="DX120" s="77"/>
      <c r="DY120" s="78"/>
    </row>
    <row r="121" spans="2:129" outlineLevel="1" x14ac:dyDescent="0.2">
      <c r="B121" s="9"/>
      <c r="C121" s="9"/>
      <c r="D121" s="9"/>
      <c r="E121" s="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  <c r="AS121" s="129"/>
      <c r="AT121" s="129"/>
      <c r="AU121" s="129"/>
      <c r="AV121" s="129"/>
      <c r="AW121" s="129"/>
      <c r="AX121" s="129"/>
      <c r="AY121" s="129"/>
      <c r="AZ121" s="129"/>
      <c r="BA121" s="129"/>
      <c r="BB121" s="129"/>
      <c r="BC121" s="129"/>
      <c r="BD121" s="129"/>
      <c r="BE121" s="129"/>
      <c r="BF121" s="129"/>
      <c r="BG121" s="129"/>
      <c r="BH121" s="129"/>
      <c r="BI121" s="129"/>
      <c r="BJ121" s="129"/>
      <c r="BK121" s="129"/>
      <c r="BL121" s="129"/>
      <c r="BM121" s="129"/>
      <c r="BN121" s="129"/>
      <c r="BO121" s="129"/>
      <c r="BP121" s="129"/>
      <c r="BQ121" s="129"/>
      <c r="BR121" s="129"/>
      <c r="BS121" s="129"/>
      <c r="BT121" s="129"/>
      <c r="BU121" s="129"/>
      <c r="BV121" s="129"/>
      <c r="BW121" s="129"/>
      <c r="BX121" s="129"/>
      <c r="BY121" s="129"/>
      <c r="BZ121" s="129"/>
      <c r="CA121" s="129"/>
      <c r="CB121" s="129"/>
      <c r="CC121" s="129"/>
      <c r="CD121" s="129"/>
      <c r="CE121" s="129"/>
      <c r="CF121" s="129"/>
      <c r="CG121" s="129"/>
      <c r="CH121" s="129"/>
      <c r="CI121" s="129"/>
      <c r="CJ121" s="129"/>
      <c r="CK121" s="129"/>
      <c r="CL121" s="129"/>
      <c r="CM121" s="129"/>
      <c r="CN121" s="129"/>
      <c r="CO121" s="129"/>
      <c r="CP121" s="129"/>
      <c r="CQ121" s="129"/>
      <c r="CR121" s="129"/>
      <c r="CS121" s="129"/>
      <c r="CT121" s="129"/>
      <c r="CU121" s="129"/>
      <c r="CV121" s="129"/>
      <c r="CW121" s="129"/>
      <c r="CX121" s="129"/>
      <c r="CY121" s="129"/>
      <c r="CZ121" s="129"/>
      <c r="DA121" s="129"/>
      <c r="DB121" s="129"/>
      <c r="DC121" s="129"/>
      <c r="DD121" s="129"/>
      <c r="DE121" s="129"/>
      <c r="DF121" s="129"/>
      <c r="DG121" s="129"/>
      <c r="DH121" s="129"/>
      <c r="DI121" s="129"/>
      <c r="DJ121" s="129"/>
      <c r="DK121" s="129"/>
      <c r="DL121" s="129"/>
      <c r="DM121" s="129"/>
      <c r="DN121" s="129"/>
      <c r="DO121" s="129"/>
      <c r="DP121" s="129"/>
      <c r="DQ121" s="129"/>
      <c r="DR121" s="129"/>
      <c r="DS121" s="129"/>
      <c r="DT121" s="129"/>
      <c r="DU121" s="129"/>
      <c r="DV121" s="129"/>
      <c r="DW121" s="129"/>
      <c r="DX121" s="129"/>
      <c r="DY121" s="130"/>
    </row>
    <row r="122" spans="2:129" outlineLevel="1" x14ac:dyDescent="0.2">
      <c r="B122" s="16" t="s">
        <v>63</v>
      </c>
      <c r="C122" s="16"/>
      <c r="D122" s="16"/>
      <c r="E122" s="16"/>
      <c r="F122" s="77">
        <f>IF(F112="","",F118)</f>
        <v>0</v>
      </c>
      <c r="G122" s="77">
        <f>IF(G112="","",G118)</f>
        <v>0</v>
      </c>
      <c r="H122" s="77">
        <f t="shared" ref="H122:BS122" si="119">IF(H112="","",H118)</f>
        <v>0</v>
      </c>
      <c r="I122" s="77">
        <f t="shared" si="119"/>
        <v>0</v>
      </c>
      <c r="J122" s="77">
        <f t="shared" si="119"/>
        <v>0</v>
      </c>
      <c r="K122" s="77">
        <f t="shared" si="119"/>
        <v>0</v>
      </c>
      <c r="L122" s="77">
        <f t="shared" si="119"/>
        <v>0</v>
      </c>
      <c r="M122" s="77">
        <f t="shared" si="119"/>
        <v>0</v>
      </c>
      <c r="N122" s="77">
        <f t="shared" si="119"/>
        <v>0</v>
      </c>
      <c r="O122" s="77">
        <f t="shared" si="119"/>
        <v>0</v>
      </c>
      <c r="P122" s="77">
        <f t="shared" si="119"/>
        <v>0</v>
      </c>
      <c r="Q122" s="77">
        <f t="shared" si="119"/>
        <v>0</v>
      </c>
      <c r="R122" s="77">
        <f t="shared" si="119"/>
        <v>0</v>
      </c>
      <c r="S122" s="77">
        <f t="shared" si="119"/>
        <v>0</v>
      </c>
      <c r="T122" s="77">
        <f t="shared" si="119"/>
        <v>0</v>
      </c>
      <c r="U122" s="77">
        <f t="shared" si="119"/>
        <v>0</v>
      </c>
      <c r="V122" s="77">
        <f t="shared" si="119"/>
        <v>0</v>
      </c>
      <c r="W122" s="77">
        <f t="shared" si="119"/>
        <v>0</v>
      </c>
      <c r="X122" s="77">
        <f t="shared" si="119"/>
        <v>0</v>
      </c>
      <c r="Y122" s="77">
        <f t="shared" si="119"/>
        <v>0</v>
      </c>
      <c r="Z122" s="77">
        <f t="shared" si="119"/>
        <v>0</v>
      </c>
      <c r="AA122" s="77">
        <f t="shared" si="119"/>
        <v>0</v>
      </c>
      <c r="AB122" s="77">
        <f t="shared" si="119"/>
        <v>0</v>
      </c>
      <c r="AC122" s="77">
        <f t="shared" si="119"/>
        <v>0</v>
      </c>
      <c r="AD122" s="77">
        <f t="shared" si="119"/>
        <v>0</v>
      </c>
      <c r="AE122" s="77">
        <f t="shared" si="119"/>
        <v>0</v>
      </c>
      <c r="AF122" s="77">
        <f t="shared" si="119"/>
        <v>0</v>
      </c>
      <c r="AG122" s="77">
        <f t="shared" si="119"/>
        <v>0</v>
      </c>
      <c r="AH122" s="77">
        <f t="shared" si="119"/>
        <v>0</v>
      </c>
      <c r="AI122" s="77">
        <f t="shared" si="119"/>
        <v>0</v>
      </c>
      <c r="AJ122" s="77">
        <f t="shared" si="119"/>
        <v>0</v>
      </c>
      <c r="AK122" s="77">
        <f t="shared" si="119"/>
        <v>0</v>
      </c>
      <c r="AL122" s="77">
        <f t="shared" si="119"/>
        <v>0</v>
      </c>
      <c r="AM122" s="77">
        <f t="shared" si="119"/>
        <v>0</v>
      </c>
      <c r="AN122" s="77">
        <f t="shared" si="119"/>
        <v>0</v>
      </c>
      <c r="AO122" s="77">
        <f t="shared" si="119"/>
        <v>0</v>
      </c>
      <c r="AP122" s="77">
        <f t="shared" si="119"/>
        <v>0</v>
      </c>
      <c r="AQ122" s="77">
        <f t="shared" si="119"/>
        <v>0</v>
      </c>
      <c r="AR122" s="77">
        <f t="shared" si="119"/>
        <v>0</v>
      </c>
      <c r="AS122" s="77">
        <f t="shared" si="119"/>
        <v>0</v>
      </c>
      <c r="AT122" s="77">
        <f t="shared" si="119"/>
        <v>0</v>
      </c>
      <c r="AU122" s="77">
        <f t="shared" si="119"/>
        <v>0</v>
      </c>
      <c r="AV122" s="77">
        <f t="shared" si="119"/>
        <v>0</v>
      </c>
      <c r="AW122" s="77">
        <f t="shared" si="119"/>
        <v>0</v>
      </c>
      <c r="AX122" s="77">
        <f t="shared" si="119"/>
        <v>0</v>
      </c>
      <c r="AY122" s="77">
        <f t="shared" si="119"/>
        <v>0</v>
      </c>
      <c r="AZ122" s="77">
        <f t="shared" si="119"/>
        <v>0</v>
      </c>
      <c r="BA122" s="77">
        <f t="shared" si="119"/>
        <v>31828174.349463701</v>
      </c>
      <c r="BB122" s="77">
        <f t="shared" si="119"/>
        <v>0</v>
      </c>
      <c r="BC122" s="77">
        <f t="shared" si="119"/>
        <v>0</v>
      </c>
      <c r="BD122" s="77">
        <f t="shared" si="119"/>
        <v>0</v>
      </c>
      <c r="BE122" s="77">
        <f t="shared" si="119"/>
        <v>0</v>
      </c>
      <c r="BF122" s="77">
        <f t="shared" si="119"/>
        <v>0</v>
      </c>
      <c r="BG122" s="77">
        <f t="shared" si="119"/>
        <v>0</v>
      </c>
      <c r="BH122" s="77">
        <f t="shared" si="119"/>
        <v>0</v>
      </c>
      <c r="BI122" s="77">
        <f t="shared" si="119"/>
        <v>0</v>
      </c>
      <c r="BJ122" s="77">
        <f t="shared" si="119"/>
        <v>0</v>
      </c>
      <c r="BK122" s="77">
        <f t="shared" si="119"/>
        <v>0</v>
      </c>
      <c r="BL122" s="77">
        <f t="shared" si="119"/>
        <v>0</v>
      </c>
      <c r="BM122" s="77">
        <f t="shared" si="119"/>
        <v>0</v>
      </c>
      <c r="BN122" s="77">
        <f t="shared" si="119"/>
        <v>0</v>
      </c>
      <c r="BO122" s="77">
        <f t="shared" si="119"/>
        <v>0</v>
      </c>
      <c r="BP122" s="77">
        <f t="shared" si="119"/>
        <v>0</v>
      </c>
      <c r="BQ122" s="77">
        <f t="shared" si="119"/>
        <v>0</v>
      </c>
      <c r="BR122" s="77">
        <f t="shared" si="119"/>
        <v>0</v>
      </c>
      <c r="BS122" s="77">
        <f t="shared" si="119"/>
        <v>0</v>
      </c>
      <c r="BT122" s="77">
        <f t="shared" ref="BT122:DV122" si="120">IF(BT112="","",BT118)</f>
        <v>0</v>
      </c>
      <c r="BU122" s="77">
        <f t="shared" si="120"/>
        <v>0</v>
      </c>
      <c r="BV122" s="77">
        <f t="shared" si="120"/>
        <v>0</v>
      </c>
      <c r="BW122" s="77">
        <f t="shared" si="120"/>
        <v>0</v>
      </c>
      <c r="BX122" s="77">
        <f t="shared" si="120"/>
        <v>0</v>
      </c>
      <c r="BY122" s="77">
        <f t="shared" si="120"/>
        <v>0</v>
      </c>
      <c r="BZ122" s="77">
        <f t="shared" si="120"/>
        <v>0</v>
      </c>
      <c r="CA122" s="77">
        <f t="shared" si="120"/>
        <v>0</v>
      </c>
      <c r="CB122" s="77">
        <f t="shared" si="120"/>
        <v>0</v>
      </c>
      <c r="CC122" s="77">
        <f t="shared" si="120"/>
        <v>0</v>
      </c>
      <c r="CD122" s="77">
        <f t="shared" si="120"/>
        <v>0</v>
      </c>
      <c r="CE122" s="77">
        <f t="shared" si="120"/>
        <v>842289.10603460483</v>
      </c>
      <c r="CF122" s="77">
        <f t="shared" si="120"/>
        <v>0</v>
      </c>
      <c r="CG122" s="77">
        <f t="shared" si="120"/>
        <v>0</v>
      </c>
      <c r="CH122" s="77">
        <f t="shared" si="120"/>
        <v>0</v>
      </c>
      <c r="CI122" s="77">
        <f t="shared" si="120"/>
        <v>0</v>
      </c>
      <c r="CJ122" s="77">
        <f t="shared" si="120"/>
        <v>0</v>
      </c>
      <c r="CK122" s="77">
        <f t="shared" si="120"/>
        <v>0</v>
      </c>
      <c r="CL122" s="77">
        <f t="shared" si="120"/>
        <v>0</v>
      </c>
      <c r="CM122" s="77">
        <f t="shared" si="120"/>
        <v>0</v>
      </c>
      <c r="CN122" s="77">
        <f t="shared" si="120"/>
        <v>0</v>
      </c>
      <c r="CO122" s="77">
        <f t="shared" si="120"/>
        <v>0</v>
      </c>
      <c r="CP122" s="77">
        <f t="shared" si="120"/>
        <v>0</v>
      </c>
      <c r="CQ122" s="77">
        <f t="shared" si="120"/>
        <v>0</v>
      </c>
      <c r="CR122" s="77">
        <f t="shared" si="120"/>
        <v>0</v>
      </c>
      <c r="CS122" s="77">
        <f t="shared" si="120"/>
        <v>0</v>
      </c>
      <c r="CT122" s="77">
        <f t="shared" si="120"/>
        <v>0</v>
      </c>
      <c r="CU122" s="77">
        <f t="shared" si="120"/>
        <v>0</v>
      </c>
      <c r="CV122" s="77">
        <f t="shared" si="120"/>
        <v>0</v>
      </c>
      <c r="CW122" s="77">
        <f t="shared" si="120"/>
        <v>230713.73677652888</v>
      </c>
      <c r="CX122" s="77" t="str">
        <f t="shared" si="120"/>
        <v/>
      </c>
      <c r="CY122" s="77" t="str">
        <f t="shared" si="120"/>
        <v/>
      </c>
      <c r="CZ122" s="77" t="str">
        <f t="shared" si="120"/>
        <v/>
      </c>
      <c r="DA122" s="77" t="str">
        <f t="shared" si="120"/>
        <v/>
      </c>
      <c r="DB122" s="77" t="str">
        <f t="shared" si="120"/>
        <v/>
      </c>
      <c r="DC122" s="77" t="str">
        <f t="shared" si="120"/>
        <v/>
      </c>
      <c r="DD122" s="77" t="str">
        <f t="shared" si="120"/>
        <v/>
      </c>
      <c r="DE122" s="77" t="str">
        <f t="shared" si="120"/>
        <v/>
      </c>
      <c r="DF122" s="77" t="str">
        <f t="shared" si="120"/>
        <v/>
      </c>
      <c r="DG122" s="77" t="str">
        <f t="shared" si="120"/>
        <v/>
      </c>
      <c r="DH122" s="77" t="str">
        <f t="shared" si="120"/>
        <v/>
      </c>
      <c r="DI122" s="77" t="str">
        <f t="shared" si="120"/>
        <v/>
      </c>
      <c r="DJ122" s="77" t="str">
        <f t="shared" si="120"/>
        <v/>
      </c>
      <c r="DK122" s="77" t="str">
        <f t="shared" si="120"/>
        <v/>
      </c>
      <c r="DL122" s="77" t="str">
        <f t="shared" si="120"/>
        <v/>
      </c>
      <c r="DM122" s="77" t="str">
        <f t="shared" si="120"/>
        <v/>
      </c>
      <c r="DN122" s="77" t="str">
        <f t="shared" si="120"/>
        <v/>
      </c>
      <c r="DO122" s="77" t="str">
        <f t="shared" si="120"/>
        <v/>
      </c>
      <c r="DP122" s="77" t="str">
        <f t="shared" si="120"/>
        <v/>
      </c>
      <c r="DQ122" s="77" t="str">
        <f t="shared" si="120"/>
        <v/>
      </c>
      <c r="DR122" s="77" t="str">
        <f t="shared" si="120"/>
        <v/>
      </c>
      <c r="DS122" s="77" t="str">
        <f t="shared" si="120"/>
        <v/>
      </c>
      <c r="DT122" s="77" t="str">
        <f t="shared" si="120"/>
        <v/>
      </c>
      <c r="DU122" s="77" t="str">
        <f t="shared" si="120"/>
        <v/>
      </c>
      <c r="DV122" s="77" t="str">
        <f t="shared" si="120"/>
        <v/>
      </c>
      <c r="DW122" s="77"/>
      <c r="DX122" s="77"/>
      <c r="DY122" s="78"/>
    </row>
    <row r="123" spans="2:129" outlineLevel="1" x14ac:dyDescent="0.2">
      <c r="B123" s="16" t="s">
        <v>67</v>
      </c>
      <c r="C123" s="16"/>
      <c r="D123" s="16"/>
      <c r="E123" s="16"/>
      <c r="F123" s="77">
        <f>IF(F112="","",F122/$I$16*$H$16)</f>
        <v>0</v>
      </c>
      <c r="G123" s="77">
        <f>IF(G112="","",G122/$I$16*$H$16)</f>
        <v>0</v>
      </c>
      <c r="H123" s="77">
        <f t="shared" ref="H123:BS123" si="121">IF(H112="","",H122/$I$16*$H$16)</f>
        <v>0</v>
      </c>
      <c r="I123" s="77">
        <f t="shared" si="121"/>
        <v>0</v>
      </c>
      <c r="J123" s="77">
        <f t="shared" si="121"/>
        <v>0</v>
      </c>
      <c r="K123" s="77">
        <f t="shared" si="121"/>
        <v>0</v>
      </c>
      <c r="L123" s="77">
        <f t="shared" si="121"/>
        <v>0</v>
      </c>
      <c r="M123" s="77">
        <f t="shared" si="121"/>
        <v>0</v>
      </c>
      <c r="N123" s="77">
        <f t="shared" si="121"/>
        <v>0</v>
      </c>
      <c r="O123" s="77">
        <f t="shared" si="121"/>
        <v>0</v>
      </c>
      <c r="P123" s="77">
        <f t="shared" si="121"/>
        <v>0</v>
      </c>
      <c r="Q123" s="77">
        <f t="shared" si="121"/>
        <v>0</v>
      </c>
      <c r="R123" s="77">
        <f t="shared" si="121"/>
        <v>0</v>
      </c>
      <c r="S123" s="77">
        <f t="shared" si="121"/>
        <v>0</v>
      </c>
      <c r="T123" s="77">
        <f t="shared" si="121"/>
        <v>0</v>
      </c>
      <c r="U123" s="77">
        <f t="shared" si="121"/>
        <v>0</v>
      </c>
      <c r="V123" s="77">
        <f t="shared" si="121"/>
        <v>0</v>
      </c>
      <c r="W123" s="77">
        <f t="shared" si="121"/>
        <v>0</v>
      </c>
      <c r="X123" s="77">
        <f t="shared" si="121"/>
        <v>0</v>
      </c>
      <c r="Y123" s="77">
        <f t="shared" si="121"/>
        <v>0</v>
      </c>
      <c r="Z123" s="77">
        <f t="shared" si="121"/>
        <v>0</v>
      </c>
      <c r="AA123" s="77">
        <f t="shared" si="121"/>
        <v>0</v>
      </c>
      <c r="AB123" s="77">
        <f t="shared" si="121"/>
        <v>0</v>
      </c>
      <c r="AC123" s="77">
        <f t="shared" si="121"/>
        <v>0</v>
      </c>
      <c r="AD123" s="77">
        <f t="shared" si="121"/>
        <v>0</v>
      </c>
      <c r="AE123" s="77">
        <f t="shared" si="121"/>
        <v>0</v>
      </c>
      <c r="AF123" s="77">
        <f t="shared" si="121"/>
        <v>0</v>
      </c>
      <c r="AG123" s="77">
        <f t="shared" si="121"/>
        <v>0</v>
      </c>
      <c r="AH123" s="77">
        <f t="shared" si="121"/>
        <v>0</v>
      </c>
      <c r="AI123" s="77">
        <f t="shared" si="121"/>
        <v>0</v>
      </c>
      <c r="AJ123" s="77">
        <f t="shared" si="121"/>
        <v>0</v>
      </c>
      <c r="AK123" s="77">
        <f t="shared" si="121"/>
        <v>0</v>
      </c>
      <c r="AL123" s="77">
        <f t="shared" si="121"/>
        <v>0</v>
      </c>
      <c r="AM123" s="77">
        <f t="shared" si="121"/>
        <v>0</v>
      </c>
      <c r="AN123" s="77">
        <f t="shared" si="121"/>
        <v>0</v>
      </c>
      <c r="AO123" s="77">
        <f t="shared" si="121"/>
        <v>0</v>
      </c>
      <c r="AP123" s="77">
        <f t="shared" si="121"/>
        <v>0</v>
      </c>
      <c r="AQ123" s="77">
        <f t="shared" si="121"/>
        <v>0</v>
      </c>
      <c r="AR123" s="77">
        <f t="shared" si="121"/>
        <v>0</v>
      </c>
      <c r="AS123" s="77">
        <f t="shared" si="121"/>
        <v>0</v>
      </c>
      <c r="AT123" s="77">
        <f t="shared" si="121"/>
        <v>0</v>
      </c>
      <c r="AU123" s="77">
        <f t="shared" si="121"/>
        <v>0</v>
      </c>
      <c r="AV123" s="77">
        <f t="shared" si="121"/>
        <v>0</v>
      </c>
      <c r="AW123" s="77">
        <f t="shared" si="121"/>
        <v>0</v>
      </c>
      <c r="AX123" s="77">
        <f t="shared" si="121"/>
        <v>0</v>
      </c>
      <c r="AY123" s="77">
        <f t="shared" si="121"/>
        <v>0</v>
      </c>
      <c r="AZ123" s="77">
        <f t="shared" si="121"/>
        <v>0</v>
      </c>
      <c r="BA123" s="77">
        <f t="shared" si="121"/>
        <v>12377623.358124768</v>
      </c>
      <c r="BB123" s="77">
        <f t="shared" si="121"/>
        <v>0</v>
      </c>
      <c r="BC123" s="77">
        <f t="shared" si="121"/>
        <v>0</v>
      </c>
      <c r="BD123" s="77">
        <f t="shared" si="121"/>
        <v>0</v>
      </c>
      <c r="BE123" s="77">
        <f t="shared" si="121"/>
        <v>0</v>
      </c>
      <c r="BF123" s="77">
        <f t="shared" si="121"/>
        <v>0</v>
      </c>
      <c r="BG123" s="77">
        <f t="shared" si="121"/>
        <v>0</v>
      </c>
      <c r="BH123" s="77">
        <f t="shared" si="121"/>
        <v>0</v>
      </c>
      <c r="BI123" s="77">
        <f t="shared" si="121"/>
        <v>0</v>
      </c>
      <c r="BJ123" s="77">
        <f t="shared" si="121"/>
        <v>0</v>
      </c>
      <c r="BK123" s="77">
        <f t="shared" si="121"/>
        <v>0</v>
      </c>
      <c r="BL123" s="77">
        <f t="shared" si="121"/>
        <v>0</v>
      </c>
      <c r="BM123" s="77">
        <f t="shared" si="121"/>
        <v>0</v>
      </c>
      <c r="BN123" s="77">
        <f t="shared" si="121"/>
        <v>0</v>
      </c>
      <c r="BO123" s="77">
        <f t="shared" si="121"/>
        <v>0</v>
      </c>
      <c r="BP123" s="77">
        <f t="shared" si="121"/>
        <v>0</v>
      </c>
      <c r="BQ123" s="77">
        <f t="shared" si="121"/>
        <v>0</v>
      </c>
      <c r="BR123" s="77">
        <f t="shared" si="121"/>
        <v>0</v>
      </c>
      <c r="BS123" s="77">
        <f t="shared" si="121"/>
        <v>0</v>
      </c>
      <c r="BT123" s="77">
        <f t="shared" ref="BT123:DV123" si="122">IF(BT112="","",BT122/$I$16*$H$16)</f>
        <v>0</v>
      </c>
      <c r="BU123" s="77">
        <f t="shared" si="122"/>
        <v>0</v>
      </c>
      <c r="BV123" s="77">
        <f t="shared" si="122"/>
        <v>0</v>
      </c>
      <c r="BW123" s="77">
        <f t="shared" si="122"/>
        <v>0</v>
      </c>
      <c r="BX123" s="77">
        <f t="shared" si="122"/>
        <v>0</v>
      </c>
      <c r="BY123" s="77">
        <f t="shared" si="122"/>
        <v>0</v>
      </c>
      <c r="BZ123" s="77">
        <f t="shared" si="122"/>
        <v>0</v>
      </c>
      <c r="CA123" s="77">
        <f t="shared" si="122"/>
        <v>0</v>
      </c>
      <c r="CB123" s="77">
        <f t="shared" si="122"/>
        <v>0</v>
      </c>
      <c r="CC123" s="77">
        <f t="shared" si="122"/>
        <v>0</v>
      </c>
      <c r="CD123" s="77">
        <f t="shared" si="122"/>
        <v>0</v>
      </c>
      <c r="CE123" s="77">
        <f t="shared" si="122"/>
        <v>327556.87456901284</v>
      </c>
      <c r="CF123" s="77">
        <f t="shared" si="122"/>
        <v>0</v>
      </c>
      <c r="CG123" s="77">
        <f t="shared" si="122"/>
        <v>0</v>
      </c>
      <c r="CH123" s="77">
        <f t="shared" si="122"/>
        <v>0</v>
      </c>
      <c r="CI123" s="77">
        <f t="shared" si="122"/>
        <v>0</v>
      </c>
      <c r="CJ123" s="77">
        <f t="shared" si="122"/>
        <v>0</v>
      </c>
      <c r="CK123" s="77">
        <f t="shared" si="122"/>
        <v>0</v>
      </c>
      <c r="CL123" s="77">
        <f t="shared" si="122"/>
        <v>0</v>
      </c>
      <c r="CM123" s="77">
        <f t="shared" si="122"/>
        <v>0</v>
      </c>
      <c r="CN123" s="77">
        <f t="shared" si="122"/>
        <v>0</v>
      </c>
      <c r="CO123" s="77">
        <f t="shared" si="122"/>
        <v>0</v>
      </c>
      <c r="CP123" s="77">
        <f t="shared" si="122"/>
        <v>0</v>
      </c>
      <c r="CQ123" s="77">
        <f t="shared" si="122"/>
        <v>0</v>
      </c>
      <c r="CR123" s="77">
        <f t="shared" si="122"/>
        <v>0</v>
      </c>
      <c r="CS123" s="77">
        <f t="shared" si="122"/>
        <v>0</v>
      </c>
      <c r="CT123" s="77">
        <f t="shared" si="122"/>
        <v>0</v>
      </c>
      <c r="CU123" s="77">
        <f t="shared" si="122"/>
        <v>0</v>
      </c>
      <c r="CV123" s="77">
        <f t="shared" si="122"/>
        <v>0</v>
      </c>
      <c r="CW123" s="77">
        <f t="shared" si="122"/>
        <v>89722.008746427848</v>
      </c>
      <c r="CX123" s="77" t="str">
        <f t="shared" si="122"/>
        <v/>
      </c>
      <c r="CY123" s="77" t="str">
        <f t="shared" si="122"/>
        <v/>
      </c>
      <c r="CZ123" s="77" t="str">
        <f t="shared" si="122"/>
        <v/>
      </c>
      <c r="DA123" s="77" t="str">
        <f t="shared" si="122"/>
        <v/>
      </c>
      <c r="DB123" s="77" t="str">
        <f t="shared" si="122"/>
        <v/>
      </c>
      <c r="DC123" s="77" t="str">
        <f t="shared" si="122"/>
        <v/>
      </c>
      <c r="DD123" s="77" t="str">
        <f t="shared" si="122"/>
        <v/>
      </c>
      <c r="DE123" s="77" t="str">
        <f t="shared" si="122"/>
        <v/>
      </c>
      <c r="DF123" s="77" t="str">
        <f t="shared" si="122"/>
        <v/>
      </c>
      <c r="DG123" s="77" t="str">
        <f t="shared" si="122"/>
        <v/>
      </c>
      <c r="DH123" s="77" t="str">
        <f t="shared" si="122"/>
        <v/>
      </c>
      <c r="DI123" s="77" t="str">
        <f t="shared" si="122"/>
        <v/>
      </c>
      <c r="DJ123" s="77" t="str">
        <f t="shared" si="122"/>
        <v/>
      </c>
      <c r="DK123" s="77" t="str">
        <f t="shared" si="122"/>
        <v/>
      </c>
      <c r="DL123" s="77" t="str">
        <f t="shared" si="122"/>
        <v/>
      </c>
      <c r="DM123" s="77" t="str">
        <f t="shared" si="122"/>
        <v/>
      </c>
      <c r="DN123" s="77" t="str">
        <f t="shared" si="122"/>
        <v/>
      </c>
      <c r="DO123" s="77" t="str">
        <f t="shared" si="122"/>
        <v/>
      </c>
      <c r="DP123" s="77" t="str">
        <f t="shared" si="122"/>
        <v/>
      </c>
      <c r="DQ123" s="77" t="str">
        <f t="shared" si="122"/>
        <v/>
      </c>
      <c r="DR123" s="77" t="str">
        <f t="shared" si="122"/>
        <v/>
      </c>
      <c r="DS123" s="77" t="str">
        <f t="shared" si="122"/>
        <v/>
      </c>
      <c r="DT123" s="77" t="str">
        <f t="shared" si="122"/>
        <v/>
      </c>
      <c r="DU123" s="77" t="str">
        <f t="shared" si="122"/>
        <v/>
      </c>
      <c r="DV123" s="77" t="str">
        <f t="shared" si="122"/>
        <v/>
      </c>
      <c r="DW123" s="77"/>
      <c r="DX123" s="77"/>
      <c r="DY123" s="78"/>
    </row>
    <row r="124" spans="2:129" outlineLevel="1" x14ac:dyDescent="0.2">
      <c r="B124" s="16" t="str">
        <f>"Total Distributions ("&amp;B112&amp;")"</f>
        <v>Total Distributions (Tier 2)</v>
      </c>
      <c r="C124" s="16"/>
      <c r="D124" s="16"/>
      <c r="E124" s="16"/>
      <c r="F124" s="77">
        <f>IF(F112="","",F122+F123)</f>
        <v>0</v>
      </c>
      <c r="G124" s="77">
        <f>IF(G112="","",G122+G123)</f>
        <v>0</v>
      </c>
      <c r="H124" s="77">
        <f t="shared" ref="H124:BS124" si="123">IF(H112="","",H122+H123)</f>
        <v>0</v>
      </c>
      <c r="I124" s="77">
        <f t="shared" si="123"/>
        <v>0</v>
      </c>
      <c r="J124" s="77">
        <f t="shared" si="123"/>
        <v>0</v>
      </c>
      <c r="K124" s="77">
        <f t="shared" si="123"/>
        <v>0</v>
      </c>
      <c r="L124" s="77">
        <f t="shared" si="123"/>
        <v>0</v>
      </c>
      <c r="M124" s="77">
        <f t="shared" si="123"/>
        <v>0</v>
      </c>
      <c r="N124" s="77">
        <f t="shared" si="123"/>
        <v>0</v>
      </c>
      <c r="O124" s="77">
        <f t="shared" si="123"/>
        <v>0</v>
      </c>
      <c r="P124" s="77">
        <f t="shared" si="123"/>
        <v>0</v>
      </c>
      <c r="Q124" s="77">
        <f t="shared" si="123"/>
        <v>0</v>
      </c>
      <c r="R124" s="77">
        <f t="shared" si="123"/>
        <v>0</v>
      </c>
      <c r="S124" s="77">
        <f t="shared" si="123"/>
        <v>0</v>
      </c>
      <c r="T124" s="77">
        <f t="shared" si="123"/>
        <v>0</v>
      </c>
      <c r="U124" s="77">
        <f t="shared" si="123"/>
        <v>0</v>
      </c>
      <c r="V124" s="77">
        <f t="shared" si="123"/>
        <v>0</v>
      </c>
      <c r="W124" s="77">
        <f t="shared" si="123"/>
        <v>0</v>
      </c>
      <c r="X124" s="77">
        <f t="shared" si="123"/>
        <v>0</v>
      </c>
      <c r="Y124" s="77">
        <f t="shared" si="123"/>
        <v>0</v>
      </c>
      <c r="Z124" s="77">
        <f t="shared" si="123"/>
        <v>0</v>
      </c>
      <c r="AA124" s="77">
        <f t="shared" si="123"/>
        <v>0</v>
      </c>
      <c r="AB124" s="77">
        <f t="shared" si="123"/>
        <v>0</v>
      </c>
      <c r="AC124" s="77">
        <f t="shared" si="123"/>
        <v>0</v>
      </c>
      <c r="AD124" s="77">
        <f t="shared" si="123"/>
        <v>0</v>
      </c>
      <c r="AE124" s="77">
        <f t="shared" si="123"/>
        <v>0</v>
      </c>
      <c r="AF124" s="77">
        <f t="shared" si="123"/>
        <v>0</v>
      </c>
      <c r="AG124" s="77">
        <f t="shared" si="123"/>
        <v>0</v>
      </c>
      <c r="AH124" s="77">
        <f t="shared" si="123"/>
        <v>0</v>
      </c>
      <c r="AI124" s="77">
        <f t="shared" si="123"/>
        <v>0</v>
      </c>
      <c r="AJ124" s="77">
        <f t="shared" si="123"/>
        <v>0</v>
      </c>
      <c r="AK124" s="77">
        <f t="shared" si="123"/>
        <v>0</v>
      </c>
      <c r="AL124" s="77">
        <f t="shared" si="123"/>
        <v>0</v>
      </c>
      <c r="AM124" s="77">
        <f t="shared" si="123"/>
        <v>0</v>
      </c>
      <c r="AN124" s="77">
        <f t="shared" si="123"/>
        <v>0</v>
      </c>
      <c r="AO124" s="77">
        <f t="shared" si="123"/>
        <v>0</v>
      </c>
      <c r="AP124" s="77">
        <f t="shared" si="123"/>
        <v>0</v>
      </c>
      <c r="AQ124" s="77">
        <f t="shared" si="123"/>
        <v>0</v>
      </c>
      <c r="AR124" s="77">
        <f t="shared" si="123"/>
        <v>0</v>
      </c>
      <c r="AS124" s="77">
        <f t="shared" si="123"/>
        <v>0</v>
      </c>
      <c r="AT124" s="77">
        <f t="shared" si="123"/>
        <v>0</v>
      </c>
      <c r="AU124" s="77">
        <f t="shared" si="123"/>
        <v>0</v>
      </c>
      <c r="AV124" s="77">
        <f t="shared" si="123"/>
        <v>0</v>
      </c>
      <c r="AW124" s="77">
        <f t="shared" si="123"/>
        <v>0</v>
      </c>
      <c r="AX124" s="77">
        <f t="shared" si="123"/>
        <v>0</v>
      </c>
      <c r="AY124" s="77">
        <f t="shared" si="123"/>
        <v>0</v>
      </c>
      <c r="AZ124" s="77">
        <f t="shared" si="123"/>
        <v>0</v>
      </c>
      <c r="BA124" s="77">
        <f t="shared" si="123"/>
        <v>44205797.707588471</v>
      </c>
      <c r="BB124" s="77">
        <f t="shared" si="123"/>
        <v>0</v>
      </c>
      <c r="BC124" s="77">
        <f t="shared" si="123"/>
        <v>0</v>
      </c>
      <c r="BD124" s="77">
        <f t="shared" si="123"/>
        <v>0</v>
      </c>
      <c r="BE124" s="77">
        <f t="shared" si="123"/>
        <v>0</v>
      </c>
      <c r="BF124" s="77">
        <f t="shared" si="123"/>
        <v>0</v>
      </c>
      <c r="BG124" s="77">
        <f t="shared" si="123"/>
        <v>0</v>
      </c>
      <c r="BH124" s="77">
        <f t="shared" si="123"/>
        <v>0</v>
      </c>
      <c r="BI124" s="77">
        <f t="shared" si="123"/>
        <v>0</v>
      </c>
      <c r="BJ124" s="77">
        <f t="shared" si="123"/>
        <v>0</v>
      </c>
      <c r="BK124" s="77">
        <f t="shared" si="123"/>
        <v>0</v>
      </c>
      <c r="BL124" s="77">
        <f t="shared" si="123"/>
        <v>0</v>
      </c>
      <c r="BM124" s="77">
        <f t="shared" si="123"/>
        <v>0</v>
      </c>
      <c r="BN124" s="77">
        <f t="shared" si="123"/>
        <v>0</v>
      </c>
      <c r="BO124" s="77">
        <f t="shared" si="123"/>
        <v>0</v>
      </c>
      <c r="BP124" s="77">
        <f t="shared" si="123"/>
        <v>0</v>
      </c>
      <c r="BQ124" s="77">
        <f t="shared" si="123"/>
        <v>0</v>
      </c>
      <c r="BR124" s="77">
        <f t="shared" si="123"/>
        <v>0</v>
      </c>
      <c r="BS124" s="77">
        <f t="shared" si="123"/>
        <v>0</v>
      </c>
      <c r="BT124" s="77">
        <f t="shared" ref="BT124:DV124" si="124">IF(BT112="","",BT122+BT123)</f>
        <v>0</v>
      </c>
      <c r="BU124" s="77">
        <f t="shared" si="124"/>
        <v>0</v>
      </c>
      <c r="BV124" s="77">
        <f t="shared" si="124"/>
        <v>0</v>
      </c>
      <c r="BW124" s="77">
        <f t="shared" si="124"/>
        <v>0</v>
      </c>
      <c r="BX124" s="77">
        <f t="shared" si="124"/>
        <v>0</v>
      </c>
      <c r="BY124" s="77">
        <f t="shared" si="124"/>
        <v>0</v>
      </c>
      <c r="BZ124" s="77">
        <f t="shared" si="124"/>
        <v>0</v>
      </c>
      <c r="CA124" s="77">
        <f t="shared" si="124"/>
        <v>0</v>
      </c>
      <c r="CB124" s="77">
        <f t="shared" si="124"/>
        <v>0</v>
      </c>
      <c r="CC124" s="77">
        <f t="shared" si="124"/>
        <v>0</v>
      </c>
      <c r="CD124" s="77">
        <f t="shared" si="124"/>
        <v>0</v>
      </c>
      <c r="CE124" s="77">
        <f t="shared" si="124"/>
        <v>1169845.9806036176</v>
      </c>
      <c r="CF124" s="77">
        <f t="shared" si="124"/>
        <v>0</v>
      </c>
      <c r="CG124" s="77">
        <f t="shared" si="124"/>
        <v>0</v>
      </c>
      <c r="CH124" s="77">
        <f t="shared" si="124"/>
        <v>0</v>
      </c>
      <c r="CI124" s="77">
        <f t="shared" si="124"/>
        <v>0</v>
      </c>
      <c r="CJ124" s="77">
        <f t="shared" si="124"/>
        <v>0</v>
      </c>
      <c r="CK124" s="77">
        <f t="shared" si="124"/>
        <v>0</v>
      </c>
      <c r="CL124" s="77">
        <f t="shared" si="124"/>
        <v>0</v>
      </c>
      <c r="CM124" s="77">
        <f t="shared" si="124"/>
        <v>0</v>
      </c>
      <c r="CN124" s="77">
        <f t="shared" si="124"/>
        <v>0</v>
      </c>
      <c r="CO124" s="77">
        <f t="shared" si="124"/>
        <v>0</v>
      </c>
      <c r="CP124" s="77">
        <f t="shared" si="124"/>
        <v>0</v>
      </c>
      <c r="CQ124" s="77">
        <f t="shared" si="124"/>
        <v>0</v>
      </c>
      <c r="CR124" s="77">
        <f t="shared" si="124"/>
        <v>0</v>
      </c>
      <c r="CS124" s="77">
        <f t="shared" si="124"/>
        <v>0</v>
      </c>
      <c r="CT124" s="77">
        <f t="shared" si="124"/>
        <v>0</v>
      </c>
      <c r="CU124" s="77">
        <f t="shared" si="124"/>
        <v>0</v>
      </c>
      <c r="CV124" s="77">
        <f t="shared" si="124"/>
        <v>0</v>
      </c>
      <c r="CW124" s="77">
        <f t="shared" si="124"/>
        <v>320435.74552295671</v>
      </c>
      <c r="CX124" s="77" t="str">
        <f t="shared" si="124"/>
        <v/>
      </c>
      <c r="CY124" s="77" t="str">
        <f t="shared" si="124"/>
        <v/>
      </c>
      <c r="CZ124" s="77" t="str">
        <f t="shared" si="124"/>
        <v/>
      </c>
      <c r="DA124" s="77" t="str">
        <f t="shared" si="124"/>
        <v/>
      </c>
      <c r="DB124" s="77" t="str">
        <f t="shared" si="124"/>
        <v/>
      </c>
      <c r="DC124" s="77" t="str">
        <f t="shared" si="124"/>
        <v/>
      </c>
      <c r="DD124" s="77" t="str">
        <f t="shared" si="124"/>
        <v/>
      </c>
      <c r="DE124" s="77" t="str">
        <f t="shared" si="124"/>
        <v/>
      </c>
      <c r="DF124" s="77" t="str">
        <f t="shared" si="124"/>
        <v/>
      </c>
      <c r="DG124" s="77" t="str">
        <f t="shared" si="124"/>
        <v/>
      </c>
      <c r="DH124" s="77" t="str">
        <f t="shared" si="124"/>
        <v/>
      </c>
      <c r="DI124" s="77" t="str">
        <f t="shared" si="124"/>
        <v/>
      </c>
      <c r="DJ124" s="77" t="str">
        <f t="shared" si="124"/>
        <v/>
      </c>
      <c r="DK124" s="77" t="str">
        <f t="shared" si="124"/>
        <v/>
      </c>
      <c r="DL124" s="77" t="str">
        <f t="shared" si="124"/>
        <v/>
      </c>
      <c r="DM124" s="77" t="str">
        <f t="shared" si="124"/>
        <v/>
      </c>
      <c r="DN124" s="77" t="str">
        <f t="shared" si="124"/>
        <v/>
      </c>
      <c r="DO124" s="77" t="str">
        <f t="shared" si="124"/>
        <v/>
      </c>
      <c r="DP124" s="77" t="str">
        <f t="shared" si="124"/>
        <v/>
      </c>
      <c r="DQ124" s="77" t="str">
        <f t="shared" si="124"/>
        <v/>
      </c>
      <c r="DR124" s="77" t="str">
        <f t="shared" si="124"/>
        <v/>
      </c>
      <c r="DS124" s="77" t="str">
        <f t="shared" si="124"/>
        <v/>
      </c>
      <c r="DT124" s="77" t="str">
        <f t="shared" si="124"/>
        <v/>
      </c>
      <c r="DU124" s="77" t="str">
        <f t="shared" si="124"/>
        <v/>
      </c>
      <c r="DV124" s="77" t="str">
        <f t="shared" si="124"/>
        <v/>
      </c>
      <c r="DW124" s="77"/>
      <c r="DX124" s="77"/>
      <c r="DY124" s="78"/>
    </row>
    <row r="125" spans="2:129" outlineLevel="1" x14ac:dyDescent="0.2">
      <c r="B125" s="16" t="s">
        <v>69</v>
      </c>
      <c r="C125" s="16"/>
      <c r="D125" s="16"/>
      <c r="E125" s="16"/>
      <c r="F125" s="77">
        <f>IF(F112="","",MAX(F$51-F109-F124,0))</f>
        <v>0</v>
      </c>
      <c r="G125" s="77">
        <f>IF(G112="","",MAX(G$51-G109-G124,0))</f>
        <v>0</v>
      </c>
      <c r="H125" s="77">
        <f t="shared" ref="H125:BS125" si="125">IF(H112="","",MAX(H$51-H109-H124,0))</f>
        <v>0</v>
      </c>
      <c r="I125" s="77">
        <f t="shared" si="125"/>
        <v>0</v>
      </c>
      <c r="J125" s="77">
        <f t="shared" si="125"/>
        <v>0</v>
      </c>
      <c r="K125" s="77">
        <f t="shared" si="125"/>
        <v>0</v>
      </c>
      <c r="L125" s="77">
        <f t="shared" si="125"/>
        <v>0</v>
      </c>
      <c r="M125" s="77">
        <f t="shared" si="125"/>
        <v>0</v>
      </c>
      <c r="N125" s="77">
        <f t="shared" si="125"/>
        <v>0</v>
      </c>
      <c r="O125" s="77">
        <f t="shared" si="125"/>
        <v>0</v>
      </c>
      <c r="P125" s="77">
        <f t="shared" si="125"/>
        <v>0</v>
      </c>
      <c r="Q125" s="77">
        <f t="shared" si="125"/>
        <v>0</v>
      </c>
      <c r="R125" s="77">
        <f t="shared" si="125"/>
        <v>0</v>
      </c>
      <c r="S125" s="77">
        <f t="shared" si="125"/>
        <v>0</v>
      </c>
      <c r="T125" s="77">
        <f t="shared" si="125"/>
        <v>0</v>
      </c>
      <c r="U125" s="77">
        <f t="shared" si="125"/>
        <v>0</v>
      </c>
      <c r="V125" s="77">
        <f t="shared" si="125"/>
        <v>0</v>
      </c>
      <c r="W125" s="77">
        <f t="shared" si="125"/>
        <v>0</v>
      </c>
      <c r="X125" s="77">
        <f t="shared" si="125"/>
        <v>0</v>
      </c>
      <c r="Y125" s="77">
        <f t="shared" si="125"/>
        <v>0</v>
      </c>
      <c r="Z125" s="77">
        <f t="shared" si="125"/>
        <v>0</v>
      </c>
      <c r="AA125" s="77">
        <f t="shared" si="125"/>
        <v>0</v>
      </c>
      <c r="AB125" s="77">
        <f t="shared" si="125"/>
        <v>0</v>
      </c>
      <c r="AC125" s="77">
        <f t="shared" si="125"/>
        <v>0</v>
      </c>
      <c r="AD125" s="77">
        <f t="shared" si="125"/>
        <v>0</v>
      </c>
      <c r="AE125" s="77">
        <f t="shared" si="125"/>
        <v>0</v>
      </c>
      <c r="AF125" s="77">
        <f t="shared" si="125"/>
        <v>0</v>
      </c>
      <c r="AG125" s="77">
        <f t="shared" si="125"/>
        <v>0</v>
      </c>
      <c r="AH125" s="77">
        <f t="shared" si="125"/>
        <v>0</v>
      </c>
      <c r="AI125" s="77">
        <f t="shared" si="125"/>
        <v>0</v>
      </c>
      <c r="AJ125" s="77">
        <f t="shared" si="125"/>
        <v>0</v>
      </c>
      <c r="AK125" s="77">
        <f t="shared" si="125"/>
        <v>0</v>
      </c>
      <c r="AL125" s="77">
        <f t="shared" si="125"/>
        <v>0</v>
      </c>
      <c r="AM125" s="77">
        <f t="shared" si="125"/>
        <v>0</v>
      </c>
      <c r="AN125" s="77">
        <f t="shared" si="125"/>
        <v>0</v>
      </c>
      <c r="AO125" s="77">
        <f t="shared" si="125"/>
        <v>0</v>
      </c>
      <c r="AP125" s="77">
        <f t="shared" si="125"/>
        <v>0</v>
      </c>
      <c r="AQ125" s="77">
        <f t="shared" si="125"/>
        <v>0</v>
      </c>
      <c r="AR125" s="77">
        <f t="shared" si="125"/>
        <v>0</v>
      </c>
      <c r="AS125" s="77">
        <f t="shared" si="125"/>
        <v>0</v>
      </c>
      <c r="AT125" s="77">
        <f t="shared" si="125"/>
        <v>0</v>
      </c>
      <c r="AU125" s="77">
        <f t="shared" si="125"/>
        <v>0</v>
      </c>
      <c r="AV125" s="77">
        <f t="shared" si="125"/>
        <v>0</v>
      </c>
      <c r="AW125" s="77">
        <f t="shared" si="125"/>
        <v>0</v>
      </c>
      <c r="AX125" s="77">
        <f t="shared" si="125"/>
        <v>0</v>
      </c>
      <c r="AY125" s="77">
        <f t="shared" si="125"/>
        <v>0</v>
      </c>
      <c r="AZ125" s="77">
        <f t="shared" si="125"/>
        <v>0</v>
      </c>
      <c r="BA125" s="77">
        <f t="shared" si="125"/>
        <v>44159448.285117485</v>
      </c>
      <c r="BB125" s="77">
        <f t="shared" si="125"/>
        <v>0</v>
      </c>
      <c r="BC125" s="77">
        <f t="shared" si="125"/>
        <v>0</v>
      </c>
      <c r="BD125" s="77">
        <f t="shared" si="125"/>
        <v>0</v>
      </c>
      <c r="BE125" s="77">
        <f t="shared" si="125"/>
        <v>0</v>
      </c>
      <c r="BF125" s="77">
        <f t="shared" si="125"/>
        <v>0</v>
      </c>
      <c r="BG125" s="77">
        <f t="shared" si="125"/>
        <v>0</v>
      </c>
      <c r="BH125" s="77">
        <f t="shared" si="125"/>
        <v>0</v>
      </c>
      <c r="BI125" s="77">
        <f t="shared" si="125"/>
        <v>0</v>
      </c>
      <c r="BJ125" s="77">
        <f t="shared" si="125"/>
        <v>0</v>
      </c>
      <c r="BK125" s="77">
        <f t="shared" si="125"/>
        <v>0</v>
      </c>
      <c r="BL125" s="77">
        <f t="shared" si="125"/>
        <v>0</v>
      </c>
      <c r="BM125" s="77">
        <f t="shared" si="125"/>
        <v>0</v>
      </c>
      <c r="BN125" s="77">
        <f t="shared" si="125"/>
        <v>0</v>
      </c>
      <c r="BO125" s="77">
        <f t="shared" si="125"/>
        <v>0</v>
      </c>
      <c r="BP125" s="77">
        <f t="shared" si="125"/>
        <v>0</v>
      </c>
      <c r="BQ125" s="77">
        <f t="shared" si="125"/>
        <v>0</v>
      </c>
      <c r="BR125" s="77">
        <f t="shared" si="125"/>
        <v>0</v>
      </c>
      <c r="BS125" s="77">
        <f t="shared" si="125"/>
        <v>0</v>
      </c>
      <c r="BT125" s="77">
        <f t="shared" ref="BT125:DV125" si="126">IF(BT112="","",MAX(BT$51-BT109-BT124,0))</f>
        <v>0</v>
      </c>
      <c r="BU125" s="77">
        <f t="shared" si="126"/>
        <v>0</v>
      </c>
      <c r="BV125" s="77">
        <f t="shared" si="126"/>
        <v>0</v>
      </c>
      <c r="BW125" s="77">
        <f t="shared" si="126"/>
        <v>0</v>
      </c>
      <c r="BX125" s="77">
        <f t="shared" si="126"/>
        <v>0</v>
      </c>
      <c r="BY125" s="77">
        <f t="shared" si="126"/>
        <v>0</v>
      </c>
      <c r="BZ125" s="77">
        <f t="shared" si="126"/>
        <v>0</v>
      </c>
      <c r="CA125" s="77">
        <f t="shared" si="126"/>
        <v>0</v>
      </c>
      <c r="CB125" s="77">
        <f t="shared" si="126"/>
        <v>0</v>
      </c>
      <c r="CC125" s="77">
        <f t="shared" si="126"/>
        <v>0</v>
      </c>
      <c r="CD125" s="77">
        <f t="shared" si="126"/>
        <v>0</v>
      </c>
      <c r="CE125" s="77">
        <f t="shared" si="126"/>
        <v>12185332.719614208</v>
      </c>
      <c r="CF125" s="77">
        <f t="shared" si="126"/>
        <v>0</v>
      </c>
      <c r="CG125" s="77">
        <f t="shared" si="126"/>
        <v>0</v>
      </c>
      <c r="CH125" s="77">
        <f t="shared" si="126"/>
        <v>0</v>
      </c>
      <c r="CI125" s="77">
        <f t="shared" si="126"/>
        <v>0</v>
      </c>
      <c r="CJ125" s="77">
        <f t="shared" si="126"/>
        <v>0</v>
      </c>
      <c r="CK125" s="77">
        <f t="shared" si="126"/>
        <v>0</v>
      </c>
      <c r="CL125" s="77">
        <f t="shared" si="126"/>
        <v>0</v>
      </c>
      <c r="CM125" s="77">
        <f t="shared" si="126"/>
        <v>0</v>
      </c>
      <c r="CN125" s="77">
        <f t="shared" si="126"/>
        <v>0</v>
      </c>
      <c r="CO125" s="77">
        <f t="shared" si="126"/>
        <v>0</v>
      </c>
      <c r="CP125" s="77">
        <f t="shared" si="126"/>
        <v>0</v>
      </c>
      <c r="CQ125" s="77">
        <f t="shared" si="126"/>
        <v>0</v>
      </c>
      <c r="CR125" s="77">
        <f t="shared" si="126"/>
        <v>0</v>
      </c>
      <c r="CS125" s="77">
        <f t="shared" si="126"/>
        <v>0</v>
      </c>
      <c r="CT125" s="77">
        <f t="shared" si="126"/>
        <v>0</v>
      </c>
      <c r="CU125" s="77">
        <f t="shared" si="126"/>
        <v>0</v>
      </c>
      <c r="CV125" s="77">
        <f t="shared" si="126"/>
        <v>0</v>
      </c>
      <c r="CW125" s="77">
        <f t="shared" si="126"/>
        <v>19457182.679797377</v>
      </c>
      <c r="CX125" s="77" t="str">
        <f t="shared" si="126"/>
        <v/>
      </c>
      <c r="CY125" s="77" t="str">
        <f t="shared" si="126"/>
        <v/>
      </c>
      <c r="CZ125" s="77" t="str">
        <f t="shared" si="126"/>
        <v/>
      </c>
      <c r="DA125" s="77" t="str">
        <f t="shared" si="126"/>
        <v/>
      </c>
      <c r="DB125" s="77" t="str">
        <f t="shared" si="126"/>
        <v/>
      </c>
      <c r="DC125" s="77" t="str">
        <f t="shared" si="126"/>
        <v/>
      </c>
      <c r="DD125" s="77" t="str">
        <f t="shared" si="126"/>
        <v/>
      </c>
      <c r="DE125" s="77" t="str">
        <f t="shared" si="126"/>
        <v/>
      </c>
      <c r="DF125" s="77" t="str">
        <f t="shared" si="126"/>
        <v/>
      </c>
      <c r="DG125" s="77" t="str">
        <f t="shared" si="126"/>
        <v/>
      </c>
      <c r="DH125" s="77" t="str">
        <f t="shared" si="126"/>
        <v/>
      </c>
      <c r="DI125" s="77" t="str">
        <f t="shared" si="126"/>
        <v/>
      </c>
      <c r="DJ125" s="77" t="str">
        <f t="shared" si="126"/>
        <v/>
      </c>
      <c r="DK125" s="77" t="str">
        <f t="shared" si="126"/>
        <v/>
      </c>
      <c r="DL125" s="77" t="str">
        <f t="shared" si="126"/>
        <v/>
      </c>
      <c r="DM125" s="77" t="str">
        <f t="shared" si="126"/>
        <v/>
      </c>
      <c r="DN125" s="77" t="str">
        <f t="shared" si="126"/>
        <v/>
      </c>
      <c r="DO125" s="77" t="str">
        <f t="shared" si="126"/>
        <v/>
      </c>
      <c r="DP125" s="77" t="str">
        <f t="shared" si="126"/>
        <v/>
      </c>
      <c r="DQ125" s="77" t="str">
        <f t="shared" si="126"/>
        <v/>
      </c>
      <c r="DR125" s="77" t="str">
        <f t="shared" si="126"/>
        <v/>
      </c>
      <c r="DS125" s="77" t="str">
        <f t="shared" si="126"/>
        <v/>
      </c>
      <c r="DT125" s="77" t="str">
        <f t="shared" si="126"/>
        <v/>
      </c>
      <c r="DU125" s="77" t="str">
        <f t="shared" si="126"/>
        <v/>
      </c>
      <c r="DV125" s="77" t="str">
        <f t="shared" si="126"/>
        <v/>
      </c>
      <c r="DW125" s="77"/>
      <c r="DX125" s="77"/>
      <c r="DY125" s="78"/>
    </row>
    <row r="126" spans="2:129" outlineLevel="1" x14ac:dyDescent="0.2">
      <c r="B126" s="16"/>
      <c r="C126" s="16"/>
      <c r="D126" s="16"/>
      <c r="E126" s="1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66"/>
      <c r="AU126" s="66"/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/>
      <c r="BJ126" s="66"/>
      <c r="BK126" s="66"/>
      <c r="BL126" s="66"/>
      <c r="BM126" s="66"/>
      <c r="BN126" s="66"/>
      <c r="BO126" s="66"/>
      <c r="BP126" s="66"/>
      <c r="BQ126" s="66"/>
      <c r="BR126" s="66"/>
      <c r="BS126" s="66"/>
      <c r="BT126" s="66"/>
      <c r="BU126" s="66"/>
      <c r="BV126" s="66"/>
      <c r="BW126" s="66"/>
      <c r="BX126" s="66"/>
      <c r="BY126" s="66"/>
      <c r="BZ126" s="66"/>
      <c r="CA126" s="66"/>
      <c r="CB126" s="66"/>
      <c r="CC126" s="66"/>
      <c r="CD126" s="66"/>
      <c r="CE126" s="66"/>
      <c r="CF126" s="66"/>
      <c r="CG126" s="66"/>
      <c r="CH126" s="66"/>
      <c r="CI126" s="66"/>
      <c r="CJ126" s="66"/>
      <c r="CK126" s="66"/>
      <c r="CL126" s="66"/>
      <c r="CM126" s="66"/>
      <c r="CN126" s="66"/>
      <c r="CO126" s="66"/>
      <c r="CP126" s="66"/>
      <c r="CQ126" s="66"/>
      <c r="CR126" s="66"/>
      <c r="CS126" s="66"/>
      <c r="CT126" s="66"/>
      <c r="CU126" s="66"/>
      <c r="CV126" s="66"/>
      <c r="CW126" s="66"/>
      <c r="CX126" s="66"/>
      <c r="CY126" s="66"/>
      <c r="CZ126" s="66"/>
      <c r="DA126" s="66"/>
      <c r="DB126" s="66"/>
      <c r="DC126" s="66"/>
      <c r="DD126" s="66"/>
      <c r="DE126" s="66"/>
      <c r="DF126" s="66"/>
      <c r="DG126" s="66"/>
      <c r="DH126" s="66"/>
      <c r="DI126" s="66"/>
      <c r="DJ126" s="66"/>
      <c r="DK126" s="66"/>
      <c r="DL126" s="66"/>
      <c r="DM126" s="66"/>
      <c r="DN126" s="66"/>
      <c r="DO126" s="66"/>
      <c r="DP126" s="66"/>
      <c r="DQ126" s="66"/>
      <c r="DR126" s="66"/>
      <c r="DS126" s="66"/>
      <c r="DT126" s="66"/>
      <c r="DU126" s="66"/>
      <c r="DV126" s="66"/>
      <c r="DW126" s="66"/>
      <c r="DX126" s="66"/>
      <c r="DY126" s="17"/>
    </row>
    <row r="127" spans="2:129" ht="16" outlineLevel="1" x14ac:dyDescent="0.2">
      <c r="B127" s="105" t="s">
        <v>73</v>
      </c>
      <c r="C127" s="100"/>
      <c r="D127" s="100"/>
      <c r="E127" s="100"/>
      <c r="F127" s="113">
        <f>F$21</f>
        <v>0</v>
      </c>
      <c r="G127" s="113">
        <f t="shared" ref="G127:BR127" si="127">G$21</f>
        <v>1</v>
      </c>
      <c r="H127" s="113">
        <f t="shared" si="127"/>
        <v>2</v>
      </c>
      <c r="I127" s="113">
        <f t="shared" si="127"/>
        <v>3</v>
      </c>
      <c r="J127" s="113">
        <f t="shared" si="127"/>
        <v>4</v>
      </c>
      <c r="K127" s="113">
        <f t="shared" si="127"/>
        <v>5</v>
      </c>
      <c r="L127" s="113">
        <f t="shared" si="127"/>
        <v>6</v>
      </c>
      <c r="M127" s="113">
        <f t="shared" si="127"/>
        <v>7</v>
      </c>
      <c r="N127" s="113">
        <f t="shared" si="127"/>
        <v>8</v>
      </c>
      <c r="O127" s="113">
        <f t="shared" si="127"/>
        <v>9</v>
      </c>
      <c r="P127" s="113">
        <f t="shared" si="127"/>
        <v>10</v>
      </c>
      <c r="Q127" s="113">
        <f t="shared" si="127"/>
        <v>11</v>
      </c>
      <c r="R127" s="113">
        <f t="shared" si="127"/>
        <v>12</v>
      </c>
      <c r="S127" s="113">
        <f t="shared" si="127"/>
        <v>13</v>
      </c>
      <c r="T127" s="113">
        <f t="shared" si="127"/>
        <v>14</v>
      </c>
      <c r="U127" s="113">
        <f t="shared" si="127"/>
        <v>15</v>
      </c>
      <c r="V127" s="113">
        <f t="shared" si="127"/>
        <v>16</v>
      </c>
      <c r="W127" s="113">
        <f t="shared" si="127"/>
        <v>17</v>
      </c>
      <c r="X127" s="113">
        <f t="shared" si="127"/>
        <v>18</v>
      </c>
      <c r="Y127" s="113">
        <f t="shared" si="127"/>
        <v>19</v>
      </c>
      <c r="Z127" s="113">
        <f t="shared" si="127"/>
        <v>20</v>
      </c>
      <c r="AA127" s="113">
        <f t="shared" si="127"/>
        <v>21</v>
      </c>
      <c r="AB127" s="113">
        <f t="shared" si="127"/>
        <v>22</v>
      </c>
      <c r="AC127" s="113">
        <f t="shared" si="127"/>
        <v>23</v>
      </c>
      <c r="AD127" s="113">
        <f t="shared" si="127"/>
        <v>24</v>
      </c>
      <c r="AE127" s="113">
        <f t="shared" si="127"/>
        <v>25</v>
      </c>
      <c r="AF127" s="113">
        <f t="shared" si="127"/>
        <v>26</v>
      </c>
      <c r="AG127" s="113">
        <f t="shared" si="127"/>
        <v>27</v>
      </c>
      <c r="AH127" s="113">
        <f t="shared" si="127"/>
        <v>28</v>
      </c>
      <c r="AI127" s="113">
        <f t="shared" si="127"/>
        <v>29</v>
      </c>
      <c r="AJ127" s="113">
        <f t="shared" si="127"/>
        <v>30</v>
      </c>
      <c r="AK127" s="113">
        <f t="shared" si="127"/>
        <v>31</v>
      </c>
      <c r="AL127" s="113">
        <f t="shared" si="127"/>
        <v>32</v>
      </c>
      <c r="AM127" s="113">
        <f t="shared" si="127"/>
        <v>33</v>
      </c>
      <c r="AN127" s="113">
        <f t="shared" si="127"/>
        <v>34</v>
      </c>
      <c r="AO127" s="113">
        <f t="shared" si="127"/>
        <v>35</v>
      </c>
      <c r="AP127" s="113">
        <f t="shared" si="127"/>
        <v>36</v>
      </c>
      <c r="AQ127" s="113">
        <f t="shared" si="127"/>
        <v>37</v>
      </c>
      <c r="AR127" s="113">
        <f t="shared" si="127"/>
        <v>38</v>
      </c>
      <c r="AS127" s="113">
        <f t="shared" si="127"/>
        <v>39</v>
      </c>
      <c r="AT127" s="113">
        <f t="shared" si="127"/>
        <v>40</v>
      </c>
      <c r="AU127" s="113">
        <f t="shared" si="127"/>
        <v>41</v>
      </c>
      <c r="AV127" s="113">
        <f t="shared" si="127"/>
        <v>42</v>
      </c>
      <c r="AW127" s="113">
        <f t="shared" si="127"/>
        <v>43</v>
      </c>
      <c r="AX127" s="113">
        <f t="shared" si="127"/>
        <v>44</v>
      </c>
      <c r="AY127" s="113">
        <f t="shared" si="127"/>
        <v>45</v>
      </c>
      <c r="AZ127" s="113">
        <f t="shared" si="127"/>
        <v>46</v>
      </c>
      <c r="BA127" s="113">
        <f t="shared" si="127"/>
        <v>47</v>
      </c>
      <c r="BB127" s="113">
        <f t="shared" si="127"/>
        <v>48</v>
      </c>
      <c r="BC127" s="113">
        <f t="shared" si="127"/>
        <v>49</v>
      </c>
      <c r="BD127" s="113">
        <f t="shared" si="127"/>
        <v>50</v>
      </c>
      <c r="BE127" s="113">
        <f t="shared" si="127"/>
        <v>51</v>
      </c>
      <c r="BF127" s="113">
        <f t="shared" si="127"/>
        <v>52</v>
      </c>
      <c r="BG127" s="113">
        <f t="shared" si="127"/>
        <v>53</v>
      </c>
      <c r="BH127" s="113">
        <f t="shared" si="127"/>
        <v>54</v>
      </c>
      <c r="BI127" s="113">
        <f t="shared" si="127"/>
        <v>55</v>
      </c>
      <c r="BJ127" s="113">
        <f t="shared" si="127"/>
        <v>56</v>
      </c>
      <c r="BK127" s="113">
        <f t="shared" si="127"/>
        <v>57</v>
      </c>
      <c r="BL127" s="113">
        <f t="shared" si="127"/>
        <v>58</v>
      </c>
      <c r="BM127" s="113">
        <f t="shared" si="127"/>
        <v>59</v>
      </c>
      <c r="BN127" s="113">
        <f t="shared" si="127"/>
        <v>60</v>
      </c>
      <c r="BO127" s="113">
        <f t="shared" si="127"/>
        <v>61</v>
      </c>
      <c r="BP127" s="113">
        <f t="shared" si="127"/>
        <v>62</v>
      </c>
      <c r="BQ127" s="113">
        <f t="shared" si="127"/>
        <v>63</v>
      </c>
      <c r="BR127" s="113">
        <f t="shared" si="127"/>
        <v>64</v>
      </c>
      <c r="BS127" s="113">
        <f t="shared" ref="BS127:DV127" si="128">BS$21</f>
        <v>65</v>
      </c>
      <c r="BT127" s="113">
        <f t="shared" si="128"/>
        <v>66</v>
      </c>
      <c r="BU127" s="113">
        <f t="shared" si="128"/>
        <v>67</v>
      </c>
      <c r="BV127" s="113">
        <f t="shared" si="128"/>
        <v>68</v>
      </c>
      <c r="BW127" s="113">
        <f t="shared" si="128"/>
        <v>69</v>
      </c>
      <c r="BX127" s="113">
        <f t="shared" si="128"/>
        <v>70</v>
      </c>
      <c r="BY127" s="113">
        <f t="shared" si="128"/>
        <v>71</v>
      </c>
      <c r="BZ127" s="113">
        <f t="shared" si="128"/>
        <v>72</v>
      </c>
      <c r="CA127" s="113">
        <f t="shared" si="128"/>
        <v>73</v>
      </c>
      <c r="CB127" s="113">
        <f t="shared" si="128"/>
        <v>74</v>
      </c>
      <c r="CC127" s="113">
        <f t="shared" si="128"/>
        <v>75</v>
      </c>
      <c r="CD127" s="113">
        <f t="shared" si="128"/>
        <v>76</v>
      </c>
      <c r="CE127" s="113">
        <f t="shared" si="128"/>
        <v>77</v>
      </c>
      <c r="CF127" s="113">
        <f t="shared" si="128"/>
        <v>78</v>
      </c>
      <c r="CG127" s="113">
        <f t="shared" si="128"/>
        <v>79</v>
      </c>
      <c r="CH127" s="113">
        <f t="shared" si="128"/>
        <v>80</v>
      </c>
      <c r="CI127" s="113">
        <f t="shared" si="128"/>
        <v>81</v>
      </c>
      <c r="CJ127" s="113">
        <f t="shared" si="128"/>
        <v>82</v>
      </c>
      <c r="CK127" s="113">
        <f t="shared" si="128"/>
        <v>83</v>
      </c>
      <c r="CL127" s="113">
        <f t="shared" si="128"/>
        <v>84</v>
      </c>
      <c r="CM127" s="113">
        <f t="shared" si="128"/>
        <v>85</v>
      </c>
      <c r="CN127" s="113">
        <f t="shared" si="128"/>
        <v>86</v>
      </c>
      <c r="CO127" s="113">
        <f t="shared" si="128"/>
        <v>87</v>
      </c>
      <c r="CP127" s="113">
        <f t="shared" si="128"/>
        <v>88</v>
      </c>
      <c r="CQ127" s="113">
        <f t="shared" si="128"/>
        <v>89</v>
      </c>
      <c r="CR127" s="113">
        <f t="shared" si="128"/>
        <v>90</v>
      </c>
      <c r="CS127" s="113">
        <f t="shared" si="128"/>
        <v>91</v>
      </c>
      <c r="CT127" s="113">
        <f t="shared" si="128"/>
        <v>92</v>
      </c>
      <c r="CU127" s="113">
        <f t="shared" si="128"/>
        <v>93</v>
      </c>
      <c r="CV127" s="113">
        <f t="shared" si="128"/>
        <v>94</v>
      </c>
      <c r="CW127" s="113">
        <f t="shared" si="128"/>
        <v>95</v>
      </c>
      <c r="CX127" s="113" t="str">
        <f t="shared" si="128"/>
        <v/>
      </c>
      <c r="CY127" s="113" t="str">
        <f t="shared" si="128"/>
        <v/>
      </c>
      <c r="CZ127" s="113" t="str">
        <f t="shared" si="128"/>
        <v/>
      </c>
      <c r="DA127" s="113" t="str">
        <f t="shared" si="128"/>
        <v/>
      </c>
      <c r="DB127" s="113" t="str">
        <f t="shared" si="128"/>
        <v/>
      </c>
      <c r="DC127" s="113" t="str">
        <f t="shared" si="128"/>
        <v/>
      </c>
      <c r="DD127" s="113" t="str">
        <f t="shared" si="128"/>
        <v/>
      </c>
      <c r="DE127" s="113" t="str">
        <f t="shared" si="128"/>
        <v/>
      </c>
      <c r="DF127" s="113" t="str">
        <f t="shared" si="128"/>
        <v/>
      </c>
      <c r="DG127" s="113" t="str">
        <f t="shared" si="128"/>
        <v/>
      </c>
      <c r="DH127" s="113" t="str">
        <f t="shared" si="128"/>
        <v/>
      </c>
      <c r="DI127" s="113" t="str">
        <f t="shared" si="128"/>
        <v/>
      </c>
      <c r="DJ127" s="113" t="str">
        <f t="shared" si="128"/>
        <v/>
      </c>
      <c r="DK127" s="113" t="str">
        <f t="shared" si="128"/>
        <v/>
      </c>
      <c r="DL127" s="113" t="str">
        <f t="shared" si="128"/>
        <v/>
      </c>
      <c r="DM127" s="113" t="str">
        <f t="shared" si="128"/>
        <v/>
      </c>
      <c r="DN127" s="113" t="str">
        <f t="shared" si="128"/>
        <v/>
      </c>
      <c r="DO127" s="113" t="str">
        <f t="shared" si="128"/>
        <v/>
      </c>
      <c r="DP127" s="113" t="str">
        <f t="shared" si="128"/>
        <v/>
      </c>
      <c r="DQ127" s="113" t="str">
        <f t="shared" si="128"/>
        <v/>
      </c>
      <c r="DR127" s="113" t="str">
        <f t="shared" si="128"/>
        <v/>
      </c>
      <c r="DS127" s="113" t="str">
        <f t="shared" si="128"/>
        <v/>
      </c>
      <c r="DT127" s="113" t="str">
        <f t="shared" si="128"/>
        <v/>
      </c>
      <c r="DU127" s="113" t="str">
        <f t="shared" si="128"/>
        <v/>
      </c>
      <c r="DV127" s="113" t="str">
        <f t="shared" si="128"/>
        <v/>
      </c>
      <c r="DW127" s="114"/>
      <c r="DX127" s="114"/>
      <c r="DY127" s="115"/>
    </row>
    <row r="128" spans="2:129" outlineLevel="1" x14ac:dyDescent="0.2">
      <c r="B128" s="125" t="s">
        <v>56</v>
      </c>
      <c r="C128" s="126">
        <f>E62</f>
        <v>9.99</v>
      </c>
      <c r="D128" s="16"/>
      <c r="E128" s="16"/>
      <c r="F128" s="66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  <c r="AW128" s="127"/>
      <c r="AX128" s="127"/>
      <c r="AY128" s="127"/>
      <c r="AZ128" s="127"/>
      <c r="BA128" s="127"/>
      <c r="BB128" s="127"/>
      <c r="BC128" s="127"/>
      <c r="BD128" s="127"/>
      <c r="BE128" s="127"/>
      <c r="BF128" s="127"/>
      <c r="BG128" s="127"/>
      <c r="BH128" s="127"/>
      <c r="BI128" s="127"/>
      <c r="BJ128" s="127"/>
      <c r="BK128" s="127"/>
      <c r="BL128" s="127"/>
      <c r="BM128" s="127"/>
      <c r="BN128" s="127"/>
      <c r="BO128" s="127"/>
      <c r="BP128" s="127"/>
      <c r="BQ128" s="127"/>
      <c r="BR128" s="127"/>
      <c r="BS128" s="127"/>
      <c r="BT128" s="127"/>
      <c r="BU128" s="127"/>
      <c r="BV128" s="127"/>
      <c r="BW128" s="127"/>
      <c r="BX128" s="127"/>
      <c r="BY128" s="127"/>
      <c r="BZ128" s="127"/>
      <c r="CA128" s="127"/>
      <c r="CB128" s="127"/>
      <c r="CC128" s="127"/>
      <c r="CD128" s="127"/>
      <c r="CE128" s="127"/>
      <c r="CF128" s="127"/>
      <c r="CG128" s="127"/>
      <c r="CH128" s="127"/>
      <c r="CI128" s="127"/>
      <c r="CJ128" s="127"/>
      <c r="CK128" s="127"/>
      <c r="CL128" s="127"/>
      <c r="CM128" s="127"/>
      <c r="CN128" s="127"/>
      <c r="CO128" s="127"/>
      <c r="CP128" s="127"/>
      <c r="CQ128" s="127"/>
      <c r="CR128" s="127"/>
      <c r="CS128" s="127"/>
      <c r="CT128" s="127"/>
      <c r="CU128" s="127"/>
      <c r="CV128" s="127"/>
      <c r="CW128" s="127"/>
      <c r="CX128" s="127"/>
      <c r="CY128" s="127"/>
      <c r="CZ128" s="127"/>
      <c r="DA128" s="127"/>
      <c r="DB128" s="127"/>
      <c r="DC128" s="127"/>
      <c r="DD128" s="127"/>
      <c r="DE128" s="127"/>
      <c r="DF128" s="127"/>
      <c r="DG128" s="127"/>
      <c r="DH128" s="127"/>
      <c r="DI128" s="127"/>
      <c r="DJ128" s="127"/>
      <c r="DK128" s="127"/>
      <c r="DL128" s="127"/>
      <c r="DM128" s="127"/>
      <c r="DN128" s="127"/>
      <c r="DO128" s="127"/>
      <c r="DP128" s="127"/>
      <c r="DQ128" s="127"/>
      <c r="DR128" s="127"/>
      <c r="DS128" s="127"/>
      <c r="DT128" s="127"/>
      <c r="DU128" s="127"/>
      <c r="DV128" s="127"/>
      <c r="DW128" s="127"/>
      <c r="DX128" s="127"/>
      <c r="DY128" s="115"/>
    </row>
    <row r="129" spans="2:129" outlineLevel="1" x14ac:dyDescent="0.2">
      <c r="B129" s="16" t="s">
        <v>57</v>
      </c>
      <c r="C129" s="16"/>
      <c r="D129" s="16"/>
      <c r="E129" s="16"/>
      <c r="F129" s="77">
        <f t="shared" ref="F129" si="129">IF(F127="","",E134)</f>
        <v>0</v>
      </c>
      <c r="G129" s="77">
        <f>IF(G127="","",F134)</f>
        <v>93624225.299999997</v>
      </c>
      <c r="H129" s="77">
        <f t="shared" ref="H129:BS129" si="130">IF(H127="","",G134)</f>
        <v>114787184.92954068</v>
      </c>
      <c r="I129" s="77">
        <f t="shared" si="130"/>
        <v>137983455.53625143</v>
      </c>
      <c r="J129" s="77">
        <f t="shared" si="130"/>
        <v>169161963.81276232</v>
      </c>
      <c r="K129" s="77">
        <f t="shared" si="130"/>
        <v>206022779.56845659</v>
      </c>
      <c r="L129" s="77">
        <f t="shared" si="130"/>
        <v>252563393.00599483</v>
      </c>
      <c r="M129" s="77">
        <f t="shared" si="130"/>
        <v>307585645.41899341</v>
      </c>
      <c r="N129" s="77">
        <f t="shared" si="130"/>
        <v>377057401.21933287</v>
      </c>
      <c r="O129" s="77">
        <f t="shared" si="130"/>
        <v>462214680.55339926</v>
      </c>
      <c r="P129" s="77">
        <f t="shared" si="130"/>
        <v>562890450.12726963</v>
      </c>
      <c r="Q129" s="77">
        <f t="shared" si="130"/>
        <v>690005624.84499383</v>
      </c>
      <c r="R129" s="77">
        <f t="shared" si="130"/>
        <v>840284990.49482954</v>
      </c>
      <c r="S129" s="77">
        <f t="shared" si="130"/>
        <v>1030031065.2227341</v>
      </c>
      <c r="T129" s="77">
        <f t="shared" si="130"/>
        <v>1262618529.0344355</v>
      </c>
      <c r="U129" s="77">
        <f t="shared" si="130"/>
        <v>1517527075.9408705</v>
      </c>
      <c r="V129" s="77">
        <f t="shared" si="130"/>
        <v>1860182725.8898792</v>
      </c>
      <c r="W129" s="77">
        <f t="shared" si="130"/>
        <v>2265279035.3742838</v>
      </c>
      <c r="X129" s="77">
        <f t="shared" si="130"/>
        <v>2776764173.2491746</v>
      </c>
      <c r="Y129" s="77">
        <f t="shared" si="130"/>
        <v>3381454615.0944057</v>
      </c>
      <c r="Z129" s="77">
        <f t="shared" si="130"/>
        <v>4144952936.1942658</v>
      </c>
      <c r="AA129" s="77">
        <f t="shared" si="130"/>
        <v>5080836001.9375648</v>
      </c>
      <c r="AB129" s="77">
        <f t="shared" si="130"/>
        <v>6187259507.2972403</v>
      </c>
      <c r="AC129" s="77">
        <f t="shared" si="130"/>
        <v>7584260151.185359</v>
      </c>
      <c r="AD129" s="77">
        <f t="shared" si="130"/>
        <v>9236151259.7008953</v>
      </c>
      <c r="AE129" s="77">
        <f t="shared" si="130"/>
        <v>11322356900.37907</v>
      </c>
      <c r="AF129" s="77">
        <f t="shared" si="130"/>
        <v>13853157781.513105</v>
      </c>
      <c r="AG129" s="77">
        <f t="shared" si="130"/>
        <v>16760231272.163641</v>
      </c>
      <c r="AH129" s="77">
        <f t="shared" si="130"/>
        <v>20545244330.98616</v>
      </c>
      <c r="AI129" s="77">
        <f t="shared" si="130"/>
        <v>25020004391.196087</v>
      </c>
      <c r="AJ129" s="77">
        <f t="shared" si="130"/>
        <v>30669931675.220833</v>
      </c>
      <c r="AK129" s="77">
        <f t="shared" si="130"/>
        <v>37349436542.037132</v>
      </c>
      <c r="AL129" s="77">
        <f t="shared" si="130"/>
        <v>45783136827.500282</v>
      </c>
      <c r="AM129" s="77">
        <f t="shared" si="130"/>
        <v>56121021090.754669</v>
      </c>
      <c r="AN129" s="77">
        <f t="shared" si="130"/>
        <v>68342573266.94696</v>
      </c>
      <c r="AO129" s="77">
        <f t="shared" si="130"/>
        <v>83773824902.980423</v>
      </c>
      <c r="AP129" s="77">
        <f t="shared" si="130"/>
        <v>102017238281.94617</v>
      </c>
      <c r="AQ129" s="77">
        <f t="shared" si="130"/>
        <v>125051578679.21513</v>
      </c>
      <c r="AR129" s="77">
        <f t="shared" si="130"/>
        <v>153286675617.36707</v>
      </c>
      <c r="AS129" s="77">
        <f t="shared" si="130"/>
        <v>184231207028.16299</v>
      </c>
      <c r="AT129" s="77">
        <f t="shared" si="130"/>
        <v>225828042740.44995</v>
      </c>
      <c r="AU129" s="77">
        <f t="shared" si="130"/>
        <v>275004807333.87183</v>
      </c>
      <c r="AV129" s="77">
        <f t="shared" si="130"/>
        <v>337058889781.55365</v>
      </c>
      <c r="AW129" s="77">
        <f t="shared" si="130"/>
        <v>410457267785.93842</v>
      </c>
      <c r="AX129" s="77">
        <f t="shared" si="130"/>
        <v>503132106129.89514</v>
      </c>
      <c r="AY129" s="77">
        <f t="shared" si="130"/>
        <v>616731323612.99792</v>
      </c>
      <c r="AZ129" s="77">
        <f t="shared" si="130"/>
        <v>751030974424.78027</v>
      </c>
      <c r="BA129" s="77">
        <f t="shared" si="130"/>
        <v>920601478192.90149</v>
      </c>
      <c r="BB129" s="77">
        <f t="shared" si="130"/>
        <v>1120943183508.9365</v>
      </c>
      <c r="BC129" s="77">
        <f t="shared" si="130"/>
        <v>1374033310939.7197</v>
      </c>
      <c r="BD129" s="77">
        <f t="shared" si="130"/>
        <v>1684266821378.9702</v>
      </c>
      <c r="BE129" s="77">
        <f t="shared" si="130"/>
        <v>2024269624730.8291</v>
      </c>
      <c r="BF129" s="77">
        <f t="shared" si="130"/>
        <v>2481315273210.2769</v>
      </c>
      <c r="BG129" s="77">
        <f t="shared" si="130"/>
        <v>3021645246293.2832</v>
      </c>
      <c r="BH129" s="77">
        <f t="shared" si="130"/>
        <v>3703881097665.3276</v>
      </c>
      <c r="BI129" s="77">
        <f t="shared" si="130"/>
        <v>4510436146205.7598</v>
      </c>
      <c r="BJ129" s="77">
        <f t="shared" si="130"/>
        <v>5528815289601.2598</v>
      </c>
      <c r="BK129" s="77">
        <f t="shared" si="130"/>
        <v>6777126868645.791</v>
      </c>
      <c r="BL129" s="77">
        <f t="shared" si="130"/>
        <v>8252909758266.4219</v>
      </c>
      <c r="BM129" s="77">
        <f t="shared" si="130"/>
        <v>10116274856602.229</v>
      </c>
      <c r="BN129" s="77">
        <f t="shared" si="130"/>
        <v>12319188134647.844</v>
      </c>
      <c r="BO129" s="77">
        <f t="shared" si="130"/>
        <v>15100648582857.361</v>
      </c>
      <c r="BP129" s="77">
        <f t="shared" si="130"/>
        <v>18510114798531.703</v>
      </c>
      <c r="BQ129" s="77">
        <f t="shared" si="130"/>
        <v>22246744851380.289</v>
      </c>
      <c r="BR129" s="77">
        <f t="shared" si="130"/>
        <v>27269676137901.008</v>
      </c>
      <c r="BS129" s="77">
        <f t="shared" si="130"/>
        <v>33207901892917.379</v>
      </c>
      <c r="BT129" s="77">
        <f t="shared" ref="BT129:DV129" si="131">IF(BT127="","",BS134)</f>
        <v>40705673274541.422</v>
      </c>
      <c r="BU129" s="77">
        <f t="shared" si="131"/>
        <v>49569712331383.297</v>
      </c>
      <c r="BV129" s="77">
        <f t="shared" si="131"/>
        <v>60761698142026.883</v>
      </c>
      <c r="BW129" s="77">
        <f t="shared" si="131"/>
        <v>74480641200253.516</v>
      </c>
      <c r="BX129" s="77">
        <f t="shared" si="131"/>
        <v>90699493556087.141</v>
      </c>
      <c r="BY129" s="77">
        <f t="shared" si="131"/>
        <v>111177874159907.67</v>
      </c>
      <c r="BZ129" s="77">
        <f t="shared" si="131"/>
        <v>135387884652533.23</v>
      </c>
      <c r="CA129" s="77">
        <f t="shared" si="131"/>
        <v>165956128661231.03</v>
      </c>
      <c r="CB129" s="77">
        <f t="shared" si="131"/>
        <v>203426158711819.5</v>
      </c>
      <c r="CC129" s="77">
        <f t="shared" si="131"/>
        <v>246102601468851.25</v>
      </c>
      <c r="CD129" s="77">
        <f t="shared" si="131"/>
        <v>301668321931844.56</v>
      </c>
      <c r="CE129" s="77">
        <f t="shared" si="131"/>
        <v>367359404114424</v>
      </c>
      <c r="CF129" s="77">
        <f t="shared" si="131"/>
        <v>450302810151205.06</v>
      </c>
      <c r="CG129" s="77">
        <f t="shared" si="131"/>
        <v>548360433890713.44</v>
      </c>
      <c r="CH129" s="77">
        <f t="shared" si="131"/>
        <v>672170756397568.38</v>
      </c>
      <c r="CI129" s="77">
        <f t="shared" si="131"/>
        <v>823935313039241.38</v>
      </c>
      <c r="CJ129" s="77">
        <f t="shared" si="131"/>
        <v>1003354888245904.8</v>
      </c>
      <c r="CK129" s="77">
        <f t="shared" si="131"/>
        <v>1229895106366953</v>
      </c>
      <c r="CL129" s="77">
        <f t="shared" si="131"/>
        <v>1497716201630376</v>
      </c>
      <c r="CM129" s="77">
        <f t="shared" si="131"/>
        <v>1835874673274557.8</v>
      </c>
      <c r="CN129" s="77">
        <f t="shared" si="131"/>
        <v>2250383491962624.5</v>
      </c>
      <c r="CO129" s="77">
        <f t="shared" si="131"/>
        <v>2704667550983000.5</v>
      </c>
      <c r="CP129" s="77">
        <f t="shared" si="131"/>
        <v>3315334808049898.5</v>
      </c>
      <c r="CQ129" s="77">
        <f t="shared" si="131"/>
        <v>4037279788372784</v>
      </c>
      <c r="CR129" s="77">
        <f t="shared" si="131"/>
        <v>4948827890757368</v>
      </c>
      <c r="CS129" s="77">
        <f t="shared" si="131"/>
        <v>6026481177744904</v>
      </c>
      <c r="CT129" s="77">
        <f t="shared" si="131"/>
        <v>7387156624715275</v>
      </c>
      <c r="CU129" s="77">
        <f t="shared" si="131"/>
        <v>9055049105418854</v>
      </c>
      <c r="CV129" s="77">
        <f t="shared" si="131"/>
        <v>1.1026870240755504E+16</v>
      </c>
      <c r="CW129" s="77">
        <f t="shared" si="131"/>
        <v>1.3516547242703996E+16</v>
      </c>
      <c r="CX129" s="77" t="str">
        <f t="shared" si="131"/>
        <v/>
      </c>
      <c r="CY129" s="77" t="str">
        <f t="shared" si="131"/>
        <v/>
      </c>
      <c r="CZ129" s="77" t="str">
        <f t="shared" si="131"/>
        <v/>
      </c>
      <c r="DA129" s="77" t="str">
        <f t="shared" si="131"/>
        <v/>
      </c>
      <c r="DB129" s="77" t="str">
        <f t="shared" si="131"/>
        <v/>
      </c>
      <c r="DC129" s="77" t="str">
        <f t="shared" si="131"/>
        <v/>
      </c>
      <c r="DD129" s="77" t="str">
        <f t="shared" si="131"/>
        <v/>
      </c>
      <c r="DE129" s="77" t="str">
        <f t="shared" si="131"/>
        <v/>
      </c>
      <c r="DF129" s="77" t="str">
        <f t="shared" si="131"/>
        <v/>
      </c>
      <c r="DG129" s="77" t="str">
        <f t="shared" si="131"/>
        <v/>
      </c>
      <c r="DH129" s="77" t="str">
        <f t="shared" si="131"/>
        <v/>
      </c>
      <c r="DI129" s="77" t="str">
        <f t="shared" si="131"/>
        <v/>
      </c>
      <c r="DJ129" s="77" t="str">
        <f t="shared" si="131"/>
        <v/>
      </c>
      <c r="DK129" s="77" t="str">
        <f t="shared" si="131"/>
        <v/>
      </c>
      <c r="DL129" s="77" t="str">
        <f t="shared" si="131"/>
        <v/>
      </c>
      <c r="DM129" s="77" t="str">
        <f t="shared" si="131"/>
        <v/>
      </c>
      <c r="DN129" s="77" t="str">
        <f t="shared" si="131"/>
        <v/>
      </c>
      <c r="DO129" s="77" t="str">
        <f t="shared" si="131"/>
        <v/>
      </c>
      <c r="DP129" s="77" t="str">
        <f t="shared" si="131"/>
        <v/>
      </c>
      <c r="DQ129" s="77" t="str">
        <f t="shared" si="131"/>
        <v/>
      </c>
      <c r="DR129" s="77" t="str">
        <f t="shared" si="131"/>
        <v/>
      </c>
      <c r="DS129" s="77" t="str">
        <f t="shared" si="131"/>
        <v/>
      </c>
      <c r="DT129" s="77" t="str">
        <f t="shared" si="131"/>
        <v/>
      </c>
      <c r="DU129" s="77" t="str">
        <f t="shared" si="131"/>
        <v/>
      </c>
      <c r="DV129" s="77" t="str">
        <f t="shared" si="131"/>
        <v/>
      </c>
      <c r="DW129" s="77"/>
      <c r="DX129" s="77"/>
      <c r="DY129" s="78"/>
    </row>
    <row r="130" spans="2:129" outlineLevel="1" x14ac:dyDescent="0.2">
      <c r="B130" s="16" t="s">
        <v>74</v>
      </c>
      <c r="C130" s="16"/>
      <c r="D130" s="16"/>
      <c r="E130" s="16"/>
      <c r="F130" s="77">
        <v>0</v>
      </c>
      <c r="G130" s="77">
        <f>IF(G127="","",IF($D$57="Equity Multiple",F131*$C128-F131,G129*((1+$C128)^((G46-F46)/365)-1)))</f>
        <v>21138734.329540681</v>
      </c>
      <c r="H130" s="77">
        <f t="shared" ref="H130:BS130" si="132">IF(H127="","",IF($D$57="Equity Multiple",G131*$C128-G131,H129*((1+$C128)^((H46-G46)/365)-1)))</f>
        <v>23172045.306710728</v>
      </c>
      <c r="I130" s="77">
        <f t="shared" si="132"/>
        <v>31154282.976510871</v>
      </c>
      <c r="J130" s="77">
        <f t="shared" si="132"/>
        <v>36836590.455694251</v>
      </c>
      <c r="K130" s="77">
        <f t="shared" si="132"/>
        <v>46516388.137538224</v>
      </c>
      <c r="L130" s="77">
        <f t="shared" si="132"/>
        <v>54998027.112998568</v>
      </c>
      <c r="M130" s="77">
        <f t="shared" si="132"/>
        <v>69447530.500339463</v>
      </c>
      <c r="N130" s="77">
        <f t="shared" si="132"/>
        <v>85133054.034066394</v>
      </c>
      <c r="O130" s="77">
        <f t="shared" si="132"/>
        <v>100651544.27387042</v>
      </c>
      <c r="P130" s="77">
        <f t="shared" si="132"/>
        <v>127090949.41772428</v>
      </c>
      <c r="Q130" s="77">
        <f t="shared" si="132"/>
        <v>150255140.34983578</v>
      </c>
      <c r="R130" s="77">
        <f t="shared" si="132"/>
        <v>189721849.42790464</v>
      </c>
      <c r="S130" s="77">
        <f t="shared" si="132"/>
        <v>232563238.51170138</v>
      </c>
      <c r="T130" s="77">
        <f t="shared" si="132"/>
        <v>254884321.60643515</v>
      </c>
      <c r="U130" s="77">
        <f t="shared" si="132"/>
        <v>342631424.64900875</v>
      </c>
      <c r="V130" s="77">
        <f t="shared" si="132"/>
        <v>405072084.18440443</v>
      </c>
      <c r="W130" s="77">
        <f t="shared" si="132"/>
        <v>511460912.57489073</v>
      </c>
      <c r="X130" s="77">
        <f t="shared" si="132"/>
        <v>604666216.54523098</v>
      </c>
      <c r="Y130" s="77">
        <f t="shared" si="132"/>
        <v>763474095.79986012</v>
      </c>
      <c r="Z130" s="77">
        <f t="shared" si="132"/>
        <v>935858840.44329894</v>
      </c>
      <c r="AA130" s="77">
        <f t="shared" si="132"/>
        <v>1106399280.059675</v>
      </c>
      <c r="AB130" s="77">
        <f t="shared" si="132"/>
        <v>1396976418.5881188</v>
      </c>
      <c r="AC130" s="77">
        <f t="shared" si="132"/>
        <v>1651543164.9155359</v>
      </c>
      <c r="AD130" s="77">
        <f t="shared" si="132"/>
        <v>2085363559.2781746</v>
      </c>
      <c r="AE130" s="77">
        <f t="shared" si="132"/>
        <v>2556392789.7340355</v>
      </c>
      <c r="AF130" s="77">
        <f t="shared" si="132"/>
        <v>2906231409.250535</v>
      </c>
      <c r="AG130" s="77">
        <f t="shared" si="132"/>
        <v>3784170977.4225159</v>
      </c>
      <c r="AH130" s="77">
        <f t="shared" si="132"/>
        <v>4473917978.8099241</v>
      </c>
      <c r="AI130" s="77">
        <f t="shared" si="132"/>
        <v>5649085202.6247454</v>
      </c>
      <c r="AJ130" s="77">
        <f t="shared" si="132"/>
        <v>6678662785.4162998</v>
      </c>
      <c r="AK130" s="77">
        <f t="shared" si="132"/>
        <v>8432858204.0631485</v>
      </c>
      <c r="AL130" s="77">
        <f t="shared" si="132"/>
        <v>10337042181.854385</v>
      </c>
      <c r="AM130" s="77">
        <f t="shared" si="132"/>
        <v>12220874144.992294</v>
      </c>
      <c r="AN130" s="77">
        <f t="shared" si="132"/>
        <v>15430573604.83346</v>
      </c>
      <c r="AO130" s="77">
        <f t="shared" si="132"/>
        <v>18242529285.565746</v>
      </c>
      <c r="AP130" s="77">
        <f t="shared" si="132"/>
        <v>23033731816.368977</v>
      </c>
      <c r="AQ130" s="77">
        <f t="shared" si="132"/>
        <v>28234488357.251942</v>
      </c>
      <c r="AR130" s="77">
        <f t="shared" si="132"/>
        <v>30943922829.895931</v>
      </c>
      <c r="AS130" s="77">
        <f t="shared" si="132"/>
        <v>41596227131.386963</v>
      </c>
      <c r="AT130" s="77">
        <f t="shared" si="132"/>
        <v>49176156012.521828</v>
      </c>
      <c r="AU130" s="77">
        <f t="shared" si="132"/>
        <v>62091339532.581825</v>
      </c>
      <c r="AV130" s="77">
        <f t="shared" si="132"/>
        <v>73397707158.78479</v>
      </c>
      <c r="AW130" s="77">
        <f t="shared" si="132"/>
        <v>92674167498.35675</v>
      </c>
      <c r="AX130" s="77">
        <f t="shared" si="132"/>
        <v>113598546637.50281</v>
      </c>
      <c r="AY130" s="77">
        <f t="shared" si="132"/>
        <v>134298979966.18242</v>
      </c>
      <c r="AZ130" s="77">
        <f t="shared" si="132"/>
        <v>169569832922.5213</v>
      </c>
      <c r="BA130" s="77">
        <f t="shared" si="132"/>
        <v>200469531452.31927</v>
      </c>
      <c r="BB130" s="77">
        <f t="shared" si="132"/>
        <v>253089625882.38342</v>
      </c>
      <c r="BC130" s="77">
        <f t="shared" si="132"/>
        <v>310233008890.85059</v>
      </c>
      <c r="BD130" s="77">
        <f t="shared" si="132"/>
        <v>340002301803.45911</v>
      </c>
      <c r="BE130" s="77">
        <f t="shared" si="132"/>
        <v>457045146931.04767</v>
      </c>
      <c r="BF130" s="77">
        <f t="shared" si="132"/>
        <v>540329471534.60626</v>
      </c>
      <c r="BG130" s="77">
        <f t="shared" si="132"/>
        <v>682235349823.64478</v>
      </c>
      <c r="BH130" s="77">
        <f t="shared" si="132"/>
        <v>806554546992.03162</v>
      </c>
      <c r="BI130" s="77">
        <f t="shared" si="132"/>
        <v>1018378641847.0997</v>
      </c>
      <c r="BJ130" s="77">
        <f t="shared" si="132"/>
        <v>1248311077496.1313</v>
      </c>
      <c r="BK130" s="77">
        <f t="shared" si="132"/>
        <v>1475782388072.2305</v>
      </c>
      <c r="BL130" s="77">
        <f t="shared" si="132"/>
        <v>1863364596787.4055</v>
      </c>
      <c r="BM130" s="77">
        <f t="shared" si="132"/>
        <v>2202912909206.7153</v>
      </c>
      <c r="BN130" s="77">
        <f t="shared" si="132"/>
        <v>2781460079370.6182</v>
      </c>
      <c r="BO130" s="77">
        <f t="shared" si="132"/>
        <v>3409465846835.4424</v>
      </c>
      <c r="BP130" s="77">
        <f t="shared" si="132"/>
        <v>3736629825073.8853</v>
      </c>
      <c r="BQ130" s="77">
        <f t="shared" si="132"/>
        <v>5022931058746.0205</v>
      </c>
      <c r="BR130" s="77">
        <f t="shared" si="132"/>
        <v>5938225527241.6738</v>
      </c>
      <c r="BS130" s="77">
        <f t="shared" si="132"/>
        <v>7497771153849.3408</v>
      </c>
      <c r="BT130" s="77">
        <f t="shared" ref="BT130:DV130" si="133">IF(BT127="","",IF($D$57="Equity Multiple",BS131*$C128-BS131,BT129*((1+$C128)^((BT46-BS46)/365)-1)))</f>
        <v>8864038829067.1719</v>
      </c>
      <c r="BU130" s="77">
        <f t="shared" si="133"/>
        <v>11191985582868.883</v>
      </c>
      <c r="BV130" s="77">
        <f t="shared" si="133"/>
        <v>13718942830451.938</v>
      </c>
      <c r="BW130" s="77">
        <f t="shared" si="133"/>
        <v>16218852128058.922</v>
      </c>
      <c r="BX130" s="77">
        <f t="shared" si="133"/>
        <v>20478380376045.824</v>
      </c>
      <c r="BY130" s="77">
        <f t="shared" si="133"/>
        <v>24210015808850.852</v>
      </c>
      <c r="BZ130" s="77">
        <f t="shared" si="133"/>
        <v>30568247864673.102</v>
      </c>
      <c r="CA130" s="77">
        <f t="shared" si="133"/>
        <v>37470029822813.766</v>
      </c>
      <c r="CB130" s="77">
        <f t="shared" si="133"/>
        <v>42676442529257.055</v>
      </c>
      <c r="CC130" s="77">
        <f t="shared" si="133"/>
        <v>55565720235218.602</v>
      </c>
      <c r="CD130" s="77">
        <f t="shared" si="133"/>
        <v>65691081954804.758</v>
      </c>
      <c r="CE130" s="77">
        <f t="shared" si="133"/>
        <v>82943413653359.047</v>
      </c>
      <c r="CF130" s="77">
        <f t="shared" si="133"/>
        <v>98057623739508.375</v>
      </c>
      <c r="CG130" s="77">
        <f t="shared" si="133"/>
        <v>123810322506854.94</v>
      </c>
      <c r="CH130" s="77">
        <f t="shared" si="133"/>
        <v>151764556641673.03</v>
      </c>
      <c r="CI130" s="77">
        <f t="shared" si="133"/>
        <v>179419575206663.34</v>
      </c>
      <c r="CJ130" s="77">
        <f t="shared" si="133"/>
        <v>226540218121048.22</v>
      </c>
      <c r="CK130" s="77">
        <f t="shared" si="133"/>
        <v>267821094739998.19</v>
      </c>
      <c r="CL130" s="77">
        <f t="shared" si="133"/>
        <v>338158471120757.06</v>
      </c>
      <c r="CM130" s="77">
        <f t="shared" si="133"/>
        <v>414508818164642</v>
      </c>
      <c r="CN130" s="77">
        <f t="shared" si="133"/>
        <v>454284058496951.38</v>
      </c>
      <c r="CO130" s="77">
        <f t="shared" si="133"/>
        <v>610667256543473.62</v>
      </c>
      <c r="CP130" s="77">
        <f t="shared" si="133"/>
        <v>721944979799460.88</v>
      </c>
      <c r="CQ130" s="77">
        <f t="shared" si="133"/>
        <v>911548101861159.12</v>
      </c>
      <c r="CR130" s="77">
        <f t="shared" si="133"/>
        <v>1077653286464111.2</v>
      </c>
      <c r="CS130" s="77">
        <f t="shared" si="133"/>
        <v>1360675446446946</v>
      </c>
      <c r="CT130" s="77">
        <f t="shared" si="133"/>
        <v>1667892480180155.5</v>
      </c>
      <c r="CU130" s="77">
        <f t="shared" si="133"/>
        <v>1971821134813226.2</v>
      </c>
      <c r="CV130" s="77">
        <f t="shared" si="133"/>
        <v>2489677001425067</v>
      </c>
      <c r="CW130" s="77">
        <f t="shared" si="133"/>
        <v>2943353836360266</v>
      </c>
      <c r="CX130" s="77" t="str">
        <f t="shared" si="133"/>
        <v/>
      </c>
      <c r="CY130" s="77" t="str">
        <f t="shared" si="133"/>
        <v/>
      </c>
      <c r="CZ130" s="77" t="str">
        <f t="shared" si="133"/>
        <v/>
      </c>
      <c r="DA130" s="77" t="str">
        <f t="shared" si="133"/>
        <v/>
      </c>
      <c r="DB130" s="77" t="str">
        <f t="shared" si="133"/>
        <v/>
      </c>
      <c r="DC130" s="77" t="str">
        <f t="shared" si="133"/>
        <v/>
      </c>
      <c r="DD130" s="77" t="str">
        <f t="shared" si="133"/>
        <v/>
      </c>
      <c r="DE130" s="77" t="str">
        <f t="shared" si="133"/>
        <v/>
      </c>
      <c r="DF130" s="77" t="str">
        <f t="shared" si="133"/>
        <v/>
      </c>
      <c r="DG130" s="77" t="str">
        <f t="shared" si="133"/>
        <v/>
      </c>
      <c r="DH130" s="77" t="str">
        <f t="shared" si="133"/>
        <v/>
      </c>
      <c r="DI130" s="77" t="str">
        <f t="shared" si="133"/>
        <v/>
      </c>
      <c r="DJ130" s="77" t="str">
        <f t="shared" si="133"/>
        <v/>
      </c>
      <c r="DK130" s="77" t="str">
        <f t="shared" si="133"/>
        <v/>
      </c>
      <c r="DL130" s="77" t="str">
        <f t="shared" si="133"/>
        <v/>
      </c>
      <c r="DM130" s="77" t="str">
        <f t="shared" si="133"/>
        <v/>
      </c>
      <c r="DN130" s="77" t="str">
        <f t="shared" si="133"/>
        <v/>
      </c>
      <c r="DO130" s="77" t="str">
        <f t="shared" si="133"/>
        <v/>
      </c>
      <c r="DP130" s="77" t="str">
        <f t="shared" si="133"/>
        <v/>
      </c>
      <c r="DQ130" s="77" t="str">
        <f t="shared" si="133"/>
        <v/>
      </c>
      <c r="DR130" s="77" t="str">
        <f t="shared" si="133"/>
        <v/>
      </c>
      <c r="DS130" s="77" t="str">
        <f t="shared" si="133"/>
        <v/>
      </c>
      <c r="DT130" s="77" t="str">
        <f t="shared" si="133"/>
        <v/>
      </c>
      <c r="DU130" s="77" t="str">
        <f t="shared" si="133"/>
        <v/>
      </c>
      <c r="DV130" s="77" t="str">
        <f t="shared" si="133"/>
        <v/>
      </c>
      <c r="DW130" s="77"/>
      <c r="DX130" s="77"/>
      <c r="DY130" s="78"/>
    </row>
    <row r="131" spans="2:129" outlineLevel="1" x14ac:dyDescent="0.2">
      <c r="B131" s="16" t="s">
        <v>60</v>
      </c>
      <c r="C131" s="16"/>
      <c r="D131" s="16"/>
      <c r="E131" s="16"/>
      <c r="F131" s="77">
        <f t="shared" ref="F131:AK131" si="134">IF(F127="","",-MIN(0,F$51*Equity_Share_LP))</f>
        <v>93624225.299999997</v>
      </c>
      <c r="G131" s="77">
        <f t="shared" si="134"/>
        <v>24225.3</v>
      </c>
      <c r="H131" s="77">
        <f t="shared" si="134"/>
        <v>24225.3</v>
      </c>
      <c r="I131" s="77">
        <f t="shared" si="134"/>
        <v>24225.3</v>
      </c>
      <c r="J131" s="77">
        <f t="shared" si="134"/>
        <v>24225.3</v>
      </c>
      <c r="K131" s="77">
        <f t="shared" si="134"/>
        <v>24225.3</v>
      </c>
      <c r="L131" s="77">
        <f t="shared" si="134"/>
        <v>24225.3</v>
      </c>
      <c r="M131" s="77">
        <f t="shared" si="134"/>
        <v>24225.3</v>
      </c>
      <c r="N131" s="77">
        <f t="shared" si="134"/>
        <v>24225.3</v>
      </c>
      <c r="O131" s="77">
        <f t="shared" si="134"/>
        <v>24225.3</v>
      </c>
      <c r="P131" s="77">
        <f t="shared" si="134"/>
        <v>24225.3</v>
      </c>
      <c r="Q131" s="77">
        <f t="shared" si="134"/>
        <v>24225.3</v>
      </c>
      <c r="R131" s="77">
        <f t="shared" si="134"/>
        <v>24225.3</v>
      </c>
      <c r="S131" s="77">
        <f t="shared" si="134"/>
        <v>24225.3</v>
      </c>
      <c r="T131" s="77">
        <f t="shared" si="134"/>
        <v>24225.3</v>
      </c>
      <c r="U131" s="77">
        <f t="shared" si="134"/>
        <v>24225.3</v>
      </c>
      <c r="V131" s="77">
        <f t="shared" si="134"/>
        <v>24225.3</v>
      </c>
      <c r="W131" s="77">
        <f t="shared" si="134"/>
        <v>24225.3</v>
      </c>
      <c r="X131" s="77">
        <f t="shared" si="134"/>
        <v>24225.3</v>
      </c>
      <c r="Y131" s="77">
        <f t="shared" si="134"/>
        <v>24225.3</v>
      </c>
      <c r="Z131" s="77">
        <f t="shared" si="134"/>
        <v>24225.3</v>
      </c>
      <c r="AA131" s="77">
        <f t="shared" si="134"/>
        <v>24225.3</v>
      </c>
      <c r="AB131" s="77">
        <f t="shared" si="134"/>
        <v>24225.3</v>
      </c>
      <c r="AC131" s="77">
        <f t="shared" si="134"/>
        <v>347943.60000000003</v>
      </c>
      <c r="AD131" s="77">
        <f t="shared" si="134"/>
        <v>842081.4</v>
      </c>
      <c r="AE131" s="77">
        <f t="shared" si="134"/>
        <v>0</v>
      </c>
      <c r="AF131" s="77">
        <f t="shared" si="134"/>
        <v>842081.4</v>
      </c>
      <c r="AG131" s="77">
        <f t="shared" si="134"/>
        <v>842081.4</v>
      </c>
      <c r="AH131" s="77">
        <f t="shared" si="134"/>
        <v>842081.4</v>
      </c>
      <c r="AI131" s="77">
        <f t="shared" si="134"/>
        <v>842081.4</v>
      </c>
      <c r="AJ131" s="77">
        <f t="shared" si="134"/>
        <v>842081.4</v>
      </c>
      <c r="AK131" s="77">
        <f t="shared" si="134"/>
        <v>842081.4</v>
      </c>
      <c r="AL131" s="77">
        <f t="shared" ref="AL131:BQ131" si="135">IF(AL127="","",-MIN(0,AL$51*Equity_Share_LP))</f>
        <v>842081.4</v>
      </c>
      <c r="AM131" s="77">
        <f t="shared" si="135"/>
        <v>678031.20000000007</v>
      </c>
      <c r="AN131" s="77">
        <f t="shared" si="135"/>
        <v>678031.20000000007</v>
      </c>
      <c r="AO131" s="77">
        <f t="shared" si="135"/>
        <v>884093.4</v>
      </c>
      <c r="AP131" s="77">
        <f t="shared" si="135"/>
        <v>608580.9</v>
      </c>
      <c r="AQ131" s="77">
        <f t="shared" si="135"/>
        <v>608580.9</v>
      </c>
      <c r="AR131" s="77">
        <f t="shared" si="135"/>
        <v>608580.9</v>
      </c>
      <c r="AS131" s="77">
        <f t="shared" si="135"/>
        <v>608580.9</v>
      </c>
      <c r="AT131" s="77">
        <f t="shared" si="135"/>
        <v>608580.9</v>
      </c>
      <c r="AU131" s="77">
        <f t="shared" si="135"/>
        <v>0</v>
      </c>
      <c r="AV131" s="77">
        <f t="shared" si="135"/>
        <v>670845.6</v>
      </c>
      <c r="AW131" s="77">
        <f t="shared" si="135"/>
        <v>670845.6</v>
      </c>
      <c r="AX131" s="77">
        <f t="shared" si="135"/>
        <v>670845.6</v>
      </c>
      <c r="AY131" s="77">
        <f t="shared" si="135"/>
        <v>670845.6</v>
      </c>
      <c r="AZ131" s="77">
        <f t="shared" si="135"/>
        <v>670845.6</v>
      </c>
      <c r="BA131" s="77">
        <f t="shared" si="135"/>
        <v>0</v>
      </c>
      <c r="BB131" s="77">
        <f t="shared" si="135"/>
        <v>501548.4</v>
      </c>
      <c r="BC131" s="77">
        <f t="shared" si="135"/>
        <v>501548.4</v>
      </c>
      <c r="BD131" s="77">
        <f t="shared" si="135"/>
        <v>501548.4</v>
      </c>
      <c r="BE131" s="77">
        <f t="shared" si="135"/>
        <v>501548.4</v>
      </c>
      <c r="BF131" s="77">
        <f t="shared" si="135"/>
        <v>501548.4</v>
      </c>
      <c r="BG131" s="77">
        <f t="shared" si="135"/>
        <v>501548.4</v>
      </c>
      <c r="BH131" s="77">
        <f t="shared" si="135"/>
        <v>501548.4</v>
      </c>
      <c r="BI131" s="77">
        <f t="shared" si="135"/>
        <v>501548.4</v>
      </c>
      <c r="BJ131" s="77">
        <f t="shared" si="135"/>
        <v>501548.4</v>
      </c>
      <c r="BK131" s="77">
        <f t="shared" si="135"/>
        <v>501548.4</v>
      </c>
      <c r="BL131" s="77">
        <f t="shared" si="135"/>
        <v>501548.4</v>
      </c>
      <c r="BM131" s="77">
        <f t="shared" si="135"/>
        <v>368838.9</v>
      </c>
      <c r="BN131" s="77">
        <f t="shared" si="135"/>
        <v>368838.9</v>
      </c>
      <c r="BO131" s="77">
        <f t="shared" si="135"/>
        <v>368838.9</v>
      </c>
      <c r="BP131" s="77">
        <f t="shared" si="135"/>
        <v>227774.7</v>
      </c>
      <c r="BQ131" s="77">
        <f t="shared" si="135"/>
        <v>227774.7</v>
      </c>
      <c r="BR131" s="77">
        <f t="shared" ref="BR131:CW131" si="136">IF(BR127="","",-MIN(0,BR$51*Equity_Share_LP))</f>
        <v>227774.7</v>
      </c>
      <c r="BS131" s="77">
        <f t="shared" si="136"/>
        <v>227774.7</v>
      </c>
      <c r="BT131" s="77">
        <f t="shared" si="136"/>
        <v>227774.7</v>
      </c>
      <c r="BU131" s="77">
        <f t="shared" si="136"/>
        <v>227774.7</v>
      </c>
      <c r="BV131" s="77">
        <f t="shared" si="136"/>
        <v>227774.7</v>
      </c>
      <c r="BW131" s="77">
        <f t="shared" si="136"/>
        <v>227774.7</v>
      </c>
      <c r="BX131" s="77">
        <f t="shared" si="136"/>
        <v>227774.7</v>
      </c>
      <c r="BY131" s="77">
        <f t="shared" si="136"/>
        <v>0</v>
      </c>
      <c r="BZ131" s="77">
        <f t="shared" si="136"/>
        <v>0</v>
      </c>
      <c r="CA131" s="77">
        <f t="shared" si="136"/>
        <v>227774.7</v>
      </c>
      <c r="CB131" s="77">
        <f t="shared" si="136"/>
        <v>227774.7</v>
      </c>
      <c r="CC131" s="77">
        <f t="shared" si="136"/>
        <v>227774.7</v>
      </c>
      <c r="CD131" s="77">
        <f t="shared" si="136"/>
        <v>227774.7</v>
      </c>
      <c r="CE131" s="77">
        <f t="shared" si="136"/>
        <v>0</v>
      </c>
      <c r="CF131" s="77">
        <f t="shared" si="136"/>
        <v>0</v>
      </c>
      <c r="CG131" s="77">
        <f t="shared" si="136"/>
        <v>0</v>
      </c>
      <c r="CH131" s="77">
        <f t="shared" si="136"/>
        <v>0</v>
      </c>
      <c r="CI131" s="77">
        <f t="shared" si="136"/>
        <v>0</v>
      </c>
      <c r="CJ131" s="77">
        <f t="shared" si="136"/>
        <v>0</v>
      </c>
      <c r="CK131" s="77">
        <f t="shared" si="136"/>
        <v>523424.7</v>
      </c>
      <c r="CL131" s="77">
        <f t="shared" si="136"/>
        <v>523424.7</v>
      </c>
      <c r="CM131" s="77">
        <f t="shared" si="136"/>
        <v>523424.7</v>
      </c>
      <c r="CN131" s="77">
        <f t="shared" si="136"/>
        <v>523424.7</v>
      </c>
      <c r="CO131" s="77">
        <f t="shared" si="136"/>
        <v>523424.7</v>
      </c>
      <c r="CP131" s="77">
        <f t="shared" si="136"/>
        <v>523424.7</v>
      </c>
      <c r="CQ131" s="77">
        <f t="shared" si="136"/>
        <v>523424.7</v>
      </c>
      <c r="CR131" s="77">
        <f t="shared" si="136"/>
        <v>523424.7</v>
      </c>
      <c r="CS131" s="77">
        <f t="shared" si="136"/>
        <v>523424.7</v>
      </c>
      <c r="CT131" s="77">
        <f t="shared" si="136"/>
        <v>523424.7</v>
      </c>
      <c r="CU131" s="77">
        <f t="shared" si="136"/>
        <v>523424.7</v>
      </c>
      <c r="CV131" s="77">
        <f t="shared" si="136"/>
        <v>523424.7</v>
      </c>
      <c r="CW131" s="77">
        <f t="shared" si="136"/>
        <v>0</v>
      </c>
      <c r="CX131" s="77" t="str">
        <f t="shared" ref="CX131:DV131" si="137">IF(CX127="","",-MIN(0,CX$51*Equity_Share_LP))</f>
        <v/>
      </c>
      <c r="CY131" s="77" t="str">
        <f t="shared" si="137"/>
        <v/>
      </c>
      <c r="CZ131" s="77" t="str">
        <f t="shared" si="137"/>
        <v/>
      </c>
      <c r="DA131" s="77" t="str">
        <f t="shared" si="137"/>
        <v/>
      </c>
      <c r="DB131" s="77" t="str">
        <f t="shared" si="137"/>
        <v/>
      </c>
      <c r="DC131" s="77" t="str">
        <f t="shared" si="137"/>
        <v/>
      </c>
      <c r="DD131" s="77" t="str">
        <f t="shared" si="137"/>
        <v/>
      </c>
      <c r="DE131" s="77" t="str">
        <f t="shared" si="137"/>
        <v/>
      </c>
      <c r="DF131" s="77" t="str">
        <f t="shared" si="137"/>
        <v/>
      </c>
      <c r="DG131" s="77" t="str">
        <f t="shared" si="137"/>
        <v/>
      </c>
      <c r="DH131" s="77" t="str">
        <f t="shared" si="137"/>
        <v/>
      </c>
      <c r="DI131" s="77" t="str">
        <f t="shared" si="137"/>
        <v/>
      </c>
      <c r="DJ131" s="77" t="str">
        <f t="shared" si="137"/>
        <v/>
      </c>
      <c r="DK131" s="77" t="str">
        <f t="shared" si="137"/>
        <v/>
      </c>
      <c r="DL131" s="77" t="str">
        <f t="shared" si="137"/>
        <v/>
      </c>
      <c r="DM131" s="77" t="str">
        <f t="shared" si="137"/>
        <v/>
      </c>
      <c r="DN131" s="77" t="str">
        <f t="shared" si="137"/>
        <v/>
      </c>
      <c r="DO131" s="77" t="str">
        <f t="shared" si="137"/>
        <v/>
      </c>
      <c r="DP131" s="77" t="str">
        <f t="shared" si="137"/>
        <v/>
      </c>
      <c r="DQ131" s="77" t="str">
        <f t="shared" si="137"/>
        <v/>
      </c>
      <c r="DR131" s="77" t="str">
        <f t="shared" si="137"/>
        <v/>
      </c>
      <c r="DS131" s="77" t="str">
        <f t="shared" si="137"/>
        <v/>
      </c>
      <c r="DT131" s="77" t="str">
        <f t="shared" si="137"/>
        <v/>
      </c>
      <c r="DU131" s="77" t="str">
        <f t="shared" si="137"/>
        <v/>
      </c>
      <c r="DV131" s="77" t="str">
        <f t="shared" si="137"/>
        <v/>
      </c>
      <c r="DW131" s="77"/>
      <c r="DX131" s="77"/>
      <c r="DY131" s="78"/>
    </row>
    <row r="132" spans="2:129" outlineLevel="1" x14ac:dyDescent="0.2">
      <c r="B132" s="16" t="s">
        <v>72</v>
      </c>
      <c r="C132" s="16"/>
      <c r="D132" s="16"/>
      <c r="E132" s="16"/>
      <c r="F132" s="77">
        <f>IF(F127="","",F122+F100)</f>
        <v>0</v>
      </c>
      <c r="G132" s="77">
        <f>IF(G127="","",G122+G100)</f>
        <v>0</v>
      </c>
      <c r="H132" s="77">
        <f t="shared" ref="H132:BS132" si="138">IF(H127="","",H122+H100)</f>
        <v>0</v>
      </c>
      <c r="I132" s="77">
        <f t="shared" si="138"/>
        <v>0</v>
      </c>
      <c r="J132" s="77">
        <f t="shared" si="138"/>
        <v>0</v>
      </c>
      <c r="K132" s="77">
        <f t="shared" si="138"/>
        <v>0</v>
      </c>
      <c r="L132" s="77">
        <f t="shared" si="138"/>
        <v>0</v>
      </c>
      <c r="M132" s="77">
        <f t="shared" si="138"/>
        <v>0</v>
      </c>
      <c r="N132" s="77">
        <f t="shared" si="138"/>
        <v>0</v>
      </c>
      <c r="O132" s="77">
        <f t="shared" si="138"/>
        <v>0</v>
      </c>
      <c r="P132" s="77">
        <f t="shared" si="138"/>
        <v>0</v>
      </c>
      <c r="Q132" s="77">
        <f t="shared" si="138"/>
        <v>0</v>
      </c>
      <c r="R132" s="77">
        <f t="shared" si="138"/>
        <v>0</v>
      </c>
      <c r="S132" s="77">
        <f t="shared" si="138"/>
        <v>0</v>
      </c>
      <c r="T132" s="77">
        <f t="shared" si="138"/>
        <v>0</v>
      </c>
      <c r="U132" s="77">
        <f t="shared" si="138"/>
        <v>0</v>
      </c>
      <c r="V132" s="77">
        <f t="shared" si="138"/>
        <v>0</v>
      </c>
      <c r="W132" s="77">
        <f t="shared" si="138"/>
        <v>0</v>
      </c>
      <c r="X132" s="77">
        <f t="shared" si="138"/>
        <v>0</v>
      </c>
      <c r="Y132" s="77">
        <f t="shared" si="138"/>
        <v>0</v>
      </c>
      <c r="Z132" s="77">
        <f t="shared" si="138"/>
        <v>0</v>
      </c>
      <c r="AA132" s="77">
        <f t="shared" si="138"/>
        <v>0</v>
      </c>
      <c r="AB132" s="77">
        <f t="shared" si="138"/>
        <v>0</v>
      </c>
      <c r="AC132" s="77">
        <f t="shared" si="138"/>
        <v>0</v>
      </c>
      <c r="AD132" s="77">
        <f t="shared" si="138"/>
        <v>0</v>
      </c>
      <c r="AE132" s="77">
        <f t="shared" si="138"/>
        <v>25591908.600000001</v>
      </c>
      <c r="AF132" s="77">
        <f t="shared" si="138"/>
        <v>0</v>
      </c>
      <c r="AG132" s="77">
        <f t="shared" si="138"/>
        <v>0</v>
      </c>
      <c r="AH132" s="77">
        <f t="shared" si="138"/>
        <v>0</v>
      </c>
      <c r="AI132" s="77">
        <f t="shared" si="138"/>
        <v>0</v>
      </c>
      <c r="AJ132" s="77">
        <f t="shared" si="138"/>
        <v>0</v>
      </c>
      <c r="AK132" s="77">
        <f t="shared" si="138"/>
        <v>0</v>
      </c>
      <c r="AL132" s="77">
        <f t="shared" si="138"/>
        <v>0</v>
      </c>
      <c r="AM132" s="77">
        <f t="shared" si="138"/>
        <v>0</v>
      </c>
      <c r="AN132" s="77">
        <f t="shared" si="138"/>
        <v>0</v>
      </c>
      <c r="AO132" s="77">
        <f t="shared" si="138"/>
        <v>0</v>
      </c>
      <c r="AP132" s="77">
        <f t="shared" si="138"/>
        <v>0</v>
      </c>
      <c r="AQ132" s="77">
        <f t="shared" si="138"/>
        <v>0</v>
      </c>
      <c r="AR132" s="77">
        <f t="shared" si="138"/>
        <v>0</v>
      </c>
      <c r="AS132" s="77">
        <f t="shared" si="138"/>
        <v>0</v>
      </c>
      <c r="AT132" s="77">
        <f t="shared" si="138"/>
        <v>0</v>
      </c>
      <c r="AU132" s="77">
        <f t="shared" si="138"/>
        <v>37257084.899999999</v>
      </c>
      <c r="AV132" s="77">
        <f t="shared" si="138"/>
        <v>0</v>
      </c>
      <c r="AW132" s="77">
        <f t="shared" si="138"/>
        <v>0</v>
      </c>
      <c r="AX132" s="77">
        <f t="shared" si="138"/>
        <v>0</v>
      </c>
      <c r="AY132" s="77">
        <f t="shared" si="138"/>
        <v>0</v>
      </c>
      <c r="AZ132" s="77">
        <f t="shared" si="138"/>
        <v>0</v>
      </c>
      <c r="BA132" s="77">
        <f t="shared" si="138"/>
        <v>107954384.55602834</v>
      </c>
      <c r="BB132" s="77">
        <f t="shared" si="138"/>
        <v>0</v>
      </c>
      <c r="BC132" s="77">
        <f t="shared" si="138"/>
        <v>0</v>
      </c>
      <c r="BD132" s="77">
        <f t="shared" si="138"/>
        <v>0</v>
      </c>
      <c r="BE132" s="77">
        <f t="shared" si="138"/>
        <v>0</v>
      </c>
      <c r="BF132" s="77">
        <f t="shared" si="138"/>
        <v>0</v>
      </c>
      <c r="BG132" s="77">
        <f t="shared" si="138"/>
        <v>0</v>
      </c>
      <c r="BH132" s="77">
        <f t="shared" si="138"/>
        <v>0</v>
      </c>
      <c r="BI132" s="77">
        <f t="shared" si="138"/>
        <v>0</v>
      </c>
      <c r="BJ132" s="77">
        <f t="shared" si="138"/>
        <v>0</v>
      </c>
      <c r="BK132" s="77">
        <f t="shared" si="138"/>
        <v>0</v>
      </c>
      <c r="BL132" s="77">
        <f t="shared" si="138"/>
        <v>0</v>
      </c>
      <c r="BM132" s="77">
        <f t="shared" si="138"/>
        <v>0</v>
      </c>
      <c r="BN132" s="77">
        <f t="shared" si="138"/>
        <v>0</v>
      </c>
      <c r="BO132" s="77">
        <f t="shared" si="138"/>
        <v>0</v>
      </c>
      <c r="BP132" s="77">
        <f t="shared" si="138"/>
        <v>0</v>
      </c>
      <c r="BQ132" s="77">
        <f t="shared" si="138"/>
        <v>0</v>
      </c>
      <c r="BR132" s="77">
        <f t="shared" si="138"/>
        <v>0</v>
      </c>
      <c r="BS132" s="77">
        <f t="shared" si="138"/>
        <v>0</v>
      </c>
      <c r="BT132" s="77">
        <f t="shared" ref="BT132:DV132" si="139">IF(BT127="","",BT122+BT100)</f>
        <v>0</v>
      </c>
      <c r="BU132" s="77">
        <f t="shared" si="139"/>
        <v>0</v>
      </c>
      <c r="BV132" s="77">
        <f t="shared" si="139"/>
        <v>0</v>
      </c>
      <c r="BW132" s="77">
        <f t="shared" si="139"/>
        <v>0</v>
      </c>
      <c r="BX132" s="77">
        <f t="shared" si="139"/>
        <v>0</v>
      </c>
      <c r="BY132" s="77">
        <f t="shared" si="139"/>
        <v>5316225.3</v>
      </c>
      <c r="BZ132" s="77">
        <f t="shared" si="139"/>
        <v>3855975.3000000003</v>
      </c>
      <c r="CA132" s="77">
        <f t="shared" si="139"/>
        <v>0</v>
      </c>
      <c r="CB132" s="77">
        <f t="shared" si="139"/>
        <v>0</v>
      </c>
      <c r="CC132" s="77">
        <f t="shared" si="139"/>
        <v>0</v>
      </c>
      <c r="CD132" s="77">
        <f t="shared" si="139"/>
        <v>0</v>
      </c>
      <c r="CE132" s="77">
        <f t="shared" si="139"/>
        <v>2133178.2758385618</v>
      </c>
      <c r="CF132" s="77">
        <f t="shared" si="139"/>
        <v>0</v>
      </c>
      <c r="CG132" s="77">
        <f t="shared" si="139"/>
        <v>0</v>
      </c>
      <c r="CH132" s="77">
        <f t="shared" si="139"/>
        <v>0</v>
      </c>
      <c r="CI132" s="77">
        <f t="shared" si="139"/>
        <v>0</v>
      </c>
      <c r="CJ132" s="77">
        <f t="shared" si="139"/>
        <v>0</v>
      </c>
      <c r="CK132" s="77">
        <f t="shared" si="139"/>
        <v>0</v>
      </c>
      <c r="CL132" s="77">
        <f t="shared" si="139"/>
        <v>0</v>
      </c>
      <c r="CM132" s="77">
        <f t="shared" si="139"/>
        <v>0</v>
      </c>
      <c r="CN132" s="77">
        <f t="shared" si="139"/>
        <v>0</v>
      </c>
      <c r="CO132" s="77">
        <f t="shared" si="139"/>
        <v>0</v>
      </c>
      <c r="CP132" s="77">
        <f t="shared" si="139"/>
        <v>0</v>
      </c>
      <c r="CQ132" s="77">
        <f t="shared" si="139"/>
        <v>0</v>
      </c>
      <c r="CR132" s="77">
        <f t="shared" si="139"/>
        <v>0</v>
      </c>
      <c r="CS132" s="77">
        <f t="shared" si="139"/>
        <v>0</v>
      </c>
      <c r="CT132" s="77">
        <f t="shared" si="139"/>
        <v>0</v>
      </c>
      <c r="CU132" s="77">
        <f t="shared" si="139"/>
        <v>0</v>
      </c>
      <c r="CV132" s="77">
        <f t="shared" si="139"/>
        <v>0</v>
      </c>
      <c r="CW132" s="77">
        <f t="shared" si="139"/>
        <v>6781077.1539882291</v>
      </c>
      <c r="CX132" s="77" t="str">
        <f t="shared" si="139"/>
        <v/>
      </c>
      <c r="CY132" s="77" t="str">
        <f t="shared" si="139"/>
        <v/>
      </c>
      <c r="CZ132" s="77" t="str">
        <f t="shared" si="139"/>
        <v/>
      </c>
      <c r="DA132" s="77" t="str">
        <f t="shared" si="139"/>
        <v/>
      </c>
      <c r="DB132" s="77" t="str">
        <f t="shared" si="139"/>
        <v/>
      </c>
      <c r="DC132" s="77" t="str">
        <f t="shared" si="139"/>
        <v/>
      </c>
      <c r="DD132" s="77" t="str">
        <f t="shared" si="139"/>
        <v/>
      </c>
      <c r="DE132" s="77" t="str">
        <f t="shared" si="139"/>
        <v/>
      </c>
      <c r="DF132" s="77" t="str">
        <f t="shared" si="139"/>
        <v/>
      </c>
      <c r="DG132" s="77" t="str">
        <f t="shared" si="139"/>
        <v/>
      </c>
      <c r="DH132" s="77" t="str">
        <f t="shared" si="139"/>
        <v/>
      </c>
      <c r="DI132" s="77" t="str">
        <f t="shared" si="139"/>
        <v/>
      </c>
      <c r="DJ132" s="77" t="str">
        <f t="shared" si="139"/>
        <v/>
      </c>
      <c r="DK132" s="77" t="str">
        <f t="shared" si="139"/>
        <v/>
      </c>
      <c r="DL132" s="77" t="str">
        <f t="shared" si="139"/>
        <v/>
      </c>
      <c r="DM132" s="77" t="str">
        <f t="shared" si="139"/>
        <v/>
      </c>
      <c r="DN132" s="77" t="str">
        <f t="shared" si="139"/>
        <v/>
      </c>
      <c r="DO132" s="77" t="str">
        <f t="shared" si="139"/>
        <v/>
      </c>
      <c r="DP132" s="77" t="str">
        <f t="shared" si="139"/>
        <v/>
      </c>
      <c r="DQ132" s="77" t="str">
        <f t="shared" si="139"/>
        <v/>
      </c>
      <c r="DR132" s="77" t="str">
        <f t="shared" si="139"/>
        <v/>
      </c>
      <c r="DS132" s="77" t="str">
        <f t="shared" si="139"/>
        <v/>
      </c>
      <c r="DT132" s="77" t="str">
        <f t="shared" si="139"/>
        <v/>
      </c>
      <c r="DU132" s="77" t="str">
        <f t="shared" si="139"/>
        <v/>
      </c>
      <c r="DV132" s="77" t="str">
        <f t="shared" si="139"/>
        <v/>
      </c>
      <c r="DW132" s="77"/>
      <c r="DX132" s="77"/>
      <c r="DY132" s="78"/>
    </row>
    <row r="133" spans="2:129" outlineLevel="1" x14ac:dyDescent="0.2">
      <c r="B133" s="16" t="str">
        <f>"Distributions to LP "&amp;B127</f>
        <v>Distributions to LP Tier 3</v>
      </c>
      <c r="C133" s="16"/>
      <c r="D133" s="16"/>
      <c r="E133" s="16"/>
      <c r="F133" s="77">
        <f t="shared" ref="F133" si="140">IF(F127="","",MIN(F129+F130-F132,F125*$I$17))</f>
        <v>0</v>
      </c>
      <c r="G133" s="77">
        <f>IF(G127="","",MIN(G129+G130-G132,G125*$I$17))</f>
        <v>0</v>
      </c>
      <c r="H133" s="77">
        <f t="shared" ref="H133:BS133" si="141">IF(H127="","",MIN(H129+H130-H132,H125*$I$17))</f>
        <v>0</v>
      </c>
      <c r="I133" s="77">
        <f t="shared" si="141"/>
        <v>0</v>
      </c>
      <c r="J133" s="77">
        <f t="shared" si="141"/>
        <v>0</v>
      </c>
      <c r="K133" s="77">
        <f t="shared" si="141"/>
        <v>0</v>
      </c>
      <c r="L133" s="77">
        <f t="shared" si="141"/>
        <v>0</v>
      </c>
      <c r="M133" s="77">
        <f t="shared" si="141"/>
        <v>0</v>
      </c>
      <c r="N133" s="77">
        <f t="shared" si="141"/>
        <v>0</v>
      </c>
      <c r="O133" s="77">
        <f t="shared" si="141"/>
        <v>0</v>
      </c>
      <c r="P133" s="77">
        <f t="shared" si="141"/>
        <v>0</v>
      </c>
      <c r="Q133" s="77">
        <f t="shared" si="141"/>
        <v>0</v>
      </c>
      <c r="R133" s="77">
        <f t="shared" si="141"/>
        <v>0</v>
      </c>
      <c r="S133" s="77">
        <f t="shared" si="141"/>
        <v>0</v>
      </c>
      <c r="T133" s="77">
        <f t="shared" si="141"/>
        <v>0</v>
      </c>
      <c r="U133" s="77">
        <f t="shared" si="141"/>
        <v>0</v>
      </c>
      <c r="V133" s="77">
        <f t="shared" si="141"/>
        <v>0</v>
      </c>
      <c r="W133" s="77">
        <f t="shared" si="141"/>
        <v>0</v>
      </c>
      <c r="X133" s="77">
        <f t="shared" si="141"/>
        <v>0</v>
      </c>
      <c r="Y133" s="77">
        <f t="shared" si="141"/>
        <v>0</v>
      </c>
      <c r="Z133" s="77">
        <f t="shared" si="141"/>
        <v>0</v>
      </c>
      <c r="AA133" s="77">
        <f t="shared" si="141"/>
        <v>0</v>
      </c>
      <c r="AB133" s="77">
        <f t="shared" si="141"/>
        <v>0</v>
      </c>
      <c r="AC133" s="77">
        <f t="shared" si="141"/>
        <v>0</v>
      </c>
      <c r="AD133" s="77">
        <f t="shared" si="141"/>
        <v>0</v>
      </c>
      <c r="AE133" s="77">
        <f t="shared" si="141"/>
        <v>0</v>
      </c>
      <c r="AF133" s="77">
        <f t="shared" si="141"/>
        <v>0</v>
      </c>
      <c r="AG133" s="77">
        <f t="shared" si="141"/>
        <v>0</v>
      </c>
      <c r="AH133" s="77">
        <f t="shared" si="141"/>
        <v>0</v>
      </c>
      <c r="AI133" s="77">
        <f t="shared" si="141"/>
        <v>0</v>
      </c>
      <c r="AJ133" s="77">
        <f t="shared" si="141"/>
        <v>0</v>
      </c>
      <c r="AK133" s="77">
        <f t="shared" si="141"/>
        <v>0</v>
      </c>
      <c r="AL133" s="77">
        <f t="shared" si="141"/>
        <v>0</v>
      </c>
      <c r="AM133" s="77">
        <f t="shared" si="141"/>
        <v>0</v>
      </c>
      <c r="AN133" s="77">
        <f t="shared" si="141"/>
        <v>0</v>
      </c>
      <c r="AO133" s="77">
        <f t="shared" si="141"/>
        <v>0</v>
      </c>
      <c r="AP133" s="77">
        <f t="shared" si="141"/>
        <v>0</v>
      </c>
      <c r="AQ133" s="77">
        <f t="shared" si="141"/>
        <v>0</v>
      </c>
      <c r="AR133" s="77">
        <f t="shared" si="141"/>
        <v>0</v>
      </c>
      <c r="AS133" s="77">
        <f t="shared" si="141"/>
        <v>0</v>
      </c>
      <c r="AT133" s="77">
        <f t="shared" si="141"/>
        <v>0</v>
      </c>
      <c r="AU133" s="77">
        <f t="shared" si="141"/>
        <v>0</v>
      </c>
      <c r="AV133" s="77">
        <f t="shared" si="141"/>
        <v>0</v>
      </c>
      <c r="AW133" s="77">
        <f t="shared" si="141"/>
        <v>0</v>
      </c>
      <c r="AX133" s="77">
        <f t="shared" si="141"/>
        <v>0</v>
      </c>
      <c r="AY133" s="77">
        <f t="shared" si="141"/>
        <v>0</v>
      </c>
      <c r="AZ133" s="77">
        <f t="shared" si="141"/>
        <v>0</v>
      </c>
      <c r="BA133" s="77">
        <f t="shared" si="141"/>
        <v>19871751.728302866</v>
      </c>
      <c r="BB133" s="77">
        <f t="shared" si="141"/>
        <v>0</v>
      </c>
      <c r="BC133" s="77">
        <f t="shared" si="141"/>
        <v>0</v>
      </c>
      <c r="BD133" s="77">
        <f t="shared" si="141"/>
        <v>0</v>
      </c>
      <c r="BE133" s="77">
        <f t="shared" si="141"/>
        <v>0</v>
      </c>
      <c r="BF133" s="77">
        <f t="shared" si="141"/>
        <v>0</v>
      </c>
      <c r="BG133" s="77">
        <f t="shared" si="141"/>
        <v>0</v>
      </c>
      <c r="BH133" s="77">
        <f t="shared" si="141"/>
        <v>0</v>
      </c>
      <c r="BI133" s="77">
        <f t="shared" si="141"/>
        <v>0</v>
      </c>
      <c r="BJ133" s="77">
        <f t="shared" si="141"/>
        <v>0</v>
      </c>
      <c r="BK133" s="77">
        <f t="shared" si="141"/>
        <v>0</v>
      </c>
      <c r="BL133" s="77">
        <f t="shared" si="141"/>
        <v>0</v>
      </c>
      <c r="BM133" s="77">
        <f t="shared" si="141"/>
        <v>0</v>
      </c>
      <c r="BN133" s="77">
        <f t="shared" si="141"/>
        <v>0</v>
      </c>
      <c r="BO133" s="77">
        <f t="shared" si="141"/>
        <v>0</v>
      </c>
      <c r="BP133" s="77">
        <f t="shared" si="141"/>
        <v>0</v>
      </c>
      <c r="BQ133" s="77">
        <f t="shared" si="141"/>
        <v>0</v>
      </c>
      <c r="BR133" s="77">
        <f t="shared" si="141"/>
        <v>0</v>
      </c>
      <c r="BS133" s="77">
        <f t="shared" si="141"/>
        <v>0</v>
      </c>
      <c r="BT133" s="77">
        <f t="shared" ref="BT133:DV133" si="142">IF(BT127="","",MIN(BT129+BT130-BT132,BT125*$I$17))</f>
        <v>0</v>
      </c>
      <c r="BU133" s="77">
        <f t="shared" si="142"/>
        <v>0</v>
      </c>
      <c r="BV133" s="77">
        <f t="shared" si="142"/>
        <v>0</v>
      </c>
      <c r="BW133" s="77">
        <f t="shared" si="142"/>
        <v>0</v>
      </c>
      <c r="BX133" s="77">
        <f t="shared" si="142"/>
        <v>0</v>
      </c>
      <c r="BY133" s="77">
        <f t="shared" si="142"/>
        <v>0</v>
      </c>
      <c r="BZ133" s="77">
        <f t="shared" si="142"/>
        <v>0</v>
      </c>
      <c r="CA133" s="77">
        <f t="shared" si="142"/>
        <v>0</v>
      </c>
      <c r="CB133" s="77">
        <f t="shared" si="142"/>
        <v>0</v>
      </c>
      <c r="CC133" s="77">
        <f t="shared" si="142"/>
        <v>0</v>
      </c>
      <c r="CD133" s="77">
        <f t="shared" si="142"/>
        <v>0</v>
      </c>
      <c r="CE133" s="77">
        <f t="shared" si="142"/>
        <v>5483399.7238263926</v>
      </c>
      <c r="CF133" s="77">
        <f t="shared" si="142"/>
        <v>0</v>
      </c>
      <c r="CG133" s="77">
        <f t="shared" si="142"/>
        <v>0</v>
      </c>
      <c r="CH133" s="77">
        <f t="shared" si="142"/>
        <v>0</v>
      </c>
      <c r="CI133" s="77">
        <f t="shared" si="142"/>
        <v>0</v>
      </c>
      <c r="CJ133" s="77">
        <f t="shared" si="142"/>
        <v>0</v>
      </c>
      <c r="CK133" s="77">
        <f t="shared" si="142"/>
        <v>0</v>
      </c>
      <c r="CL133" s="77">
        <f t="shared" si="142"/>
        <v>0</v>
      </c>
      <c r="CM133" s="77">
        <f t="shared" si="142"/>
        <v>0</v>
      </c>
      <c r="CN133" s="77">
        <f t="shared" si="142"/>
        <v>0</v>
      </c>
      <c r="CO133" s="77">
        <f t="shared" si="142"/>
        <v>0</v>
      </c>
      <c r="CP133" s="77">
        <f t="shared" si="142"/>
        <v>0</v>
      </c>
      <c r="CQ133" s="77">
        <f t="shared" si="142"/>
        <v>0</v>
      </c>
      <c r="CR133" s="77">
        <f t="shared" si="142"/>
        <v>0</v>
      </c>
      <c r="CS133" s="77">
        <f t="shared" si="142"/>
        <v>0</v>
      </c>
      <c r="CT133" s="77">
        <f t="shared" si="142"/>
        <v>0</v>
      </c>
      <c r="CU133" s="77">
        <f t="shared" si="142"/>
        <v>0</v>
      </c>
      <c r="CV133" s="77">
        <f t="shared" si="142"/>
        <v>0</v>
      </c>
      <c r="CW133" s="77">
        <f t="shared" si="142"/>
        <v>8755732.2059088182</v>
      </c>
      <c r="CX133" s="77" t="str">
        <f t="shared" si="142"/>
        <v/>
      </c>
      <c r="CY133" s="77" t="str">
        <f t="shared" si="142"/>
        <v/>
      </c>
      <c r="CZ133" s="77" t="str">
        <f t="shared" si="142"/>
        <v/>
      </c>
      <c r="DA133" s="77" t="str">
        <f t="shared" si="142"/>
        <v/>
      </c>
      <c r="DB133" s="77" t="str">
        <f t="shared" si="142"/>
        <v/>
      </c>
      <c r="DC133" s="77" t="str">
        <f t="shared" si="142"/>
        <v/>
      </c>
      <c r="DD133" s="77" t="str">
        <f t="shared" si="142"/>
        <v/>
      </c>
      <c r="DE133" s="77" t="str">
        <f t="shared" si="142"/>
        <v/>
      </c>
      <c r="DF133" s="77" t="str">
        <f t="shared" si="142"/>
        <v/>
      </c>
      <c r="DG133" s="77" t="str">
        <f t="shared" si="142"/>
        <v/>
      </c>
      <c r="DH133" s="77" t="str">
        <f t="shared" si="142"/>
        <v/>
      </c>
      <c r="DI133" s="77" t="str">
        <f t="shared" si="142"/>
        <v/>
      </c>
      <c r="DJ133" s="77" t="str">
        <f t="shared" si="142"/>
        <v/>
      </c>
      <c r="DK133" s="77" t="str">
        <f t="shared" si="142"/>
        <v/>
      </c>
      <c r="DL133" s="77" t="str">
        <f t="shared" si="142"/>
        <v/>
      </c>
      <c r="DM133" s="77" t="str">
        <f t="shared" si="142"/>
        <v/>
      </c>
      <c r="DN133" s="77" t="str">
        <f t="shared" si="142"/>
        <v/>
      </c>
      <c r="DO133" s="77" t="str">
        <f t="shared" si="142"/>
        <v/>
      </c>
      <c r="DP133" s="77" t="str">
        <f t="shared" si="142"/>
        <v/>
      </c>
      <c r="DQ133" s="77" t="str">
        <f t="shared" si="142"/>
        <v/>
      </c>
      <c r="DR133" s="77" t="str">
        <f t="shared" si="142"/>
        <v/>
      </c>
      <c r="DS133" s="77" t="str">
        <f t="shared" si="142"/>
        <v/>
      </c>
      <c r="DT133" s="77" t="str">
        <f t="shared" si="142"/>
        <v/>
      </c>
      <c r="DU133" s="77" t="str">
        <f t="shared" si="142"/>
        <v/>
      </c>
      <c r="DV133" s="77" t="str">
        <f t="shared" si="142"/>
        <v/>
      </c>
      <c r="DW133" s="77"/>
      <c r="DX133" s="77"/>
      <c r="DY133" s="78"/>
    </row>
    <row r="134" spans="2:129" outlineLevel="1" x14ac:dyDescent="0.2">
      <c r="B134" s="16" t="s">
        <v>62</v>
      </c>
      <c r="C134" s="16"/>
      <c r="D134" s="16"/>
      <c r="E134" s="16"/>
      <c r="F134" s="77">
        <f t="shared" ref="F134" si="143">IF(F127="","",F129+F130+F131-F132-F133)</f>
        <v>93624225.299999997</v>
      </c>
      <c r="G134" s="77">
        <f>IF(G127="","",G129+G130+G131-G132-G133)</f>
        <v>114787184.92954068</v>
      </c>
      <c r="H134" s="77">
        <f t="shared" ref="H134:BS134" si="144">IF(H127="","",H129+H130+H131-H132-H133)</f>
        <v>137983455.53625143</v>
      </c>
      <c r="I134" s="77">
        <f t="shared" si="144"/>
        <v>169161963.81276232</v>
      </c>
      <c r="J134" s="77">
        <f t="shared" si="144"/>
        <v>206022779.56845659</v>
      </c>
      <c r="K134" s="77">
        <f t="shared" si="144"/>
        <v>252563393.00599483</v>
      </c>
      <c r="L134" s="77">
        <f t="shared" si="144"/>
        <v>307585645.41899341</v>
      </c>
      <c r="M134" s="77">
        <f t="shared" si="144"/>
        <v>377057401.21933287</v>
      </c>
      <c r="N134" s="77">
        <f t="shared" si="144"/>
        <v>462214680.55339926</v>
      </c>
      <c r="O134" s="77">
        <f t="shared" si="144"/>
        <v>562890450.12726963</v>
      </c>
      <c r="P134" s="77">
        <f t="shared" si="144"/>
        <v>690005624.84499383</v>
      </c>
      <c r="Q134" s="77">
        <f t="shared" si="144"/>
        <v>840284990.49482954</v>
      </c>
      <c r="R134" s="77">
        <f t="shared" si="144"/>
        <v>1030031065.2227341</v>
      </c>
      <c r="S134" s="77">
        <f t="shared" si="144"/>
        <v>1262618529.0344355</v>
      </c>
      <c r="T134" s="77">
        <f t="shared" si="144"/>
        <v>1517527075.9408705</v>
      </c>
      <c r="U134" s="77">
        <f t="shared" si="144"/>
        <v>1860182725.8898792</v>
      </c>
      <c r="V134" s="77">
        <f t="shared" si="144"/>
        <v>2265279035.3742838</v>
      </c>
      <c r="W134" s="77">
        <f t="shared" si="144"/>
        <v>2776764173.2491746</v>
      </c>
      <c r="X134" s="77">
        <f t="shared" si="144"/>
        <v>3381454615.0944057</v>
      </c>
      <c r="Y134" s="77">
        <f t="shared" si="144"/>
        <v>4144952936.1942658</v>
      </c>
      <c r="Z134" s="77">
        <f t="shared" si="144"/>
        <v>5080836001.9375648</v>
      </c>
      <c r="AA134" s="77">
        <f t="shared" si="144"/>
        <v>6187259507.2972403</v>
      </c>
      <c r="AB134" s="77">
        <f t="shared" si="144"/>
        <v>7584260151.185359</v>
      </c>
      <c r="AC134" s="77">
        <f t="shared" si="144"/>
        <v>9236151259.7008953</v>
      </c>
      <c r="AD134" s="77">
        <f t="shared" si="144"/>
        <v>11322356900.37907</v>
      </c>
      <c r="AE134" s="77">
        <f t="shared" si="144"/>
        <v>13853157781.513105</v>
      </c>
      <c r="AF134" s="77">
        <f t="shared" si="144"/>
        <v>16760231272.163641</v>
      </c>
      <c r="AG134" s="77">
        <f t="shared" si="144"/>
        <v>20545244330.98616</v>
      </c>
      <c r="AH134" s="77">
        <f t="shared" si="144"/>
        <v>25020004391.196087</v>
      </c>
      <c r="AI134" s="77">
        <f t="shared" si="144"/>
        <v>30669931675.220833</v>
      </c>
      <c r="AJ134" s="77">
        <f t="shared" si="144"/>
        <v>37349436542.037132</v>
      </c>
      <c r="AK134" s="77">
        <f t="shared" si="144"/>
        <v>45783136827.500282</v>
      </c>
      <c r="AL134" s="77">
        <f t="shared" si="144"/>
        <v>56121021090.754669</v>
      </c>
      <c r="AM134" s="77">
        <f t="shared" si="144"/>
        <v>68342573266.94696</v>
      </c>
      <c r="AN134" s="77">
        <f t="shared" si="144"/>
        <v>83773824902.980423</v>
      </c>
      <c r="AO134" s="77">
        <f t="shared" si="144"/>
        <v>102017238281.94617</v>
      </c>
      <c r="AP134" s="77">
        <f t="shared" si="144"/>
        <v>125051578679.21513</v>
      </c>
      <c r="AQ134" s="77">
        <f t="shared" si="144"/>
        <v>153286675617.36707</v>
      </c>
      <c r="AR134" s="77">
        <f t="shared" si="144"/>
        <v>184231207028.16299</v>
      </c>
      <c r="AS134" s="77">
        <f t="shared" si="144"/>
        <v>225828042740.44995</v>
      </c>
      <c r="AT134" s="77">
        <f t="shared" si="144"/>
        <v>275004807333.87183</v>
      </c>
      <c r="AU134" s="77">
        <f t="shared" si="144"/>
        <v>337058889781.55365</v>
      </c>
      <c r="AV134" s="77">
        <f t="shared" si="144"/>
        <v>410457267785.93842</v>
      </c>
      <c r="AW134" s="77">
        <f t="shared" si="144"/>
        <v>503132106129.89514</v>
      </c>
      <c r="AX134" s="77">
        <f t="shared" si="144"/>
        <v>616731323612.99792</v>
      </c>
      <c r="AY134" s="77">
        <f t="shared" si="144"/>
        <v>751030974424.78027</v>
      </c>
      <c r="AZ134" s="77">
        <f t="shared" si="144"/>
        <v>920601478192.90149</v>
      </c>
      <c r="BA134" s="77">
        <f t="shared" si="144"/>
        <v>1120943183508.9365</v>
      </c>
      <c r="BB134" s="77">
        <f t="shared" si="144"/>
        <v>1374033310939.7197</v>
      </c>
      <c r="BC134" s="77">
        <f t="shared" si="144"/>
        <v>1684266821378.9702</v>
      </c>
      <c r="BD134" s="77">
        <f t="shared" si="144"/>
        <v>2024269624730.8291</v>
      </c>
      <c r="BE134" s="77">
        <f t="shared" si="144"/>
        <v>2481315273210.2769</v>
      </c>
      <c r="BF134" s="77">
        <f t="shared" si="144"/>
        <v>3021645246293.2832</v>
      </c>
      <c r="BG134" s="77">
        <f t="shared" si="144"/>
        <v>3703881097665.3276</v>
      </c>
      <c r="BH134" s="77">
        <f t="shared" si="144"/>
        <v>4510436146205.7598</v>
      </c>
      <c r="BI134" s="77">
        <f t="shared" si="144"/>
        <v>5528815289601.2598</v>
      </c>
      <c r="BJ134" s="77">
        <f t="shared" si="144"/>
        <v>6777126868645.791</v>
      </c>
      <c r="BK134" s="77">
        <f t="shared" si="144"/>
        <v>8252909758266.4219</v>
      </c>
      <c r="BL134" s="77">
        <f t="shared" si="144"/>
        <v>10116274856602.229</v>
      </c>
      <c r="BM134" s="77">
        <f t="shared" si="144"/>
        <v>12319188134647.844</v>
      </c>
      <c r="BN134" s="77">
        <f t="shared" si="144"/>
        <v>15100648582857.361</v>
      </c>
      <c r="BO134" s="77">
        <f t="shared" si="144"/>
        <v>18510114798531.703</v>
      </c>
      <c r="BP134" s="77">
        <f t="shared" si="144"/>
        <v>22246744851380.289</v>
      </c>
      <c r="BQ134" s="77">
        <f t="shared" si="144"/>
        <v>27269676137901.008</v>
      </c>
      <c r="BR134" s="77">
        <f t="shared" si="144"/>
        <v>33207901892917.379</v>
      </c>
      <c r="BS134" s="77">
        <f t="shared" si="144"/>
        <v>40705673274541.422</v>
      </c>
      <c r="BT134" s="77">
        <f t="shared" ref="BT134:DV134" si="145">IF(BT127="","",BT129+BT130+BT131-BT132-BT133)</f>
        <v>49569712331383.297</v>
      </c>
      <c r="BU134" s="77">
        <f t="shared" si="145"/>
        <v>60761698142026.883</v>
      </c>
      <c r="BV134" s="77">
        <f t="shared" si="145"/>
        <v>74480641200253.516</v>
      </c>
      <c r="BW134" s="77">
        <f t="shared" si="145"/>
        <v>90699493556087.141</v>
      </c>
      <c r="BX134" s="77">
        <f t="shared" si="145"/>
        <v>111177874159907.67</v>
      </c>
      <c r="BY134" s="77">
        <f t="shared" si="145"/>
        <v>135387884652533.23</v>
      </c>
      <c r="BZ134" s="77">
        <f t="shared" si="145"/>
        <v>165956128661231.03</v>
      </c>
      <c r="CA134" s="77">
        <f t="shared" si="145"/>
        <v>203426158711819.5</v>
      </c>
      <c r="CB134" s="77">
        <f t="shared" si="145"/>
        <v>246102601468851.25</v>
      </c>
      <c r="CC134" s="77">
        <f t="shared" si="145"/>
        <v>301668321931844.56</v>
      </c>
      <c r="CD134" s="77">
        <f t="shared" si="145"/>
        <v>367359404114424</v>
      </c>
      <c r="CE134" s="77">
        <f t="shared" si="145"/>
        <v>450302810151205.06</v>
      </c>
      <c r="CF134" s="77">
        <f t="shared" si="145"/>
        <v>548360433890713.44</v>
      </c>
      <c r="CG134" s="77">
        <f t="shared" si="145"/>
        <v>672170756397568.38</v>
      </c>
      <c r="CH134" s="77">
        <f t="shared" si="145"/>
        <v>823935313039241.38</v>
      </c>
      <c r="CI134" s="77">
        <f t="shared" si="145"/>
        <v>1003354888245904.8</v>
      </c>
      <c r="CJ134" s="77">
        <f t="shared" si="145"/>
        <v>1229895106366953</v>
      </c>
      <c r="CK134" s="77">
        <f t="shared" si="145"/>
        <v>1497716201630376</v>
      </c>
      <c r="CL134" s="77">
        <f t="shared" si="145"/>
        <v>1835874673274557.8</v>
      </c>
      <c r="CM134" s="77">
        <f t="shared" si="145"/>
        <v>2250383491962624.5</v>
      </c>
      <c r="CN134" s="77">
        <f t="shared" si="145"/>
        <v>2704667550983000.5</v>
      </c>
      <c r="CO134" s="77">
        <f t="shared" si="145"/>
        <v>3315334808049898.5</v>
      </c>
      <c r="CP134" s="77">
        <f t="shared" si="145"/>
        <v>4037279788372784</v>
      </c>
      <c r="CQ134" s="77">
        <f t="shared" si="145"/>
        <v>4948827890757368</v>
      </c>
      <c r="CR134" s="77">
        <f t="shared" si="145"/>
        <v>6026481177744904</v>
      </c>
      <c r="CS134" s="77">
        <f t="shared" si="145"/>
        <v>7387156624715275</v>
      </c>
      <c r="CT134" s="77">
        <f t="shared" si="145"/>
        <v>9055049105418854</v>
      </c>
      <c r="CU134" s="77">
        <f t="shared" si="145"/>
        <v>1.1026870240755504E+16</v>
      </c>
      <c r="CV134" s="77">
        <f t="shared" si="145"/>
        <v>1.3516547242703996E+16</v>
      </c>
      <c r="CW134" s="77">
        <f t="shared" si="145"/>
        <v>1.6459901063527452E+16</v>
      </c>
      <c r="CX134" s="77" t="str">
        <f t="shared" si="145"/>
        <v/>
      </c>
      <c r="CY134" s="77" t="str">
        <f t="shared" si="145"/>
        <v/>
      </c>
      <c r="CZ134" s="77" t="str">
        <f t="shared" si="145"/>
        <v/>
      </c>
      <c r="DA134" s="77" t="str">
        <f t="shared" si="145"/>
        <v/>
      </c>
      <c r="DB134" s="77" t="str">
        <f t="shared" si="145"/>
        <v/>
      </c>
      <c r="DC134" s="77" t="str">
        <f t="shared" si="145"/>
        <v/>
      </c>
      <c r="DD134" s="77" t="str">
        <f t="shared" si="145"/>
        <v/>
      </c>
      <c r="DE134" s="77" t="str">
        <f t="shared" si="145"/>
        <v/>
      </c>
      <c r="DF134" s="77" t="str">
        <f t="shared" si="145"/>
        <v/>
      </c>
      <c r="DG134" s="77" t="str">
        <f t="shared" si="145"/>
        <v/>
      </c>
      <c r="DH134" s="77" t="str">
        <f t="shared" si="145"/>
        <v/>
      </c>
      <c r="DI134" s="77" t="str">
        <f t="shared" si="145"/>
        <v/>
      </c>
      <c r="DJ134" s="77" t="str">
        <f t="shared" si="145"/>
        <v/>
      </c>
      <c r="DK134" s="77" t="str">
        <f t="shared" si="145"/>
        <v/>
      </c>
      <c r="DL134" s="77" t="str">
        <f t="shared" si="145"/>
        <v/>
      </c>
      <c r="DM134" s="77" t="str">
        <f t="shared" si="145"/>
        <v/>
      </c>
      <c r="DN134" s="77" t="str">
        <f t="shared" si="145"/>
        <v/>
      </c>
      <c r="DO134" s="77" t="str">
        <f t="shared" si="145"/>
        <v/>
      </c>
      <c r="DP134" s="77" t="str">
        <f t="shared" si="145"/>
        <v/>
      </c>
      <c r="DQ134" s="77" t="str">
        <f t="shared" si="145"/>
        <v/>
      </c>
      <c r="DR134" s="77" t="str">
        <f t="shared" si="145"/>
        <v/>
      </c>
      <c r="DS134" s="77" t="str">
        <f t="shared" si="145"/>
        <v/>
      </c>
      <c r="DT134" s="77" t="str">
        <f t="shared" si="145"/>
        <v/>
      </c>
      <c r="DU134" s="77" t="str">
        <f t="shared" si="145"/>
        <v/>
      </c>
      <c r="DV134" s="77" t="str">
        <f t="shared" si="145"/>
        <v/>
      </c>
      <c r="DW134" s="77"/>
      <c r="DX134" s="77"/>
      <c r="DY134" s="78"/>
    </row>
    <row r="135" spans="2:129" outlineLevel="1" x14ac:dyDescent="0.2">
      <c r="B135" s="128">
        <f>C128</f>
        <v>9.99</v>
      </c>
      <c r="C135" s="16"/>
      <c r="D135" s="16"/>
      <c r="E135" s="79">
        <f ca="1">XIRR(OFFSET(F135,0,0,1,$E$21+1),OFFSET($F$46,0,0,1,$E$21+1))</f>
        <v>0.20042605996131899</v>
      </c>
      <c r="F135" s="77">
        <f t="shared" ref="F135" si="146">IF(F127="","",-F131+F132+F133)</f>
        <v>-93624225.299999997</v>
      </c>
      <c r="G135" s="77">
        <f>IF(G127="","",-G131+G132+G133)</f>
        <v>-24225.3</v>
      </c>
      <c r="H135" s="77">
        <f t="shared" ref="H135:BS135" si="147">IF(H127="","",-H131+H132+H133)</f>
        <v>-24225.3</v>
      </c>
      <c r="I135" s="77">
        <f t="shared" si="147"/>
        <v>-24225.3</v>
      </c>
      <c r="J135" s="77">
        <f t="shared" si="147"/>
        <v>-24225.3</v>
      </c>
      <c r="K135" s="77">
        <f t="shared" si="147"/>
        <v>-24225.3</v>
      </c>
      <c r="L135" s="77">
        <f t="shared" si="147"/>
        <v>-24225.3</v>
      </c>
      <c r="M135" s="77">
        <f t="shared" si="147"/>
        <v>-24225.3</v>
      </c>
      <c r="N135" s="77">
        <f t="shared" si="147"/>
        <v>-24225.3</v>
      </c>
      <c r="O135" s="77">
        <f t="shared" si="147"/>
        <v>-24225.3</v>
      </c>
      <c r="P135" s="77">
        <f t="shared" si="147"/>
        <v>-24225.3</v>
      </c>
      <c r="Q135" s="77">
        <f t="shared" si="147"/>
        <v>-24225.3</v>
      </c>
      <c r="R135" s="77">
        <f t="shared" si="147"/>
        <v>-24225.3</v>
      </c>
      <c r="S135" s="77">
        <f t="shared" si="147"/>
        <v>-24225.3</v>
      </c>
      <c r="T135" s="77">
        <f t="shared" si="147"/>
        <v>-24225.3</v>
      </c>
      <c r="U135" s="77">
        <f t="shared" si="147"/>
        <v>-24225.3</v>
      </c>
      <c r="V135" s="77">
        <f t="shared" si="147"/>
        <v>-24225.3</v>
      </c>
      <c r="W135" s="77">
        <f t="shared" si="147"/>
        <v>-24225.3</v>
      </c>
      <c r="X135" s="77">
        <f t="shared" si="147"/>
        <v>-24225.3</v>
      </c>
      <c r="Y135" s="77">
        <f t="shared" si="147"/>
        <v>-24225.3</v>
      </c>
      <c r="Z135" s="77">
        <f t="shared" si="147"/>
        <v>-24225.3</v>
      </c>
      <c r="AA135" s="77">
        <f t="shared" si="147"/>
        <v>-24225.3</v>
      </c>
      <c r="AB135" s="77">
        <f t="shared" si="147"/>
        <v>-24225.3</v>
      </c>
      <c r="AC135" s="77">
        <f t="shared" si="147"/>
        <v>-347943.60000000003</v>
      </c>
      <c r="AD135" s="77">
        <f t="shared" si="147"/>
        <v>-842081.4</v>
      </c>
      <c r="AE135" s="77">
        <f t="shared" si="147"/>
        <v>25591908.600000001</v>
      </c>
      <c r="AF135" s="77">
        <f t="shared" si="147"/>
        <v>-842081.4</v>
      </c>
      <c r="AG135" s="77">
        <f t="shared" si="147"/>
        <v>-842081.4</v>
      </c>
      <c r="AH135" s="77">
        <f t="shared" si="147"/>
        <v>-842081.4</v>
      </c>
      <c r="AI135" s="77">
        <f t="shared" si="147"/>
        <v>-842081.4</v>
      </c>
      <c r="AJ135" s="77">
        <f t="shared" si="147"/>
        <v>-842081.4</v>
      </c>
      <c r="AK135" s="77">
        <f t="shared" si="147"/>
        <v>-842081.4</v>
      </c>
      <c r="AL135" s="77">
        <f t="shared" si="147"/>
        <v>-842081.4</v>
      </c>
      <c r="AM135" s="77">
        <f t="shared" si="147"/>
        <v>-678031.20000000007</v>
      </c>
      <c r="AN135" s="77">
        <f t="shared" si="147"/>
        <v>-678031.20000000007</v>
      </c>
      <c r="AO135" s="77">
        <f t="shared" si="147"/>
        <v>-884093.4</v>
      </c>
      <c r="AP135" s="77">
        <f t="shared" si="147"/>
        <v>-608580.9</v>
      </c>
      <c r="AQ135" s="77">
        <f t="shared" si="147"/>
        <v>-608580.9</v>
      </c>
      <c r="AR135" s="77">
        <f t="shared" si="147"/>
        <v>-608580.9</v>
      </c>
      <c r="AS135" s="77">
        <f t="shared" si="147"/>
        <v>-608580.9</v>
      </c>
      <c r="AT135" s="77">
        <f t="shared" si="147"/>
        <v>-608580.9</v>
      </c>
      <c r="AU135" s="77">
        <f t="shared" si="147"/>
        <v>37257084.899999999</v>
      </c>
      <c r="AV135" s="77">
        <f t="shared" si="147"/>
        <v>-670845.6</v>
      </c>
      <c r="AW135" s="77">
        <f t="shared" si="147"/>
        <v>-670845.6</v>
      </c>
      <c r="AX135" s="77">
        <f t="shared" si="147"/>
        <v>-670845.6</v>
      </c>
      <c r="AY135" s="77">
        <f t="shared" si="147"/>
        <v>-670845.6</v>
      </c>
      <c r="AZ135" s="77">
        <f t="shared" si="147"/>
        <v>-670845.6</v>
      </c>
      <c r="BA135" s="77">
        <f t="shared" si="147"/>
        <v>127826136.2843312</v>
      </c>
      <c r="BB135" s="77">
        <f t="shared" si="147"/>
        <v>-501548.4</v>
      </c>
      <c r="BC135" s="77">
        <f t="shared" si="147"/>
        <v>-501548.4</v>
      </c>
      <c r="BD135" s="77">
        <f t="shared" si="147"/>
        <v>-501548.4</v>
      </c>
      <c r="BE135" s="77">
        <f t="shared" si="147"/>
        <v>-501548.4</v>
      </c>
      <c r="BF135" s="77">
        <f t="shared" si="147"/>
        <v>-501548.4</v>
      </c>
      <c r="BG135" s="77">
        <f t="shared" si="147"/>
        <v>-501548.4</v>
      </c>
      <c r="BH135" s="77">
        <f t="shared" si="147"/>
        <v>-501548.4</v>
      </c>
      <c r="BI135" s="77">
        <f t="shared" si="147"/>
        <v>-501548.4</v>
      </c>
      <c r="BJ135" s="77">
        <f t="shared" si="147"/>
        <v>-501548.4</v>
      </c>
      <c r="BK135" s="77">
        <f t="shared" si="147"/>
        <v>-501548.4</v>
      </c>
      <c r="BL135" s="77">
        <f t="shared" si="147"/>
        <v>-501548.4</v>
      </c>
      <c r="BM135" s="77">
        <f t="shared" si="147"/>
        <v>-368838.9</v>
      </c>
      <c r="BN135" s="77">
        <f t="shared" si="147"/>
        <v>-368838.9</v>
      </c>
      <c r="BO135" s="77">
        <f t="shared" si="147"/>
        <v>-368838.9</v>
      </c>
      <c r="BP135" s="77">
        <f t="shared" si="147"/>
        <v>-227774.7</v>
      </c>
      <c r="BQ135" s="77">
        <f t="shared" si="147"/>
        <v>-227774.7</v>
      </c>
      <c r="BR135" s="77">
        <f t="shared" si="147"/>
        <v>-227774.7</v>
      </c>
      <c r="BS135" s="77">
        <f t="shared" si="147"/>
        <v>-227774.7</v>
      </c>
      <c r="BT135" s="77">
        <f t="shared" ref="BT135:DV135" si="148">IF(BT127="","",-BT131+BT132+BT133)</f>
        <v>-227774.7</v>
      </c>
      <c r="BU135" s="77">
        <f t="shared" si="148"/>
        <v>-227774.7</v>
      </c>
      <c r="BV135" s="77">
        <f t="shared" si="148"/>
        <v>-227774.7</v>
      </c>
      <c r="BW135" s="77">
        <f t="shared" si="148"/>
        <v>-227774.7</v>
      </c>
      <c r="BX135" s="77">
        <f t="shared" si="148"/>
        <v>-227774.7</v>
      </c>
      <c r="BY135" s="77">
        <f t="shared" si="148"/>
        <v>5316225.3</v>
      </c>
      <c r="BZ135" s="77">
        <f t="shared" si="148"/>
        <v>3855975.3000000003</v>
      </c>
      <c r="CA135" s="77">
        <f t="shared" si="148"/>
        <v>-227774.7</v>
      </c>
      <c r="CB135" s="77">
        <f t="shared" si="148"/>
        <v>-227774.7</v>
      </c>
      <c r="CC135" s="77">
        <f t="shared" si="148"/>
        <v>-227774.7</v>
      </c>
      <c r="CD135" s="77">
        <f t="shared" si="148"/>
        <v>-227774.7</v>
      </c>
      <c r="CE135" s="77">
        <f t="shared" si="148"/>
        <v>7616577.9996649548</v>
      </c>
      <c r="CF135" s="77">
        <f t="shared" si="148"/>
        <v>0</v>
      </c>
      <c r="CG135" s="77">
        <f t="shared" si="148"/>
        <v>0</v>
      </c>
      <c r="CH135" s="77">
        <f t="shared" si="148"/>
        <v>0</v>
      </c>
      <c r="CI135" s="77">
        <f t="shared" si="148"/>
        <v>0</v>
      </c>
      <c r="CJ135" s="77">
        <f t="shared" si="148"/>
        <v>0</v>
      </c>
      <c r="CK135" s="77">
        <f t="shared" si="148"/>
        <v>-523424.7</v>
      </c>
      <c r="CL135" s="77">
        <f t="shared" si="148"/>
        <v>-523424.7</v>
      </c>
      <c r="CM135" s="77">
        <f t="shared" si="148"/>
        <v>-523424.7</v>
      </c>
      <c r="CN135" s="77">
        <f t="shared" si="148"/>
        <v>-523424.7</v>
      </c>
      <c r="CO135" s="77">
        <f t="shared" si="148"/>
        <v>-523424.7</v>
      </c>
      <c r="CP135" s="77">
        <f t="shared" si="148"/>
        <v>-523424.7</v>
      </c>
      <c r="CQ135" s="77">
        <f t="shared" si="148"/>
        <v>-523424.7</v>
      </c>
      <c r="CR135" s="77">
        <f t="shared" si="148"/>
        <v>-523424.7</v>
      </c>
      <c r="CS135" s="77">
        <f t="shared" si="148"/>
        <v>-523424.7</v>
      </c>
      <c r="CT135" s="77">
        <f t="shared" si="148"/>
        <v>-523424.7</v>
      </c>
      <c r="CU135" s="77">
        <f t="shared" si="148"/>
        <v>-523424.7</v>
      </c>
      <c r="CV135" s="77">
        <f t="shared" si="148"/>
        <v>-523424.7</v>
      </c>
      <c r="CW135" s="77">
        <f t="shared" si="148"/>
        <v>15536809.359897047</v>
      </c>
      <c r="CX135" s="77" t="str">
        <f t="shared" si="148"/>
        <v/>
      </c>
      <c r="CY135" s="77" t="str">
        <f t="shared" si="148"/>
        <v/>
      </c>
      <c r="CZ135" s="77" t="str">
        <f t="shared" si="148"/>
        <v/>
      </c>
      <c r="DA135" s="77" t="str">
        <f t="shared" si="148"/>
        <v/>
      </c>
      <c r="DB135" s="77" t="str">
        <f t="shared" si="148"/>
        <v/>
      </c>
      <c r="DC135" s="77" t="str">
        <f t="shared" si="148"/>
        <v/>
      </c>
      <c r="DD135" s="77" t="str">
        <f t="shared" si="148"/>
        <v/>
      </c>
      <c r="DE135" s="77" t="str">
        <f t="shared" si="148"/>
        <v/>
      </c>
      <c r="DF135" s="77" t="str">
        <f t="shared" si="148"/>
        <v/>
      </c>
      <c r="DG135" s="77" t="str">
        <f t="shared" si="148"/>
        <v/>
      </c>
      <c r="DH135" s="77" t="str">
        <f t="shared" si="148"/>
        <v/>
      </c>
      <c r="DI135" s="77" t="str">
        <f t="shared" si="148"/>
        <v/>
      </c>
      <c r="DJ135" s="77" t="str">
        <f t="shared" si="148"/>
        <v/>
      </c>
      <c r="DK135" s="77" t="str">
        <f t="shared" si="148"/>
        <v/>
      </c>
      <c r="DL135" s="77" t="str">
        <f t="shared" si="148"/>
        <v/>
      </c>
      <c r="DM135" s="77" t="str">
        <f t="shared" si="148"/>
        <v/>
      </c>
      <c r="DN135" s="77" t="str">
        <f t="shared" si="148"/>
        <v/>
      </c>
      <c r="DO135" s="77" t="str">
        <f t="shared" si="148"/>
        <v/>
      </c>
      <c r="DP135" s="77" t="str">
        <f t="shared" si="148"/>
        <v/>
      </c>
      <c r="DQ135" s="77" t="str">
        <f t="shared" si="148"/>
        <v/>
      </c>
      <c r="DR135" s="77" t="str">
        <f t="shared" si="148"/>
        <v/>
      </c>
      <c r="DS135" s="77" t="str">
        <f t="shared" si="148"/>
        <v/>
      </c>
      <c r="DT135" s="77" t="str">
        <f t="shared" si="148"/>
        <v/>
      </c>
      <c r="DU135" s="77" t="str">
        <f t="shared" si="148"/>
        <v/>
      </c>
      <c r="DV135" s="77" t="str">
        <f t="shared" si="148"/>
        <v/>
      </c>
      <c r="DW135" s="77"/>
      <c r="DX135" s="77"/>
      <c r="DY135" s="78"/>
    </row>
    <row r="136" spans="2:129" outlineLevel="1" x14ac:dyDescent="0.2">
      <c r="B136" s="9"/>
      <c r="C136" s="9"/>
      <c r="D136" s="9"/>
      <c r="E136" s="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  <c r="AS136" s="129"/>
      <c r="AT136" s="129"/>
      <c r="AU136" s="129"/>
      <c r="AV136" s="129"/>
      <c r="AW136" s="129"/>
      <c r="AX136" s="129"/>
      <c r="AY136" s="129"/>
      <c r="AZ136" s="129"/>
      <c r="BA136" s="129"/>
      <c r="BB136" s="129"/>
      <c r="BC136" s="129"/>
      <c r="BD136" s="129"/>
      <c r="BE136" s="129"/>
      <c r="BF136" s="129"/>
      <c r="BG136" s="129"/>
      <c r="BH136" s="129"/>
      <c r="BI136" s="129"/>
      <c r="BJ136" s="129"/>
      <c r="BK136" s="129"/>
      <c r="BL136" s="129"/>
      <c r="BM136" s="129"/>
      <c r="BN136" s="129"/>
      <c r="BO136" s="129"/>
      <c r="BP136" s="129"/>
      <c r="BQ136" s="129"/>
      <c r="BR136" s="129"/>
      <c r="BS136" s="129"/>
      <c r="BT136" s="129"/>
      <c r="BU136" s="129"/>
      <c r="BV136" s="129"/>
      <c r="BW136" s="129"/>
      <c r="BX136" s="129"/>
      <c r="BY136" s="129"/>
      <c r="BZ136" s="129"/>
      <c r="CA136" s="129"/>
      <c r="CB136" s="129"/>
      <c r="CC136" s="129"/>
      <c r="CD136" s="129"/>
      <c r="CE136" s="129"/>
      <c r="CF136" s="129"/>
      <c r="CG136" s="129"/>
      <c r="CH136" s="129"/>
      <c r="CI136" s="129"/>
      <c r="CJ136" s="129"/>
      <c r="CK136" s="129"/>
      <c r="CL136" s="129"/>
      <c r="CM136" s="129"/>
      <c r="CN136" s="129"/>
      <c r="CO136" s="129"/>
      <c r="CP136" s="129"/>
      <c r="CQ136" s="129"/>
      <c r="CR136" s="129"/>
      <c r="CS136" s="129"/>
      <c r="CT136" s="129"/>
      <c r="CU136" s="129"/>
      <c r="CV136" s="129"/>
      <c r="CW136" s="129"/>
      <c r="CX136" s="129"/>
      <c r="CY136" s="129"/>
      <c r="CZ136" s="129"/>
      <c r="DA136" s="129"/>
      <c r="DB136" s="129"/>
      <c r="DC136" s="129"/>
      <c r="DD136" s="129"/>
      <c r="DE136" s="129"/>
      <c r="DF136" s="129"/>
      <c r="DG136" s="129"/>
      <c r="DH136" s="129"/>
      <c r="DI136" s="129"/>
      <c r="DJ136" s="129"/>
      <c r="DK136" s="129"/>
      <c r="DL136" s="129"/>
      <c r="DM136" s="129"/>
      <c r="DN136" s="129"/>
      <c r="DO136" s="129"/>
      <c r="DP136" s="129"/>
      <c r="DQ136" s="129"/>
      <c r="DR136" s="129"/>
      <c r="DS136" s="129"/>
      <c r="DT136" s="129"/>
      <c r="DU136" s="129"/>
      <c r="DV136" s="129"/>
      <c r="DW136" s="129"/>
      <c r="DX136" s="129"/>
      <c r="DY136" s="130"/>
    </row>
    <row r="137" spans="2:129" outlineLevel="1" x14ac:dyDescent="0.2">
      <c r="B137" s="16" t="s">
        <v>63</v>
      </c>
      <c r="C137" s="16"/>
      <c r="D137" s="16"/>
      <c r="E137" s="16"/>
      <c r="F137" s="77">
        <f t="shared" ref="F137" si="149">IF(F127="","",F133)</f>
        <v>0</v>
      </c>
      <c r="G137" s="77">
        <f>IF(G127="","",G133)</f>
        <v>0</v>
      </c>
      <c r="H137" s="77">
        <f t="shared" ref="H137:BS137" si="150">IF(H127="","",H133)</f>
        <v>0</v>
      </c>
      <c r="I137" s="77">
        <f t="shared" si="150"/>
        <v>0</v>
      </c>
      <c r="J137" s="77">
        <f t="shared" si="150"/>
        <v>0</v>
      </c>
      <c r="K137" s="77">
        <f t="shared" si="150"/>
        <v>0</v>
      </c>
      <c r="L137" s="77">
        <f t="shared" si="150"/>
        <v>0</v>
      </c>
      <c r="M137" s="77">
        <f t="shared" si="150"/>
        <v>0</v>
      </c>
      <c r="N137" s="77">
        <f t="shared" si="150"/>
        <v>0</v>
      </c>
      <c r="O137" s="77">
        <f t="shared" si="150"/>
        <v>0</v>
      </c>
      <c r="P137" s="77">
        <f t="shared" si="150"/>
        <v>0</v>
      </c>
      <c r="Q137" s="77">
        <f t="shared" si="150"/>
        <v>0</v>
      </c>
      <c r="R137" s="77">
        <f t="shared" si="150"/>
        <v>0</v>
      </c>
      <c r="S137" s="77">
        <f t="shared" si="150"/>
        <v>0</v>
      </c>
      <c r="T137" s="77">
        <f t="shared" si="150"/>
        <v>0</v>
      </c>
      <c r="U137" s="77">
        <f t="shared" si="150"/>
        <v>0</v>
      </c>
      <c r="V137" s="77">
        <f t="shared" si="150"/>
        <v>0</v>
      </c>
      <c r="W137" s="77">
        <f t="shared" si="150"/>
        <v>0</v>
      </c>
      <c r="X137" s="77">
        <f t="shared" si="150"/>
        <v>0</v>
      </c>
      <c r="Y137" s="77">
        <f t="shared" si="150"/>
        <v>0</v>
      </c>
      <c r="Z137" s="77">
        <f t="shared" si="150"/>
        <v>0</v>
      </c>
      <c r="AA137" s="77">
        <f t="shared" si="150"/>
        <v>0</v>
      </c>
      <c r="AB137" s="77">
        <f t="shared" si="150"/>
        <v>0</v>
      </c>
      <c r="AC137" s="77">
        <f t="shared" si="150"/>
        <v>0</v>
      </c>
      <c r="AD137" s="77">
        <f t="shared" si="150"/>
        <v>0</v>
      </c>
      <c r="AE137" s="77">
        <f t="shared" si="150"/>
        <v>0</v>
      </c>
      <c r="AF137" s="77">
        <f t="shared" si="150"/>
        <v>0</v>
      </c>
      <c r="AG137" s="77">
        <f t="shared" si="150"/>
        <v>0</v>
      </c>
      <c r="AH137" s="77">
        <f t="shared" si="150"/>
        <v>0</v>
      </c>
      <c r="AI137" s="77">
        <f t="shared" si="150"/>
        <v>0</v>
      </c>
      <c r="AJ137" s="77">
        <f t="shared" si="150"/>
        <v>0</v>
      </c>
      <c r="AK137" s="77">
        <f t="shared" si="150"/>
        <v>0</v>
      </c>
      <c r="AL137" s="77">
        <f t="shared" si="150"/>
        <v>0</v>
      </c>
      <c r="AM137" s="77">
        <f t="shared" si="150"/>
        <v>0</v>
      </c>
      <c r="AN137" s="77">
        <f t="shared" si="150"/>
        <v>0</v>
      </c>
      <c r="AO137" s="77">
        <f t="shared" si="150"/>
        <v>0</v>
      </c>
      <c r="AP137" s="77">
        <f t="shared" si="150"/>
        <v>0</v>
      </c>
      <c r="AQ137" s="77">
        <f t="shared" si="150"/>
        <v>0</v>
      </c>
      <c r="AR137" s="77">
        <f t="shared" si="150"/>
        <v>0</v>
      </c>
      <c r="AS137" s="77">
        <f t="shared" si="150"/>
        <v>0</v>
      </c>
      <c r="AT137" s="77">
        <f t="shared" si="150"/>
        <v>0</v>
      </c>
      <c r="AU137" s="77">
        <f t="shared" si="150"/>
        <v>0</v>
      </c>
      <c r="AV137" s="77">
        <f t="shared" si="150"/>
        <v>0</v>
      </c>
      <c r="AW137" s="77">
        <f t="shared" si="150"/>
        <v>0</v>
      </c>
      <c r="AX137" s="77">
        <f t="shared" si="150"/>
        <v>0</v>
      </c>
      <c r="AY137" s="77">
        <f t="shared" si="150"/>
        <v>0</v>
      </c>
      <c r="AZ137" s="77">
        <f t="shared" si="150"/>
        <v>0</v>
      </c>
      <c r="BA137" s="77">
        <f t="shared" si="150"/>
        <v>19871751.728302866</v>
      </c>
      <c r="BB137" s="77">
        <f t="shared" si="150"/>
        <v>0</v>
      </c>
      <c r="BC137" s="77">
        <f t="shared" si="150"/>
        <v>0</v>
      </c>
      <c r="BD137" s="77">
        <f t="shared" si="150"/>
        <v>0</v>
      </c>
      <c r="BE137" s="77">
        <f t="shared" si="150"/>
        <v>0</v>
      </c>
      <c r="BF137" s="77">
        <f t="shared" si="150"/>
        <v>0</v>
      </c>
      <c r="BG137" s="77">
        <f t="shared" si="150"/>
        <v>0</v>
      </c>
      <c r="BH137" s="77">
        <f t="shared" si="150"/>
        <v>0</v>
      </c>
      <c r="BI137" s="77">
        <f t="shared" si="150"/>
        <v>0</v>
      </c>
      <c r="BJ137" s="77">
        <f t="shared" si="150"/>
        <v>0</v>
      </c>
      <c r="BK137" s="77">
        <f t="shared" si="150"/>
        <v>0</v>
      </c>
      <c r="BL137" s="77">
        <f t="shared" si="150"/>
        <v>0</v>
      </c>
      <c r="BM137" s="77">
        <f t="shared" si="150"/>
        <v>0</v>
      </c>
      <c r="BN137" s="77">
        <f t="shared" si="150"/>
        <v>0</v>
      </c>
      <c r="BO137" s="77">
        <f t="shared" si="150"/>
        <v>0</v>
      </c>
      <c r="BP137" s="77">
        <f t="shared" si="150"/>
        <v>0</v>
      </c>
      <c r="BQ137" s="77">
        <f t="shared" si="150"/>
        <v>0</v>
      </c>
      <c r="BR137" s="77">
        <f t="shared" si="150"/>
        <v>0</v>
      </c>
      <c r="BS137" s="77">
        <f t="shared" si="150"/>
        <v>0</v>
      </c>
      <c r="BT137" s="77">
        <f t="shared" ref="BT137:DV137" si="151">IF(BT127="","",BT133)</f>
        <v>0</v>
      </c>
      <c r="BU137" s="77">
        <f t="shared" si="151"/>
        <v>0</v>
      </c>
      <c r="BV137" s="77">
        <f t="shared" si="151"/>
        <v>0</v>
      </c>
      <c r="BW137" s="77">
        <f t="shared" si="151"/>
        <v>0</v>
      </c>
      <c r="BX137" s="77">
        <f t="shared" si="151"/>
        <v>0</v>
      </c>
      <c r="BY137" s="77">
        <f t="shared" si="151"/>
        <v>0</v>
      </c>
      <c r="BZ137" s="77">
        <f t="shared" si="151"/>
        <v>0</v>
      </c>
      <c r="CA137" s="77">
        <f t="shared" si="151"/>
        <v>0</v>
      </c>
      <c r="CB137" s="77">
        <f t="shared" si="151"/>
        <v>0</v>
      </c>
      <c r="CC137" s="77">
        <f t="shared" si="151"/>
        <v>0</v>
      </c>
      <c r="CD137" s="77">
        <f t="shared" si="151"/>
        <v>0</v>
      </c>
      <c r="CE137" s="77">
        <f t="shared" si="151"/>
        <v>5483399.7238263926</v>
      </c>
      <c r="CF137" s="77">
        <f t="shared" si="151"/>
        <v>0</v>
      </c>
      <c r="CG137" s="77">
        <f t="shared" si="151"/>
        <v>0</v>
      </c>
      <c r="CH137" s="77">
        <f t="shared" si="151"/>
        <v>0</v>
      </c>
      <c r="CI137" s="77">
        <f t="shared" si="151"/>
        <v>0</v>
      </c>
      <c r="CJ137" s="77">
        <f t="shared" si="151"/>
        <v>0</v>
      </c>
      <c r="CK137" s="77">
        <f t="shared" si="151"/>
        <v>0</v>
      </c>
      <c r="CL137" s="77">
        <f t="shared" si="151"/>
        <v>0</v>
      </c>
      <c r="CM137" s="77">
        <f t="shared" si="151"/>
        <v>0</v>
      </c>
      <c r="CN137" s="77">
        <f t="shared" si="151"/>
        <v>0</v>
      </c>
      <c r="CO137" s="77">
        <f t="shared" si="151"/>
        <v>0</v>
      </c>
      <c r="CP137" s="77">
        <f t="shared" si="151"/>
        <v>0</v>
      </c>
      <c r="CQ137" s="77">
        <f t="shared" si="151"/>
        <v>0</v>
      </c>
      <c r="CR137" s="77">
        <f t="shared" si="151"/>
        <v>0</v>
      </c>
      <c r="CS137" s="77">
        <f t="shared" si="151"/>
        <v>0</v>
      </c>
      <c r="CT137" s="77">
        <f t="shared" si="151"/>
        <v>0</v>
      </c>
      <c r="CU137" s="77">
        <f t="shared" si="151"/>
        <v>0</v>
      </c>
      <c r="CV137" s="77">
        <f t="shared" si="151"/>
        <v>0</v>
      </c>
      <c r="CW137" s="77">
        <f t="shared" si="151"/>
        <v>8755732.2059088182</v>
      </c>
      <c r="CX137" s="77" t="str">
        <f t="shared" si="151"/>
        <v/>
      </c>
      <c r="CY137" s="77" t="str">
        <f t="shared" si="151"/>
        <v/>
      </c>
      <c r="CZ137" s="77" t="str">
        <f t="shared" si="151"/>
        <v/>
      </c>
      <c r="DA137" s="77" t="str">
        <f t="shared" si="151"/>
        <v/>
      </c>
      <c r="DB137" s="77" t="str">
        <f t="shared" si="151"/>
        <v/>
      </c>
      <c r="DC137" s="77" t="str">
        <f t="shared" si="151"/>
        <v/>
      </c>
      <c r="DD137" s="77" t="str">
        <f t="shared" si="151"/>
        <v/>
      </c>
      <c r="DE137" s="77" t="str">
        <f t="shared" si="151"/>
        <v/>
      </c>
      <c r="DF137" s="77" t="str">
        <f t="shared" si="151"/>
        <v/>
      </c>
      <c r="DG137" s="77" t="str">
        <f t="shared" si="151"/>
        <v/>
      </c>
      <c r="DH137" s="77" t="str">
        <f t="shared" si="151"/>
        <v/>
      </c>
      <c r="DI137" s="77" t="str">
        <f t="shared" si="151"/>
        <v/>
      </c>
      <c r="DJ137" s="77" t="str">
        <f t="shared" si="151"/>
        <v/>
      </c>
      <c r="DK137" s="77" t="str">
        <f t="shared" si="151"/>
        <v/>
      </c>
      <c r="DL137" s="77" t="str">
        <f t="shared" si="151"/>
        <v/>
      </c>
      <c r="DM137" s="77" t="str">
        <f t="shared" si="151"/>
        <v/>
      </c>
      <c r="DN137" s="77" t="str">
        <f t="shared" si="151"/>
        <v/>
      </c>
      <c r="DO137" s="77" t="str">
        <f t="shared" si="151"/>
        <v/>
      </c>
      <c r="DP137" s="77" t="str">
        <f t="shared" si="151"/>
        <v/>
      </c>
      <c r="DQ137" s="77" t="str">
        <f t="shared" si="151"/>
        <v/>
      </c>
      <c r="DR137" s="77" t="str">
        <f t="shared" si="151"/>
        <v/>
      </c>
      <c r="DS137" s="77" t="str">
        <f t="shared" si="151"/>
        <v/>
      </c>
      <c r="DT137" s="77" t="str">
        <f t="shared" si="151"/>
        <v/>
      </c>
      <c r="DU137" s="77" t="str">
        <f t="shared" si="151"/>
        <v/>
      </c>
      <c r="DV137" s="77" t="str">
        <f t="shared" si="151"/>
        <v/>
      </c>
      <c r="DW137" s="77"/>
      <c r="DX137" s="77"/>
      <c r="DY137" s="78"/>
    </row>
    <row r="138" spans="2:129" outlineLevel="1" x14ac:dyDescent="0.2">
      <c r="B138" s="16" t="s">
        <v>67</v>
      </c>
      <c r="C138" s="16"/>
      <c r="D138" s="16"/>
      <c r="E138" s="16"/>
      <c r="F138" s="77">
        <f t="shared" ref="F138" si="152">IF(F127="","",F137/$I$17*$H$17)</f>
        <v>0</v>
      </c>
      <c r="G138" s="77">
        <f>IF(G127="","",G137/$I$17*$H$17)</f>
        <v>0</v>
      </c>
      <c r="H138" s="77">
        <f t="shared" ref="H138:BS138" si="153">IF(H127="","",H137/$I$17*$H$17)</f>
        <v>0</v>
      </c>
      <c r="I138" s="77">
        <f t="shared" si="153"/>
        <v>0</v>
      </c>
      <c r="J138" s="77">
        <f t="shared" si="153"/>
        <v>0</v>
      </c>
      <c r="K138" s="77">
        <f t="shared" si="153"/>
        <v>0</v>
      </c>
      <c r="L138" s="77">
        <f t="shared" si="153"/>
        <v>0</v>
      </c>
      <c r="M138" s="77">
        <f t="shared" si="153"/>
        <v>0</v>
      </c>
      <c r="N138" s="77">
        <f t="shared" si="153"/>
        <v>0</v>
      </c>
      <c r="O138" s="77">
        <f t="shared" si="153"/>
        <v>0</v>
      </c>
      <c r="P138" s="77">
        <f t="shared" si="153"/>
        <v>0</v>
      </c>
      <c r="Q138" s="77">
        <f t="shared" si="153"/>
        <v>0</v>
      </c>
      <c r="R138" s="77">
        <f t="shared" si="153"/>
        <v>0</v>
      </c>
      <c r="S138" s="77">
        <f t="shared" si="153"/>
        <v>0</v>
      </c>
      <c r="T138" s="77">
        <f t="shared" si="153"/>
        <v>0</v>
      </c>
      <c r="U138" s="77">
        <f t="shared" si="153"/>
        <v>0</v>
      </c>
      <c r="V138" s="77">
        <f t="shared" si="153"/>
        <v>0</v>
      </c>
      <c r="W138" s="77">
        <f t="shared" si="153"/>
        <v>0</v>
      </c>
      <c r="X138" s="77">
        <f t="shared" si="153"/>
        <v>0</v>
      </c>
      <c r="Y138" s="77">
        <f t="shared" si="153"/>
        <v>0</v>
      </c>
      <c r="Z138" s="77">
        <f t="shared" si="153"/>
        <v>0</v>
      </c>
      <c r="AA138" s="77">
        <f t="shared" si="153"/>
        <v>0</v>
      </c>
      <c r="AB138" s="77">
        <f t="shared" si="153"/>
        <v>0</v>
      </c>
      <c r="AC138" s="77">
        <f t="shared" si="153"/>
        <v>0</v>
      </c>
      <c r="AD138" s="77">
        <f t="shared" si="153"/>
        <v>0</v>
      </c>
      <c r="AE138" s="77">
        <f t="shared" si="153"/>
        <v>0</v>
      </c>
      <c r="AF138" s="77">
        <f t="shared" si="153"/>
        <v>0</v>
      </c>
      <c r="AG138" s="77">
        <f t="shared" si="153"/>
        <v>0</v>
      </c>
      <c r="AH138" s="77">
        <f t="shared" si="153"/>
        <v>0</v>
      </c>
      <c r="AI138" s="77">
        <f t="shared" si="153"/>
        <v>0</v>
      </c>
      <c r="AJ138" s="77">
        <f t="shared" si="153"/>
        <v>0</v>
      </c>
      <c r="AK138" s="77">
        <f t="shared" si="153"/>
        <v>0</v>
      </c>
      <c r="AL138" s="77">
        <f t="shared" si="153"/>
        <v>0</v>
      </c>
      <c r="AM138" s="77">
        <f t="shared" si="153"/>
        <v>0</v>
      </c>
      <c r="AN138" s="77">
        <f t="shared" si="153"/>
        <v>0</v>
      </c>
      <c r="AO138" s="77">
        <f t="shared" si="153"/>
        <v>0</v>
      </c>
      <c r="AP138" s="77">
        <f t="shared" si="153"/>
        <v>0</v>
      </c>
      <c r="AQ138" s="77">
        <f t="shared" si="153"/>
        <v>0</v>
      </c>
      <c r="AR138" s="77">
        <f t="shared" si="153"/>
        <v>0</v>
      </c>
      <c r="AS138" s="77">
        <f t="shared" si="153"/>
        <v>0</v>
      </c>
      <c r="AT138" s="77">
        <f t="shared" si="153"/>
        <v>0</v>
      </c>
      <c r="AU138" s="77">
        <f t="shared" si="153"/>
        <v>0</v>
      </c>
      <c r="AV138" s="77">
        <f t="shared" si="153"/>
        <v>0</v>
      </c>
      <c r="AW138" s="77">
        <f t="shared" si="153"/>
        <v>0</v>
      </c>
      <c r="AX138" s="77">
        <f t="shared" si="153"/>
        <v>0</v>
      </c>
      <c r="AY138" s="77">
        <f t="shared" si="153"/>
        <v>0</v>
      </c>
      <c r="AZ138" s="77">
        <f t="shared" si="153"/>
        <v>0</v>
      </c>
      <c r="BA138" s="77">
        <f t="shared" si="153"/>
        <v>24287696.556814618</v>
      </c>
      <c r="BB138" s="77">
        <f t="shared" si="153"/>
        <v>0</v>
      </c>
      <c r="BC138" s="77">
        <f t="shared" si="153"/>
        <v>0</v>
      </c>
      <c r="BD138" s="77">
        <f t="shared" si="153"/>
        <v>0</v>
      </c>
      <c r="BE138" s="77">
        <f t="shared" si="153"/>
        <v>0</v>
      </c>
      <c r="BF138" s="77">
        <f t="shared" si="153"/>
        <v>0</v>
      </c>
      <c r="BG138" s="77">
        <f t="shared" si="153"/>
        <v>0</v>
      </c>
      <c r="BH138" s="77">
        <f t="shared" si="153"/>
        <v>0</v>
      </c>
      <c r="BI138" s="77">
        <f t="shared" si="153"/>
        <v>0</v>
      </c>
      <c r="BJ138" s="77">
        <f t="shared" si="153"/>
        <v>0</v>
      </c>
      <c r="BK138" s="77">
        <f t="shared" si="153"/>
        <v>0</v>
      </c>
      <c r="BL138" s="77">
        <f t="shared" si="153"/>
        <v>0</v>
      </c>
      <c r="BM138" s="77">
        <f t="shared" si="153"/>
        <v>0</v>
      </c>
      <c r="BN138" s="77">
        <f t="shared" si="153"/>
        <v>0</v>
      </c>
      <c r="BO138" s="77">
        <f t="shared" si="153"/>
        <v>0</v>
      </c>
      <c r="BP138" s="77">
        <f t="shared" si="153"/>
        <v>0</v>
      </c>
      <c r="BQ138" s="77">
        <f t="shared" si="153"/>
        <v>0</v>
      </c>
      <c r="BR138" s="77">
        <f t="shared" si="153"/>
        <v>0</v>
      </c>
      <c r="BS138" s="77">
        <f t="shared" si="153"/>
        <v>0</v>
      </c>
      <c r="BT138" s="77">
        <f t="shared" ref="BT138:DV138" si="154">IF(BT127="","",BT137/$I$17*$H$17)</f>
        <v>0</v>
      </c>
      <c r="BU138" s="77">
        <f t="shared" si="154"/>
        <v>0</v>
      </c>
      <c r="BV138" s="77">
        <f t="shared" si="154"/>
        <v>0</v>
      </c>
      <c r="BW138" s="77">
        <f t="shared" si="154"/>
        <v>0</v>
      </c>
      <c r="BX138" s="77">
        <f t="shared" si="154"/>
        <v>0</v>
      </c>
      <c r="BY138" s="77">
        <f t="shared" si="154"/>
        <v>0</v>
      </c>
      <c r="BZ138" s="77">
        <f t="shared" si="154"/>
        <v>0</v>
      </c>
      <c r="CA138" s="77">
        <f t="shared" si="154"/>
        <v>0</v>
      </c>
      <c r="CB138" s="77">
        <f t="shared" si="154"/>
        <v>0</v>
      </c>
      <c r="CC138" s="77">
        <f t="shared" si="154"/>
        <v>0</v>
      </c>
      <c r="CD138" s="77">
        <f t="shared" si="154"/>
        <v>0</v>
      </c>
      <c r="CE138" s="77">
        <f t="shared" si="154"/>
        <v>6701932.9957878152</v>
      </c>
      <c r="CF138" s="77">
        <f t="shared" si="154"/>
        <v>0</v>
      </c>
      <c r="CG138" s="77">
        <f t="shared" si="154"/>
        <v>0</v>
      </c>
      <c r="CH138" s="77">
        <f t="shared" si="154"/>
        <v>0</v>
      </c>
      <c r="CI138" s="77">
        <f t="shared" si="154"/>
        <v>0</v>
      </c>
      <c r="CJ138" s="77">
        <f t="shared" si="154"/>
        <v>0</v>
      </c>
      <c r="CK138" s="77">
        <f t="shared" si="154"/>
        <v>0</v>
      </c>
      <c r="CL138" s="77">
        <f t="shared" si="154"/>
        <v>0</v>
      </c>
      <c r="CM138" s="77">
        <f t="shared" si="154"/>
        <v>0</v>
      </c>
      <c r="CN138" s="77">
        <f t="shared" si="154"/>
        <v>0</v>
      </c>
      <c r="CO138" s="77">
        <f t="shared" si="154"/>
        <v>0</v>
      </c>
      <c r="CP138" s="77">
        <f t="shared" si="154"/>
        <v>0</v>
      </c>
      <c r="CQ138" s="77">
        <f t="shared" si="154"/>
        <v>0</v>
      </c>
      <c r="CR138" s="77">
        <f t="shared" si="154"/>
        <v>0</v>
      </c>
      <c r="CS138" s="77">
        <f t="shared" si="154"/>
        <v>0</v>
      </c>
      <c r="CT138" s="77">
        <f t="shared" si="154"/>
        <v>0</v>
      </c>
      <c r="CU138" s="77">
        <f t="shared" si="154"/>
        <v>0</v>
      </c>
      <c r="CV138" s="77">
        <f t="shared" si="154"/>
        <v>0</v>
      </c>
      <c r="CW138" s="77">
        <f t="shared" si="154"/>
        <v>10701450.473888559</v>
      </c>
      <c r="CX138" s="77" t="str">
        <f t="shared" si="154"/>
        <v/>
      </c>
      <c r="CY138" s="77" t="str">
        <f t="shared" si="154"/>
        <v/>
      </c>
      <c r="CZ138" s="77" t="str">
        <f t="shared" si="154"/>
        <v/>
      </c>
      <c r="DA138" s="77" t="str">
        <f t="shared" si="154"/>
        <v/>
      </c>
      <c r="DB138" s="77" t="str">
        <f t="shared" si="154"/>
        <v/>
      </c>
      <c r="DC138" s="77" t="str">
        <f t="shared" si="154"/>
        <v/>
      </c>
      <c r="DD138" s="77" t="str">
        <f t="shared" si="154"/>
        <v/>
      </c>
      <c r="DE138" s="77" t="str">
        <f t="shared" si="154"/>
        <v/>
      </c>
      <c r="DF138" s="77" t="str">
        <f t="shared" si="154"/>
        <v/>
      </c>
      <c r="DG138" s="77" t="str">
        <f t="shared" si="154"/>
        <v/>
      </c>
      <c r="DH138" s="77" t="str">
        <f t="shared" si="154"/>
        <v/>
      </c>
      <c r="DI138" s="77" t="str">
        <f t="shared" si="154"/>
        <v/>
      </c>
      <c r="DJ138" s="77" t="str">
        <f t="shared" si="154"/>
        <v/>
      </c>
      <c r="DK138" s="77" t="str">
        <f t="shared" si="154"/>
        <v/>
      </c>
      <c r="DL138" s="77" t="str">
        <f t="shared" si="154"/>
        <v/>
      </c>
      <c r="DM138" s="77" t="str">
        <f t="shared" si="154"/>
        <v/>
      </c>
      <c r="DN138" s="77" t="str">
        <f t="shared" si="154"/>
        <v/>
      </c>
      <c r="DO138" s="77" t="str">
        <f t="shared" si="154"/>
        <v/>
      </c>
      <c r="DP138" s="77" t="str">
        <f t="shared" si="154"/>
        <v/>
      </c>
      <c r="DQ138" s="77" t="str">
        <f t="shared" si="154"/>
        <v/>
      </c>
      <c r="DR138" s="77" t="str">
        <f t="shared" si="154"/>
        <v/>
      </c>
      <c r="DS138" s="77" t="str">
        <f t="shared" si="154"/>
        <v/>
      </c>
      <c r="DT138" s="77" t="str">
        <f t="shared" si="154"/>
        <v/>
      </c>
      <c r="DU138" s="77" t="str">
        <f t="shared" si="154"/>
        <v/>
      </c>
      <c r="DV138" s="77" t="str">
        <f t="shared" si="154"/>
        <v/>
      </c>
      <c r="DW138" s="77"/>
      <c r="DX138" s="77"/>
      <c r="DY138" s="78"/>
    </row>
    <row r="139" spans="2:129" outlineLevel="1" x14ac:dyDescent="0.2">
      <c r="B139" s="16" t="str">
        <f>"Total Distributions ("&amp;B127&amp;")"</f>
        <v>Total Distributions (Tier 3)</v>
      </c>
      <c r="C139" s="16"/>
      <c r="D139" s="16"/>
      <c r="E139" s="16"/>
      <c r="F139" s="77">
        <f t="shared" ref="F139" si="155">IF(F127="","",F137+F138)</f>
        <v>0</v>
      </c>
      <c r="G139" s="77">
        <f>IF(G127="","",G137+G138)</f>
        <v>0</v>
      </c>
      <c r="H139" s="77">
        <f t="shared" ref="H139:BS139" si="156">IF(H127="","",H137+H138)</f>
        <v>0</v>
      </c>
      <c r="I139" s="77">
        <f t="shared" si="156"/>
        <v>0</v>
      </c>
      <c r="J139" s="77">
        <f t="shared" si="156"/>
        <v>0</v>
      </c>
      <c r="K139" s="77">
        <f t="shared" si="156"/>
        <v>0</v>
      </c>
      <c r="L139" s="77">
        <f t="shared" si="156"/>
        <v>0</v>
      </c>
      <c r="M139" s="77">
        <f t="shared" si="156"/>
        <v>0</v>
      </c>
      <c r="N139" s="77">
        <f t="shared" si="156"/>
        <v>0</v>
      </c>
      <c r="O139" s="77">
        <f t="shared" si="156"/>
        <v>0</v>
      </c>
      <c r="P139" s="77">
        <f t="shared" si="156"/>
        <v>0</v>
      </c>
      <c r="Q139" s="77">
        <f t="shared" si="156"/>
        <v>0</v>
      </c>
      <c r="R139" s="77">
        <f t="shared" si="156"/>
        <v>0</v>
      </c>
      <c r="S139" s="77">
        <f t="shared" si="156"/>
        <v>0</v>
      </c>
      <c r="T139" s="77">
        <f t="shared" si="156"/>
        <v>0</v>
      </c>
      <c r="U139" s="77">
        <f t="shared" si="156"/>
        <v>0</v>
      </c>
      <c r="V139" s="77">
        <f t="shared" si="156"/>
        <v>0</v>
      </c>
      <c r="W139" s="77">
        <f t="shared" si="156"/>
        <v>0</v>
      </c>
      <c r="X139" s="77">
        <f t="shared" si="156"/>
        <v>0</v>
      </c>
      <c r="Y139" s="77">
        <f t="shared" si="156"/>
        <v>0</v>
      </c>
      <c r="Z139" s="77">
        <f t="shared" si="156"/>
        <v>0</v>
      </c>
      <c r="AA139" s="77">
        <f t="shared" si="156"/>
        <v>0</v>
      </c>
      <c r="AB139" s="77">
        <f t="shared" si="156"/>
        <v>0</v>
      </c>
      <c r="AC139" s="77">
        <f t="shared" si="156"/>
        <v>0</v>
      </c>
      <c r="AD139" s="77">
        <f t="shared" si="156"/>
        <v>0</v>
      </c>
      <c r="AE139" s="77">
        <f t="shared" si="156"/>
        <v>0</v>
      </c>
      <c r="AF139" s="77">
        <f t="shared" si="156"/>
        <v>0</v>
      </c>
      <c r="AG139" s="77">
        <f t="shared" si="156"/>
        <v>0</v>
      </c>
      <c r="AH139" s="77">
        <f t="shared" si="156"/>
        <v>0</v>
      </c>
      <c r="AI139" s="77">
        <f t="shared" si="156"/>
        <v>0</v>
      </c>
      <c r="AJ139" s="77">
        <f t="shared" si="156"/>
        <v>0</v>
      </c>
      <c r="AK139" s="77">
        <f t="shared" si="156"/>
        <v>0</v>
      </c>
      <c r="AL139" s="77">
        <f t="shared" si="156"/>
        <v>0</v>
      </c>
      <c r="AM139" s="77">
        <f t="shared" si="156"/>
        <v>0</v>
      </c>
      <c r="AN139" s="77">
        <f t="shared" si="156"/>
        <v>0</v>
      </c>
      <c r="AO139" s="77">
        <f t="shared" si="156"/>
        <v>0</v>
      </c>
      <c r="AP139" s="77">
        <f t="shared" si="156"/>
        <v>0</v>
      </c>
      <c r="AQ139" s="77">
        <f t="shared" si="156"/>
        <v>0</v>
      </c>
      <c r="AR139" s="77">
        <f t="shared" si="156"/>
        <v>0</v>
      </c>
      <c r="AS139" s="77">
        <f t="shared" si="156"/>
        <v>0</v>
      </c>
      <c r="AT139" s="77">
        <f t="shared" si="156"/>
        <v>0</v>
      </c>
      <c r="AU139" s="77">
        <f t="shared" si="156"/>
        <v>0</v>
      </c>
      <c r="AV139" s="77">
        <f t="shared" si="156"/>
        <v>0</v>
      </c>
      <c r="AW139" s="77">
        <f t="shared" si="156"/>
        <v>0</v>
      </c>
      <c r="AX139" s="77">
        <f t="shared" si="156"/>
        <v>0</v>
      </c>
      <c r="AY139" s="77">
        <f t="shared" si="156"/>
        <v>0</v>
      </c>
      <c r="AZ139" s="77">
        <f t="shared" si="156"/>
        <v>0</v>
      </c>
      <c r="BA139" s="77">
        <f t="shared" si="156"/>
        <v>44159448.285117485</v>
      </c>
      <c r="BB139" s="77">
        <f t="shared" si="156"/>
        <v>0</v>
      </c>
      <c r="BC139" s="77">
        <f t="shared" si="156"/>
        <v>0</v>
      </c>
      <c r="BD139" s="77">
        <f t="shared" si="156"/>
        <v>0</v>
      </c>
      <c r="BE139" s="77">
        <f t="shared" si="156"/>
        <v>0</v>
      </c>
      <c r="BF139" s="77">
        <f t="shared" si="156"/>
        <v>0</v>
      </c>
      <c r="BG139" s="77">
        <f t="shared" si="156"/>
        <v>0</v>
      </c>
      <c r="BH139" s="77">
        <f t="shared" si="156"/>
        <v>0</v>
      </c>
      <c r="BI139" s="77">
        <f t="shared" si="156"/>
        <v>0</v>
      </c>
      <c r="BJ139" s="77">
        <f t="shared" si="156"/>
        <v>0</v>
      </c>
      <c r="BK139" s="77">
        <f t="shared" si="156"/>
        <v>0</v>
      </c>
      <c r="BL139" s="77">
        <f t="shared" si="156"/>
        <v>0</v>
      </c>
      <c r="BM139" s="77">
        <f t="shared" si="156"/>
        <v>0</v>
      </c>
      <c r="BN139" s="77">
        <f t="shared" si="156"/>
        <v>0</v>
      </c>
      <c r="BO139" s="77">
        <f t="shared" si="156"/>
        <v>0</v>
      </c>
      <c r="BP139" s="77">
        <f t="shared" si="156"/>
        <v>0</v>
      </c>
      <c r="BQ139" s="77">
        <f t="shared" si="156"/>
        <v>0</v>
      </c>
      <c r="BR139" s="77">
        <f t="shared" si="156"/>
        <v>0</v>
      </c>
      <c r="BS139" s="77">
        <f t="shared" si="156"/>
        <v>0</v>
      </c>
      <c r="BT139" s="77">
        <f t="shared" ref="BT139:DV139" si="157">IF(BT127="","",BT137+BT138)</f>
        <v>0</v>
      </c>
      <c r="BU139" s="77">
        <f t="shared" si="157"/>
        <v>0</v>
      </c>
      <c r="BV139" s="77">
        <f t="shared" si="157"/>
        <v>0</v>
      </c>
      <c r="BW139" s="77">
        <f t="shared" si="157"/>
        <v>0</v>
      </c>
      <c r="BX139" s="77">
        <f t="shared" si="157"/>
        <v>0</v>
      </c>
      <c r="BY139" s="77">
        <f t="shared" si="157"/>
        <v>0</v>
      </c>
      <c r="BZ139" s="77">
        <f t="shared" si="157"/>
        <v>0</v>
      </c>
      <c r="CA139" s="77">
        <f t="shared" si="157"/>
        <v>0</v>
      </c>
      <c r="CB139" s="77">
        <f t="shared" si="157"/>
        <v>0</v>
      </c>
      <c r="CC139" s="77">
        <f t="shared" si="157"/>
        <v>0</v>
      </c>
      <c r="CD139" s="77">
        <f t="shared" si="157"/>
        <v>0</v>
      </c>
      <c r="CE139" s="77">
        <f t="shared" si="157"/>
        <v>12185332.719614208</v>
      </c>
      <c r="CF139" s="77">
        <f t="shared" si="157"/>
        <v>0</v>
      </c>
      <c r="CG139" s="77">
        <f t="shared" si="157"/>
        <v>0</v>
      </c>
      <c r="CH139" s="77">
        <f t="shared" si="157"/>
        <v>0</v>
      </c>
      <c r="CI139" s="77">
        <f t="shared" si="157"/>
        <v>0</v>
      </c>
      <c r="CJ139" s="77">
        <f t="shared" si="157"/>
        <v>0</v>
      </c>
      <c r="CK139" s="77">
        <f t="shared" si="157"/>
        <v>0</v>
      </c>
      <c r="CL139" s="77">
        <f t="shared" si="157"/>
        <v>0</v>
      </c>
      <c r="CM139" s="77">
        <f t="shared" si="157"/>
        <v>0</v>
      </c>
      <c r="CN139" s="77">
        <f t="shared" si="157"/>
        <v>0</v>
      </c>
      <c r="CO139" s="77">
        <f t="shared" si="157"/>
        <v>0</v>
      </c>
      <c r="CP139" s="77">
        <f t="shared" si="157"/>
        <v>0</v>
      </c>
      <c r="CQ139" s="77">
        <f t="shared" si="157"/>
        <v>0</v>
      </c>
      <c r="CR139" s="77">
        <f t="shared" si="157"/>
        <v>0</v>
      </c>
      <c r="CS139" s="77">
        <f t="shared" si="157"/>
        <v>0</v>
      </c>
      <c r="CT139" s="77">
        <f t="shared" si="157"/>
        <v>0</v>
      </c>
      <c r="CU139" s="77">
        <f t="shared" si="157"/>
        <v>0</v>
      </c>
      <c r="CV139" s="77">
        <f t="shared" si="157"/>
        <v>0</v>
      </c>
      <c r="CW139" s="77">
        <f t="shared" si="157"/>
        <v>19457182.679797377</v>
      </c>
      <c r="CX139" s="77" t="str">
        <f t="shared" si="157"/>
        <v/>
      </c>
      <c r="CY139" s="77" t="str">
        <f t="shared" si="157"/>
        <v/>
      </c>
      <c r="CZ139" s="77" t="str">
        <f t="shared" si="157"/>
        <v/>
      </c>
      <c r="DA139" s="77" t="str">
        <f t="shared" si="157"/>
        <v/>
      </c>
      <c r="DB139" s="77" t="str">
        <f t="shared" si="157"/>
        <v/>
      </c>
      <c r="DC139" s="77" t="str">
        <f t="shared" si="157"/>
        <v/>
      </c>
      <c r="DD139" s="77" t="str">
        <f t="shared" si="157"/>
        <v/>
      </c>
      <c r="DE139" s="77" t="str">
        <f t="shared" si="157"/>
        <v/>
      </c>
      <c r="DF139" s="77" t="str">
        <f t="shared" si="157"/>
        <v/>
      </c>
      <c r="DG139" s="77" t="str">
        <f t="shared" si="157"/>
        <v/>
      </c>
      <c r="DH139" s="77" t="str">
        <f t="shared" si="157"/>
        <v/>
      </c>
      <c r="DI139" s="77" t="str">
        <f t="shared" si="157"/>
        <v/>
      </c>
      <c r="DJ139" s="77" t="str">
        <f t="shared" si="157"/>
        <v/>
      </c>
      <c r="DK139" s="77" t="str">
        <f t="shared" si="157"/>
        <v/>
      </c>
      <c r="DL139" s="77" t="str">
        <f t="shared" si="157"/>
        <v/>
      </c>
      <c r="DM139" s="77" t="str">
        <f t="shared" si="157"/>
        <v/>
      </c>
      <c r="DN139" s="77" t="str">
        <f t="shared" si="157"/>
        <v/>
      </c>
      <c r="DO139" s="77" t="str">
        <f t="shared" si="157"/>
        <v/>
      </c>
      <c r="DP139" s="77" t="str">
        <f t="shared" si="157"/>
        <v/>
      </c>
      <c r="DQ139" s="77" t="str">
        <f t="shared" si="157"/>
        <v/>
      </c>
      <c r="DR139" s="77" t="str">
        <f t="shared" si="157"/>
        <v/>
      </c>
      <c r="DS139" s="77" t="str">
        <f t="shared" si="157"/>
        <v/>
      </c>
      <c r="DT139" s="77" t="str">
        <f t="shared" si="157"/>
        <v/>
      </c>
      <c r="DU139" s="77" t="str">
        <f t="shared" si="157"/>
        <v/>
      </c>
      <c r="DV139" s="77" t="str">
        <f t="shared" si="157"/>
        <v/>
      </c>
      <c r="DW139" s="77"/>
      <c r="DX139" s="77"/>
      <c r="DY139" s="78"/>
    </row>
    <row r="140" spans="2:129" outlineLevel="1" x14ac:dyDescent="0.2">
      <c r="B140" s="16" t="s">
        <v>69</v>
      </c>
      <c r="C140" s="16"/>
      <c r="D140" s="16"/>
      <c r="E140" s="16"/>
      <c r="F140" s="77">
        <f>IF(F127="","",MAX(F$51-F109-F124-F139,0))</f>
        <v>0</v>
      </c>
      <c r="G140" s="77">
        <f>IF(G127="","",MAX(G$51-G109-G124-G139,0))</f>
        <v>0</v>
      </c>
      <c r="H140" s="77">
        <f t="shared" ref="H140:BS140" si="158">IF(H127="","",MAX(H$51-H109-H124-H139,0))</f>
        <v>0</v>
      </c>
      <c r="I140" s="77">
        <f t="shared" si="158"/>
        <v>0</v>
      </c>
      <c r="J140" s="77">
        <f t="shared" si="158"/>
        <v>0</v>
      </c>
      <c r="K140" s="77">
        <f t="shared" si="158"/>
        <v>0</v>
      </c>
      <c r="L140" s="77">
        <f t="shared" si="158"/>
        <v>0</v>
      </c>
      <c r="M140" s="77">
        <f t="shared" si="158"/>
        <v>0</v>
      </c>
      <c r="N140" s="77">
        <f t="shared" si="158"/>
        <v>0</v>
      </c>
      <c r="O140" s="77">
        <f t="shared" si="158"/>
        <v>0</v>
      </c>
      <c r="P140" s="77">
        <f t="shared" si="158"/>
        <v>0</v>
      </c>
      <c r="Q140" s="77">
        <f t="shared" si="158"/>
        <v>0</v>
      </c>
      <c r="R140" s="77">
        <f t="shared" si="158"/>
        <v>0</v>
      </c>
      <c r="S140" s="77">
        <f t="shared" si="158"/>
        <v>0</v>
      </c>
      <c r="T140" s="77">
        <f t="shared" si="158"/>
        <v>0</v>
      </c>
      <c r="U140" s="77">
        <f t="shared" si="158"/>
        <v>0</v>
      </c>
      <c r="V140" s="77">
        <f t="shared" si="158"/>
        <v>0</v>
      </c>
      <c r="W140" s="77">
        <f t="shared" si="158"/>
        <v>0</v>
      </c>
      <c r="X140" s="77">
        <f t="shared" si="158"/>
        <v>0</v>
      </c>
      <c r="Y140" s="77">
        <f t="shared" si="158"/>
        <v>0</v>
      </c>
      <c r="Z140" s="77">
        <f t="shared" si="158"/>
        <v>0</v>
      </c>
      <c r="AA140" s="77">
        <f t="shared" si="158"/>
        <v>0</v>
      </c>
      <c r="AB140" s="77">
        <f t="shared" si="158"/>
        <v>0</v>
      </c>
      <c r="AC140" s="77">
        <f t="shared" si="158"/>
        <v>0</v>
      </c>
      <c r="AD140" s="77">
        <f t="shared" si="158"/>
        <v>0</v>
      </c>
      <c r="AE140" s="77">
        <f t="shared" si="158"/>
        <v>0</v>
      </c>
      <c r="AF140" s="77">
        <f t="shared" si="158"/>
        <v>0</v>
      </c>
      <c r="AG140" s="77">
        <f t="shared" si="158"/>
        <v>0</v>
      </c>
      <c r="AH140" s="77">
        <f t="shared" si="158"/>
        <v>0</v>
      </c>
      <c r="AI140" s="77">
        <f t="shared" si="158"/>
        <v>0</v>
      </c>
      <c r="AJ140" s="77">
        <f t="shared" si="158"/>
        <v>0</v>
      </c>
      <c r="AK140" s="77">
        <f t="shared" si="158"/>
        <v>0</v>
      </c>
      <c r="AL140" s="77">
        <f t="shared" si="158"/>
        <v>0</v>
      </c>
      <c r="AM140" s="77">
        <f t="shared" si="158"/>
        <v>0</v>
      </c>
      <c r="AN140" s="77">
        <f t="shared" si="158"/>
        <v>0</v>
      </c>
      <c r="AO140" s="77">
        <f t="shared" si="158"/>
        <v>0</v>
      </c>
      <c r="AP140" s="77">
        <f t="shared" si="158"/>
        <v>0</v>
      </c>
      <c r="AQ140" s="77">
        <f t="shared" si="158"/>
        <v>0</v>
      </c>
      <c r="AR140" s="77">
        <f t="shared" si="158"/>
        <v>0</v>
      </c>
      <c r="AS140" s="77">
        <f t="shared" si="158"/>
        <v>0</v>
      </c>
      <c r="AT140" s="77">
        <f t="shared" si="158"/>
        <v>0</v>
      </c>
      <c r="AU140" s="77">
        <f t="shared" si="158"/>
        <v>0</v>
      </c>
      <c r="AV140" s="77">
        <f t="shared" si="158"/>
        <v>0</v>
      </c>
      <c r="AW140" s="77">
        <f t="shared" si="158"/>
        <v>0</v>
      </c>
      <c r="AX140" s="77">
        <f t="shared" si="158"/>
        <v>0</v>
      </c>
      <c r="AY140" s="77">
        <f t="shared" si="158"/>
        <v>0</v>
      </c>
      <c r="AZ140" s="77">
        <f t="shared" si="158"/>
        <v>0</v>
      </c>
      <c r="BA140" s="77">
        <f t="shared" si="158"/>
        <v>0</v>
      </c>
      <c r="BB140" s="77">
        <f t="shared" si="158"/>
        <v>0</v>
      </c>
      <c r="BC140" s="77">
        <f t="shared" si="158"/>
        <v>0</v>
      </c>
      <c r="BD140" s="77">
        <f t="shared" si="158"/>
        <v>0</v>
      </c>
      <c r="BE140" s="77">
        <f t="shared" si="158"/>
        <v>0</v>
      </c>
      <c r="BF140" s="77">
        <f t="shared" si="158"/>
        <v>0</v>
      </c>
      <c r="BG140" s="77">
        <f t="shared" si="158"/>
        <v>0</v>
      </c>
      <c r="BH140" s="77">
        <f t="shared" si="158"/>
        <v>0</v>
      </c>
      <c r="BI140" s="77">
        <f t="shared" si="158"/>
        <v>0</v>
      </c>
      <c r="BJ140" s="77">
        <f t="shared" si="158"/>
        <v>0</v>
      </c>
      <c r="BK140" s="77">
        <f t="shared" si="158"/>
        <v>0</v>
      </c>
      <c r="BL140" s="77">
        <f t="shared" si="158"/>
        <v>0</v>
      </c>
      <c r="BM140" s="77">
        <f t="shared" si="158"/>
        <v>0</v>
      </c>
      <c r="BN140" s="77">
        <f t="shared" si="158"/>
        <v>0</v>
      </c>
      <c r="BO140" s="77">
        <f t="shared" si="158"/>
        <v>0</v>
      </c>
      <c r="BP140" s="77">
        <f t="shared" si="158"/>
        <v>0</v>
      </c>
      <c r="BQ140" s="77">
        <f t="shared" si="158"/>
        <v>0</v>
      </c>
      <c r="BR140" s="77">
        <f t="shared" si="158"/>
        <v>0</v>
      </c>
      <c r="BS140" s="77">
        <f t="shared" si="158"/>
        <v>0</v>
      </c>
      <c r="BT140" s="77">
        <f t="shared" ref="BT140:DV140" si="159">IF(BT127="","",MAX(BT$51-BT109-BT124-BT139,0))</f>
        <v>0</v>
      </c>
      <c r="BU140" s="77">
        <f t="shared" si="159"/>
        <v>0</v>
      </c>
      <c r="BV140" s="77">
        <f t="shared" si="159"/>
        <v>0</v>
      </c>
      <c r="BW140" s="77">
        <f t="shared" si="159"/>
        <v>0</v>
      </c>
      <c r="BX140" s="77">
        <f t="shared" si="159"/>
        <v>0</v>
      </c>
      <c r="BY140" s="77">
        <f t="shared" si="159"/>
        <v>0</v>
      </c>
      <c r="BZ140" s="77">
        <f t="shared" si="159"/>
        <v>0</v>
      </c>
      <c r="CA140" s="77">
        <f t="shared" si="159"/>
        <v>0</v>
      </c>
      <c r="CB140" s="77">
        <f t="shared" si="159"/>
        <v>0</v>
      </c>
      <c r="CC140" s="77">
        <f t="shared" si="159"/>
        <v>0</v>
      </c>
      <c r="CD140" s="77">
        <f t="shared" si="159"/>
        <v>0</v>
      </c>
      <c r="CE140" s="77">
        <f t="shared" si="159"/>
        <v>0</v>
      </c>
      <c r="CF140" s="77">
        <f t="shared" si="159"/>
        <v>0</v>
      </c>
      <c r="CG140" s="77">
        <f t="shared" si="159"/>
        <v>0</v>
      </c>
      <c r="CH140" s="77">
        <f t="shared" si="159"/>
        <v>0</v>
      </c>
      <c r="CI140" s="77">
        <f t="shared" si="159"/>
        <v>0</v>
      </c>
      <c r="CJ140" s="77">
        <f t="shared" si="159"/>
        <v>0</v>
      </c>
      <c r="CK140" s="77">
        <f t="shared" si="159"/>
        <v>0</v>
      </c>
      <c r="CL140" s="77">
        <f t="shared" si="159"/>
        <v>0</v>
      </c>
      <c r="CM140" s="77">
        <f t="shared" si="159"/>
        <v>0</v>
      </c>
      <c r="CN140" s="77">
        <f t="shared" si="159"/>
        <v>0</v>
      </c>
      <c r="CO140" s="77">
        <f t="shared" si="159"/>
        <v>0</v>
      </c>
      <c r="CP140" s="77">
        <f t="shared" si="159"/>
        <v>0</v>
      </c>
      <c r="CQ140" s="77">
        <f t="shared" si="159"/>
        <v>0</v>
      </c>
      <c r="CR140" s="77">
        <f t="shared" si="159"/>
        <v>0</v>
      </c>
      <c r="CS140" s="77">
        <f t="shared" si="159"/>
        <v>0</v>
      </c>
      <c r="CT140" s="77">
        <f t="shared" si="159"/>
        <v>0</v>
      </c>
      <c r="CU140" s="77">
        <f t="shared" si="159"/>
        <v>0</v>
      </c>
      <c r="CV140" s="77">
        <f t="shared" si="159"/>
        <v>0</v>
      </c>
      <c r="CW140" s="77">
        <f t="shared" si="159"/>
        <v>0</v>
      </c>
      <c r="CX140" s="77" t="str">
        <f t="shared" si="159"/>
        <v/>
      </c>
      <c r="CY140" s="77" t="str">
        <f t="shared" si="159"/>
        <v/>
      </c>
      <c r="CZ140" s="77" t="str">
        <f t="shared" si="159"/>
        <v/>
      </c>
      <c r="DA140" s="77" t="str">
        <f t="shared" si="159"/>
        <v/>
      </c>
      <c r="DB140" s="77" t="str">
        <f t="shared" si="159"/>
        <v/>
      </c>
      <c r="DC140" s="77" t="str">
        <f t="shared" si="159"/>
        <v/>
      </c>
      <c r="DD140" s="77" t="str">
        <f t="shared" si="159"/>
        <v/>
      </c>
      <c r="DE140" s="77" t="str">
        <f t="shared" si="159"/>
        <v/>
      </c>
      <c r="DF140" s="77" t="str">
        <f t="shared" si="159"/>
        <v/>
      </c>
      <c r="DG140" s="77" t="str">
        <f t="shared" si="159"/>
        <v/>
      </c>
      <c r="DH140" s="77" t="str">
        <f t="shared" si="159"/>
        <v/>
      </c>
      <c r="DI140" s="77" t="str">
        <f t="shared" si="159"/>
        <v/>
      </c>
      <c r="DJ140" s="77" t="str">
        <f t="shared" si="159"/>
        <v/>
      </c>
      <c r="DK140" s="77" t="str">
        <f t="shared" si="159"/>
        <v/>
      </c>
      <c r="DL140" s="77" t="str">
        <f t="shared" si="159"/>
        <v/>
      </c>
      <c r="DM140" s="77" t="str">
        <f t="shared" si="159"/>
        <v/>
      </c>
      <c r="DN140" s="77" t="str">
        <f t="shared" si="159"/>
        <v/>
      </c>
      <c r="DO140" s="77" t="str">
        <f t="shared" si="159"/>
        <v/>
      </c>
      <c r="DP140" s="77" t="str">
        <f t="shared" si="159"/>
        <v/>
      </c>
      <c r="DQ140" s="77" t="str">
        <f t="shared" si="159"/>
        <v/>
      </c>
      <c r="DR140" s="77" t="str">
        <f t="shared" si="159"/>
        <v/>
      </c>
      <c r="DS140" s="77" t="str">
        <f t="shared" si="159"/>
        <v/>
      </c>
      <c r="DT140" s="77" t="str">
        <f t="shared" si="159"/>
        <v/>
      </c>
      <c r="DU140" s="77" t="str">
        <f t="shared" si="159"/>
        <v/>
      </c>
      <c r="DV140" s="77" t="str">
        <f t="shared" si="159"/>
        <v/>
      </c>
      <c r="DW140" s="77"/>
      <c r="DX140" s="77"/>
      <c r="DY140" s="78"/>
    </row>
    <row r="141" spans="2:129" outlineLevel="1" x14ac:dyDescent="0.2">
      <c r="B141" s="16"/>
      <c r="C141" s="16"/>
      <c r="D141" s="16"/>
      <c r="E141" s="1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66"/>
      <c r="AU141" s="66"/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/>
      <c r="BJ141" s="66"/>
      <c r="BK141" s="66"/>
      <c r="BL141" s="66"/>
      <c r="BM141" s="66"/>
      <c r="BN141" s="66"/>
      <c r="BO141" s="66"/>
      <c r="BP141" s="66"/>
      <c r="BQ141" s="66"/>
      <c r="BR141" s="66"/>
      <c r="BS141" s="66"/>
      <c r="BT141" s="66"/>
      <c r="BU141" s="66"/>
      <c r="BV141" s="66"/>
      <c r="BW141" s="66"/>
      <c r="BX141" s="66"/>
      <c r="BY141" s="66"/>
      <c r="BZ141" s="66"/>
      <c r="CA141" s="66"/>
      <c r="CB141" s="66"/>
      <c r="CC141" s="66"/>
      <c r="CD141" s="66"/>
      <c r="CE141" s="66"/>
      <c r="CF141" s="66"/>
      <c r="CG141" s="66"/>
      <c r="CH141" s="66"/>
      <c r="CI141" s="66"/>
      <c r="CJ141" s="66"/>
      <c r="CK141" s="66"/>
      <c r="CL141" s="66"/>
      <c r="CM141" s="66"/>
      <c r="CN141" s="66"/>
      <c r="CO141" s="66"/>
      <c r="CP141" s="66"/>
      <c r="CQ141" s="66"/>
      <c r="CR141" s="66"/>
      <c r="CS141" s="66"/>
      <c r="CT141" s="66"/>
      <c r="CU141" s="66"/>
      <c r="CV141" s="66"/>
      <c r="CW141" s="66"/>
      <c r="CX141" s="66"/>
      <c r="CY141" s="66"/>
      <c r="CZ141" s="66"/>
      <c r="DA141" s="66"/>
      <c r="DB141" s="66"/>
      <c r="DC141" s="66"/>
      <c r="DD141" s="66"/>
      <c r="DE141" s="66"/>
      <c r="DF141" s="66"/>
      <c r="DG141" s="66"/>
      <c r="DH141" s="66"/>
      <c r="DI141" s="66"/>
      <c r="DJ141" s="66"/>
      <c r="DK141" s="66"/>
      <c r="DL141" s="66"/>
      <c r="DM141" s="66"/>
      <c r="DN141" s="66"/>
      <c r="DO141" s="66"/>
      <c r="DP141" s="66"/>
      <c r="DQ141" s="66"/>
      <c r="DR141" s="66"/>
      <c r="DS141" s="66"/>
      <c r="DT141" s="66"/>
      <c r="DU141" s="66"/>
      <c r="DV141" s="66"/>
      <c r="DW141" s="66"/>
      <c r="DX141" s="66"/>
      <c r="DY141" s="17"/>
    </row>
    <row r="142" spans="2:129" ht="16" outlineLevel="1" x14ac:dyDescent="0.2">
      <c r="B142" s="105" t="s">
        <v>75</v>
      </c>
      <c r="C142" s="100"/>
      <c r="D142" s="100"/>
      <c r="E142" s="100"/>
      <c r="F142" s="113">
        <f>F$21</f>
        <v>0</v>
      </c>
      <c r="G142" s="113">
        <f t="shared" ref="G142:BR142" si="160">G$21</f>
        <v>1</v>
      </c>
      <c r="H142" s="113">
        <f t="shared" si="160"/>
        <v>2</v>
      </c>
      <c r="I142" s="113">
        <f t="shared" si="160"/>
        <v>3</v>
      </c>
      <c r="J142" s="113">
        <f t="shared" si="160"/>
        <v>4</v>
      </c>
      <c r="K142" s="113">
        <f t="shared" si="160"/>
        <v>5</v>
      </c>
      <c r="L142" s="113">
        <f t="shared" si="160"/>
        <v>6</v>
      </c>
      <c r="M142" s="113">
        <f t="shared" si="160"/>
        <v>7</v>
      </c>
      <c r="N142" s="113">
        <f t="shared" si="160"/>
        <v>8</v>
      </c>
      <c r="O142" s="113">
        <f t="shared" si="160"/>
        <v>9</v>
      </c>
      <c r="P142" s="113">
        <f t="shared" si="160"/>
        <v>10</v>
      </c>
      <c r="Q142" s="113">
        <f t="shared" si="160"/>
        <v>11</v>
      </c>
      <c r="R142" s="113">
        <f t="shared" si="160"/>
        <v>12</v>
      </c>
      <c r="S142" s="113">
        <f t="shared" si="160"/>
        <v>13</v>
      </c>
      <c r="T142" s="113">
        <f t="shared" si="160"/>
        <v>14</v>
      </c>
      <c r="U142" s="113">
        <f t="shared" si="160"/>
        <v>15</v>
      </c>
      <c r="V142" s="113">
        <f t="shared" si="160"/>
        <v>16</v>
      </c>
      <c r="W142" s="113">
        <f t="shared" si="160"/>
        <v>17</v>
      </c>
      <c r="X142" s="113">
        <f t="shared" si="160"/>
        <v>18</v>
      </c>
      <c r="Y142" s="113">
        <f t="shared" si="160"/>
        <v>19</v>
      </c>
      <c r="Z142" s="113">
        <f t="shared" si="160"/>
        <v>20</v>
      </c>
      <c r="AA142" s="113">
        <f t="shared" si="160"/>
        <v>21</v>
      </c>
      <c r="AB142" s="113">
        <f t="shared" si="160"/>
        <v>22</v>
      </c>
      <c r="AC142" s="113">
        <f t="shared" si="160"/>
        <v>23</v>
      </c>
      <c r="AD142" s="113">
        <f t="shared" si="160"/>
        <v>24</v>
      </c>
      <c r="AE142" s="113">
        <f t="shared" si="160"/>
        <v>25</v>
      </c>
      <c r="AF142" s="113">
        <f t="shared" si="160"/>
        <v>26</v>
      </c>
      <c r="AG142" s="113">
        <f t="shared" si="160"/>
        <v>27</v>
      </c>
      <c r="AH142" s="113">
        <f t="shared" si="160"/>
        <v>28</v>
      </c>
      <c r="AI142" s="113">
        <f t="shared" si="160"/>
        <v>29</v>
      </c>
      <c r="AJ142" s="113">
        <f t="shared" si="160"/>
        <v>30</v>
      </c>
      <c r="AK142" s="113">
        <f t="shared" si="160"/>
        <v>31</v>
      </c>
      <c r="AL142" s="113">
        <f t="shared" si="160"/>
        <v>32</v>
      </c>
      <c r="AM142" s="113">
        <f t="shared" si="160"/>
        <v>33</v>
      </c>
      <c r="AN142" s="113">
        <f t="shared" si="160"/>
        <v>34</v>
      </c>
      <c r="AO142" s="113">
        <f t="shared" si="160"/>
        <v>35</v>
      </c>
      <c r="AP142" s="113">
        <f t="shared" si="160"/>
        <v>36</v>
      </c>
      <c r="AQ142" s="113">
        <f t="shared" si="160"/>
        <v>37</v>
      </c>
      <c r="AR142" s="113">
        <f t="shared" si="160"/>
        <v>38</v>
      </c>
      <c r="AS142" s="113">
        <f t="shared" si="160"/>
        <v>39</v>
      </c>
      <c r="AT142" s="113">
        <f t="shared" si="160"/>
        <v>40</v>
      </c>
      <c r="AU142" s="113">
        <f t="shared" si="160"/>
        <v>41</v>
      </c>
      <c r="AV142" s="113">
        <f t="shared" si="160"/>
        <v>42</v>
      </c>
      <c r="AW142" s="113">
        <f t="shared" si="160"/>
        <v>43</v>
      </c>
      <c r="AX142" s="113">
        <f t="shared" si="160"/>
        <v>44</v>
      </c>
      <c r="AY142" s="113">
        <f t="shared" si="160"/>
        <v>45</v>
      </c>
      <c r="AZ142" s="113">
        <f t="shared" si="160"/>
        <v>46</v>
      </c>
      <c r="BA142" s="113">
        <f t="shared" si="160"/>
        <v>47</v>
      </c>
      <c r="BB142" s="113">
        <f t="shared" si="160"/>
        <v>48</v>
      </c>
      <c r="BC142" s="113">
        <f t="shared" si="160"/>
        <v>49</v>
      </c>
      <c r="BD142" s="113">
        <f t="shared" si="160"/>
        <v>50</v>
      </c>
      <c r="BE142" s="113">
        <f t="shared" si="160"/>
        <v>51</v>
      </c>
      <c r="BF142" s="113">
        <f t="shared" si="160"/>
        <v>52</v>
      </c>
      <c r="BG142" s="113">
        <f t="shared" si="160"/>
        <v>53</v>
      </c>
      <c r="BH142" s="113">
        <f t="shared" si="160"/>
        <v>54</v>
      </c>
      <c r="BI142" s="113">
        <f t="shared" si="160"/>
        <v>55</v>
      </c>
      <c r="BJ142" s="113">
        <f t="shared" si="160"/>
        <v>56</v>
      </c>
      <c r="BK142" s="113">
        <f t="shared" si="160"/>
        <v>57</v>
      </c>
      <c r="BL142" s="113">
        <f t="shared" si="160"/>
        <v>58</v>
      </c>
      <c r="BM142" s="113">
        <f t="shared" si="160"/>
        <v>59</v>
      </c>
      <c r="BN142" s="113">
        <f t="shared" si="160"/>
        <v>60</v>
      </c>
      <c r="BO142" s="113">
        <f t="shared" si="160"/>
        <v>61</v>
      </c>
      <c r="BP142" s="113">
        <f t="shared" si="160"/>
        <v>62</v>
      </c>
      <c r="BQ142" s="113">
        <f t="shared" si="160"/>
        <v>63</v>
      </c>
      <c r="BR142" s="113">
        <f t="shared" si="160"/>
        <v>64</v>
      </c>
      <c r="BS142" s="113">
        <f t="shared" ref="BS142:DV142" si="161">BS$21</f>
        <v>65</v>
      </c>
      <c r="BT142" s="113">
        <f t="shared" si="161"/>
        <v>66</v>
      </c>
      <c r="BU142" s="113">
        <f t="shared" si="161"/>
        <v>67</v>
      </c>
      <c r="BV142" s="113">
        <f t="shared" si="161"/>
        <v>68</v>
      </c>
      <c r="BW142" s="113">
        <f t="shared" si="161"/>
        <v>69</v>
      </c>
      <c r="BX142" s="113">
        <f t="shared" si="161"/>
        <v>70</v>
      </c>
      <c r="BY142" s="113">
        <f t="shared" si="161"/>
        <v>71</v>
      </c>
      <c r="BZ142" s="113">
        <f t="shared" si="161"/>
        <v>72</v>
      </c>
      <c r="CA142" s="113">
        <f t="shared" si="161"/>
        <v>73</v>
      </c>
      <c r="CB142" s="113">
        <f t="shared" si="161"/>
        <v>74</v>
      </c>
      <c r="CC142" s="113">
        <f t="shared" si="161"/>
        <v>75</v>
      </c>
      <c r="CD142" s="113">
        <f t="shared" si="161"/>
        <v>76</v>
      </c>
      <c r="CE142" s="113">
        <f t="shared" si="161"/>
        <v>77</v>
      </c>
      <c r="CF142" s="113">
        <f t="shared" si="161"/>
        <v>78</v>
      </c>
      <c r="CG142" s="113">
        <f t="shared" si="161"/>
        <v>79</v>
      </c>
      <c r="CH142" s="113">
        <f t="shared" si="161"/>
        <v>80</v>
      </c>
      <c r="CI142" s="113">
        <f t="shared" si="161"/>
        <v>81</v>
      </c>
      <c r="CJ142" s="113">
        <f t="shared" si="161"/>
        <v>82</v>
      </c>
      <c r="CK142" s="113">
        <f t="shared" si="161"/>
        <v>83</v>
      </c>
      <c r="CL142" s="113">
        <f t="shared" si="161"/>
        <v>84</v>
      </c>
      <c r="CM142" s="113">
        <f t="shared" si="161"/>
        <v>85</v>
      </c>
      <c r="CN142" s="113">
        <f t="shared" si="161"/>
        <v>86</v>
      </c>
      <c r="CO142" s="113">
        <f t="shared" si="161"/>
        <v>87</v>
      </c>
      <c r="CP142" s="113">
        <f t="shared" si="161"/>
        <v>88</v>
      </c>
      <c r="CQ142" s="113">
        <f t="shared" si="161"/>
        <v>89</v>
      </c>
      <c r="CR142" s="113">
        <f t="shared" si="161"/>
        <v>90</v>
      </c>
      <c r="CS142" s="113">
        <f t="shared" si="161"/>
        <v>91</v>
      </c>
      <c r="CT142" s="113">
        <f t="shared" si="161"/>
        <v>92</v>
      </c>
      <c r="CU142" s="113">
        <f t="shared" si="161"/>
        <v>93</v>
      </c>
      <c r="CV142" s="113">
        <f t="shared" si="161"/>
        <v>94</v>
      </c>
      <c r="CW142" s="113">
        <f t="shared" si="161"/>
        <v>95</v>
      </c>
      <c r="CX142" s="113" t="str">
        <f t="shared" si="161"/>
        <v/>
      </c>
      <c r="CY142" s="113" t="str">
        <f t="shared" si="161"/>
        <v/>
      </c>
      <c r="CZ142" s="113" t="str">
        <f t="shared" si="161"/>
        <v/>
      </c>
      <c r="DA142" s="113" t="str">
        <f t="shared" si="161"/>
        <v/>
      </c>
      <c r="DB142" s="113" t="str">
        <f t="shared" si="161"/>
        <v/>
      </c>
      <c r="DC142" s="113" t="str">
        <f t="shared" si="161"/>
        <v/>
      </c>
      <c r="DD142" s="113" t="str">
        <f t="shared" si="161"/>
        <v/>
      </c>
      <c r="DE142" s="113" t="str">
        <f t="shared" si="161"/>
        <v/>
      </c>
      <c r="DF142" s="113" t="str">
        <f t="shared" si="161"/>
        <v/>
      </c>
      <c r="DG142" s="113" t="str">
        <f t="shared" si="161"/>
        <v/>
      </c>
      <c r="DH142" s="113" t="str">
        <f t="shared" si="161"/>
        <v/>
      </c>
      <c r="DI142" s="113" t="str">
        <f t="shared" si="161"/>
        <v/>
      </c>
      <c r="DJ142" s="113" t="str">
        <f t="shared" si="161"/>
        <v/>
      </c>
      <c r="DK142" s="113" t="str">
        <f t="shared" si="161"/>
        <v/>
      </c>
      <c r="DL142" s="113" t="str">
        <f t="shared" si="161"/>
        <v/>
      </c>
      <c r="DM142" s="113" t="str">
        <f t="shared" si="161"/>
        <v/>
      </c>
      <c r="DN142" s="113" t="str">
        <f t="shared" si="161"/>
        <v/>
      </c>
      <c r="DO142" s="113" t="str">
        <f t="shared" si="161"/>
        <v/>
      </c>
      <c r="DP142" s="113" t="str">
        <f t="shared" si="161"/>
        <v/>
      </c>
      <c r="DQ142" s="113" t="str">
        <f t="shared" si="161"/>
        <v/>
      </c>
      <c r="DR142" s="113" t="str">
        <f t="shared" si="161"/>
        <v/>
      </c>
      <c r="DS142" s="113" t="str">
        <f t="shared" si="161"/>
        <v/>
      </c>
      <c r="DT142" s="113" t="str">
        <f t="shared" si="161"/>
        <v/>
      </c>
      <c r="DU142" s="113" t="str">
        <f t="shared" si="161"/>
        <v/>
      </c>
      <c r="DV142" s="113" t="str">
        <f t="shared" si="161"/>
        <v/>
      </c>
      <c r="DW142" s="114"/>
      <c r="DX142" s="114"/>
      <c r="DY142" s="115"/>
    </row>
    <row r="143" spans="2:129" outlineLevel="1" x14ac:dyDescent="0.2">
      <c r="B143" s="125" t="s">
        <v>56</v>
      </c>
      <c r="C143" s="126">
        <f>E63</f>
        <v>9.99</v>
      </c>
      <c r="D143" s="16"/>
      <c r="E143" s="16"/>
      <c r="F143" s="66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27"/>
      <c r="Z143" s="127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127"/>
      <c r="AO143" s="127"/>
      <c r="AP143" s="127"/>
      <c r="AQ143" s="127"/>
      <c r="AR143" s="127"/>
      <c r="AS143" s="127"/>
      <c r="AT143" s="127"/>
      <c r="AU143" s="127"/>
      <c r="AV143" s="127"/>
      <c r="AW143" s="127"/>
      <c r="AX143" s="127"/>
      <c r="AY143" s="127"/>
      <c r="AZ143" s="127"/>
      <c r="BA143" s="127"/>
      <c r="BB143" s="127"/>
      <c r="BC143" s="127"/>
      <c r="BD143" s="127"/>
      <c r="BE143" s="127"/>
      <c r="BF143" s="127"/>
      <c r="BG143" s="127"/>
      <c r="BH143" s="127"/>
      <c r="BI143" s="127"/>
      <c r="BJ143" s="127"/>
      <c r="BK143" s="127"/>
      <c r="BL143" s="127"/>
      <c r="BM143" s="127"/>
      <c r="BN143" s="127"/>
      <c r="BO143" s="127"/>
      <c r="BP143" s="127"/>
      <c r="BQ143" s="127"/>
      <c r="BR143" s="127"/>
      <c r="BS143" s="127"/>
      <c r="BT143" s="127"/>
      <c r="BU143" s="127"/>
      <c r="BV143" s="127"/>
      <c r="BW143" s="127"/>
      <c r="BX143" s="127"/>
      <c r="BY143" s="127"/>
      <c r="BZ143" s="127"/>
      <c r="CA143" s="127"/>
      <c r="CB143" s="127"/>
      <c r="CC143" s="127"/>
      <c r="CD143" s="127"/>
      <c r="CE143" s="127"/>
      <c r="CF143" s="127"/>
      <c r="CG143" s="127"/>
      <c r="CH143" s="127"/>
      <c r="CI143" s="127"/>
      <c r="CJ143" s="127"/>
      <c r="CK143" s="127"/>
      <c r="CL143" s="127"/>
      <c r="CM143" s="127"/>
      <c r="CN143" s="127"/>
      <c r="CO143" s="127"/>
      <c r="CP143" s="127"/>
      <c r="CQ143" s="127"/>
      <c r="CR143" s="127"/>
      <c r="CS143" s="127"/>
      <c r="CT143" s="127"/>
      <c r="CU143" s="127"/>
      <c r="CV143" s="127"/>
      <c r="CW143" s="127"/>
      <c r="CX143" s="127"/>
      <c r="CY143" s="127"/>
      <c r="CZ143" s="127"/>
      <c r="DA143" s="127"/>
      <c r="DB143" s="127"/>
      <c r="DC143" s="127"/>
      <c r="DD143" s="127"/>
      <c r="DE143" s="127"/>
      <c r="DF143" s="127"/>
      <c r="DG143" s="127"/>
      <c r="DH143" s="127"/>
      <c r="DI143" s="127"/>
      <c r="DJ143" s="127"/>
      <c r="DK143" s="127"/>
      <c r="DL143" s="127"/>
      <c r="DM143" s="127"/>
      <c r="DN143" s="127"/>
      <c r="DO143" s="127"/>
      <c r="DP143" s="127"/>
      <c r="DQ143" s="127"/>
      <c r="DR143" s="127"/>
      <c r="DS143" s="127"/>
      <c r="DT143" s="127"/>
      <c r="DU143" s="127"/>
      <c r="DV143" s="127"/>
      <c r="DW143" s="127"/>
      <c r="DX143" s="127"/>
      <c r="DY143" s="115"/>
    </row>
    <row r="144" spans="2:129" outlineLevel="1" x14ac:dyDescent="0.2">
      <c r="B144" s="16" t="s">
        <v>57</v>
      </c>
      <c r="C144" s="16"/>
      <c r="D144" s="16"/>
      <c r="E144" s="16"/>
      <c r="F144" s="77">
        <f t="shared" ref="F144" si="162">IF(F142="","",E149)</f>
        <v>0</v>
      </c>
      <c r="G144" s="77">
        <f>IF(G142="","",F149)</f>
        <v>93624225.299999997</v>
      </c>
      <c r="H144" s="77">
        <f t="shared" ref="H144:BS144" si="163">IF(H142="","",G149)</f>
        <v>114787184.92954068</v>
      </c>
      <c r="I144" s="77">
        <f t="shared" si="163"/>
        <v>137983455.53625143</v>
      </c>
      <c r="J144" s="77">
        <f t="shared" si="163"/>
        <v>169161963.81276232</v>
      </c>
      <c r="K144" s="77">
        <f t="shared" si="163"/>
        <v>206022779.56845659</v>
      </c>
      <c r="L144" s="77">
        <f t="shared" si="163"/>
        <v>252563393.00599483</v>
      </c>
      <c r="M144" s="77">
        <f t="shared" si="163"/>
        <v>307585645.41899341</v>
      </c>
      <c r="N144" s="77">
        <f t="shared" si="163"/>
        <v>377057401.21933287</v>
      </c>
      <c r="O144" s="77">
        <f t="shared" si="163"/>
        <v>462214680.55339926</v>
      </c>
      <c r="P144" s="77">
        <f t="shared" si="163"/>
        <v>562890450.12726963</v>
      </c>
      <c r="Q144" s="77">
        <f t="shared" si="163"/>
        <v>690005624.84499383</v>
      </c>
      <c r="R144" s="77">
        <f t="shared" si="163"/>
        <v>840284990.49482954</v>
      </c>
      <c r="S144" s="77">
        <f t="shared" si="163"/>
        <v>1030031065.2227341</v>
      </c>
      <c r="T144" s="77">
        <f t="shared" si="163"/>
        <v>1262618529.0344355</v>
      </c>
      <c r="U144" s="77">
        <f t="shared" si="163"/>
        <v>1517527075.9408705</v>
      </c>
      <c r="V144" s="77">
        <f t="shared" si="163"/>
        <v>1860182725.8898792</v>
      </c>
      <c r="W144" s="77">
        <f t="shared" si="163"/>
        <v>2265279035.3742838</v>
      </c>
      <c r="X144" s="77">
        <f t="shared" si="163"/>
        <v>2776764173.2491746</v>
      </c>
      <c r="Y144" s="77">
        <f t="shared" si="163"/>
        <v>3381454615.0944057</v>
      </c>
      <c r="Z144" s="77">
        <f t="shared" si="163"/>
        <v>4144952936.1942658</v>
      </c>
      <c r="AA144" s="77">
        <f t="shared" si="163"/>
        <v>5080836001.9375648</v>
      </c>
      <c r="AB144" s="77">
        <f t="shared" si="163"/>
        <v>6187259507.2972403</v>
      </c>
      <c r="AC144" s="77">
        <f t="shared" si="163"/>
        <v>7584260151.185359</v>
      </c>
      <c r="AD144" s="77">
        <f t="shared" si="163"/>
        <v>9236151259.7008953</v>
      </c>
      <c r="AE144" s="77">
        <f t="shared" si="163"/>
        <v>11322356900.37907</v>
      </c>
      <c r="AF144" s="77">
        <f t="shared" si="163"/>
        <v>13853157781.513105</v>
      </c>
      <c r="AG144" s="77">
        <f t="shared" si="163"/>
        <v>16760231272.163641</v>
      </c>
      <c r="AH144" s="77">
        <f t="shared" si="163"/>
        <v>20545244330.98616</v>
      </c>
      <c r="AI144" s="77">
        <f t="shared" si="163"/>
        <v>25020004391.196087</v>
      </c>
      <c r="AJ144" s="77">
        <f t="shared" si="163"/>
        <v>30669931675.220833</v>
      </c>
      <c r="AK144" s="77">
        <f t="shared" si="163"/>
        <v>37349436542.037132</v>
      </c>
      <c r="AL144" s="77">
        <f t="shared" si="163"/>
        <v>45783136827.500282</v>
      </c>
      <c r="AM144" s="77">
        <f t="shared" si="163"/>
        <v>56121021090.754669</v>
      </c>
      <c r="AN144" s="77">
        <f t="shared" si="163"/>
        <v>68342573266.94696</v>
      </c>
      <c r="AO144" s="77">
        <f t="shared" si="163"/>
        <v>83773824902.980423</v>
      </c>
      <c r="AP144" s="77">
        <f t="shared" si="163"/>
        <v>102017238281.94617</v>
      </c>
      <c r="AQ144" s="77">
        <f t="shared" si="163"/>
        <v>125051578679.21513</v>
      </c>
      <c r="AR144" s="77">
        <f t="shared" si="163"/>
        <v>153286675617.36707</v>
      </c>
      <c r="AS144" s="77">
        <f t="shared" si="163"/>
        <v>184231207028.16299</v>
      </c>
      <c r="AT144" s="77">
        <f t="shared" si="163"/>
        <v>225828042740.44995</v>
      </c>
      <c r="AU144" s="77">
        <f t="shared" si="163"/>
        <v>275004807333.87183</v>
      </c>
      <c r="AV144" s="77">
        <f t="shared" si="163"/>
        <v>337058889781.55365</v>
      </c>
      <c r="AW144" s="77">
        <f t="shared" si="163"/>
        <v>410457267785.93842</v>
      </c>
      <c r="AX144" s="77">
        <f t="shared" si="163"/>
        <v>503132106129.89514</v>
      </c>
      <c r="AY144" s="77">
        <f t="shared" si="163"/>
        <v>616731323612.99792</v>
      </c>
      <c r="AZ144" s="77">
        <f t="shared" si="163"/>
        <v>751030974424.78027</v>
      </c>
      <c r="BA144" s="77">
        <f t="shared" si="163"/>
        <v>920601478192.90149</v>
      </c>
      <c r="BB144" s="77">
        <f t="shared" si="163"/>
        <v>1120943183508.9363</v>
      </c>
      <c r="BC144" s="77">
        <f t="shared" si="163"/>
        <v>1374033310939.7195</v>
      </c>
      <c r="BD144" s="77">
        <f t="shared" si="163"/>
        <v>1684266821378.97</v>
      </c>
      <c r="BE144" s="77">
        <f t="shared" si="163"/>
        <v>2024269624730.8289</v>
      </c>
      <c r="BF144" s="77">
        <f t="shared" si="163"/>
        <v>2481315273210.2764</v>
      </c>
      <c r="BG144" s="77">
        <f t="shared" si="163"/>
        <v>3021645246293.2822</v>
      </c>
      <c r="BH144" s="77">
        <f t="shared" si="163"/>
        <v>3703881097665.3267</v>
      </c>
      <c r="BI144" s="77">
        <f t="shared" si="163"/>
        <v>4510436146205.7588</v>
      </c>
      <c r="BJ144" s="77">
        <f t="shared" si="163"/>
        <v>5528815289601.2588</v>
      </c>
      <c r="BK144" s="77">
        <f t="shared" si="163"/>
        <v>6777126868645.79</v>
      </c>
      <c r="BL144" s="77">
        <f t="shared" si="163"/>
        <v>8252909758266.4209</v>
      </c>
      <c r="BM144" s="77">
        <f t="shared" si="163"/>
        <v>10116274856602.227</v>
      </c>
      <c r="BN144" s="77">
        <f t="shared" si="163"/>
        <v>12319188134647.842</v>
      </c>
      <c r="BO144" s="77">
        <f t="shared" si="163"/>
        <v>15100648582857.359</v>
      </c>
      <c r="BP144" s="77">
        <f t="shared" si="163"/>
        <v>18510114798531.699</v>
      </c>
      <c r="BQ144" s="77">
        <f t="shared" si="163"/>
        <v>22246744851380.285</v>
      </c>
      <c r="BR144" s="77">
        <f t="shared" si="163"/>
        <v>27269676137901.004</v>
      </c>
      <c r="BS144" s="77">
        <f t="shared" si="163"/>
        <v>33207901892917.375</v>
      </c>
      <c r="BT144" s="77">
        <f t="shared" ref="BT144:DV144" si="164">IF(BT142="","",BS149)</f>
        <v>40705673274541.422</v>
      </c>
      <c r="BU144" s="77">
        <f t="shared" si="164"/>
        <v>49569712331383.297</v>
      </c>
      <c r="BV144" s="77">
        <f t="shared" si="164"/>
        <v>60761698142026.883</v>
      </c>
      <c r="BW144" s="77">
        <f t="shared" si="164"/>
        <v>74480641200253.516</v>
      </c>
      <c r="BX144" s="77">
        <f t="shared" si="164"/>
        <v>90699493556087.141</v>
      </c>
      <c r="BY144" s="77">
        <f t="shared" si="164"/>
        <v>111177874159907.67</v>
      </c>
      <c r="BZ144" s="77">
        <f t="shared" si="164"/>
        <v>135387884652533.23</v>
      </c>
      <c r="CA144" s="77">
        <f t="shared" si="164"/>
        <v>165956128661231.03</v>
      </c>
      <c r="CB144" s="77">
        <f t="shared" si="164"/>
        <v>203426158711819.5</v>
      </c>
      <c r="CC144" s="77">
        <f t="shared" si="164"/>
        <v>246102601468851.25</v>
      </c>
      <c r="CD144" s="77">
        <f t="shared" si="164"/>
        <v>301668321931844.56</v>
      </c>
      <c r="CE144" s="77">
        <f t="shared" si="164"/>
        <v>367359404114424</v>
      </c>
      <c r="CF144" s="77">
        <f t="shared" si="164"/>
        <v>450302810151205.06</v>
      </c>
      <c r="CG144" s="77">
        <f t="shared" si="164"/>
        <v>548360433890713.44</v>
      </c>
      <c r="CH144" s="77">
        <f t="shared" si="164"/>
        <v>672170756397568.38</v>
      </c>
      <c r="CI144" s="77">
        <f t="shared" si="164"/>
        <v>823935313039241.38</v>
      </c>
      <c r="CJ144" s="77">
        <f t="shared" si="164"/>
        <v>1003354888245904.8</v>
      </c>
      <c r="CK144" s="77">
        <f t="shared" si="164"/>
        <v>1229895106366953</v>
      </c>
      <c r="CL144" s="77">
        <f t="shared" si="164"/>
        <v>1497716201630376</v>
      </c>
      <c r="CM144" s="77">
        <f t="shared" si="164"/>
        <v>1835874673274557.8</v>
      </c>
      <c r="CN144" s="77">
        <f t="shared" si="164"/>
        <v>2250383491962624.5</v>
      </c>
      <c r="CO144" s="77">
        <f t="shared" si="164"/>
        <v>2704667550983000.5</v>
      </c>
      <c r="CP144" s="77">
        <f t="shared" si="164"/>
        <v>3315334808049898.5</v>
      </c>
      <c r="CQ144" s="77">
        <f t="shared" si="164"/>
        <v>4037279788372784</v>
      </c>
      <c r="CR144" s="77">
        <f t="shared" si="164"/>
        <v>4948827890757368</v>
      </c>
      <c r="CS144" s="77">
        <f t="shared" si="164"/>
        <v>6026481177744904</v>
      </c>
      <c r="CT144" s="77">
        <f t="shared" si="164"/>
        <v>7387156624715275</v>
      </c>
      <c r="CU144" s="77">
        <f t="shared" si="164"/>
        <v>9055049105418854</v>
      </c>
      <c r="CV144" s="77">
        <f t="shared" si="164"/>
        <v>1.1026870240755504E+16</v>
      </c>
      <c r="CW144" s="77">
        <f t="shared" si="164"/>
        <v>1.3516547242703996E+16</v>
      </c>
      <c r="CX144" s="77" t="str">
        <f t="shared" si="164"/>
        <v/>
      </c>
      <c r="CY144" s="77" t="str">
        <f t="shared" si="164"/>
        <v/>
      </c>
      <c r="CZ144" s="77" t="str">
        <f t="shared" si="164"/>
        <v/>
      </c>
      <c r="DA144" s="77" t="str">
        <f t="shared" si="164"/>
        <v/>
      </c>
      <c r="DB144" s="77" t="str">
        <f t="shared" si="164"/>
        <v/>
      </c>
      <c r="DC144" s="77" t="str">
        <f t="shared" si="164"/>
        <v/>
      </c>
      <c r="DD144" s="77" t="str">
        <f t="shared" si="164"/>
        <v/>
      </c>
      <c r="DE144" s="77" t="str">
        <f t="shared" si="164"/>
        <v/>
      </c>
      <c r="DF144" s="77" t="str">
        <f t="shared" si="164"/>
        <v/>
      </c>
      <c r="DG144" s="77" t="str">
        <f t="shared" si="164"/>
        <v/>
      </c>
      <c r="DH144" s="77" t="str">
        <f t="shared" si="164"/>
        <v/>
      </c>
      <c r="DI144" s="77" t="str">
        <f t="shared" si="164"/>
        <v/>
      </c>
      <c r="DJ144" s="77" t="str">
        <f t="shared" si="164"/>
        <v/>
      </c>
      <c r="DK144" s="77" t="str">
        <f t="shared" si="164"/>
        <v/>
      </c>
      <c r="DL144" s="77" t="str">
        <f t="shared" si="164"/>
        <v/>
      </c>
      <c r="DM144" s="77" t="str">
        <f t="shared" si="164"/>
        <v/>
      </c>
      <c r="DN144" s="77" t="str">
        <f t="shared" si="164"/>
        <v/>
      </c>
      <c r="DO144" s="77" t="str">
        <f t="shared" si="164"/>
        <v/>
      </c>
      <c r="DP144" s="77" t="str">
        <f t="shared" si="164"/>
        <v/>
      </c>
      <c r="DQ144" s="77" t="str">
        <f t="shared" si="164"/>
        <v/>
      </c>
      <c r="DR144" s="77" t="str">
        <f t="shared" si="164"/>
        <v/>
      </c>
      <c r="DS144" s="77" t="str">
        <f t="shared" si="164"/>
        <v/>
      </c>
      <c r="DT144" s="77" t="str">
        <f t="shared" si="164"/>
        <v/>
      </c>
      <c r="DU144" s="77" t="str">
        <f t="shared" si="164"/>
        <v/>
      </c>
      <c r="DV144" s="77" t="str">
        <f t="shared" si="164"/>
        <v/>
      </c>
      <c r="DW144" s="77"/>
      <c r="DX144" s="77"/>
      <c r="DY144" s="78"/>
    </row>
    <row r="145" spans="2:129" outlineLevel="1" x14ac:dyDescent="0.2">
      <c r="B145" s="16" t="s">
        <v>76</v>
      </c>
      <c r="C145" s="16"/>
      <c r="D145" s="16"/>
      <c r="E145" s="16"/>
      <c r="F145" s="77">
        <v>0</v>
      </c>
      <c r="G145" s="77">
        <f>IF(G142="","",IF($D$57="Equity Multiple",F146*$C143-F146,G144*((1+$C143)^((G46-F46)/365)-1)))</f>
        <v>21138734.329540681</v>
      </c>
      <c r="H145" s="77">
        <f t="shared" ref="H145:BS145" si="165">IF(H142="","",IF($D$57="Equity Multiple",G146*$C143-G146,H144*((1+$C143)^((H46-G46)/365)-1)))</f>
        <v>23172045.306710728</v>
      </c>
      <c r="I145" s="77">
        <f t="shared" si="165"/>
        <v>31154282.976510871</v>
      </c>
      <c r="J145" s="77">
        <f t="shared" si="165"/>
        <v>36836590.455694251</v>
      </c>
      <c r="K145" s="77">
        <f t="shared" si="165"/>
        <v>46516388.137538224</v>
      </c>
      <c r="L145" s="77">
        <f t="shared" si="165"/>
        <v>54998027.112998568</v>
      </c>
      <c r="M145" s="77">
        <f t="shared" si="165"/>
        <v>69447530.500339463</v>
      </c>
      <c r="N145" s="77">
        <f t="shared" si="165"/>
        <v>85133054.034066394</v>
      </c>
      <c r="O145" s="77">
        <f t="shared" si="165"/>
        <v>100651544.27387042</v>
      </c>
      <c r="P145" s="77">
        <f t="shared" si="165"/>
        <v>127090949.41772428</v>
      </c>
      <c r="Q145" s="77">
        <f t="shared" si="165"/>
        <v>150255140.34983578</v>
      </c>
      <c r="R145" s="77">
        <f t="shared" si="165"/>
        <v>189721849.42790464</v>
      </c>
      <c r="S145" s="77">
        <f t="shared" si="165"/>
        <v>232563238.51170138</v>
      </c>
      <c r="T145" s="77">
        <f t="shared" si="165"/>
        <v>254884321.60643515</v>
      </c>
      <c r="U145" s="77">
        <f t="shared" si="165"/>
        <v>342631424.64900875</v>
      </c>
      <c r="V145" s="77">
        <f t="shared" si="165"/>
        <v>405072084.18440443</v>
      </c>
      <c r="W145" s="77">
        <f t="shared" si="165"/>
        <v>511460912.57489073</v>
      </c>
      <c r="X145" s="77">
        <f t="shared" si="165"/>
        <v>604666216.54523098</v>
      </c>
      <c r="Y145" s="77">
        <f t="shared" si="165"/>
        <v>763474095.79986012</v>
      </c>
      <c r="Z145" s="77">
        <f t="shared" si="165"/>
        <v>935858840.44329894</v>
      </c>
      <c r="AA145" s="77">
        <f t="shared" si="165"/>
        <v>1106399280.059675</v>
      </c>
      <c r="AB145" s="77">
        <f t="shared" si="165"/>
        <v>1396976418.5881188</v>
      </c>
      <c r="AC145" s="77">
        <f t="shared" si="165"/>
        <v>1651543164.9155359</v>
      </c>
      <c r="AD145" s="77">
        <f t="shared" si="165"/>
        <v>2085363559.2781746</v>
      </c>
      <c r="AE145" s="77">
        <f t="shared" si="165"/>
        <v>2556392789.7340355</v>
      </c>
      <c r="AF145" s="77">
        <f t="shared" si="165"/>
        <v>2906231409.250535</v>
      </c>
      <c r="AG145" s="77">
        <f t="shared" si="165"/>
        <v>3784170977.4225159</v>
      </c>
      <c r="AH145" s="77">
        <f t="shared" si="165"/>
        <v>4473917978.8099241</v>
      </c>
      <c r="AI145" s="77">
        <f t="shared" si="165"/>
        <v>5649085202.6247454</v>
      </c>
      <c r="AJ145" s="77">
        <f t="shared" si="165"/>
        <v>6678662785.4162998</v>
      </c>
      <c r="AK145" s="77">
        <f t="shared" si="165"/>
        <v>8432858204.0631485</v>
      </c>
      <c r="AL145" s="77">
        <f t="shared" si="165"/>
        <v>10337042181.854385</v>
      </c>
      <c r="AM145" s="77">
        <f t="shared" si="165"/>
        <v>12220874144.992294</v>
      </c>
      <c r="AN145" s="77">
        <f t="shared" si="165"/>
        <v>15430573604.83346</v>
      </c>
      <c r="AO145" s="77">
        <f t="shared" si="165"/>
        <v>18242529285.565746</v>
      </c>
      <c r="AP145" s="77">
        <f t="shared" si="165"/>
        <v>23033731816.368977</v>
      </c>
      <c r="AQ145" s="77">
        <f t="shared" si="165"/>
        <v>28234488357.251942</v>
      </c>
      <c r="AR145" s="77">
        <f t="shared" si="165"/>
        <v>30943922829.895931</v>
      </c>
      <c r="AS145" s="77">
        <f t="shared" si="165"/>
        <v>41596227131.386963</v>
      </c>
      <c r="AT145" s="77">
        <f t="shared" si="165"/>
        <v>49176156012.521828</v>
      </c>
      <c r="AU145" s="77">
        <f t="shared" si="165"/>
        <v>62091339532.581825</v>
      </c>
      <c r="AV145" s="77">
        <f t="shared" si="165"/>
        <v>73397707158.78479</v>
      </c>
      <c r="AW145" s="77">
        <f t="shared" si="165"/>
        <v>92674167498.35675</v>
      </c>
      <c r="AX145" s="77">
        <f t="shared" si="165"/>
        <v>113598546637.50281</v>
      </c>
      <c r="AY145" s="77">
        <f t="shared" si="165"/>
        <v>134298979966.18242</v>
      </c>
      <c r="AZ145" s="77">
        <f t="shared" si="165"/>
        <v>169569832922.5213</v>
      </c>
      <c r="BA145" s="77">
        <f t="shared" si="165"/>
        <v>200469531452.31927</v>
      </c>
      <c r="BB145" s="77">
        <f t="shared" si="165"/>
        <v>253089625882.38336</v>
      </c>
      <c r="BC145" s="77">
        <f t="shared" si="165"/>
        <v>310233008890.85052</v>
      </c>
      <c r="BD145" s="77">
        <f t="shared" si="165"/>
        <v>340002301803.45905</v>
      </c>
      <c r="BE145" s="77">
        <f t="shared" si="165"/>
        <v>457045146931.04761</v>
      </c>
      <c r="BF145" s="77">
        <f t="shared" si="165"/>
        <v>540329471534.60614</v>
      </c>
      <c r="BG145" s="77">
        <f t="shared" si="165"/>
        <v>682235349823.64453</v>
      </c>
      <c r="BH145" s="77">
        <f t="shared" si="165"/>
        <v>806554546992.03137</v>
      </c>
      <c r="BI145" s="77">
        <f t="shared" si="165"/>
        <v>1018378641847.0995</v>
      </c>
      <c r="BJ145" s="77">
        <f t="shared" si="165"/>
        <v>1248311077496.1311</v>
      </c>
      <c r="BK145" s="77">
        <f t="shared" si="165"/>
        <v>1475782388072.2302</v>
      </c>
      <c r="BL145" s="77">
        <f t="shared" si="165"/>
        <v>1863364596787.4053</v>
      </c>
      <c r="BM145" s="77">
        <f t="shared" si="165"/>
        <v>2202912909206.7148</v>
      </c>
      <c r="BN145" s="77">
        <f t="shared" si="165"/>
        <v>2781460079370.6177</v>
      </c>
      <c r="BO145" s="77">
        <f t="shared" si="165"/>
        <v>3409465846835.4419</v>
      </c>
      <c r="BP145" s="77">
        <f t="shared" si="165"/>
        <v>3736629825073.8848</v>
      </c>
      <c r="BQ145" s="77">
        <f t="shared" si="165"/>
        <v>5022931058746.0195</v>
      </c>
      <c r="BR145" s="77">
        <f t="shared" si="165"/>
        <v>5938225527241.6729</v>
      </c>
      <c r="BS145" s="77">
        <f t="shared" si="165"/>
        <v>7497771153849.3398</v>
      </c>
      <c r="BT145" s="77">
        <f t="shared" ref="BT145:DV145" si="166">IF(BT142="","",IF($D$57="Equity Multiple",BS146*$C143-BS146,BT144*((1+$C143)^((BT46-BS46)/365)-1)))</f>
        <v>8864038829067.1719</v>
      </c>
      <c r="BU145" s="77">
        <f t="shared" si="166"/>
        <v>11191985582868.883</v>
      </c>
      <c r="BV145" s="77">
        <f t="shared" si="166"/>
        <v>13718942830451.938</v>
      </c>
      <c r="BW145" s="77">
        <f t="shared" si="166"/>
        <v>16218852128058.922</v>
      </c>
      <c r="BX145" s="77">
        <f t="shared" si="166"/>
        <v>20478380376045.824</v>
      </c>
      <c r="BY145" s="77">
        <f t="shared" si="166"/>
        <v>24210015808850.852</v>
      </c>
      <c r="BZ145" s="77">
        <f t="shared" si="166"/>
        <v>30568247864673.102</v>
      </c>
      <c r="CA145" s="77">
        <f t="shared" si="166"/>
        <v>37470029822813.766</v>
      </c>
      <c r="CB145" s="77">
        <f t="shared" si="166"/>
        <v>42676442529257.055</v>
      </c>
      <c r="CC145" s="77">
        <f t="shared" si="166"/>
        <v>55565720235218.602</v>
      </c>
      <c r="CD145" s="77">
        <f t="shared" si="166"/>
        <v>65691081954804.758</v>
      </c>
      <c r="CE145" s="77">
        <f t="shared" si="166"/>
        <v>82943413653359.047</v>
      </c>
      <c r="CF145" s="77">
        <f t="shared" si="166"/>
        <v>98057623739508.375</v>
      </c>
      <c r="CG145" s="77">
        <f t="shared" si="166"/>
        <v>123810322506854.94</v>
      </c>
      <c r="CH145" s="77">
        <f t="shared" si="166"/>
        <v>151764556641673.03</v>
      </c>
      <c r="CI145" s="77">
        <f t="shared" si="166"/>
        <v>179419575206663.34</v>
      </c>
      <c r="CJ145" s="77">
        <f t="shared" si="166"/>
        <v>226540218121048.22</v>
      </c>
      <c r="CK145" s="77">
        <f t="shared" si="166"/>
        <v>267821094739998.19</v>
      </c>
      <c r="CL145" s="77">
        <f t="shared" si="166"/>
        <v>338158471120757.06</v>
      </c>
      <c r="CM145" s="77">
        <f t="shared" si="166"/>
        <v>414508818164642</v>
      </c>
      <c r="CN145" s="77">
        <f t="shared" si="166"/>
        <v>454284058496951.38</v>
      </c>
      <c r="CO145" s="77">
        <f t="shared" si="166"/>
        <v>610667256543473.62</v>
      </c>
      <c r="CP145" s="77">
        <f t="shared" si="166"/>
        <v>721944979799460.88</v>
      </c>
      <c r="CQ145" s="77">
        <f t="shared" si="166"/>
        <v>911548101861159.12</v>
      </c>
      <c r="CR145" s="77">
        <f t="shared" si="166"/>
        <v>1077653286464111.2</v>
      </c>
      <c r="CS145" s="77">
        <f t="shared" si="166"/>
        <v>1360675446446946</v>
      </c>
      <c r="CT145" s="77">
        <f t="shared" si="166"/>
        <v>1667892480180155.5</v>
      </c>
      <c r="CU145" s="77">
        <f t="shared" si="166"/>
        <v>1971821134813226.2</v>
      </c>
      <c r="CV145" s="77">
        <f t="shared" si="166"/>
        <v>2489677001425067</v>
      </c>
      <c r="CW145" s="77">
        <f t="shared" si="166"/>
        <v>2943353836360266</v>
      </c>
      <c r="CX145" s="77" t="str">
        <f t="shared" si="166"/>
        <v/>
      </c>
      <c r="CY145" s="77" t="str">
        <f t="shared" si="166"/>
        <v/>
      </c>
      <c r="CZ145" s="77" t="str">
        <f t="shared" si="166"/>
        <v/>
      </c>
      <c r="DA145" s="77" t="str">
        <f t="shared" si="166"/>
        <v/>
      </c>
      <c r="DB145" s="77" t="str">
        <f t="shared" si="166"/>
        <v/>
      </c>
      <c r="DC145" s="77" t="str">
        <f t="shared" si="166"/>
        <v/>
      </c>
      <c r="DD145" s="77" t="str">
        <f t="shared" si="166"/>
        <v/>
      </c>
      <c r="DE145" s="77" t="str">
        <f t="shared" si="166"/>
        <v/>
      </c>
      <c r="DF145" s="77" t="str">
        <f t="shared" si="166"/>
        <v/>
      </c>
      <c r="DG145" s="77" t="str">
        <f t="shared" si="166"/>
        <v/>
      </c>
      <c r="DH145" s="77" t="str">
        <f t="shared" si="166"/>
        <v/>
      </c>
      <c r="DI145" s="77" t="str">
        <f t="shared" si="166"/>
        <v/>
      </c>
      <c r="DJ145" s="77" t="str">
        <f t="shared" si="166"/>
        <v/>
      </c>
      <c r="DK145" s="77" t="str">
        <f t="shared" si="166"/>
        <v/>
      </c>
      <c r="DL145" s="77" t="str">
        <f t="shared" si="166"/>
        <v/>
      </c>
      <c r="DM145" s="77" t="str">
        <f t="shared" si="166"/>
        <v/>
      </c>
      <c r="DN145" s="77" t="str">
        <f t="shared" si="166"/>
        <v/>
      </c>
      <c r="DO145" s="77" t="str">
        <f t="shared" si="166"/>
        <v/>
      </c>
      <c r="DP145" s="77" t="str">
        <f t="shared" si="166"/>
        <v/>
      </c>
      <c r="DQ145" s="77" t="str">
        <f t="shared" si="166"/>
        <v/>
      </c>
      <c r="DR145" s="77" t="str">
        <f t="shared" si="166"/>
        <v/>
      </c>
      <c r="DS145" s="77" t="str">
        <f t="shared" si="166"/>
        <v/>
      </c>
      <c r="DT145" s="77" t="str">
        <f t="shared" si="166"/>
        <v/>
      </c>
      <c r="DU145" s="77" t="str">
        <f t="shared" si="166"/>
        <v/>
      </c>
      <c r="DV145" s="77" t="str">
        <f t="shared" si="166"/>
        <v/>
      </c>
      <c r="DW145" s="77"/>
      <c r="DX145" s="77"/>
      <c r="DY145" s="78"/>
    </row>
    <row r="146" spans="2:129" outlineLevel="1" x14ac:dyDescent="0.2">
      <c r="B146" s="16" t="s">
        <v>60</v>
      </c>
      <c r="C146" s="16"/>
      <c r="D146" s="16"/>
      <c r="E146" s="16"/>
      <c r="F146" s="77">
        <f t="shared" ref="F146:AK146" si="167">IF(F142="","",-MIN(0,F$51*Equity_Share_LP))</f>
        <v>93624225.299999997</v>
      </c>
      <c r="G146" s="77">
        <f t="shared" si="167"/>
        <v>24225.3</v>
      </c>
      <c r="H146" s="77">
        <f t="shared" si="167"/>
        <v>24225.3</v>
      </c>
      <c r="I146" s="77">
        <f t="shared" si="167"/>
        <v>24225.3</v>
      </c>
      <c r="J146" s="77">
        <f t="shared" si="167"/>
        <v>24225.3</v>
      </c>
      <c r="K146" s="77">
        <f t="shared" si="167"/>
        <v>24225.3</v>
      </c>
      <c r="L146" s="77">
        <f t="shared" si="167"/>
        <v>24225.3</v>
      </c>
      <c r="M146" s="77">
        <f t="shared" si="167"/>
        <v>24225.3</v>
      </c>
      <c r="N146" s="77">
        <f t="shared" si="167"/>
        <v>24225.3</v>
      </c>
      <c r="O146" s="77">
        <f t="shared" si="167"/>
        <v>24225.3</v>
      </c>
      <c r="P146" s="77">
        <f t="shared" si="167"/>
        <v>24225.3</v>
      </c>
      <c r="Q146" s="77">
        <f t="shared" si="167"/>
        <v>24225.3</v>
      </c>
      <c r="R146" s="77">
        <f t="shared" si="167"/>
        <v>24225.3</v>
      </c>
      <c r="S146" s="77">
        <f t="shared" si="167"/>
        <v>24225.3</v>
      </c>
      <c r="T146" s="77">
        <f t="shared" si="167"/>
        <v>24225.3</v>
      </c>
      <c r="U146" s="77">
        <f t="shared" si="167"/>
        <v>24225.3</v>
      </c>
      <c r="V146" s="77">
        <f t="shared" si="167"/>
        <v>24225.3</v>
      </c>
      <c r="W146" s="77">
        <f t="shared" si="167"/>
        <v>24225.3</v>
      </c>
      <c r="X146" s="77">
        <f t="shared" si="167"/>
        <v>24225.3</v>
      </c>
      <c r="Y146" s="77">
        <f t="shared" si="167"/>
        <v>24225.3</v>
      </c>
      <c r="Z146" s="77">
        <f t="shared" si="167"/>
        <v>24225.3</v>
      </c>
      <c r="AA146" s="77">
        <f t="shared" si="167"/>
        <v>24225.3</v>
      </c>
      <c r="AB146" s="77">
        <f t="shared" si="167"/>
        <v>24225.3</v>
      </c>
      <c r="AC146" s="77">
        <f t="shared" si="167"/>
        <v>347943.60000000003</v>
      </c>
      <c r="AD146" s="77">
        <f t="shared" si="167"/>
        <v>842081.4</v>
      </c>
      <c r="AE146" s="77">
        <f t="shared" si="167"/>
        <v>0</v>
      </c>
      <c r="AF146" s="77">
        <f t="shared" si="167"/>
        <v>842081.4</v>
      </c>
      <c r="AG146" s="77">
        <f t="shared" si="167"/>
        <v>842081.4</v>
      </c>
      <c r="AH146" s="77">
        <f t="shared" si="167"/>
        <v>842081.4</v>
      </c>
      <c r="AI146" s="77">
        <f t="shared" si="167"/>
        <v>842081.4</v>
      </c>
      <c r="AJ146" s="77">
        <f t="shared" si="167"/>
        <v>842081.4</v>
      </c>
      <c r="AK146" s="77">
        <f t="shared" si="167"/>
        <v>842081.4</v>
      </c>
      <c r="AL146" s="77">
        <f t="shared" ref="AL146:BQ146" si="168">IF(AL142="","",-MIN(0,AL$51*Equity_Share_LP))</f>
        <v>842081.4</v>
      </c>
      <c r="AM146" s="77">
        <f t="shared" si="168"/>
        <v>678031.20000000007</v>
      </c>
      <c r="AN146" s="77">
        <f t="shared" si="168"/>
        <v>678031.20000000007</v>
      </c>
      <c r="AO146" s="77">
        <f t="shared" si="168"/>
        <v>884093.4</v>
      </c>
      <c r="AP146" s="77">
        <f t="shared" si="168"/>
        <v>608580.9</v>
      </c>
      <c r="AQ146" s="77">
        <f t="shared" si="168"/>
        <v>608580.9</v>
      </c>
      <c r="AR146" s="77">
        <f t="shared" si="168"/>
        <v>608580.9</v>
      </c>
      <c r="AS146" s="77">
        <f t="shared" si="168"/>
        <v>608580.9</v>
      </c>
      <c r="AT146" s="77">
        <f t="shared" si="168"/>
        <v>608580.9</v>
      </c>
      <c r="AU146" s="77">
        <f t="shared" si="168"/>
        <v>0</v>
      </c>
      <c r="AV146" s="77">
        <f t="shared" si="168"/>
        <v>670845.6</v>
      </c>
      <c r="AW146" s="77">
        <f t="shared" si="168"/>
        <v>670845.6</v>
      </c>
      <c r="AX146" s="77">
        <f t="shared" si="168"/>
        <v>670845.6</v>
      </c>
      <c r="AY146" s="77">
        <f t="shared" si="168"/>
        <v>670845.6</v>
      </c>
      <c r="AZ146" s="77">
        <f t="shared" si="168"/>
        <v>670845.6</v>
      </c>
      <c r="BA146" s="77">
        <f t="shared" si="168"/>
        <v>0</v>
      </c>
      <c r="BB146" s="77">
        <f t="shared" si="168"/>
        <v>501548.4</v>
      </c>
      <c r="BC146" s="77">
        <f t="shared" si="168"/>
        <v>501548.4</v>
      </c>
      <c r="BD146" s="77">
        <f t="shared" si="168"/>
        <v>501548.4</v>
      </c>
      <c r="BE146" s="77">
        <f t="shared" si="168"/>
        <v>501548.4</v>
      </c>
      <c r="BF146" s="77">
        <f t="shared" si="168"/>
        <v>501548.4</v>
      </c>
      <c r="BG146" s="77">
        <f t="shared" si="168"/>
        <v>501548.4</v>
      </c>
      <c r="BH146" s="77">
        <f t="shared" si="168"/>
        <v>501548.4</v>
      </c>
      <c r="BI146" s="77">
        <f t="shared" si="168"/>
        <v>501548.4</v>
      </c>
      <c r="BJ146" s="77">
        <f t="shared" si="168"/>
        <v>501548.4</v>
      </c>
      <c r="BK146" s="77">
        <f t="shared" si="168"/>
        <v>501548.4</v>
      </c>
      <c r="BL146" s="77">
        <f t="shared" si="168"/>
        <v>501548.4</v>
      </c>
      <c r="BM146" s="77">
        <f t="shared" si="168"/>
        <v>368838.9</v>
      </c>
      <c r="BN146" s="77">
        <f t="shared" si="168"/>
        <v>368838.9</v>
      </c>
      <c r="BO146" s="77">
        <f t="shared" si="168"/>
        <v>368838.9</v>
      </c>
      <c r="BP146" s="77">
        <f t="shared" si="168"/>
        <v>227774.7</v>
      </c>
      <c r="BQ146" s="77">
        <f t="shared" si="168"/>
        <v>227774.7</v>
      </c>
      <c r="BR146" s="77">
        <f t="shared" ref="BR146:CW146" si="169">IF(BR142="","",-MIN(0,BR$51*Equity_Share_LP))</f>
        <v>227774.7</v>
      </c>
      <c r="BS146" s="77">
        <f t="shared" si="169"/>
        <v>227774.7</v>
      </c>
      <c r="BT146" s="77">
        <f t="shared" si="169"/>
        <v>227774.7</v>
      </c>
      <c r="BU146" s="77">
        <f t="shared" si="169"/>
        <v>227774.7</v>
      </c>
      <c r="BV146" s="77">
        <f t="shared" si="169"/>
        <v>227774.7</v>
      </c>
      <c r="BW146" s="77">
        <f t="shared" si="169"/>
        <v>227774.7</v>
      </c>
      <c r="BX146" s="77">
        <f t="shared" si="169"/>
        <v>227774.7</v>
      </c>
      <c r="BY146" s="77">
        <f t="shared" si="169"/>
        <v>0</v>
      </c>
      <c r="BZ146" s="77">
        <f t="shared" si="169"/>
        <v>0</v>
      </c>
      <c r="CA146" s="77">
        <f t="shared" si="169"/>
        <v>227774.7</v>
      </c>
      <c r="CB146" s="77">
        <f t="shared" si="169"/>
        <v>227774.7</v>
      </c>
      <c r="CC146" s="77">
        <f t="shared" si="169"/>
        <v>227774.7</v>
      </c>
      <c r="CD146" s="77">
        <f t="shared" si="169"/>
        <v>227774.7</v>
      </c>
      <c r="CE146" s="77">
        <f t="shared" si="169"/>
        <v>0</v>
      </c>
      <c r="CF146" s="77">
        <f t="shared" si="169"/>
        <v>0</v>
      </c>
      <c r="CG146" s="77">
        <f t="shared" si="169"/>
        <v>0</v>
      </c>
      <c r="CH146" s="77">
        <f t="shared" si="169"/>
        <v>0</v>
      </c>
      <c r="CI146" s="77">
        <f t="shared" si="169"/>
        <v>0</v>
      </c>
      <c r="CJ146" s="77">
        <f t="shared" si="169"/>
        <v>0</v>
      </c>
      <c r="CK146" s="77">
        <f t="shared" si="169"/>
        <v>523424.7</v>
      </c>
      <c r="CL146" s="77">
        <f t="shared" si="169"/>
        <v>523424.7</v>
      </c>
      <c r="CM146" s="77">
        <f t="shared" si="169"/>
        <v>523424.7</v>
      </c>
      <c r="CN146" s="77">
        <f t="shared" si="169"/>
        <v>523424.7</v>
      </c>
      <c r="CO146" s="77">
        <f t="shared" si="169"/>
        <v>523424.7</v>
      </c>
      <c r="CP146" s="77">
        <f t="shared" si="169"/>
        <v>523424.7</v>
      </c>
      <c r="CQ146" s="77">
        <f t="shared" si="169"/>
        <v>523424.7</v>
      </c>
      <c r="CR146" s="77">
        <f t="shared" si="169"/>
        <v>523424.7</v>
      </c>
      <c r="CS146" s="77">
        <f t="shared" si="169"/>
        <v>523424.7</v>
      </c>
      <c r="CT146" s="77">
        <f t="shared" si="169"/>
        <v>523424.7</v>
      </c>
      <c r="CU146" s="77">
        <f t="shared" si="169"/>
        <v>523424.7</v>
      </c>
      <c r="CV146" s="77">
        <f t="shared" si="169"/>
        <v>523424.7</v>
      </c>
      <c r="CW146" s="77">
        <f t="shared" si="169"/>
        <v>0</v>
      </c>
      <c r="CX146" s="77" t="str">
        <f t="shared" ref="CX146:DV146" si="170">IF(CX142="","",-MIN(0,CX$51*Equity_Share_LP))</f>
        <v/>
      </c>
      <c r="CY146" s="77" t="str">
        <f t="shared" si="170"/>
        <v/>
      </c>
      <c r="CZ146" s="77" t="str">
        <f t="shared" si="170"/>
        <v/>
      </c>
      <c r="DA146" s="77" t="str">
        <f t="shared" si="170"/>
        <v/>
      </c>
      <c r="DB146" s="77" t="str">
        <f t="shared" si="170"/>
        <v/>
      </c>
      <c r="DC146" s="77" t="str">
        <f t="shared" si="170"/>
        <v/>
      </c>
      <c r="DD146" s="77" t="str">
        <f t="shared" si="170"/>
        <v/>
      </c>
      <c r="DE146" s="77" t="str">
        <f t="shared" si="170"/>
        <v/>
      </c>
      <c r="DF146" s="77" t="str">
        <f t="shared" si="170"/>
        <v/>
      </c>
      <c r="DG146" s="77" t="str">
        <f t="shared" si="170"/>
        <v/>
      </c>
      <c r="DH146" s="77" t="str">
        <f t="shared" si="170"/>
        <v/>
      </c>
      <c r="DI146" s="77" t="str">
        <f t="shared" si="170"/>
        <v/>
      </c>
      <c r="DJ146" s="77" t="str">
        <f t="shared" si="170"/>
        <v/>
      </c>
      <c r="DK146" s="77" t="str">
        <f t="shared" si="170"/>
        <v/>
      </c>
      <c r="DL146" s="77" t="str">
        <f t="shared" si="170"/>
        <v/>
      </c>
      <c r="DM146" s="77" t="str">
        <f t="shared" si="170"/>
        <v/>
      </c>
      <c r="DN146" s="77" t="str">
        <f t="shared" si="170"/>
        <v/>
      </c>
      <c r="DO146" s="77" t="str">
        <f t="shared" si="170"/>
        <v/>
      </c>
      <c r="DP146" s="77" t="str">
        <f t="shared" si="170"/>
        <v/>
      </c>
      <c r="DQ146" s="77" t="str">
        <f t="shared" si="170"/>
        <v/>
      </c>
      <c r="DR146" s="77" t="str">
        <f t="shared" si="170"/>
        <v/>
      </c>
      <c r="DS146" s="77" t="str">
        <f t="shared" si="170"/>
        <v/>
      </c>
      <c r="DT146" s="77" t="str">
        <f t="shared" si="170"/>
        <v/>
      </c>
      <c r="DU146" s="77" t="str">
        <f t="shared" si="170"/>
        <v/>
      </c>
      <c r="DV146" s="77" t="str">
        <f t="shared" si="170"/>
        <v/>
      </c>
      <c r="DW146" s="77"/>
      <c r="DX146" s="77"/>
      <c r="DY146" s="78"/>
    </row>
    <row r="147" spans="2:129" outlineLevel="1" x14ac:dyDescent="0.2">
      <c r="B147" s="16" t="s">
        <v>72</v>
      </c>
      <c r="C147" s="16"/>
      <c r="D147" s="16"/>
      <c r="E147" s="16"/>
      <c r="F147" s="77">
        <f>IF(F142="","",F122+F100+F137)</f>
        <v>0</v>
      </c>
      <c r="G147" s="77">
        <f t="shared" ref="G147:BR147" si="171">IF(G142="","",G122+G100+G137)</f>
        <v>0</v>
      </c>
      <c r="H147" s="77">
        <f t="shared" si="171"/>
        <v>0</v>
      </c>
      <c r="I147" s="77">
        <f t="shared" si="171"/>
        <v>0</v>
      </c>
      <c r="J147" s="77">
        <f t="shared" si="171"/>
        <v>0</v>
      </c>
      <c r="K147" s="77">
        <f t="shared" si="171"/>
        <v>0</v>
      </c>
      <c r="L147" s="77">
        <f t="shared" si="171"/>
        <v>0</v>
      </c>
      <c r="M147" s="77">
        <f t="shared" si="171"/>
        <v>0</v>
      </c>
      <c r="N147" s="77">
        <f t="shared" si="171"/>
        <v>0</v>
      </c>
      <c r="O147" s="77">
        <f t="shared" si="171"/>
        <v>0</v>
      </c>
      <c r="P147" s="77">
        <f t="shared" si="171"/>
        <v>0</v>
      </c>
      <c r="Q147" s="77">
        <f t="shared" si="171"/>
        <v>0</v>
      </c>
      <c r="R147" s="77">
        <f t="shared" si="171"/>
        <v>0</v>
      </c>
      <c r="S147" s="77">
        <f t="shared" si="171"/>
        <v>0</v>
      </c>
      <c r="T147" s="77">
        <f t="shared" si="171"/>
        <v>0</v>
      </c>
      <c r="U147" s="77">
        <f t="shared" si="171"/>
        <v>0</v>
      </c>
      <c r="V147" s="77">
        <f t="shared" si="171"/>
        <v>0</v>
      </c>
      <c r="W147" s="77">
        <f t="shared" si="171"/>
        <v>0</v>
      </c>
      <c r="X147" s="77">
        <f t="shared" si="171"/>
        <v>0</v>
      </c>
      <c r="Y147" s="77">
        <f t="shared" si="171"/>
        <v>0</v>
      </c>
      <c r="Z147" s="77">
        <f t="shared" si="171"/>
        <v>0</v>
      </c>
      <c r="AA147" s="77">
        <f t="shared" si="171"/>
        <v>0</v>
      </c>
      <c r="AB147" s="77">
        <f t="shared" si="171"/>
        <v>0</v>
      </c>
      <c r="AC147" s="77">
        <f t="shared" si="171"/>
        <v>0</v>
      </c>
      <c r="AD147" s="77">
        <f t="shared" si="171"/>
        <v>0</v>
      </c>
      <c r="AE147" s="77">
        <f t="shared" si="171"/>
        <v>25591908.600000001</v>
      </c>
      <c r="AF147" s="77">
        <f t="shared" si="171"/>
        <v>0</v>
      </c>
      <c r="AG147" s="77">
        <f t="shared" si="171"/>
        <v>0</v>
      </c>
      <c r="AH147" s="77">
        <f t="shared" si="171"/>
        <v>0</v>
      </c>
      <c r="AI147" s="77">
        <f t="shared" si="171"/>
        <v>0</v>
      </c>
      <c r="AJ147" s="77">
        <f t="shared" si="171"/>
        <v>0</v>
      </c>
      <c r="AK147" s="77">
        <f t="shared" si="171"/>
        <v>0</v>
      </c>
      <c r="AL147" s="77">
        <f t="shared" si="171"/>
        <v>0</v>
      </c>
      <c r="AM147" s="77">
        <f t="shared" si="171"/>
        <v>0</v>
      </c>
      <c r="AN147" s="77">
        <f t="shared" si="171"/>
        <v>0</v>
      </c>
      <c r="AO147" s="77">
        <f t="shared" si="171"/>
        <v>0</v>
      </c>
      <c r="AP147" s="77">
        <f t="shared" si="171"/>
        <v>0</v>
      </c>
      <c r="AQ147" s="77">
        <f t="shared" si="171"/>
        <v>0</v>
      </c>
      <c r="AR147" s="77">
        <f t="shared" si="171"/>
        <v>0</v>
      </c>
      <c r="AS147" s="77">
        <f t="shared" si="171"/>
        <v>0</v>
      </c>
      <c r="AT147" s="77">
        <f t="shared" si="171"/>
        <v>0</v>
      </c>
      <c r="AU147" s="77">
        <f t="shared" si="171"/>
        <v>37257084.899999999</v>
      </c>
      <c r="AV147" s="77">
        <f t="shared" si="171"/>
        <v>0</v>
      </c>
      <c r="AW147" s="77">
        <f t="shared" si="171"/>
        <v>0</v>
      </c>
      <c r="AX147" s="77">
        <f t="shared" si="171"/>
        <v>0</v>
      </c>
      <c r="AY147" s="77">
        <f t="shared" si="171"/>
        <v>0</v>
      </c>
      <c r="AZ147" s="77">
        <f t="shared" si="171"/>
        <v>0</v>
      </c>
      <c r="BA147" s="77">
        <f t="shared" si="171"/>
        <v>127826136.2843312</v>
      </c>
      <c r="BB147" s="77">
        <f t="shared" si="171"/>
        <v>0</v>
      </c>
      <c r="BC147" s="77">
        <f t="shared" si="171"/>
        <v>0</v>
      </c>
      <c r="BD147" s="77">
        <f t="shared" si="171"/>
        <v>0</v>
      </c>
      <c r="BE147" s="77">
        <f t="shared" si="171"/>
        <v>0</v>
      </c>
      <c r="BF147" s="77">
        <f t="shared" si="171"/>
        <v>0</v>
      </c>
      <c r="BG147" s="77">
        <f t="shared" si="171"/>
        <v>0</v>
      </c>
      <c r="BH147" s="77">
        <f t="shared" si="171"/>
        <v>0</v>
      </c>
      <c r="BI147" s="77">
        <f t="shared" si="171"/>
        <v>0</v>
      </c>
      <c r="BJ147" s="77">
        <f t="shared" si="171"/>
        <v>0</v>
      </c>
      <c r="BK147" s="77">
        <f t="shared" si="171"/>
        <v>0</v>
      </c>
      <c r="BL147" s="77">
        <f t="shared" si="171"/>
        <v>0</v>
      </c>
      <c r="BM147" s="77">
        <f t="shared" si="171"/>
        <v>0</v>
      </c>
      <c r="BN147" s="77">
        <f t="shared" si="171"/>
        <v>0</v>
      </c>
      <c r="BO147" s="77">
        <f t="shared" si="171"/>
        <v>0</v>
      </c>
      <c r="BP147" s="77">
        <f t="shared" si="171"/>
        <v>0</v>
      </c>
      <c r="BQ147" s="77">
        <f t="shared" si="171"/>
        <v>0</v>
      </c>
      <c r="BR147" s="77">
        <f t="shared" si="171"/>
        <v>0</v>
      </c>
      <c r="BS147" s="77">
        <f t="shared" ref="BS147:DV147" si="172">IF(BS142="","",BS122+BS100+BS137)</f>
        <v>0</v>
      </c>
      <c r="BT147" s="77">
        <f t="shared" si="172"/>
        <v>0</v>
      </c>
      <c r="BU147" s="77">
        <f t="shared" si="172"/>
        <v>0</v>
      </c>
      <c r="BV147" s="77">
        <f t="shared" si="172"/>
        <v>0</v>
      </c>
      <c r="BW147" s="77">
        <f t="shared" si="172"/>
        <v>0</v>
      </c>
      <c r="BX147" s="77">
        <f t="shared" si="172"/>
        <v>0</v>
      </c>
      <c r="BY147" s="77">
        <f t="shared" si="172"/>
        <v>5316225.3</v>
      </c>
      <c r="BZ147" s="77">
        <f t="shared" si="172"/>
        <v>3855975.3000000003</v>
      </c>
      <c r="CA147" s="77">
        <f t="shared" si="172"/>
        <v>0</v>
      </c>
      <c r="CB147" s="77">
        <f t="shared" si="172"/>
        <v>0</v>
      </c>
      <c r="CC147" s="77">
        <f t="shared" si="172"/>
        <v>0</v>
      </c>
      <c r="CD147" s="77">
        <f t="shared" si="172"/>
        <v>0</v>
      </c>
      <c r="CE147" s="77">
        <f t="shared" si="172"/>
        <v>7616577.9996649548</v>
      </c>
      <c r="CF147" s="77">
        <f t="shared" si="172"/>
        <v>0</v>
      </c>
      <c r="CG147" s="77">
        <f t="shared" si="172"/>
        <v>0</v>
      </c>
      <c r="CH147" s="77">
        <f t="shared" si="172"/>
        <v>0</v>
      </c>
      <c r="CI147" s="77">
        <f t="shared" si="172"/>
        <v>0</v>
      </c>
      <c r="CJ147" s="77">
        <f t="shared" si="172"/>
        <v>0</v>
      </c>
      <c r="CK147" s="77">
        <f t="shared" si="172"/>
        <v>0</v>
      </c>
      <c r="CL147" s="77">
        <f t="shared" si="172"/>
        <v>0</v>
      </c>
      <c r="CM147" s="77">
        <f t="shared" si="172"/>
        <v>0</v>
      </c>
      <c r="CN147" s="77">
        <f t="shared" si="172"/>
        <v>0</v>
      </c>
      <c r="CO147" s="77">
        <f t="shared" si="172"/>
        <v>0</v>
      </c>
      <c r="CP147" s="77">
        <f t="shared" si="172"/>
        <v>0</v>
      </c>
      <c r="CQ147" s="77">
        <f t="shared" si="172"/>
        <v>0</v>
      </c>
      <c r="CR147" s="77">
        <f t="shared" si="172"/>
        <v>0</v>
      </c>
      <c r="CS147" s="77">
        <f t="shared" si="172"/>
        <v>0</v>
      </c>
      <c r="CT147" s="77">
        <f t="shared" si="172"/>
        <v>0</v>
      </c>
      <c r="CU147" s="77">
        <f t="shared" si="172"/>
        <v>0</v>
      </c>
      <c r="CV147" s="77">
        <f t="shared" si="172"/>
        <v>0</v>
      </c>
      <c r="CW147" s="77">
        <f t="shared" si="172"/>
        <v>15536809.359897047</v>
      </c>
      <c r="CX147" s="77" t="str">
        <f t="shared" si="172"/>
        <v/>
      </c>
      <c r="CY147" s="77" t="str">
        <f t="shared" si="172"/>
        <v/>
      </c>
      <c r="CZ147" s="77" t="str">
        <f t="shared" si="172"/>
        <v/>
      </c>
      <c r="DA147" s="77" t="str">
        <f t="shared" si="172"/>
        <v/>
      </c>
      <c r="DB147" s="77" t="str">
        <f t="shared" si="172"/>
        <v/>
      </c>
      <c r="DC147" s="77" t="str">
        <f t="shared" si="172"/>
        <v/>
      </c>
      <c r="DD147" s="77" t="str">
        <f t="shared" si="172"/>
        <v/>
      </c>
      <c r="DE147" s="77" t="str">
        <f t="shared" si="172"/>
        <v/>
      </c>
      <c r="DF147" s="77" t="str">
        <f t="shared" si="172"/>
        <v/>
      </c>
      <c r="DG147" s="77" t="str">
        <f t="shared" si="172"/>
        <v/>
      </c>
      <c r="DH147" s="77" t="str">
        <f t="shared" si="172"/>
        <v/>
      </c>
      <c r="DI147" s="77" t="str">
        <f t="shared" si="172"/>
        <v/>
      </c>
      <c r="DJ147" s="77" t="str">
        <f t="shared" si="172"/>
        <v/>
      </c>
      <c r="DK147" s="77" t="str">
        <f t="shared" si="172"/>
        <v/>
      </c>
      <c r="DL147" s="77" t="str">
        <f t="shared" si="172"/>
        <v/>
      </c>
      <c r="DM147" s="77" t="str">
        <f t="shared" si="172"/>
        <v/>
      </c>
      <c r="DN147" s="77" t="str">
        <f t="shared" si="172"/>
        <v/>
      </c>
      <c r="DO147" s="77" t="str">
        <f t="shared" si="172"/>
        <v/>
      </c>
      <c r="DP147" s="77" t="str">
        <f t="shared" si="172"/>
        <v/>
      </c>
      <c r="DQ147" s="77" t="str">
        <f t="shared" si="172"/>
        <v/>
      </c>
      <c r="DR147" s="77" t="str">
        <f t="shared" si="172"/>
        <v/>
      </c>
      <c r="DS147" s="77" t="str">
        <f t="shared" si="172"/>
        <v/>
      </c>
      <c r="DT147" s="77" t="str">
        <f t="shared" si="172"/>
        <v/>
      </c>
      <c r="DU147" s="77" t="str">
        <f t="shared" si="172"/>
        <v/>
      </c>
      <c r="DV147" s="77" t="str">
        <f t="shared" si="172"/>
        <v/>
      </c>
      <c r="DW147" s="77"/>
      <c r="DX147" s="77"/>
      <c r="DY147" s="78"/>
    </row>
    <row r="148" spans="2:129" outlineLevel="1" x14ac:dyDescent="0.2">
      <c r="B148" s="16" t="str">
        <f>"Distributions to LP "&amp;B142</f>
        <v>Distributions to LP Tier 4</v>
      </c>
      <c r="C148" s="16"/>
      <c r="D148" s="16"/>
      <c r="E148" s="16"/>
      <c r="F148" s="77">
        <f>IF(F142="","",MIN(F144+F145-F147,F140*$I$18))</f>
        <v>0</v>
      </c>
      <c r="G148" s="77">
        <f t="shared" ref="G148:BR148" si="173">IF(G142="","",MIN(G144+G145-G147,G140*$I$18))</f>
        <v>0</v>
      </c>
      <c r="H148" s="77">
        <f t="shared" si="173"/>
        <v>0</v>
      </c>
      <c r="I148" s="77">
        <f t="shared" si="173"/>
        <v>0</v>
      </c>
      <c r="J148" s="77">
        <f t="shared" si="173"/>
        <v>0</v>
      </c>
      <c r="K148" s="77">
        <f t="shared" si="173"/>
        <v>0</v>
      </c>
      <c r="L148" s="77">
        <f t="shared" si="173"/>
        <v>0</v>
      </c>
      <c r="M148" s="77">
        <f t="shared" si="173"/>
        <v>0</v>
      </c>
      <c r="N148" s="77">
        <f t="shared" si="173"/>
        <v>0</v>
      </c>
      <c r="O148" s="77">
        <f t="shared" si="173"/>
        <v>0</v>
      </c>
      <c r="P148" s="77">
        <f t="shared" si="173"/>
        <v>0</v>
      </c>
      <c r="Q148" s="77">
        <f t="shared" si="173"/>
        <v>0</v>
      </c>
      <c r="R148" s="77">
        <f t="shared" si="173"/>
        <v>0</v>
      </c>
      <c r="S148" s="77">
        <f t="shared" si="173"/>
        <v>0</v>
      </c>
      <c r="T148" s="77">
        <f t="shared" si="173"/>
        <v>0</v>
      </c>
      <c r="U148" s="77">
        <f t="shared" si="173"/>
        <v>0</v>
      </c>
      <c r="V148" s="77">
        <f t="shared" si="173"/>
        <v>0</v>
      </c>
      <c r="W148" s="77">
        <f t="shared" si="173"/>
        <v>0</v>
      </c>
      <c r="X148" s="77">
        <f t="shared" si="173"/>
        <v>0</v>
      </c>
      <c r="Y148" s="77">
        <f t="shared" si="173"/>
        <v>0</v>
      </c>
      <c r="Z148" s="77">
        <f t="shared" si="173"/>
        <v>0</v>
      </c>
      <c r="AA148" s="77">
        <f t="shared" si="173"/>
        <v>0</v>
      </c>
      <c r="AB148" s="77">
        <f t="shared" si="173"/>
        <v>0</v>
      </c>
      <c r="AC148" s="77">
        <f t="shared" si="173"/>
        <v>0</v>
      </c>
      <c r="AD148" s="77">
        <f t="shared" si="173"/>
        <v>0</v>
      </c>
      <c r="AE148" s="77">
        <f t="shared" si="173"/>
        <v>0</v>
      </c>
      <c r="AF148" s="77">
        <f t="shared" si="173"/>
        <v>0</v>
      </c>
      <c r="AG148" s="77">
        <f t="shared" si="173"/>
        <v>0</v>
      </c>
      <c r="AH148" s="77">
        <f t="shared" si="173"/>
        <v>0</v>
      </c>
      <c r="AI148" s="77">
        <f t="shared" si="173"/>
        <v>0</v>
      </c>
      <c r="AJ148" s="77">
        <f t="shared" si="173"/>
        <v>0</v>
      </c>
      <c r="AK148" s="77">
        <f t="shared" si="173"/>
        <v>0</v>
      </c>
      <c r="AL148" s="77">
        <f t="shared" si="173"/>
        <v>0</v>
      </c>
      <c r="AM148" s="77">
        <f t="shared" si="173"/>
        <v>0</v>
      </c>
      <c r="AN148" s="77">
        <f t="shared" si="173"/>
        <v>0</v>
      </c>
      <c r="AO148" s="77">
        <f t="shared" si="173"/>
        <v>0</v>
      </c>
      <c r="AP148" s="77">
        <f t="shared" si="173"/>
        <v>0</v>
      </c>
      <c r="AQ148" s="77">
        <f t="shared" si="173"/>
        <v>0</v>
      </c>
      <c r="AR148" s="77">
        <f t="shared" si="173"/>
        <v>0</v>
      </c>
      <c r="AS148" s="77">
        <f t="shared" si="173"/>
        <v>0</v>
      </c>
      <c r="AT148" s="77">
        <f t="shared" si="173"/>
        <v>0</v>
      </c>
      <c r="AU148" s="77">
        <f t="shared" si="173"/>
        <v>0</v>
      </c>
      <c r="AV148" s="77">
        <f t="shared" si="173"/>
        <v>0</v>
      </c>
      <c r="AW148" s="77">
        <f t="shared" si="173"/>
        <v>0</v>
      </c>
      <c r="AX148" s="77">
        <f t="shared" si="173"/>
        <v>0</v>
      </c>
      <c r="AY148" s="77">
        <f t="shared" si="173"/>
        <v>0</v>
      </c>
      <c r="AZ148" s="77">
        <f t="shared" si="173"/>
        <v>0</v>
      </c>
      <c r="BA148" s="77">
        <f t="shared" si="173"/>
        <v>0</v>
      </c>
      <c r="BB148" s="77">
        <f t="shared" si="173"/>
        <v>0</v>
      </c>
      <c r="BC148" s="77">
        <f t="shared" si="173"/>
        <v>0</v>
      </c>
      <c r="BD148" s="77">
        <f t="shared" si="173"/>
        <v>0</v>
      </c>
      <c r="BE148" s="77">
        <f t="shared" si="173"/>
        <v>0</v>
      </c>
      <c r="BF148" s="77">
        <f t="shared" si="173"/>
        <v>0</v>
      </c>
      <c r="BG148" s="77">
        <f t="shared" si="173"/>
        <v>0</v>
      </c>
      <c r="BH148" s="77">
        <f t="shared" si="173"/>
        <v>0</v>
      </c>
      <c r="BI148" s="77">
        <f t="shared" si="173"/>
        <v>0</v>
      </c>
      <c r="BJ148" s="77">
        <f t="shared" si="173"/>
        <v>0</v>
      </c>
      <c r="BK148" s="77">
        <f t="shared" si="173"/>
        <v>0</v>
      </c>
      <c r="BL148" s="77">
        <f t="shared" si="173"/>
        <v>0</v>
      </c>
      <c r="BM148" s="77">
        <f t="shared" si="173"/>
        <v>0</v>
      </c>
      <c r="BN148" s="77">
        <f t="shared" si="173"/>
        <v>0</v>
      </c>
      <c r="BO148" s="77">
        <f t="shared" si="173"/>
        <v>0</v>
      </c>
      <c r="BP148" s="77">
        <f t="shared" si="173"/>
        <v>0</v>
      </c>
      <c r="BQ148" s="77">
        <f t="shared" si="173"/>
        <v>0</v>
      </c>
      <c r="BR148" s="77">
        <f t="shared" si="173"/>
        <v>0</v>
      </c>
      <c r="BS148" s="77">
        <f t="shared" ref="BS148:DV148" si="174">IF(BS142="","",MIN(BS144+BS145-BS147,BS140*$I$18))</f>
        <v>0</v>
      </c>
      <c r="BT148" s="77">
        <f t="shared" si="174"/>
        <v>0</v>
      </c>
      <c r="BU148" s="77">
        <f t="shared" si="174"/>
        <v>0</v>
      </c>
      <c r="BV148" s="77">
        <f t="shared" si="174"/>
        <v>0</v>
      </c>
      <c r="BW148" s="77">
        <f t="shared" si="174"/>
        <v>0</v>
      </c>
      <c r="BX148" s="77">
        <f t="shared" si="174"/>
        <v>0</v>
      </c>
      <c r="BY148" s="77">
        <f t="shared" si="174"/>
        <v>0</v>
      </c>
      <c r="BZ148" s="77">
        <f t="shared" si="174"/>
        <v>0</v>
      </c>
      <c r="CA148" s="77">
        <f t="shared" si="174"/>
        <v>0</v>
      </c>
      <c r="CB148" s="77">
        <f t="shared" si="174"/>
        <v>0</v>
      </c>
      <c r="CC148" s="77">
        <f t="shared" si="174"/>
        <v>0</v>
      </c>
      <c r="CD148" s="77">
        <f t="shared" si="174"/>
        <v>0</v>
      </c>
      <c r="CE148" s="77">
        <f t="shared" si="174"/>
        <v>0</v>
      </c>
      <c r="CF148" s="77">
        <f t="shared" si="174"/>
        <v>0</v>
      </c>
      <c r="CG148" s="77">
        <f t="shared" si="174"/>
        <v>0</v>
      </c>
      <c r="CH148" s="77">
        <f t="shared" si="174"/>
        <v>0</v>
      </c>
      <c r="CI148" s="77">
        <f t="shared" si="174"/>
        <v>0</v>
      </c>
      <c r="CJ148" s="77">
        <f t="shared" si="174"/>
        <v>0</v>
      </c>
      <c r="CK148" s="77">
        <f t="shared" si="174"/>
        <v>0</v>
      </c>
      <c r="CL148" s="77">
        <f t="shared" si="174"/>
        <v>0</v>
      </c>
      <c r="CM148" s="77">
        <f t="shared" si="174"/>
        <v>0</v>
      </c>
      <c r="CN148" s="77">
        <f t="shared" si="174"/>
        <v>0</v>
      </c>
      <c r="CO148" s="77">
        <f t="shared" si="174"/>
        <v>0</v>
      </c>
      <c r="CP148" s="77">
        <f t="shared" si="174"/>
        <v>0</v>
      </c>
      <c r="CQ148" s="77">
        <f t="shared" si="174"/>
        <v>0</v>
      </c>
      <c r="CR148" s="77">
        <f t="shared" si="174"/>
        <v>0</v>
      </c>
      <c r="CS148" s="77">
        <f t="shared" si="174"/>
        <v>0</v>
      </c>
      <c r="CT148" s="77">
        <f t="shared" si="174"/>
        <v>0</v>
      </c>
      <c r="CU148" s="77">
        <f t="shared" si="174"/>
        <v>0</v>
      </c>
      <c r="CV148" s="77">
        <f t="shared" si="174"/>
        <v>0</v>
      </c>
      <c r="CW148" s="77">
        <f t="shared" si="174"/>
        <v>0</v>
      </c>
      <c r="CX148" s="77" t="str">
        <f t="shared" si="174"/>
        <v/>
      </c>
      <c r="CY148" s="77" t="str">
        <f t="shared" si="174"/>
        <v/>
      </c>
      <c r="CZ148" s="77" t="str">
        <f t="shared" si="174"/>
        <v/>
      </c>
      <c r="DA148" s="77" t="str">
        <f t="shared" si="174"/>
        <v/>
      </c>
      <c r="DB148" s="77" t="str">
        <f t="shared" si="174"/>
        <v/>
      </c>
      <c r="DC148" s="77" t="str">
        <f t="shared" si="174"/>
        <v/>
      </c>
      <c r="DD148" s="77" t="str">
        <f t="shared" si="174"/>
        <v/>
      </c>
      <c r="DE148" s="77" t="str">
        <f t="shared" si="174"/>
        <v/>
      </c>
      <c r="DF148" s="77" t="str">
        <f t="shared" si="174"/>
        <v/>
      </c>
      <c r="DG148" s="77" t="str">
        <f t="shared" si="174"/>
        <v/>
      </c>
      <c r="DH148" s="77" t="str">
        <f t="shared" si="174"/>
        <v/>
      </c>
      <c r="DI148" s="77" t="str">
        <f t="shared" si="174"/>
        <v/>
      </c>
      <c r="DJ148" s="77" t="str">
        <f t="shared" si="174"/>
        <v/>
      </c>
      <c r="DK148" s="77" t="str">
        <f t="shared" si="174"/>
        <v/>
      </c>
      <c r="DL148" s="77" t="str">
        <f t="shared" si="174"/>
        <v/>
      </c>
      <c r="DM148" s="77" t="str">
        <f t="shared" si="174"/>
        <v/>
      </c>
      <c r="DN148" s="77" t="str">
        <f t="shared" si="174"/>
        <v/>
      </c>
      <c r="DO148" s="77" t="str">
        <f t="shared" si="174"/>
        <v/>
      </c>
      <c r="DP148" s="77" t="str">
        <f t="shared" si="174"/>
        <v/>
      </c>
      <c r="DQ148" s="77" t="str">
        <f t="shared" si="174"/>
        <v/>
      </c>
      <c r="DR148" s="77" t="str">
        <f t="shared" si="174"/>
        <v/>
      </c>
      <c r="DS148" s="77" t="str">
        <f t="shared" si="174"/>
        <v/>
      </c>
      <c r="DT148" s="77" t="str">
        <f t="shared" si="174"/>
        <v/>
      </c>
      <c r="DU148" s="77" t="str">
        <f t="shared" si="174"/>
        <v/>
      </c>
      <c r="DV148" s="77" t="str">
        <f t="shared" si="174"/>
        <v/>
      </c>
      <c r="DW148" s="77"/>
      <c r="DX148" s="77"/>
      <c r="DY148" s="78"/>
    </row>
    <row r="149" spans="2:129" outlineLevel="1" x14ac:dyDescent="0.2">
      <c r="B149" s="16" t="s">
        <v>62</v>
      </c>
      <c r="C149" s="16"/>
      <c r="D149" s="16"/>
      <c r="E149" s="16"/>
      <c r="F149" s="77">
        <f t="shared" ref="F149" si="175">IF(F142="","",F144+F145+F146-F147-F148)</f>
        <v>93624225.299999997</v>
      </c>
      <c r="G149" s="77">
        <f>IF(G142="","",G144+G145+G146-G147-G148)</f>
        <v>114787184.92954068</v>
      </c>
      <c r="H149" s="77">
        <f t="shared" ref="H149:BS149" si="176">IF(H142="","",H144+H145+H146-H147-H148)</f>
        <v>137983455.53625143</v>
      </c>
      <c r="I149" s="77">
        <f t="shared" si="176"/>
        <v>169161963.81276232</v>
      </c>
      <c r="J149" s="77">
        <f t="shared" si="176"/>
        <v>206022779.56845659</v>
      </c>
      <c r="K149" s="77">
        <f t="shared" si="176"/>
        <v>252563393.00599483</v>
      </c>
      <c r="L149" s="77">
        <f t="shared" si="176"/>
        <v>307585645.41899341</v>
      </c>
      <c r="M149" s="77">
        <f t="shared" si="176"/>
        <v>377057401.21933287</v>
      </c>
      <c r="N149" s="77">
        <f t="shared" si="176"/>
        <v>462214680.55339926</v>
      </c>
      <c r="O149" s="77">
        <f t="shared" si="176"/>
        <v>562890450.12726963</v>
      </c>
      <c r="P149" s="77">
        <f t="shared" si="176"/>
        <v>690005624.84499383</v>
      </c>
      <c r="Q149" s="77">
        <f t="shared" si="176"/>
        <v>840284990.49482954</v>
      </c>
      <c r="R149" s="77">
        <f t="shared" si="176"/>
        <v>1030031065.2227341</v>
      </c>
      <c r="S149" s="77">
        <f t="shared" si="176"/>
        <v>1262618529.0344355</v>
      </c>
      <c r="T149" s="77">
        <f t="shared" si="176"/>
        <v>1517527075.9408705</v>
      </c>
      <c r="U149" s="77">
        <f t="shared" si="176"/>
        <v>1860182725.8898792</v>
      </c>
      <c r="V149" s="77">
        <f t="shared" si="176"/>
        <v>2265279035.3742838</v>
      </c>
      <c r="W149" s="77">
        <f t="shared" si="176"/>
        <v>2776764173.2491746</v>
      </c>
      <c r="X149" s="77">
        <f t="shared" si="176"/>
        <v>3381454615.0944057</v>
      </c>
      <c r="Y149" s="77">
        <f t="shared" si="176"/>
        <v>4144952936.1942658</v>
      </c>
      <c r="Z149" s="77">
        <f t="shared" si="176"/>
        <v>5080836001.9375648</v>
      </c>
      <c r="AA149" s="77">
        <f t="shared" si="176"/>
        <v>6187259507.2972403</v>
      </c>
      <c r="AB149" s="77">
        <f t="shared" si="176"/>
        <v>7584260151.185359</v>
      </c>
      <c r="AC149" s="77">
        <f t="shared" si="176"/>
        <v>9236151259.7008953</v>
      </c>
      <c r="AD149" s="77">
        <f t="shared" si="176"/>
        <v>11322356900.37907</v>
      </c>
      <c r="AE149" s="77">
        <f t="shared" si="176"/>
        <v>13853157781.513105</v>
      </c>
      <c r="AF149" s="77">
        <f t="shared" si="176"/>
        <v>16760231272.163641</v>
      </c>
      <c r="AG149" s="77">
        <f t="shared" si="176"/>
        <v>20545244330.98616</v>
      </c>
      <c r="AH149" s="77">
        <f t="shared" si="176"/>
        <v>25020004391.196087</v>
      </c>
      <c r="AI149" s="77">
        <f t="shared" si="176"/>
        <v>30669931675.220833</v>
      </c>
      <c r="AJ149" s="77">
        <f t="shared" si="176"/>
        <v>37349436542.037132</v>
      </c>
      <c r="AK149" s="77">
        <f t="shared" si="176"/>
        <v>45783136827.500282</v>
      </c>
      <c r="AL149" s="77">
        <f t="shared" si="176"/>
        <v>56121021090.754669</v>
      </c>
      <c r="AM149" s="77">
        <f t="shared" si="176"/>
        <v>68342573266.94696</v>
      </c>
      <c r="AN149" s="77">
        <f t="shared" si="176"/>
        <v>83773824902.980423</v>
      </c>
      <c r="AO149" s="77">
        <f t="shared" si="176"/>
        <v>102017238281.94617</v>
      </c>
      <c r="AP149" s="77">
        <f t="shared" si="176"/>
        <v>125051578679.21513</v>
      </c>
      <c r="AQ149" s="77">
        <f t="shared" si="176"/>
        <v>153286675617.36707</v>
      </c>
      <c r="AR149" s="77">
        <f t="shared" si="176"/>
        <v>184231207028.16299</v>
      </c>
      <c r="AS149" s="77">
        <f t="shared" si="176"/>
        <v>225828042740.44995</v>
      </c>
      <c r="AT149" s="77">
        <f t="shared" si="176"/>
        <v>275004807333.87183</v>
      </c>
      <c r="AU149" s="77">
        <f t="shared" si="176"/>
        <v>337058889781.55365</v>
      </c>
      <c r="AV149" s="77">
        <f t="shared" si="176"/>
        <v>410457267785.93842</v>
      </c>
      <c r="AW149" s="77">
        <f t="shared" si="176"/>
        <v>503132106129.89514</v>
      </c>
      <c r="AX149" s="77">
        <f t="shared" si="176"/>
        <v>616731323612.99792</v>
      </c>
      <c r="AY149" s="77">
        <f t="shared" si="176"/>
        <v>751030974424.78027</v>
      </c>
      <c r="AZ149" s="77">
        <f t="shared" si="176"/>
        <v>920601478192.90149</v>
      </c>
      <c r="BA149" s="77">
        <f t="shared" si="176"/>
        <v>1120943183508.9363</v>
      </c>
      <c r="BB149" s="77">
        <f t="shared" si="176"/>
        <v>1374033310939.7195</v>
      </c>
      <c r="BC149" s="77">
        <f t="shared" si="176"/>
        <v>1684266821378.97</v>
      </c>
      <c r="BD149" s="77">
        <f t="shared" si="176"/>
        <v>2024269624730.8289</v>
      </c>
      <c r="BE149" s="77">
        <f t="shared" si="176"/>
        <v>2481315273210.2764</v>
      </c>
      <c r="BF149" s="77">
        <f t="shared" si="176"/>
        <v>3021645246293.2822</v>
      </c>
      <c r="BG149" s="77">
        <f t="shared" si="176"/>
        <v>3703881097665.3267</v>
      </c>
      <c r="BH149" s="77">
        <f t="shared" si="176"/>
        <v>4510436146205.7588</v>
      </c>
      <c r="BI149" s="77">
        <f t="shared" si="176"/>
        <v>5528815289601.2588</v>
      </c>
      <c r="BJ149" s="77">
        <f t="shared" si="176"/>
        <v>6777126868645.79</v>
      </c>
      <c r="BK149" s="77">
        <f t="shared" si="176"/>
        <v>8252909758266.4209</v>
      </c>
      <c r="BL149" s="77">
        <f t="shared" si="176"/>
        <v>10116274856602.227</v>
      </c>
      <c r="BM149" s="77">
        <f t="shared" si="176"/>
        <v>12319188134647.842</v>
      </c>
      <c r="BN149" s="77">
        <f t="shared" si="176"/>
        <v>15100648582857.359</v>
      </c>
      <c r="BO149" s="77">
        <f t="shared" si="176"/>
        <v>18510114798531.699</v>
      </c>
      <c r="BP149" s="77">
        <f t="shared" si="176"/>
        <v>22246744851380.285</v>
      </c>
      <c r="BQ149" s="77">
        <f t="shared" si="176"/>
        <v>27269676137901.004</v>
      </c>
      <c r="BR149" s="77">
        <f t="shared" si="176"/>
        <v>33207901892917.375</v>
      </c>
      <c r="BS149" s="77">
        <f t="shared" si="176"/>
        <v>40705673274541.422</v>
      </c>
      <c r="BT149" s="77">
        <f t="shared" ref="BT149:DV149" si="177">IF(BT142="","",BT144+BT145+BT146-BT147-BT148)</f>
        <v>49569712331383.297</v>
      </c>
      <c r="BU149" s="77">
        <f t="shared" si="177"/>
        <v>60761698142026.883</v>
      </c>
      <c r="BV149" s="77">
        <f t="shared" si="177"/>
        <v>74480641200253.516</v>
      </c>
      <c r="BW149" s="77">
        <f t="shared" si="177"/>
        <v>90699493556087.141</v>
      </c>
      <c r="BX149" s="77">
        <f t="shared" si="177"/>
        <v>111177874159907.67</v>
      </c>
      <c r="BY149" s="77">
        <f t="shared" si="177"/>
        <v>135387884652533.23</v>
      </c>
      <c r="BZ149" s="77">
        <f t="shared" si="177"/>
        <v>165956128661231.03</v>
      </c>
      <c r="CA149" s="77">
        <f t="shared" si="177"/>
        <v>203426158711819.5</v>
      </c>
      <c r="CB149" s="77">
        <f t="shared" si="177"/>
        <v>246102601468851.25</v>
      </c>
      <c r="CC149" s="77">
        <f t="shared" si="177"/>
        <v>301668321931844.56</v>
      </c>
      <c r="CD149" s="77">
        <f t="shared" si="177"/>
        <v>367359404114424</v>
      </c>
      <c r="CE149" s="77">
        <f t="shared" si="177"/>
        <v>450302810151205.06</v>
      </c>
      <c r="CF149" s="77">
        <f t="shared" si="177"/>
        <v>548360433890713.44</v>
      </c>
      <c r="CG149" s="77">
        <f t="shared" si="177"/>
        <v>672170756397568.38</v>
      </c>
      <c r="CH149" s="77">
        <f t="shared" si="177"/>
        <v>823935313039241.38</v>
      </c>
      <c r="CI149" s="77">
        <f t="shared" si="177"/>
        <v>1003354888245904.8</v>
      </c>
      <c r="CJ149" s="77">
        <f t="shared" si="177"/>
        <v>1229895106366953</v>
      </c>
      <c r="CK149" s="77">
        <f t="shared" si="177"/>
        <v>1497716201630376</v>
      </c>
      <c r="CL149" s="77">
        <f t="shared" si="177"/>
        <v>1835874673274557.8</v>
      </c>
      <c r="CM149" s="77">
        <f t="shared" si="177"/>
        <v>2250383491962624.5</v>
      </c>
      <c r="CN149" s="77">
        <f t="shared" si="177"/>
        <v>2704667550983000.5</v>
      </c>
      <c r="CO149" s="77">
        <f t="shared" si="177"/>
        <v>3315334808049898.5</v>
      </c>
      <c r="CP149" s="77">
        <f t="shared" si="177"/>
        <v>4037279788372784</v>
      </c>
      <c r="CQ149" s="77">
        <f t="shared" si="177"/>
        <v>4948827890757368</v>
      </c>
      <c r="CR149" s="77">
        <f t="shared" si="177"/>
        <v>6026481177744904</v>
      </c>
      <c r="CS149" s="77">
        <f t="shared" si="177"/>
        <v>7387156624715275</v>
      </c>
      <c r="CT149" s="77">
        <f t="shared" si="177"/>
        <v>9055049105418854</v>
      </c>
      <c r="CU149" s="77">
        <f t="shared" si="177"/>
        <v>1.1026870240755504E+16</v>
      </c>
      <c r="CV149" s="77">
        <f t="shared" si="177"/>
        <v>1.3516547242703996E+16</v>
      </c>
      <c r="CW149" s="77">
        <f t="shared" si="177"/>
        <v>1.6459901063527452E+16</v>
      </c>
      <c r="CX149" s="77" t="str">
        <f t="shared" si="177"/>
        <v/>
      </c>
      <c r="CY149" s="77" t="str">
        <f t="shared" si="177"/>
        <v/>
      </c>
      <c r="CZ149" s="77" t="str">
        <f t="shared" si="177"/>
        <v/>
      </c>
      <c r="DA149" s="77" t="str">
        <f t="shared" si="177"/>
        <v/>
      </c>
      <c r="DB149" s="77" t="str">
        <f t="shared" si="177"/>
        <v/>
      </c>
      <c r="DC149" s="77" t="str">
        <f t="shared" si="177"/>
        <v/>
      </c>
      <c r="DD149" s="77" t="str">
        <f t="shared" si="177"/>
        <v/>
      </c>
      <c r="DE149" s="77" t="str">
        <f t="shared" si="177"/>
        <v/>
      </c>
      <c r="DF149" s="77" t="str">
        <f t="shared" si="177"/>
        <v/>
      </c>
      <c r="DG149" s="77" t="str">
        <f t="shared" si="177"/>
        <v/>
      </c>
      <c r="DH149" s="77" t="str">
        <f t="shared" si="177"/>
        <v/>
      </c>
      <c r="DI149" s="77" t="str">
        <f t="shared" si="177"/>
        <v/>
      </c>
      <c r="DJ149" s="77" t="str">
        <f t="shared" si="177"/>
        <v/>
      </c>
      <c r="DK149" s="77" t="str">
        <f t="shared" si="177"/>
        <v/>
      </c>
      <c r="DL149" s="77" t="str">
        <f t="shared" si="177"/>
        <v/>
      </c>
      <c r="DM149" s="77" t="str">
        <f t="shared" si="177"/>
        <v/>
      </c>
      <c r="DN149" s="77" t="str">
        <f t="shared" si="177"/>
        <v/>
      </c>
      <c r="DO149" s="77" t="str">
        <f t="shared" si="177"/>
        <v/>
      </c>
      <c r="DP149" s="77" t="str">
        <f t="shared" si="177"/>
        <v/>
      </c>
      <c r="DQ149" s="77" t="str">
        <f t="shared" si="177"/>
        <v/>
      </c>
      <c r="DR149" s="77" t="str">
        <f t="shared" si="177"/>
        <v/>
      </c>
      <c r="DS149" s="77" t="str">
        <f t="shared" si="177"/>
        <v/>
      </c>
      <c r="DT149" s="77" t="str">
        <f t="shared" si="177"/>
        <v/>
      </c>
      <c r="DU149" s="77" t="str">
        <f t="shared" si="177"/>
        <v/>
      </c>
      <c r="DV149" s="77" t="str">
        <f t="shared" si="177"/>
        <v/>
      </c>
      <c r="DW149" s="77"/>
      <c r="DX149" s="77"/>
      <c r="DY149" s="78"/>
    </row>
    <row r="150" spans="2:129" outlineLevel="1" x14ac:dyDescent="0.2">
      <c r="B150" s="128">
        <f>C143</f>
        <v>9.99</v>
      </c>
      <c r="C150" s="16"/>
      <c r="D150" s="16"/>
      <c r="E150" s="79">
        <f ca="1">XIRR(OFFSET(F150,0,0,1,$E$21+1),OFFSET($F$46,0,0,1,$E$21+1))</f>
        <v>0.20042605996131899</v>
      </c>
      <c r="F150" s="77">
        <f t="shared" ref="F150" si="178">IF(F142="","",-F146+F147+F148)</f>
        <v>-93624225.299999997</v>
      </c>
      <c r="G150" s="77">
        <f>IF(G142="","",-G146+G147+G148)</f>
        <v>-24225.3</v>
      </c>
      <c r="H150" s="77">
        <f t="shared" ref="H150:BS150" si="179">IF(H142="","",-H146+H147+H148)</f>
        <v>-24225.3</v>
      </c>
      <c r="I150" s="77">
        <f t="shared" si="179"/>
        <v>-24225.3</v>
      </c>
      <c r="J150" s="77">
        <f t="shared" si="179"/>
        <v>-24225.3</v>
      </c>
      <c r="K150" s="77">
        <f t="shared" si="179"/>
        <v>-24225.3</v>
      </c>
      <c r="L150" s="77">
        <f t="shared" si="179"/>
        <v>-24225.3</v>
      </c>
      <c r="M150" s="77">
        <f t="shared" si="179"/>
        <v>-24225.3</v>
      </c>
      <c r="N150" s="77">
        <f t="shared" si="179"/>
        <v>-24225.3</v>
      </c>
      <c r="O150" s="77">
        <f t="shared" si="179"/>
        <v>-24225.3</v>
      </c>
      <c r="P150" s="77">
        <f t="shared" si="179"/>
        <v>-24225.3</v>
      </c>
      <c r="Q150" s="77">
        <f t="shared" si="179"/>
        <v>-24225.3</v>
      </c>
      <c r="R150" s="77">
        <f t="shared" si="179"/>
        <v>-24225.3</v>
      </c>
      <c r="S150" s="77">
        <f t="shared" si="179"/>
        <v>-24225.3</v>
      </c>
      <c r="T150" s="77">
        <f t="shared" si="179"/>
        <v>-24225.3</v>
      </c>
      <c r="U150" s="77">
        <f t="shared" si="179"/>
        <v>-24225.3</v>
      </c>
      <c r="V150" s="77">
        <f t="shared" si="179"/>
        <v>-24225.3</v>
      </c>
      <c r="W150" s="77">
        <f t="shared" si="179"/>
        <v>-24225.3</v>
      </c>
      <c r="X150" s="77">
        <f t="shared" si="179"/>
        <v>-24225.3</v>
      </c>
      <c r="Y150" s="77">
        <f t="shared" si="179"/>
        <v>-24225.3</v>
      </c>
      <c r="Z150" s="77">
        <f t="shared" si="179"/>
        <v>-24225.3</v>
      </c>
      <c r="AA150" s="77">
        <f t="shared" si="179"/>
        <v>-24225.3</v>
      </c>
      <c r="AB150" s="77">
        <f t="shared" si="179"/>
        <v>-24225.3</v>
      </c>
      <c r="AC150" s="77">
        <f t="shared" si="179"/>
        <v>-347943.60000000003</v>
      </c>
      <c r="AD150" s="77">
        <f t="shared" si="179"/>
        <v>-842081.4</v>
      </c>
      <c r="AE150" s="77">
        <f t="shared" si="179"/>
        <v>25591908.600000001</v>
      </c>
      <c r="AF150" s="77">
        <f t="shared" si="179"/>
        <v>-842081.4</v>
      </c>
      <c r="AG150" s="77">
        <f t="shared" si="179"/>
        <v>-842081.4</v>
      </c>
      <c r="AH150" s="77">
        <f t="shared" si="179"/>
        <v>-842081.4</v>
      </c>
      <c r="AI150" s="77">
        <f t="shared" si="179"/>
        <v>-842081.4</v>
      </c>
      <c r="AJ150" s="77">
        <f t="shared" si="179"/>
        <v>-842081.4</v>
      </c>
      <c r="AK150" s="77">
        <f t="shared" si="179"/>
        <v>-842081.4</v>
      </c>
      <c r="AL150" s="77">
        <f t="shared" si="179"/>
        <v>-842081.4</v>
      </c>
      <c r="AM150" s="77">
        <f t="shared" si="179"/>
        <v>-678031.20000000007</v>
      </c>
      <c r="AN150" s="77">
        <f t="shared" si="179"/>
        <v>-678031.20000000007</v>
      </c>
      <c r="AO150" s="77">
        <f t="shared" si="179"/>
        <v>-884093.4</v>
      </c>
      <c r="AP150" s="77">
        <f t="shared" si="179"/>
        <v>-608580.9</v>
      </c>
      <c r="AQ150" s="77">
        <f t="shared" si="179"/>
        <v>-608580.9</v>
      </c>
      <c r="AR150" s="77">
        <f t="shared" si="179"/>
        <v>-608580.9</v>
      </c>
      <c r="AS150" s="77">
        <f t="shared" si="179"/>
        <v>-608580.9</v>
      </c>
      <c r="AT150" s="77">
        <f t="shared" si="179"/>
        <v>-608580.9</v>
      </c>
      <c r="AU150" s="77">
        <f t="shared" si="179"/>
        <v>37257084.899999999</v>
      </c>
      <c r="AV150" s="77">
        <f t="shared" si="179"/>
        <v>-670845.6</v>
      </c>
      <c r="AW150" s="77">
        <f t="shared" si="179"/>
        <v>-670845.6</v>
      </c>
      <c r="AX150" s="77">
        <f t="shared" si="179"/>
        <v>-670845.6</v>
      </c>
      <c r="AY150" s="77">
        <f t="shared" si="179"/>
        <v>-670845.6</v>
      </c>
      <c r="AZ150" s="77">
        <f t="shared" si="179"/>
        <v>-670845.6</v>
      </c>
      <c r="BA150" s="77">
        <f t="shared" si="179"/>
        <v>127826136.2843312</v>
      </c>
      <c r="BB150" s="77">
        <f t="shared" si="179"/>
        <v>-501548.4</v>
      </c>
      <c r="BC150" s="77">
        <f t="shared" si="179"/>
        <v>-501548.4</v>
      </c>
      <c r="BD150" s="77">
        <f t="shared" si="179"/>
        <v>-501548.4</v>
      </c>
      <c r="BE150" s="77">
        <f t="shared" si="179"/>
        <v>-501548.4</v>
      </c>
      <c r="BF150" s="77">
        <f t="shared" si="179"/>
        <v>-501548.4</v>
      </c>
      <c r="BG150" s="77">
        <f t="shared" si="179"/>
        <v>-501548.4</v>
      </c>
      <c r="BH150" s="77">
        <f t="shared" si="179"/>
        <v>-501548.4</v>
      </c>
      <c r="BI150" s="77">
        <f t="shared" si="179"/>
        <v>-501548.4</v>
      </c>
      <c r="BJ150" s="77">
        <f t="shared" si="179"/>
        <v>-501548.4</v>
      </c>
      <c r="BK150" s="77">
        <f t="shared" si="179"/>
        <v>-501548.4</v>
      </c>
      <c r="BL150" s="77">
        <f t="shared" si="179"/>
        <v>-501548.4</v>
      </c>
      <c r="BM150" s="77">
        <f t="shared" si="179"/>
        <v>-368838.9</v>
      </c>
      <c r="BN150" s="77">
        <f t="shared" si="179"/>
        <v>-368838.9</v>
      </c>
      <c r="BO150" s="77">
        <f t="shared" si="179"/>
        <v>-368838.9</v>
      </c>
      <c r="BP150" s="77">
        <f t="shared" si="179"/>
        <v>-227774.7</v>
      </c>
      <c r="BQ150" s="77">
        <f t="shared" si="179"/>
        <v>-227774.7</v>
      </c>
      <c r="BR150" s="77">
        <f t="shared" si="179"/>
        <v>-227774.7</v>
      </c>
      <c r="BS150" s="77">
        <f t="shared" si="179"/>
        <v>-227774.7</v>
      </c>
      <c r="BT150" s="77">
        <f t="shared" ref="BT150:DV150" si="180">IF(BT142="","",-BT146+BT147+BT148)</f>
        <v>-227774.7</v>
      </c>
      <c r="BU150" s="77">
        <f t="shared" si="180"/>
        <v>-227774.7</v>
      </c>
      <c r="BV150" s="77">
        <f t="shared" si="180"/>
        <v>-227774.7</v>
      </c>
      <c r="BW150" s="77">
        <f t="shared" si="180"/>
        <v>-227774.7</v>
      </c>
      <c r="BX150" s="77">
        <f t="shared" si="180"/>
        <v>-227774.7</v>
      </c>
      <c r="BY150" s="77">
        <f t="shared" si="180"/>
        <v>5316225.3</v>
      </c>
      <c r="BZ150" s="77">
        <f t="shared" si="180"/>
        <v>3855975.3000000003</v>
      </c>
      <c r="CA150" s="77">
        <f t="shared" si="180"/>
        <v>-227774.7</v>
      </c>
      <c r="CB150" s="77">
        <f t="shared" si="180"/>
        <v>-227774.7</v>
      </c>
      <c r="CC150" s="77">
        <f t="shared" si="180"/>
        <v>-227774.7</v>
      </c>
      <c r="CD150" s="77">
        <f t="shared" si="180"/>
        <v>-227774.7</v>
      </c>
      <c r="CE150" s="77">
        <f t="shared" si="180"/>
        <v>7616577.9996649548</v>
      </c>
      <c r="CF150" s="77">
        <f t="shared" si="180"/>
        <v>0</v>
      </c>
      <c r="CG150" s="77">
        <f t="shared" si="180"/>
        <v>0</v>
      </c>
      <c r="CH150" s="77">
        <f t="shared" si="180"/>
        <v>0</v>
      </c>
      <c r="CI150" s="77">
        <f t="shared" si="180"/>
        <v>0</v>
      </c>
      <c r="CJ150" s="77">
        <f t="shared" si="180"/>
        <v>0</v>
      </c>
      <c r="CK150" s="77">
        <f t="shared" si="180"/>
        <v>-523424.7</v>
      </c>
      <c r="CL150" s="77">
        <f t="shared" si="180"/>
        <v>-523424.7</v>
      </c>
      <c r="CM150" s="77">
        <f t="shared" si="180"/>
        <v>-523424.7</v>
      </c>
      <c r="CN150" s="77">
        <f t="shared" si="180"/>
        <v>-523424.7</v>
      </c>
      <c r="CO150" s="77">
        <f t="shared" si="180"/>
        <v>-523424.7</v>
      </c>
      <c r="CP150" s="77">
        <f t="shared" si="180"/>
        <v>-523424.7</v>
      </c>
      <c r="CQ150" s="77">
        <f t="shared" si="180"/>
        <v>-523424.7</v>
      </c>
      <c r="CR150" s="77">
        <f t="shared" si="180"/>
        <v>-523424.7</v>
      </c>
      <c r="CS150" s="77">
        <f t="shared" si="180"/>
        <v>-523424.7</v>
      </c>
      <c r="CT150" s="77">
        <f t="shared" si="180"/>
        <v>-523424.7</v>
      </c>
      <c r="CU150" s="77">
        <f t="shared" si="180"/>
        <v>-523424.7</v>
      </c>
      <c r="CV150" s="77">
        <f t="shared" si="180"/>
        <v>-523424.7</v>
      </c>
      <c r="CW150" s="77">
        <f t="shared" si="180"/>
        <v>15536809.359897047</v>
      </c>
      <c r="CX150" s="77" t="str">
        <f t="shared" si="180"/>
        <v/>
      </c>
      <c r="CY150" s="77" t="str">
        <f t="shared" si="180"/>
        <v/>
      </c>
      <c r="CZ150" s="77" t="str">
        <f t="shared" si="180"/>
        <v/>
      </c>
      <c r="DA150" s="77" t="str">
        <f t="shared" si="180"/>
        <v/>
      </c>
      <c r="DB150" s="77" t="str">
        <f t="shared" si="180"/>
        <v/>
      </c>
      <c r="DC150" s="77" t="str">
        <f t="shared" si="180"/>
        <v/>
      </c>
      <c r="DD150" s="77" t="str">
        <f t="shared" si="180"/>
        <v/>
      </c>
      <c r="DE150" s="77" t="str">
        <f t="shared" si="180"/>
        <v/>
      </c>
      <c r="DF150" s="77" t="str">
        <f t="shared" si="180"/>
        <v/>
      </c>
      <c r="DG150" s="77" t="str">
        <f t="shared" si="180"/>
        <v/>
      </c>
      <c r="DH150" s="77" t="str">
        <f t="shared" si="180"/>
        <v/>
      </c>
      <c r="DI150" s="77" t="str">
        <f t="shared" si="180"/>
        <v/>
      </c>
      <c r="DJ150" s="77" t="str">
        <f t="shared" si="180"/>
        <v/>
      </c>
      <c r="DK150" s="77" t="str">
        <f t="shared" si="180"/>
        <v/>
      </c>
      <c r="DL150" s="77" t="str">
        <f t="shared" si="180"/>
        <v/>
      </c>
      <c r="DM150" s="77" t="str">
        <f t="shared" si="180"/>
        <v/>
      </c>
      <c r="DN150" s="77" t="str">
        <f t="shared" si="180"/>
        <v/>
      </c>
      <c r="DO150" s="77" t="str">
        <f t="shared" si="180"/>
        <v/>
      </c>
      <c r="DP150" s="77" t="str">
        <f t="shared" si="180"/>
        <v/>
      </c>
      <c r="DQ150" s="77" t="str">
        <f t="shared" si="180"/>
        <v/>
      </c>
      <c r="DR150" s="77" t="str">
        <f t="shared" si="180"/>
        <v/>
      </c>
      <c r="DS150" s="77" t="str">
        <f t="shared" si="180"/>
        <v/>
      </c>
      <c r="DT150" s="77" t="str">
        <f t="shared" si="180"/>
        <v/>
      </c>
      <c r="DU150" s="77" t="str">
        <f t="shared" si="180"/>
        <v/>
      </c>
      <c r="DV150" s="77" t="str">
        <f t="shared" si="180"/>
        <v/>
      </c>
      <c r="DW150" s="77"/>
      <c r="DX150" s="77"/>
      <c r="DY150" s="78"/>
    </row>
    <row r="151" spans="2:129" outlineLevel="1" x14ac:dyDescent="0.2">
      <c r="B151" s="9"/>
      <c r="C151" s="9"/>
      <c r="D151" s="9"/>
      <c r="E151" s="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  <c r="AS151" s="129"/>
      <c r="AT151" s="129"/>
      <c r="AU151" s="129"/>
      <c r="AV151" s="129"/>
      <c r="AW151" s="129"/>
      <c r="AX151" s="129"/>
      <c r="AY151" s="129"/>
      <c r="AZ151" s="129"/>
      <c r="BA151" s="129"/>
      <c r="BB151" s="129"/>
      <c r="BC151" s="129"/>
      <c r="BD151" s="129"/>
      <c r="BE151" s="129"/>
      <c r="BF151" s="129"/>
      <c r="BG151" s="129"/>
      <c r="BH151" s="129"/>
      <c r="BI151" s="129"/>
      <c r="BJ151" s="129"/>
      <c r="BK151" s="129"/>
      <c r="BL151" s="129"/>
      <c r="BM151" s="129"/>
      <c r="BN151" s="129"/>
      <c r="BO151" s="129"/>
      <c r="BP151" s="129"/>
      <c r="BQ151" s="129"/>
      <c r="BR151" s="129"/>
      <c r="BS151" s="129"/>
      <c r="BT151" s="129"/>
      <c r="BU151" s="129"/>
      <c r="BV151" s="129"/>
      <c r="BW151" s="129"/>
      <c r="BX151" s="129"/>
      <c r="BY151" s="129"/>
      <c r="BZ151" s="129"/>
      <c r="CA151" s="129"/>
      <c r="CB151" s="129"/>
      <c r="CC151" s="129"/>
      <c r="CD151" s="129"/>
      <c r="CE151" s="129"/>
      <c r="CF151" s="129"/>
      <c r="CG151" s="129"/>
      <c r="CH151" s="129"/>
      <c r="CI151" s="129"/>
      <c r="CJ151" s="129"/>
      <c r="CK151" s="129"/>
      <c r="CL151" s="129"/>
      <c r="CM151" s="129"/>
      <c r="CN151" s="129"/>
      <c r="CO151" s="129"/>
      <c r="CP151" s="129"/>
      <c r="CQ151" s="129"/>
      <c r="CR151" s="129"/>
      <c r="CS151" s="129"/>
      <c r="CT151" s="129"/>
      <c r="CU151" s="129"/>
      <c r="CV151" s="129"/>
      <c r="CW151" s="129"/>
      <c r="CX151" s="129"/>
      <c r="CY151" s="129"/>
      <c r="CZ151" s="129"/>
      <c r="DA151" s="129"/>
      <c r="DB151" s="129"/>
      <c r="DC151" s="129"/>
      <c r="DD151" s="129"/>
      <c r="DE151" s="129"/>
      <c r="DF151" s="129"/>
      <c r="DG151" s="129"/>
      <c r="DH151" s="129"/>
      <c r="DI151" s="129"/>
      <c r="DJ151" s="129"/>
      <c r="DK151" s="129"/>
      <c r="DL151" s="129"/>
      <c r="DM151" s="129"/>
      <c r="DN151" s="129"/>
      <c r="DO151" s="129"/>
      <c r="DP151" s="129"/>
      <c r="DQ151" s="129"/>
      <c r="DR151" s="129"/>
      <c r="DS151" s="129"/>
      <c r="DT151" s="129"/>
      <c r="DU151" s="129"/>
      <c r="DV151" s="129"/>
      <c r="DW151" s="129"/>
      <c r="DX151" s="129"/>
      <c r="DY151" s="130"/>
    </row>
    <row r="152" spans="2:129" outlineLevel="1" x14ac:dyDescent="0.2">
      <c r="B152" s="16" t="s">
        <v>63</v>
      </c>
      <c r="C152" s="16"/>
      <c r="D152" s="16"/>
      <c r="E152" s="16"/>
      <c r="F152" s="77">
        <f t="shared" ref="F152" si="181">IF(F142="","",F148)</f>
        <v>0</v>
      </c>
      <c r="G152" s="77">
        <f>IF(G142="","",G148)</f>
        <v>0</v>
      </c>
      <c r="H152" s="77">
        <f t="shared" ref="H152:BS152" si="182">IF(H142="","",H148)</f>
        <v>0</v>
      </c>
      <c r="I152" s="77">
        <f t="shared" si="182"/>
        <v>0</v>
      </c>
      <c r="J152" s="77">
        <f t="shared" si="182"/>
        <v>0</v>
      </c>
      <c r="K152" s="77">
        <f t="shared" si="182"/>
        <v>0</v>
      </c>
      <c r="L152" s="77">
        <f t="shared" si="182"/>
        <v>0</v>
      </c>
      <c r="M152" s="77">
        <f t="shared" si="182"/>
        <v>0</v>
      </c>
      <c r="N152" s="77">
        <f t="shared" si="182"/>
        <v>0</v>
      </c>
      <c r="O152" s="77">
        <f t="shared" si="182"/>
        <v>0</v>
      </c>
      <c r="P152" s="77">
        <f t="shared" si="182"/>
        <v>0</v>
      </c>
      <c r="Q152" s="77">
        <f t="shared" si="182"/>
        <v>0</v>
      </c>
      <c r="R152" s="77">
        <f t="shared" si="182"/>
        <v>0</v>
      </c>
      <c r="S152" s="77">
        <f t="shared" si="182"/>
        <v>0</v>
      </c>
      <c r="T152" s="77">
        <f t="shared" si="182"/>
        <v>0</v>
      </c>
      <c r="U152" s="77">
        <f t="shared" si="182"/>
        <v>0</v>
      </c>
      <c r="V152" s="77">
        <f t="shared" si="182"/>
        <v>0</v>
      </c>
      <c r="W152" s="77">
        <f t="shared" si="182"/>
        <v>0</v>
      </c>
      <c r="X152" s="77">
        <f t="shared" si="182"/>
        <v>0</v>
      </c>
      <c r="Y152" s="77">
        <f t="shared" si="182"/>
        <v>0</v>
      </c>
      <c r="Z152" s="77">
        <f t="shared" si="182"/>
        <v>0</v>
      </c>
      <c r="AA152" s="77">
        <f t="shared" si="182"/>
        <v>0</v>
      </c>
      <c r="AB152" s="77">
        <f t="shared" si="182"/>
        <v>0</v>
      </c>
      <c r="AC152" s="77">
        <f t="shared" si="182"/>
        <v>0</v>
      </c>
      <c r="AD152" s="77">
        <f t="shared" si="182"/>
        <v>0</v>
      </c>
      <c r="AE152" s="77">
        <f t="shared" si="182"/>
        <v>0</v>
      </c>
      <c r="AF152" s="77">
        <f t="shared" si="182"/>
        <v>0</v>
      </c>
      <c r="AG152" s="77">
        <f t="shared" si="182"/>
        <v>0</v>
      </c>
      <c r="AH152" s="77">
        <f t="shared" si="182"/>
        <v>0</v>
      </c>
      <c r="AI152" s="77">
        <f t="shared" si="182"/>
        <v>0</v>
      </c>
      <c r="AJ152" s="77">
        <f t="shared" si="182"/>
        <v>0</v>
      </c>
      <c r="AK152" s="77">
        <f t="shared" si="182"/>
        <v>0</v>
      </c>
      <c r="AL152" s="77">
        <f t="shared" si="182"/>
        <v>0</v>
      </c>
      <c r="AM152" s="77">
        <f t="shared" si="182"/>
        <v>0</v>
      </c>
      <c r="AN152" s="77">
        <f t="shared" si="182"/>
        <v>0</v>
      </c>
      <c r="AO152" s="77">
        <f t="shared" si="182"/>
        <v>0</v>
      </c>
      <c r="AP152" s="77">
        <f t="shared" si="182"/>
        <v>0</v>
      </c>
      <c r="AQ152" s="77">
        <f t="shared" si="182"/>
        <v>0</v>
      </c>
      <c r="AR152" s="77">
        <f t="shared" si="182"/>
        <v>0</v>
      </c>
      <c r="AS152" s="77">
        <f t="shared" si="182"/>
        <v>0</v>
      </c>
      <c r="AT152" s="77">
        <f t="shared" si="182"/>
        <v>0</v>
      </c>
      <c r="AU152" s="77">
        <f t="shared" si="182"/>
        <v>0</v>
      </c>
      <c r="AV152" s="77">
        <f t="shared" si="182"/>
        <v>0</v>
      </c>
      <c r="AW152" s="77">
        <f t="shared" si="182"/>
        <v>0</v>
      </c>
      <c r="AX152" s="77">
        <f t="shared" si="182"/>
        <v>0</v>
      </c>
      <c r="AY152" s="77">
        <f t="shared" si="182"/>
        <v>0</v>
      </c>
      <c r="AZ152" s="77">
        <f t="shared" si="182"/>
        <v>0</v>
      </c>
      <c r="BA152" s="77">
        <f t="shared" si="182"/>
        <v>0</v>
      </c>
      <c r="BB152" s="77">
        <f t="shared" si="182"/>
        <v>0</v>
      </c>
      <c r="BC152" s="77">
        <f t="shared" si="182"/>
        <v>0</v>
      </c>
      <c r="BD152" s="77">
        <f t="shared" si="182"/>
        <v>0</v>
      </c>
      <c r="BE152" s="77">
        <f t="shared" si="182"/>
        <v>0</v>
      </c>
      <c r="BF152" s="77">
        <f t="shared" si="182"/>
        <v>0</v>
      </c>
      <c r="BG152" s="77">
        <f t="shared" si="182"/>
        <v>0</v>
      </c>
      <c r="BH152" s="77">
        <f t="shared" si="182"/>
        <v>0</v>
      </c>
      <c r="BI152" s="77">
        <f t="shared" si="182"/>
        <v>0</v>
      </c>
      <c r="BJ152" s="77">
        <f t="shared" si="182"/>
        <v>0</v>
      </c>
      <c r="BK152" s="77">
        <f t="shared" si="182"/>
        <v>0</v>
      </c>
      <c r="BL152" s="77">
        <f t="shared" si="182"/>
        <v>0</v>
      </c>
      <c r="BM152" s="77">
        <f t="shared" si="182"/>
        <v>0</v>
      </c>
      <c r="BN152" s="77">
        <f t="shared" si="182"/>
        <v>0</v>
      </c>
      <c r="BO152" s="77">
        <f t="shared" si="182"/>
        <v>0</v>
      </c>
      <c r="BP152" s="77">
        <f t="shared" si="182"/>
        <v>0</v>
      </c>
      <c r="BQ152" s="77">
        <f t="shared" si="182"/>
        <v>0</v>
      </c>
      <c r="BR152" s="77">
        <f t="shared" si="182"/>
        <v>0</v>
      </c>
      <c r="BS152" s="77">
        <f t="shared" si="182"/>
        <v>0</v>
      </c>
      <c r="BT152" s="77">
        <f t="shared" ref="BT152:DV152" si="183">IF(BT142="","",BT148)</f>
        <v>0</v>
      </c>
      <c r="BU152" s="77">
        <f t="shared" si="183"/>
        <v>0</v>
      </c>
      <c r="BV152" s="77">
        <f t="shared" si="183"/>
        <v>0</v>
      </c>
      <c r="BW152" s="77">
        <f t="shared" si="183"/>
        <v>0</v>
      </c>
      <c r="BX152" s="77">
        <f t="shared" si="183"/>
        <v>0</v>
      </c>
      <c r="BY152" s="77">
        <f t="shared" si="183"/>
        <v>0</v>
      </c>
      <c r="BZ152" s="77">
        <f t="shared" si="183"/>
        <v>0</v>
      </c>
      <c r="CA152" s="77">
        <f t="shared" si="183"/>
        <v>0</v>
      </c>
      <c r="CB152" s="77">
        <f t="shared" si="183"/>
        <v>0</v>
      </c>
      <c r="CC152" s="77">
        <f t="shared" si="183"/>
        <v>0</v>
      </c>
      <c r="CD152" s="77">
        <f t="shared" si="183"/>
        <v>0</v>
      </c>
      <c r="CE152" s="77">
        <f t="shared" si="183"/>
        <v>0</v>
      </c>
      <c r="CF152" s="77">
        <f t="shared" si="183"/>
        <v>0</v>
      </c>
      <c r="CG152" s="77">
        <f t="shared" si="183"/>
        <v>0</v>
      </c>
      <c r="CH152" s="77">
        <f t="shared" si="183"/>
        <v>0</v>
      </c>
      <c r="CI152" s="77">
        <f t="shared" si="183"/>
        <v>0</v>
      </c>
      <c r="CJ152" s="77">
        <f t="shared" si="183"/>
        <v>0</v>
      </c>
      <c r="CK152" s="77">
        <f t="shared" si="183"/>
        <v>0</v>
      </c>
      <c r="CL152" s="77">
        <f t="shared" si="183"/>
        <v>0</v>
      </c>
      <c r="CM152" s="77">
        <f t="shared" si="183"/>
        <v>0</v>
      </c>
      <c r="CN152" s="77">
        <f t="shared" si="183"/>
        <v>0</v>
      </c>
      <c r="CO152" s="77">
        <f t="shared" si="183"/>
        <v>0</v>
      </c>
      <c r="CP152" s="77">
        <f t="shared" si="183"/>
        <v>0</v>
      </c>
      <c r="CQ152" s="77">
        <f t="shared" si="183"/>
        <v>0</v>
      </c>
      <c r="CR152" s="77">
        <f t="shared" si="183"/>
        <v>0</v>
      </c>
      <c r="CS152" s="77">
        <f t="shared" si="183"/>
        <v>0</v>
      </c>
      <c r="CT152" s="77">
        <f t="shared" si="183"/>
        <v>0</v>
      </c>
      <c r="CU152" s="77">
        <f t="shared" si="183"/>
        <v>0</v>
      </c>
      <c r="CV152" s="77">
        <f t="shared" si="183"/>
        <v>0</v>
      </c>
      <c r="CW152" s="77">
        <f t="shared" si="183"/>
        <v>0</v>
      </c>
      <c r="CX152" s="77" t="str">
        <f t="shared" si="183"/>
        <v/>
      </c>
      <c r="CY152" s="77" t="str">
        <f t="shared" si="183"/>
        <v/>
      </c>
      <c r="CZ152" s="77" t="str">
        <f t="shared" si="183"/>
        <v/>
      </c>
      <c r="DA152" s="77" t="str">
        <f t="shared" si="183"/>
        <v/>
      </c>
      <c r="DB152" s="77" t="str">
        <f t="shared" si="183"/>
        <v/>
      </c>
      <c r="DC152" s="77" t="str">
        <f t="shared" si="183"/>
        <v/>
      </c>
      <c r="DD152" s="77" t="str">
        <f t="shared" si="183"/>
        <v/>
      </c>
      <c r="DE152" s="77" t="str">
        <f t="shared" si="183"/>
        <v/>
      </c>
      <c r="DF152" s="77" t="str">
        <f t="shared" si="183"/>
        <v/>
      </c>
      <c r="DG152" s="77" t="str">
        <f t="shared" si="183"/>
        <v/>
      </c>
      <c r="DH152" s="77" t="str">
        <f t="shared" si="183"/>
        <v/>
      </c>
      <c r="DI152" s="77" t="str">
        <f t="shared" si="183"/>
        <v/>
      </c>
      <c r="DJ152" s="77" t="str">
        <f t="shared" si="183"/>
        <v/>
      </c>
      <c r="DK152" s="77" t="str">
        <f t="shared" si="183"/>
        <v/>
      </c>
      <c r="DL152" s="77" t="str">
        <f t="shared" si="183"/>
        <v/>
      </c>
      <c r="DM152" s="77" t="str">
        <f t="shared" si="183"/>
        <v/>
      </c>
      <c r="DN152" s="77" t="str">
        <f t="shared" si="183"/>
        <v/>
      </c>
      <c r="DO152" s="77" t="str">
        <f t="shared" si="183"/>
        <v/>
      </c>
      <c r="DP152" s="77" t="str">
        <f t="shared" si="183"/>
        <v/>
      </c>
      <c r="DQ152" s="77" t="str">
        <f t="shared" si="183"/>
        <v/>
      </c>
      <c r="DR152" s="77" t="str">
        <f t="shared" si="183"/>
        <v/>
      </c>
      <c r="DS152" s="77" t="str">
        <f t="shared" si="183"/>
        <v/>
      </c>
      <c r="DT152" s="77" t="str">
        <f t="shared" si="183"/>
        <v/>
      </c>
      <c r="DU152" s="77" t="str">
        <f t="shared" si="183"/>
        <v/>
      </c>
      <c r="DV152" s="77" t="str">
        <f t="shared" si="183"/>
        <v/>
      </c>
      <c r="DW152" s="77"/>
      <c r="DX152" s="77"/>
      <c r="DY152" s="78"/>
    </row>
    <row r="153" spans="2:129" outlineLevel="1" x14ac:dyDescent="0.2">
      <c r="B153" s="16" t="s">
        <v>67</v>
      </c>
      <c r="C153" s="16"/>
      <c r="D153" s="16"/>
      <c r="E153" s="16"/>
      <c r="F153" s="77">
        <f>IF(F142="","",F152/$I$18*$H$18)</f>
        <v>0</v>
      </c>
      <c r="G153" s="77">
        <f t="shared" ref="G153:BR153" si="184">IF(G142="","",G152/$I$18*$H$18)</f>
        <v>0</v>
      </c>
      <c r="H153" s="77">
        <f t="shared" si="184"/>
        <v>0</v>
      </c>
      <c r="I153" s="77">
        <f t="shared" si="184"/>
        <v>0</v>
      </c>
      <c r="J153" s="77">
        <f t="shared" si="184"/>
        <v>0</v>
      </c>
      <c r="K153" s="77">
        <f t="shared" si="184"/>
        <v>0</v>
      </c>
      <c r="L153" s="77">
        <f t="shared" si="184"/>
        <v>0</v>
      </c>
      <c r="M153" s="77">
        <f t="shared" si="184"/>
        <v>0</v>
      </c>
      <c r="N153" s="77">
        <f t="shared" si="184"/>
        <v>0</v>
      </c>
      <c r="O153" s="77">
        <f t="shared" si="184"/>
        <v>0</v>
      </c>
      <c r="P153" s="77">
        <f t="shared" si="184"/>
        <v>0</v>
      </c>
      <c r="Q153" s="77">
        <f t="shared" si="184"/>
        <v>0</v>
      </c>
      <c r="R153" s="77">
        <f t="shared" si="184"/>
        <v>0</v>
      </c>
      <c r="S153" s="77">
        <f t="shared" si="184"/>
        <v>0</v>
      </c>
      <c r="T153" s="77">
        <f t="shared" si="184"/>
        <v>0</v>
      </c>
      <c r="U153" s="77">
        <f t="shared" si="184"/>
        <v>0</v>
      </c>
      <c r="V153" s="77">
        <f t="shared" si="184"/>
        <v>0</v>
      </c>
      <c r="W153" s="77">
        <f t="shared" si="184"/>
        <v>0</v>
      </c>
      <c r="X153" s="77">
        <f t="shared" si="184"/>
        <v>0</v>
      </c>
      <c r="Y153" s="77">
        <f t="shared" si="184"/>
        <v>0</v>
      </c>
      <c r="Z153" s="77">
        <f t="shared" si="184"/>
        <v>0</v>
      </c>
      <c r="AA153" s="77">
        <f t="shared" si="184"/>
        <v>0</v>
      </c>
      <c r="AB153" s="77">
        <f t="shared" si="184"/>
        <v>0</v>
      </c>
      <c r="AC153" s="77">
        <f t="shared" si="184"/>
        <v>0</v>
      </c>
      <c r="AD153" s="77">
        <f t="shared" si="184"/>
        <v>0</v>
      </c>
      <c r="AE153" s="77">
        <f t="shared" si="184"/>
        <v>0</v>
      </c>
      <c r="AF153" s="77">
        <f t="shared" si="184"/>
        <v>0</v>
      </c>
      <c r="AG153" s="77">
        <f t="shared" si="184"/>
        <v>0</v>
      </c>
      <c r="AH153" s="77">
        <f t="shared" si="184"/>
        <v>0</v>
      </c>
      <c r="AI153" s="77">
        <f t="shared" si="184"/>
        <v>0</v>
      </c>
      <c r="AJ153" s="77">
        <f t="shared" si="184"/>
        <v>0</v>
      </c>
      <c r="AK153" s="77">
        <f t="shared" si="184"/>
        <v>0</v>
      </c>
      <c r="AL153" s="77">
        <f t="shared" si="184"/>
        <v>0</v>
      </c>
      <c r="AM153" s="77">
        <f t="shared" si="184"/>
        <v>0</v>
      </c>
      <c r="AN153" s="77">
        <f t="shared" si="184"/>
        <v>0</v>
      </c>
      <c r="AO153" s="77">
        <f t="shared" si="184"/>
        <v>0</v>
      </c>
      <c r="AP153" s="77">
        <f t="shared" si="184"/>
        <v>0</v>
      </c>
      <c r="AQ153" s="77">
        <f t="shared" si="184"/>
        <v>0</v>
      </c>
      <c r="AR153" s="77">
        <f t="shared" si="184"/>
        <v>0</v>
      </c>
      <c r="AS153" s="77">
        <f t="shared" si="184"/>
        <v>0</v>
      </c>
      <c r="AT153" s="77">
        <f t="shared" si="184"/>
        <v>0</v>
      </c>
      <c r="AU153" s="77">
        <f t="shared" si="184"/>
        <v>0</v>
      </c>
      <c r="AV153" s="77">
        <f t="shared" si="184"/>
        <v>0</v>
      </c>
      <c r="AW153" s="77">
        <f t="shared" si="184"/>
        <v>0</v>
      </c>
      <c r="AX153" s="77">
        <f t="shared" si="184"/>
        <v>0</v>
      </c>
      <c r="AY153" s="77">
        <f t="shared" si="184"/>
        <v>0</v>
      </c>
      <c r="AZ153" s="77">
        <f t="shared" si="184"/>
        <v>0</v>
      </c>
      <c r="BA153" s="77">
        <f t="shared" si="184"/>
        <v>0</v>
      </c>
      <c r="BB153" s="77">
        <f t="shared" si="184"/>
        <v>0</v>
      </c>
      <c r="BC153" s="77">
        <f t="shared" si="184"/>
        <v>0</v>
      </c>
      <c r="BD153" s="77">
        <f t="shared" si="184"/>
        <v>0</v>
      </c>
      <c r="BE153" s="77">
        <f t="shared" si="184"/>
        <v>0</v>
      </c>
      <c r="BF153" s="77">
        <f t="shared" si="184"/>
        <v>0</v>
      </c>
      <c r="BG153" s="77">
        <f t="shared" si="184"/>
        <v>0</v>
      </c>
      <c r="BH153" s="77">
        <f t="shared" si="184"/>
        <v>0</v>
      </c>
      <c r="BI153" s="77">
        <f t="shared" si="184"/>
        <v>0</v>
      </c>
      <c r="BJ153" s="77">
        <f t="shared" si="184"/>
        <v>0</v>
      </c>
      <c r="BK153" s="77">
        <f t="shared" si="184"/>
        <v>0</v>
      </c>
      <c r="BL153" s="77">
        <f t="shared" si="184"/>
        <v>0</v>
      </c>
      <c r="BM153" s="77">
        <f t="shared" si="184"/>
        <v>0</v>
      </c>
      <c r="BN153" s="77">
        <f t="shared" si="184"/>
        <v>0</v>
      </c>
      <c r="BO153" s="77">
        <f t="shared" si="184"/>
        <v>0</v>
      </c>
      <c r="BP153" s="77">
        <f t="shared" si="184"/>
        <v>0</v>
      </c>
      <c r="BQ153" s="77">
        <f t="shared" si="184"/>
        <v>0</v>
      </c>
      <c r="BR153" s="77">
        <f t="shared" si="184"/>
        <v>0</v>
      </c>
      <c r="BS153" s="77">
        <f t="shared" ref="BS153:DV153" si="185">IF(BS142="","",BS152/$I$18*$H$18)</f>
        <v>0</v>
      </c>
      <c r="BT153" s="77">
        <f t="shared" si="185"/>
        <v>0</v>
      </c>
      <c r="BU153" s="77">
        <f t="shared" si="185"/>
        <v>0</v>
      </c>
      <c r="BV153" s="77">
        <f t="shared" si="185"/>
        <v>0</v>
      </c>
      <c r="BW153" s="77">
        <f t="shared" si="185"/>
        <v>0</v>
      </c>
      <c r="BX153" s="77">
        <f t="shared" si="185"/>
        <v>0</v>
      </c>
      <c r="BY153" s="77">
        <f t="shared" si="185"/>
        <v>0</v>
      </c>
      <c r="BZ153" s="77">
        <f t="shared" si="185"/>
        <v>0</v>
      </c>
      <c r="CA153" s="77">
        <f t="shared" si="185"/>
        <v>0</v>
      </c>
      <c r="CB153" s="77">
        <f t="shared" si="185"/>
        <v>0</v>
      </c>
      <c r="CC153" s="77">
        <f t="shared" si="185"/>
        <v>0</v>
      </c>
      <c r="CD153" s="77">
        <f t="shared" si="185"/>
        <v>0</v>
      </c>
      <c r="CE153" s="77">
        <f t="shared" si="185"/>
        <v>0</v>
      </c>
      <c r="CF153" s="77">
        <f t="shared" si="185"/>
        <v>0</v>
      </c>
      <c r="CG153" s="77">
        <f t="shared" si="185"/>
        <v>0</v>
      </c>
      <c r="CH153" s="77">
        <f t="shared" si="185"/>
        <v>0</v>
      </c>
      <c r="CI153" s="77">
        <f t="shared" si="185"/>
        <v>0</v>
      </c>
      <c r="CJ153" s="77">
        <f t="shared" si="185"/>
        <v>0</v>
      </c>
      <c r="CK153" s="77">
        <f t="shared" si="185"/>
        <v>0</v>
      </c>
      <c r="CL153" s="77">
        <f t="shared" si="185"/>
        <v>0</v>
      </c>
      <c r="CM153" s="77">
        <f t="shared" si="185"/>
        <v>0</v>
      </c>
      <c r="CN153" s="77">
        <f t="shared" si="185"/>
        <v>0</v>
      </c>
      <c r="CO153" s="77">
        <f t="shared" si="185"/>
        <v>0</v>
      </c>
      <c r="CP153" s="77">
        <f t="shared" si="185"/>
        <v>0</v>
      </c>
      <c r="CQ153" s="77">
        <f t="shared" si="185"/>
        <v>0</v>
      </c>
      <c r="CR153" s="77">
        <f t="shared" si="185"/>
        <v>0</v>
      </c>
      <c r="CS153" s="77">
        <f t="shared" si="185"/>
        <v>0</v>
      </c>
      <c r="CT153" s="77">
        <f t="shared" si="185"/>
        <v>0</v>
      </c>
      <c r="CU153" s="77">
        <f t="shared" si="185"/>
        <v>0</v>
      </c>
      <c r="CV153" s="77">
        <f t="shared" si="185"/>
        <v>0</v>
      </c>
      <c r="CW153" s="77">
        <f t="shared" si="185"/>
        <v>0</v>
      </c>
      <c r="CX153" s="77" t="str">
        <f t="shared" si="185"/>
        <v/>
      </c>
      <c r="CY153" s="77" t="str">
        <f t="shared" si="185"/>
        <v/>
      </c>
      <c r="CZ153" s="77" t="str">
        <f t="shared" si="185"/>
        <v/>
      </c>
      <c r="DA153" s="77" t="str">
        <f t="shared" si="185"/>
        <v/>
      </c>
      <c r="DB153" s="77" t="str">
        <f t="shared" si="185"/>
        <v/>
      </c>
      <c r="DC153" s="77" t="str">
        <f t="shared" si="185"/>
        <v/>
      </c>
      <c r="DD153" s="77" t="str">
        <f t="shared" si="185"/>
        <v/>
      </c>
      <c r="DE153" s="77" t="str">
        <f t="shared" si="185"/>
        <v/>
      </c>
      <c r="DF153" s="77" t="str">
        <f t="shared" si="185"/>
        <v/>
      </c>
      <c r="DG153" s="77" t="str">
        <f t="shared" si="185"/>
        <v/>
      </c>
      <c r="DH153" s="77" t="str">
        <f t="shared" si="185"/>
        <v/>
      </c>
      <c r="DI153" s="77" t="str">
        <f t="shared" si="185"/>
        <v/>
      </c>
      <c r="DJ153" s="77" t="str">
        <f t="shared" si="185"/>
        <v/>
      </c>
      <c r="DK153" s="77" t="str">
        <f t="shared" si="185"/>
        <v/>
      </c>
      <c r="DL153" s="77" t="str">
        <f t="shared" si="185"/>
        <v/>
      </c>
      <c r="DM153" s="77" t="str">
        <f t="shared" si="185"/>
        <v/>
      </c>
      <c r="DN153" s="77" t="str">
        <f t="shared" si="185"/>
        <v/>
      </c>
      <c r="DO153" s="77" t="str">
        <f t="shared" si="185"/>
        <v/>
      </c>
      <c r="DP153" s="77" t="str">
        <f t="shared" si="185"/>
        <v/>
      </c>
      <c r="DQ153" s="77" t="str">
        <f t="shared" si="185"/>
        <v/>
      </c>
      <c r="DR153" s="77" t="str">
        <f t="shared" si="185"/>
        <v/>
      </c>
      <c r="DS153" s="77" t="str">
        <f t="shared" si="185"/>
        <v/>
      </c>
      <c r="DT153" s="77" t="str">
        <f t="shared" si="185"/>
        <v/>
      </c>
      <c r="DU153" s="77" t="str">
        <f t="shared" si="185"/>
        <v/>
      </c>
      <c r="DV153" s="77" t="str">
        <f t="shared" si="185"/>
        <v/>
      </c>
      <c r="DW153" s="77"/>
      <c r="DX153" s="77"/>
      <c r="DY153" s="78"/>
    </row>
    <row r="154" spans="2:129" outlineLevel="1" x14ac:dyDescent="0.2">
      <c r="B154" s="16" t="str">
        <f>"Total Distributions ("&amp;B142&amp;")"</f>
        <v>Total Distributions (Tier 4)</v>
      </c>
      <c r="C154" s="16"/>
      <c r="D154" s="16"/>
      <c r="E154" s="16"/>
      <c r="F154" s="77">
        <f t="shared" ref="F154" si="186">IF(F142="","",F152+F153)</f>
        <v>0</v>
      </c>
      <c r="G154" s="77">
        <f>IF(G142="","",G152+G153)</f>
        <v>0</v>
      </c>
      <c r="H154" s="77">
        <f t="shared" ref="H154:BS154" si="187">IF(H142="","",H152+H153)</f>
        <v>0</v>
      </c>
      <c r="I154" s="77">
        <f t="shared" si="187"/>
        <v>0</v>
      </c>
      <c r="J154" s="77">
        <f t="shared" si="187"/>
        <v>0</v>
      </c>
      <c r="K154" s="77">
        <f t="shared" si="187"/>
        <v>0</v>
      </c>
      <c r="L154" s="77">
        <f t="shared" si="187"/>
        <v>0</v>
      </c>
      <c r="M154" s="77">
        <f t="shared" si="187"/>
        <v>0</v>
      </c>
      <c r="N154" s="77">
        <f t="shared" si="187"/>
        <v>0</v>
      </c>
      <c r="O154" s="77">
        <f t="shared" si="187"/>
        <v>0</v>
      </c>
      <c r="P154" s="77">
        <f t="shared" si="187"/>
        <v>0</v>
      </c>
      <c r="Q154" s="77">
        <f t="shared" si="187"/>
        <v>0</v>
      </c>
      <c r="R154" s="77">
        <f t="shared" si="187"/>
        <v>0</v>
      </c>
      <c r="S154" s="77">
        <f t="shared" si="187"/>
        <v>0</v>
      </c>
      <c r="T154" s="77">
        <f t="shared" si="187"/>
        <v>0</v>
      </c>
      <c r="U154" s="77">
        <f t="shared" si="187"/>
        <v>0</v>
      </c>
      <c r="V154" s="77">
        <f t="shared" si="187"/>
        <v>0</v>
      </c>
      <c r="W154" s="77">
        <f t="shared" si="187"/>
        <v>0</v>
      </c>
      <c r="X154" s="77">
        <f t="shared" si="187"/>
        <v>0</v>
      </c>
      <c r="Y154" s="77">
        <f t="shared" si="187"/>
        <v>0</v>
      </c>
      <c r="Z154" s="77">
        <f t="shared" si="187"/>
        <v>0</v>
      </c>
      <c r="AA154" s="77">
        <f t="shared" si="187"/>
        <v>0</v>
      </c>
      <c r="AB154" s="77">
        <f t="shared" si="187"/>
        <v>0</v>
      </c>
      <c r="AC154" s="77">
        <f t="shared" si="187"/>
        <v>0</v>
      </c>
      <c r="AD154" s="77">
        <f t="shared" si="187"/>
        <v>0</v>
      </c>
      <c r="AE154" s="77">
        <f t="shared" si="187"/>
        <v>0</v>
      </c>
      <c r="AF154" s="77">
        <f t="shared" si="187"/>
        <v>0</v>
      </c>
      <c r="AG154" s="77">
        <f t="shared" si="187"/>
        <v>0</v>
      </c>
      <c r="AH154" s="77">
        <f t="shared" si="187"/>
        <v>0</v>
      </c>
      <c r="AI154" s="77">
        <f t="shared" si="187"/>
        <v>0</v>
      </c>
      <c r="AJ154" s="77">
        <f t="shared" si="187"/>
        <v>0</v>
      </c>
      <c r="AK154" s="77">
        <f t="shared" si="187"/>
        <v>0</v>
      </c>
      <c r="AL154" s="77">
        <f t="shared" si="187"/>
        <v>0</v>
      </c>
      <c r="AM154" s="77">
        <f t="shared" si="187"/>
        <v>0</v>
      </c>
      <c r="AN154" s="77">
        <f t="shared" si="187"/>
        <v>0</v>
      </c>
      <c r="AO154" s="77">
        <f t="shared" si="187"/>
        <v>0</v>
      </c>
      <c r="AP154" s="77">
        <f t="shared" si="187"/>
        <v>0</v>
      </c>
      <c r="AQ154" s="77">
        <f t="shared" si="187"/>
        <v>0</v>
      </c>
      <c r="AR154" s="77">
        <f t="shared" si="187"/>
        <v>0</v>
      </c>
      <c r="AS154" s="77">
        <f t="shared" si="187"/>
        <v>0</v>
      </c>
      <c r="AT154" s="77">
        <f t="shared" si="187"/>
        <v>0</v>
      </c>
      <c r="AU154" s="77">
        <f t="shared" si="187"/>
        <v>0</v>
      </c>
      <c r="AV154" s="77">
        <f t="shared" si="187"/>
        <v>0</v>
      </c>
      <c r="AW154" s="77">
        <f t="shared" si="187"/>
        <v>0</v>
      </c>
      <c r="AX154" s="77">
        <f t="shared" si="187"/>
        <v>0</v>
      </c>
      <c r="AY154" s="77">
        <f t="shared" si="187"/>
        <v>0</v>
      </c>
      <c r="AZ154" s="77">
        <f t="shared" si="187"/>
        <v>0</v>
      </c>
      <c r="BA154" s="77">
        <f t="shared" si="187"/>
        <v>0</v>
      </c>
      <c r="BB154" s="77">
        <f t="shared" si="187"/>
        <v>0</v>
      </c>
      <c r="BC154" s="77">
        <f t="shared" si="187"/>
        <v>0</v>
      </c>
      <c r="BD154" s="77">
        <f t="shared" si="187"/>
        <v>0</v>
      </c>
      <c r="BE154" s="77">
        <f t="shared" si="187"/>
        <v>0</v>
      </c>
      <c r="BF154" s="77">
        <f t="shared" si="187"/>
        <v>0</v>
      </c>
      <c r="BG154" s="77">
        <f t="shared" si="187"/>
        <v>0</v>
      </c>
      <c r="BH154" s="77">
        <f t="shared" si="187"/>
        <v>0</v>
      </c>
      <c r="BI154" s="77">
        <f t="shared" si="187"/>
        <v>0</v>
      </c>
      <c r="BJ154" s="77">
        <f t="shared" si="187"/>
        <v>0</v>
      </c>
      <c r="BK154" s="77">
        <f t="shared" si="187"/>
        <v>0</v>
      </c>
      <c r="BL154" s="77">
        <f t="shared" si="187"/>
        <v>0</v>
      </c>
      <c r="BM154" s="77">
        <f t="shared" si="187"/>
        <v>0</v>
      </c>
      <c r="BN154" s="77">
        <f t="shared" si="187"/>
        <v>0</v>
      </c>
      <c r="BO154" s="77">
        <f t="shared" si="187"/>
        <v>0</v>
      </c>
      <c r="BP154" s="77">
        <f t="shared" si="187"/>
        <v>0</v>
      </c>
      <c r="BQ154" s="77">
        <f t="shared" si="187"/>
        <v>0</v>
      </c>
      <c r="BR154" s="77">
        <f t="shared" si="187"/>
        <v>0</v>
      </c>
      <c r="BS154" s="77">
        <f t="shared" si="187"/>
        <v>0</v>
      </c>
      <c r="BT154" s="77">
        <f t="shared" ref="BT154:DV154" si="188">IF(BT142="","",BT152+BT153)</f>
        <v>0</v>
      </c>
      <c r="BU154" s="77">
        <f t="shared" si="188"/>
        <v>0</v>
      </c>
      <c r="BV154" s="77">
        <f t="shared" si="188"/>
        <v>0</v>
      </c>
      <c r="BW154" s="77">
        <f t="shared" si="188"/>
        <v>0</v>
      </c>
      <c r="BX154" s="77">
        <f t="shared" si="188"/>
        <v>0</v>
      </c>
      <c r="BY154" s="77">
        <f t="shared" si="188"/>
        <v>0</v>
      </c>
      <c r="BZ154" s="77">
        <f t="shared" si="188"/>
        <v>0</v>
      </c>
      <c r="CA154" s="77">
        <f t="shared" si="188"/>
        <v>0</v>
      </c>
      <c r="CB154" s="77">
        <f t="shared" si="188"/>
        <v>0</v>
      </c>
      <c r="CC154" s="77">
        <f t="shared" si="188"/>
        <v>0</v>
      </c>
      <c r="CD154" s="77">
        <f t="shared" si="188"/>
        <v>0</v>
      </c>
      <c r="CE154" s="77">
        <f t="shared" si="188"/>
        <v>0</v>
      </c>
      <c r="CF154" s="77">
        <f t="shared" si="188"/>
        <v>0</v>
      </c>
      <c r="CG154" s="77">
        <f t="shared" si="188"/>
        <v>0</v>
      </c>
      <c r="CH154" s="77">
        <f t="shared" si="188"/>
        <v>0</v>
      </c>
      <c r="CI154" s="77">
        <f t="shared" si="188"/>
        <v>0</v>
      </c>
      <c r="CJ154" s="77">
        <f t="shared" si="188"/>
        <v>0</v>
      </c>
      <c r="CK154" s="77">
        <f t="shared" si="188"/>
        <v>0</v>
      </c>
      <c r="CL154" s="77">
        <f t="shared" si="188"/>
        <v>0</v>
      </c>
      <c r="CM154" s="77">
        <f t="shared" si="188"/>
        <v>0</v>
      </c>
      <c r="CN154" s="77">
        <f t="shared" si="188"/>
        <v>0</v>
      </c>
      <c r="CO154" s="77">
        <f t="shared" si="188"/>
        <v>0</v>
      </c>
      <c r="CP154" s="77">
        <f t="shared" si="188"/>
        <v>0</v>
      </c>
      <c r="CQ154" s="77">
        <f t="shared" si="188"/>
        <v>0</v>
      </c>
      <c r="CR154" s="77">
        <f t="shared" si="188"/>
        <v>0</v>
      </c>
      <c r="CS154" s="77">
        <f t="shared" si="188"/>
        <v>0</v>
      </c>
      <c r="CT154" s="77">
        <f t="shared" si="188"/>
        <v>0</v>
      </c>
      <c r="CU154" s="77">
        <f t="shared" si="188"/>
        <v>0</v>
      </c>
      <c r="CV154" s="77">
        <f t="shared" si="188"/>
        <v>0</v>
      </c>
      <c r="CW154" s="77">
        <f t="shared" si="188"/>
        <v>0</v>
      </c>
      <c r="CX154" s="77" t="str">
        <f t="shared" si="188"/>
        <v/>
      </c>
      <c r="CY154" s="77" t="str">
        <f t="shared" si="188"/>
        <v/>
      </c>
      <c r="CZ154" s="77" t="str">
        <f t="shared" si="188"/>
        <v/>
      </c>
      <c r="DA154" s="77" t="str">
        <f t="shared" si="188"/>
        <v/>
      </c>
      <c r="DB154" s="77" t="str">
        <f t="shared" si="188"/>
        <v/>
      </c>
      <c r="DC154" s="77" t="str">
        <f t="shared" si="188"/>
        <v/>
      </c>
      <c r="DD154" s="77" t="str">
        <f t="shared" si="188"/>
        <v/>
      </c>
      <c r="DE154" s="77" t="str">
        <f t="shared" si="188"/>
        <v/>
      </c>
      <c r="DF154" s="77" t="str">
        <f t="shared" si="188"/>
        <v/>
      </c>
      <c r="DG154" s="77" t="str">
        <f t="shared" si="188"/>
        <v/>
      </c>
      <c r="DH154" s="77" t="str">
        <f t="shared" si="188"/>
        <v/>
      </c>
      <c r="DI154" s="77" t="str">
        <f t="shared" si="188"/>
        <v/>
      </c>
      <c r="DJ154" s="77" t="str">
        <f t="shared" si="188"/>
        <v/>
      </c>
      <c r="DK154" s="77" t="str">
        <f t="shared" si="188"/>
        <v/>
      </c>
      <c r="DL154" s="77" t="str">
        <f t="shared" si="188"/>
        <v/>
      </c>
      <c r="DM154" s="77" t="str">
        <f t="shared" si="188"/>
        <v/>
      </c>
      <c r="DN154" s="77" t="str">
        <f t="shared" si="188"/>
        <v/>
      </c>
      <c r="DO154" s="77" t="str">
        <f t="shared" si="188"/>
        <v/>
      </c>
      <c r="DP154" s="77" t="str">
        <f t="shared" si="188"/>
        <v/>
      </c>
      <c r="DQ154" s="77" t="str">
        <f t="shared" si="188"/>
        <v/>
      </c>
      <c r="DR154" s="77" t="str">
        <f t="shared" si="188"/>
        <v/>
      </c>
      <c r="DS154" s="77" t="str">
        <f t="shared" si="188"/>
        <v/>
      </c>
      <c r="DT154" s="77" t="str">
        <f t="shared" si="188"/>
        <v/>
      </c>
      <c r="DU154" s="77" t="str">
        <f t="shared" si="188"/>
        <v/>
      </c>
      <c r="DV154" s="77" t="str">
        <f t="shared" si="188"/>
        <v/>
      </c>
      <c r="DW154" s="77"/>
      <c r="DX154" s="77"/>
      <c r="DY154" s="78"/>
    </row>
    <row r="155" spans="2:129" outlineLevel="1" x14ac:dyDescent="0.2">
      <c r="B155" s="16" t="s">
        <v>69</v>
      </c>
      <c r="C155" s="16"/>
      <c r="D155" s="16"/>
      <c r="E155" s="16"/>
      <c r="F155" s="77">
        <f>IF(F142="","",MAX(F$51-F109-F124-F139-F154,0))</f>
        <v>0</v>
      </c>
      <c r="G155" s="77">
        <f t="shared" ref="G155:BR155" si="189">IF(G142="","",MAX(G$51-G109-G124-G139-G154,0))</f>
        <v>0</v>
      </c>
      <c r="H155" s="77">
        <f t="shared" si="189"/>
        <v>0</v>
      </c>
      <c r="I155" s="77">
        <f t="shared" si="189"/>
        <v>0</v>
      </c>
      <c r="J155" s="77">
        <f t="shared" si="189"/>
        <v>0</v>
      </c>
      <c r="K155" s="77">
        <f t="shared" si="189"/>
        <v>0</v>
      </c>
      <c r="L155" s="77">
        <f t="shared" si="189"/>
        <v>0</v>
      </c>
      <c r="M155" s="77">
        <f t="shared" si="189"/>
        <v>0</v>
      </c>
      <c r="N155" s="77">
        <f t="shared" si="189"/>
        <v>0</v>
      </c>
      <c r="O155" s="77">
        <f t="shared" si="189"/>
        <v>0</v>
      </c>
      <c r="P155" s="77">
        <f t="shared" si="189"/>
        <v>0</v>
      </c>
      <c r="Q155" s="77">
        <f t="shared" si="189"/>
        <v>0</v>
      </c>
      <c r="R155" s="77">
        <f t="shared" si="189"/>
        <v>0</v>
      </c>
      <c r="S155" s="77">
        <f t="shared" si="189"/>
        <v>0</v>
      </c>
      <c r="T155" s="77">
        <f t="shared" si="189"/>
        <v>0</v>
      </c>
      <c r="U155" s="77">
        <f t="shared" si="189"/>
        <v>0</v>
      </c>
      <c r="V155" s="77">
        <f t="shared" si="189"/>
        <v>0</v>
      </c>
      <c r="W155" s="77">
        <f t="shared" si="189"/>
        <v>0</v>
      </c>
      <c r="X155" s="77">
        <f t="shared" si="189"/>
        <v>0</v>
      </c>
      <c r="Y155" s="77">
        <f t="shared" si="189"/>
        <v>0</v>
      </c>
      <c r="Z155" s="77">
        <f t="shared" si="189"/>
        <v>0</v>
      </c>
      <c r="AA155" s="77">
        <f t="shared" si="189"/>
        <v>0</v>
      </c>
      <c r="AB155" s="77">
        <f t="shared" si="189"/>
        <v>0</v>
      </c>
      <c r="AC155" s="77">
        <f t="shared" si="189"/>
        <v>0</v>
      </c>
      <c r="AD155" s="77">
        <f t="shared" si="189"/>
        <v>0</v>
      </c>
      <c r="AE155" s="77">
        <f t="shared" si="189"/>
        <v>0</v>
      </c>
      <c r="AF155" s="77">
        <f t="shared" si="189"/>
        <v>0</v>
      </c>
      <c r="AG155" s="77">
        <f t="shared" si="189"/>
        <v>0</v>
      </c>
      <c r="AH155" s="77">
        <f t="shared" si="189"/>
        <v>0</v>
      </c>
      <c r="AI155" s="77">
        <f t="shared" si="189"/>
        <v>0</v>
      </c>
      <c r="AJ155" s="77">
        <f t="shared" si="189"/>
        <v>0</v>
      </c>
      <c r="AK155" s="77">
        <f t="shared" si="189"/>
        <v>0</v>
      </c>
      <c r="AL155" s="77">
        <f t="shared" si="189"/>
        <v>0</v>
      </c>
      <c r="AM155" s="77">
        <f t="shared" si="189"/>
        <v>0</v>
      </c>
      <c r="AN155" s="77">
        <f t="shared" si="189"/>
        <v>0</v>
      </c>
      <c r="AO155" s="77">
        <f t="shared" si="189"/>
        <v>0</v>
      </c>
      <c r="AP155" s="77">
        <f t="shared" si="189"/>
        <v>0</v>
      </c>
      <c r="AQ155" s="77">
        <f t="shared" si="189"/>
        <v>0</v>
      </c>
      <c r="AR155" s="77">
        <f t="shared" si="189"/>
        <v>0</v>
      </c>
      <c r="AS155" s="77">
        <f t="shared" si="189"/>
        <v>0</v>
      </c>
      <c r="AT155" s="77">
        <f t="shared" si="189"/>
        <v>0</v>
      </c>
      <c r="AU155" s="77">
        <f t="shared" si="189"/>
        <v>0</v>
      </c>
      <c r="AV155" s="77">
        <f t="shared" si="189"/>
        <v>0</v>
      </c>
      <c r="AW155" s="77">
        <f t="shared" si="189"/>
        <v>0</v>
      </c>
      <c r="AX155" s="77">
        <f t="shared" si="189"/>
        <v>0</v>
      </c>
      <c r="AY155" s="77">
        <f t="shared" si="189"/>
        <v>0</v>
      </c>
      <c r="AZ155" s="77">
        <f t="shared" si="189"/>
        <v>0</v>
      </c>
      <c r="BA155" s="77">
        <f t="shared" si="189"/>
        <v>0</v>
      </c>
      <c r="BB155" s="77">
        <f t="shared" si="189"/>
        <v>0</v>
      </c>
      <c r="BC155" s="77">
        <f t="shared" si="189"/>
        <v>0</v>
      </c>
      <c r="BD155" s="77">
        <f t="shared" si="189"/>
        <v>0</v>
      </c>
      <c r="BE155" s="77">
        <f t="shared" si="189"/>
        <v>0</v>
      </c>
      <c r="BF155" s="77">
        <f t="shared" si="189"/>
        <v>0</v>
      </c>
      <c r="BG155" s="77">
        <f t="shared" si="189"/>
        <v>0</v>
      </c>
      <c r="BH155" s="77">
        <f t="shared" si="189"/>
        <v>0</v>
      </c>
      <c r="BI155" s="77">
        <f t="shared" si="189"/>
        <v>0</v>
      </c>
      <c r="BJ155" s="77">
        <f t="shared" si="189"/>
        <v>0</v>
      </c>
      <c r="BK155" s="77">
        <f t="shared" si="189"/>
        <v>0</v>
      </c>
      <c r="BL155" s="77">
        <f t="shared" si="189"/>
        <v>0</v>
      </c>
      <c r="BM155" s="77">
        <f t="shared" si="189"/>
        <v>0</v>
      </c>
      <c r="BN155" s="77">
        <f t="shared" si="189"/>
        <v>0</v>
      </c>
      <c r="BO155" s="77">
        <f t="shared" si="189"/>
        <v>0</v>
      </c>
      <c r="BP155" s="77">
        <f t="shared" si="189"/>
        <v>0</v>
      </c>
      <c r="BQ155" s="77">
        <f t="shared" si="189"/>
        <v>0</v>
      </c>
      <c r="BR155" s="77">
        <f t="shared" si="189"/>
        <v>0</v>
      </c>
      <c r="BS155" s="77">
        <f t="shared" ref="BS155:DV155" si="190">IF(BS142="","",MAX(BS$51-BS109-BS124-BS139-BS154,0))</f>
        <v>0</v>
      </c>
      <c r="BT155" s="77">
        <f t="shared" si="190"/>
        <v>0</v>
      </c>
      <c r="BU155" s="77">
        <f t="shared" si="190"/>
        <v>0</v>
      </c>
      <c r="BV155" s="77">
        <f t="shared" si="190"/>
        <v>0</v>
      </c>
      <c r="BW155" s="77">
        <f t="shared" si="190"/>
        <v>0</v>
      </c>
      <c r="BX155" s="77">
        <f t="shared" si="190"/>
        <v>0</v>
      </c>
      <c r="BY155" s="77">
        <f t="shared" si="190"/>
        <v>0</v>
      </c>
      <c r="BZ155" s="77">
        <f t="shared" si="190"/>
        <v>0</v>
      </c>
      <c r="CA155" s="77">
        <f t="shared" si="190"/>
        <v>0</v>
      </c>
      <c r="CB155" s="77">
        <f t="shared" si="190"/>
        <v>0</v>
      </c>
      <c r="CC155" s="77">
        <f t="shared" si="190"/>
        <v>0</v>
      </c>
      <c r="CD155" s="77">
        <f t="shared" si="190"/>
        <v>0</v>
      </c>
      <c r="CE155" s="77">
        <f t="shared" si="190"/>
        <v>0</v>
      </c>
      <c r="CF155" s="77">
        <f t="shared" si="190"/>
        <v>0</v>
      </c>
      <c r="CG155" s="77">
        <f t="shared" si="190"/>
        <v>0</v>
      </c>
      <c r="CH155" s="77">
        <f t="shared" si="190"/>
        <v>0</v>
      </c>
      <c r="CI155" s="77">
        <f t="shared" si="190"/>
        <v>0</v>
      </c>
      <c r="CJ155" s="77">
        <f t="shared" si="190"/>
        <v>0</v>
      </c>
      <c r="CK155" s="77">
        <f t="shared" si="190"/>
        <v>0</v>
      </c>
      <c r="CL155" s="77">
        <f t="shared" si="190"/>
        <v>0</v>
      </c>
      <c r="CM155" s="77">
        <f t="shared" si="190"/>
        <v>0</v>
      </c>
      <c r="CN155" s="77">
        <f t="shared" si="190"/>
        <v>0</v>
      </c>
      <c r="CO155" s="77">
        <f t="shared" si="190"/>
        <v>0</v>
      </c>
      <c r="CP155" s="77">
        <f t="shared" si="190"/>
        <v>0</v>
      </c>
      <c r="CQ155" s="77">
        <f t="shared" si="190"/>
        <v>0</v>
      </c>
      <c r="CR155" s="77">
        <f t="shared" si="190"/>
        <v>0</v>
      </c>
      <c r="CS155" s="77">
        <f t="shared" si="190"/>
        <v>0</v>
      </c>
      <c r="CT155" s="77">
        <f t="shared" si="190"/>
        <v>0</v>
      </c>
      <c r="CU155" s="77">
        <f t="shared" si="190"/>
        <v>0</v>
      </c>
      <c r="CV155" s="77">
        <f t="shared" si="190"/>
        <v>0</v>
      </c>
      <c r="CW155" s="77">
        <f t="shared" si="190"/>
        <v>0</v>
      </c>
      <c r="CX155" s="77" t="str">
        <f t="shared" si="190"/>
        <v/>
      </c>
      <c r="CY155" s="77" t="str">
        <f t="shared" si="190"/>
        <v/>
      </c>
      <c r="CZ155" s="77" t="str">
        <f t="shared" si="190"/>
        <v/>
      </c>
      <c r="DA155" s="77" t="str">
        <f t="shared" si="190"/>
        <v/>
      </c>
      <c r="DB155" s="77" t="str">
        <f t="shared" si="190"/>
        <v/>
      </c>
      <c r="DC155" s="77" t="str">
        <f t="shared" si="190"/>
        <v/>
      </c>
      <c r="DD155" s="77" t="str">
        <f t="shared" si="190"/>
        <v/>
      </c>
      <c r="DE155" s="77" t="str">
        <f t="shared" si="190"/>
        <v/>
      </c>
      <c r="DF155" s="77" t="str">
        <f t="shared" si="190"/>
        <v/>
      </c>
      <c r="DG155" s="77" t="str">
        <f t="shared" si="190"/>
        <v/>
      </c>
      <c r="DH155" s="77" t="str">
        <f t="shared" si="190"/>
        <v/>
      </c>
      <c r="DI155" s="77" t="str">
        <f t="shared" si="190"/>
        <v/>
      </c>
      <c r="DJ155" s="77" t="str">
        <f t="shared" si="190"/>
        <v/>
      </c>
      <c r="DK155" s="77" t="str">
        <f t="shared" si="190"/>
        <v/>
      </c>
      <c r="DL155" s="77" t="str">
        <f t="shared" si="190"/>
        <v/>
      </c>
      <c r="DM155" s="77" t="str">
        <f t="shared" si="190"/>
        <v/>
      </c>
      <c r="DN155" s="77" t="str">
        <f t="shared" si="190"/>
        <v/>
      </c>
      <c r="DO155" s="77" t="str">
        <f t="shared" si="190"/>
        <v/>
      </c>
      <c r="DP155" s="77" t="str">
        <f t="shared" si="190"/>
        <v/>
      </c>
      <c r="DQ155" s="77" t="str">
        <f t="shared" si="190"/>
        <v/>
      </c>
      <c r="DR155" s="77" t="str">
        <f t="shared" si="190"/>
        <v/>
      </c>
      <c r="DS155" s="77" t="str">
        <f t="shared" si="190"/>
        <v/>
      </c>
      <c r="DT155" s="77" t="str">
        <f t="shared" si="190"/>
        <v/>
      </c>
      <c r="DU155" s="77" t="str">
        <f t="shared" si="190"/>
        <v/>
      </c>
      <c r="DV155" s="77" t="str">
        <f t="shared" si="190"/>
        <v/>
      </c>
      <c r="DW155" s="77"/>
      <c r="DX155" s="77"/>
      <c r="DY155" s="78"/>
    </row>
    <row r="156" spans="2:129" outlineLevel="1" x14ac:dyDescent="0.2">
      <c r="B156" s="16"/>
      <c r="C156" s="16"/>
      <c r="D156" s="16"/>
      <c r="E156" s="1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66"/>
      <c r="AU156" s="66"/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/>
      <c r="BJ156" s="66"/>
      <c r="BK156" s="66"/>
      <c r="BL156" s="66"/>
      <c r="BM156" s="66"/>
      <c r="BN156" s="66"/>
      <c r="BO156" s="66"/>
      <c r="BP156" s="66"/>
      <c r="BQ156" s="66"/>
      <c r="BR156" s="66"/>
      <c r="BS156" s="66"/>
      <c r="BT156" s="66"/>
      <c r="BU156" s="66"/>
      <c r="BV156" s="66"/>
      <c r="BW156" s="66"/>
      <c r="BX156" s="66"/>
      <c r="BY156" s="66"/>
      <c r="BZ156" s="66"/>
      <c r="CA156" s="66"/>
      <c r="CB156" s="66"/>
      <c r="CC156" s="66"/>
      <c r="CD156" s="66"/>
      <c r="CE156" s="66"/>
      <c r="CF156" s="66"/>
      <c r="CG156" s="66"/>
      <c r="CH156" s="66"/>
      <c r="CI156" s="66"/>
      <c r="CJ156" s="66"/>
      <c r="CK156" s="66"/>
      <c r="CL156" s="66"/>
      <c r="CM156" s="66"/>
      <c r="CN156" s="66"/>
      <c r="CO156" s="66"/>
      <c r="CP156" s="66"/>
      <c r="CQ156" s="66"/>
      <c r="CR156" s="66"/>
      <c r="CS156" s="66"/>
      <c r="CT156" s="66"/>
      <c r="CU156" s="66"/>
      <c r="CV156" s="66"/>
      <c r="CW156" s="66"/>
      <c r="CX156" s="66"/>
      <c r="CY156" s="66"/>
      <c r="CZ156" s="66"/>
      <c r="DA156" s="66"/>
      <c r="DB156" s="66"/>
      <c r="DC156" s="66"/>
      <c r="DD156" s="66"/>
      <c r="DE156" s="66"/>
      <c r="DF156" s="66"/>
      <c r="DG156" s="66"/>
      <c r="DH156" s="66"/>
      <c r="DI156" s="66"/>
      <c r="DJ156" s="66"/>
      <c r="DK156" s="66"/>
      <c r="DL156" s="66"/>
      <c r="DM156" s="66"/>
      <c r="DN156" s="66"/>
      <c r="DO156" s="66"/>
      <c r="DP156" s="66"/>
      <c r="DQ156" s="66"/>
      <c r="DR156" s="66"/>
      <c r="DS156" s="66"/>
      <c r="DT156" s="66"/>
      <c r="DU156" s="66"/>
      <c r="DV156" s="66"/>
      <c r="DW156" s="66"/>
      <c r="DX156" s="66"/>
      <c r="DY156" s="17"/>
    </row>
    <row r="157" spans="2:129" ht="16" outlineLevel="1" x14ac:dyDescent="0.2">
      <c r="B157" s="105" t="s">
        <v>77</v>
      </c>
      <c r="C157" s="100"/>
      <c r="D157" s="100"/>
      <c r="E157" s="100"/>
      <c r="F157" s="113">
        <f>F$21</f>
        <v>0</v>
      </c>
      <c r="G157" s="113">
        <f t="shared" ref="G157:BR157" si="191">G$21</f>
        <v>1</v>
      </c>
      <c r="H157" s="113">
        <f t="shared" si="191"/>
        <v>2</v>
      </c>
      <c r="I157" s="113">
        <f t="shared" si="191"/>
        <v>3</v>
      </c>
      <c r="J157" s="113">
        <f t="shared" si="191"/>
        <v>4</v>
      </c>
      <c r="K157" s="113">
        <f t="shared" si="191"/>
        <v>5</v>
      </c>
      <c r="L157" s="113">
        <f t="shared" si="191"/>
        <v>6</v>
      </c>
      <c r="M157" s="113">
        <f t="shared" si="191"/>
        <v>7</v>
      </c>
      <c r="N157" s="113">
        <f t="shared" si="191"/>
        <v>8</v>
      </c>
      <c r="O157" s="113">
        <f t="shared" si="191"/>
        <v>9</v>
      </c>
      <c r="P157" s="113">
        <f t="shared" si="191"/>
        <v>10</v>
      </c>
      <c r="Q157" s="113">
        <f t="shared" si="191"/>
        <v>11</v>
      </c>
      <c r="R157" s="113">
        <f t="shared" si="191"/>
        <v>12</v>
      </c>
      <c r="S157" s="113">
        <f t="shared" si="191"/>
        <v>13</v>
      </c>
      <c r="T157" s="113">
        <f t="shared" si="191"/>
        <v>14</v>
      </c>
      <c r="U157" s="113">
        <f t="shared" si="191"/>
        <v>15</v>
      </c>
      <c r="V157" s="113">
        <f t="shared" si="191"/>
        <v>16</v>
      </c>
      <c r="W157" s="113">
        <f t="shared" si="191"/>
        <v>17</v>
      </c>
      <c r="X157" s="113">
        <f t="shared" si="191"/>
        <v>18</v>
      </c>
      <c r="Y157" s="113">
        <f t="shared" si="191"/>
        <v>19</v>
      </c>
      <c r="Z157" s="113">
        <f t="shared" si="191"/>
        <v>20</v>
      </c>
      <c r="AA157" s="113">
        <f t="shared" si="191"/>
        <v>21</v>
      </c>
      <c r="AB157" s="113">
        <f t="shared" si="191"/>
        <v>22</v>
      </c>
      <c r="AC157" s="113">
        <f t="shared" si="191"/>
        <v>23</v>
      </c>
      <c r="AD157" s="113">
        <f t="shared" si="191"/>
        <v>24</v>
      </c>
      <c r="AE157" s="113">
        <f t="shared" si="191"/>
        <v>25</v>
      </c>
      <c r="AF157" s="113">
        <f t="shared" si="191"/>
        <v>26</v>
      </c>
      <c r="AG157" s="113">
        <f t="shared" si="191"/>
        <v>27</v>
      </c>
      <c r="AH157" s="113">
        <f t="shared" si="191"/>
        <v>28</v>
      </c>
      <c r="AI157" s="113">
        <f t="shared" si="191"/>
        <v>29</v>
      </c>
      <c r="AJ157" s="113">
        <f t="shared" si="191"/>
        <v>30</v>
      </c>
      <c r="AK157" s="113">
        <f t="shared" si="191"/>
        <v>31</v>
      </c>
      <c r="AL157" s="113">
        <f t="shared" si="191"/>
        <v>32</v>
      </c>
      <c r="AM157" s="113">
        <f t="shared" si="191"/>
        <v>33</v>
      </c>
      <c r="AN157" s="113">
        <f t="shared" si="191"/>
        <v>34</v>
      </c>
      <c r="AO157" s="113">
        <f t="shared" si="191"/>
        <v>35</v>
      </c>
      <c r="AP157" s="113">
        <f t="shared" si="191"/>
        <v>36</v>
      </c>
      <c r="AQ157" s="113">
        <f t="shared" si="191"/>
        <v>37</v>
      </c>
      <c r="AR157" s="113">
        <f t="shared" si="191"/>
        <v>38</v>
      </c>
      <c r="AS157" s="113">
        <f t="shared" si="191"/>
        <v>39</v>
      </c>
      <c r="AT157" s="113">
        <f t="shared" si="191"/>
        <v>40</v>
      </c>
      <c r="AU157" s="113">
        <f t="shared" si="191"/>
        <v>41</v>
      </c>
      <c r="AV157" s="113">
        <f t="shared" si="191"/>
        <v>42</v>
      </c>
      <c r="AW157" s="113">
        <f t="shared" si="191"/>
        <v>43</v>
      </c>
      <c r="AX157" s="113">
        <f t="shared" si="191"/>
        <v>44</v>
      </c>
      <c r="AY157" s="113">
        <f t="shared" si="191"/>
        <v>45</v>
      </c>
      <c r="AZ157" s="113">
        <f t="shared" si="191"/>
        <v>46</v>
      </c>
      <c r="BA157" s="113">
        <f t="shared" si="191"/>
        <v>47</v>
      </c>
      <c r="BB157" s="113">
        <f t="shared" si="191"/>
        <v>48</v>
      </c>
      <c r="BC157" s="113">
        <f t="shared" si="191"/>
        <v>49</v>
      </c>
      <c r="BD157" s="113">
        <f t="shared" si="191"/>
        <v>50</v>
      </c>
      <c r="BE157" s="113">
        <f t="shared" si="191"/>
        <v>51</v>
      </c>
      <c r="BF157" s="113">
        <f t="shared" si="191"/>
        <v>52</v>
      </c>
      <c r="BG157" s="113">
        <f t="shared" si="191"/>
        <v>53</v>
      </c>
      <c r="BH157" s="113">
        <f t="shared" si="191"/>
        <v>54</v>
      </c>
      <c r="BI157" s="113">
        <f t="shared" si="191"/>
        <v>55</v>
      </c>
      <c r="BJ157" s="113">
        <f t="shared" si="191"/>
        <v>56</v>
      </c>
      <c r="BK157" s="113">
        <f t="shared" si="191"/>
        <v>57</v>
      </c>
      <c r="BL157" s="113">
        <f t="shared" si="191"/>
        <v>58</v>
      </c>
      <c r="BM157" s="113">
        <f t="shared" si="191"/>
        <v>59</v>
      </c>
      <c r="BN157" s="113">
        <f t="shared" si="191"/>
        <v>60</v>
      </c>
      <c r="BO157" s="113">
        <f t="shared" si="191"/>
        <v>61</v>
      </c>
      <c r="BP157" s="113">
        <f t="shared" si="191"/>
        <v>62</v>
      </c>
      <c r="BQ157" s="113">
        <f t="shared" si="191"/>
        <v>63</v>
      </c>
      <c r="BR157" s="113">
        <f t="shared" si="191"/>
        <v>64</v>
      </c>
      <c r="BS157" s="113">
        <f t="shared" ref="BS157:DV157" si="192">BS$21</f>
        <v>65</v>
      </c>
      <c r="BT157" s="113">
        <f t="shared" si="192"/>
        <v>66</v>
      </c>
      <c r="BU157" s="113">
        <f t="shared" si="192"/>
        <v>67</v>
      </c>
      <c r="BV157" s="113">
        <f t="shared" si="192"/>
        <v>68</v>
      </c>
      <c r="BW157" s="113">
        <f t="shared" si="192"/>
        <v>69</v>
      </c>
      <c r="BX157" s="113">
        <f t="shared" si="192"/>
        <v>70</v>
      </c>
      <c r="BY157" s="113">
        <f t="shared" si="192"/>
        <v>71</v>
      </c>
      <c r="BZ157" s="113">
        <f t="shared" si="192"/>
        <v>72</v>
      </c>
      <c r="CA157" s="113">
        <f t="shared" si="192"/>
        <v>73</v>
      </c>
      <c r="CB157" s="113">
        <f t="shared" si="192"/>
        <v>74</v>
      </c>
      <c r="CC157" s="113">
        <f t="shared" si="192"/>
        <v>75</v>
      </c>
      <c r="CD157" s="113">
        <f t="shared" si="192"/>
        <v>76</v>
      </c>
      <c r="CE157" s="113">
        <f t="shared" si="192"/>
        <v>77</v>
      </c>
      <c r="CF157" s="113">
        <f t="shared" si="192"/>
        <v>78</v>
      </c>
      <c r="CG157" s="113">
        <f t="shared" si="192"/>
        <v>79</v>
      </c>
      <c r="CH157" s="113">
        <f t="shared" si="192"/>
        <v>80</v>
      </c>
      <c r="CI157" s="113">
        <f t="shared" si="192"/>
        <v>81</v>
      </c>
      <c r="CJ157" s="113">
        <f t="shared" si="192"/>
        <v>82</v>
      </c>
      <c r="CK157" s="113">
        <f t="shared" si="192"/>
        <v>83</v>
      </c>
      <c r="CL157" s="113">
        <f t="shared" si="192"/>
        <v>84</v>
      </c>
      <c r="CM157" s="113">
        <f t="shared" si="192"/>
        <v>85</v>
      </c>
      <c r="CN157" s="113">
        <f t="shared" si="192"/>
        <v>86</v>
      </c>
      <c r="CO157" s="113">
        <f t="shared" si="192"/>
        <v>87</v>
      </c>
      <c r="CP157" s="113">
        <f t="shared" si="192"/>
        <v>88</v>
      </c>
      <c r="CQ157" s="113">
        <f t="shared" si="192"/>
        <v>89</v>
      </c>
      <c r="CR157" s="113">
        <f t="shared" si="192"/>
        <v>90</v>
      </c>
      <c r="CS157" s="113">
        <f t="shared" si="192"/>
        <v>91</v>
      </c>
      <c r="CT157" s="113">
        <f t="shared" si="192"/>
        <v>92</v>
      </c>
      <c r="CU157" s="113">
        <f t="shared" si="192"/>
        <v>93</v>
      </c>
      <c r="CV157" s="113">
        <f t="shared" si="192"/>
        <v>94</v>
      </c>
      <c r="CW157" s="113">
        <f t="shared" si="192"/>
        <v>95</v>
      </c>
      <c r="CX157" s="113" t="str">
        <f t="shared" si="192"/>
        <v/>
      </c>
      <c r="CY157" s="113" t="str">
        <f t="shared" si="192"/>
        <v/>
      </c>
      <c r="CZ157" s="113" t="str">
        <f t="shared" si="192"/>
        <v/>
      </c>
      <c r="DA157" s="113" t="str">
        <f t="shared" si="192"/>
        <v/>
      </c>
      <c r="DB157" s="113" t="str">
        <f t="shared" si="192"/>
        <v/>
      </c>
      <c r="DC157" s="113" t="str">
        <f t="shared" si="192"/>
        <v/>
      </c>
      <c r="DD157" s="113" t="str">
        <f t="shared" si="192"/>
        <v/>
      </c>
      <c r="DE157" s="113" t="str">
        <f t="shared" si="192"/>
        <v/>
      </c>
      <c r="DF157" s="113" t="str">
        <f t="shared" si="192"/>
        <v/>
      </c>
      <c r="DG157" s="113" t="str">
        <f t="shared" si="192"/>
        <v/>
      </c>
      <c r="DH157" s="113" t="str">
        <f t="shared" si="192"/>
        <v/>
      </c>
      <c r="DI157" s="113" t="str">
        <f t="shared" si="192"/>
        <v/>
      </c>
      <c r="DJ157" s="113" t="str">
        <f t="shared" si="192"/>
        <v/>
      </c>
      <c r="DK157" s="113" t="str">
        <f t="shared" si="192"/>
        <v/>
      </c>
      <c r="DL157" s="113" t="str">
        <f t="shared" si="192"/>
        <v/>
      </c>
      <c r="DM157" s="113" t="str">
        <f t="shared" si="192"/>
        <v/>
      </c>
      <c r="DN157" s="113" t="str">
        <f t="shared" si="192"/>
        <v/>
      </c>
      <c r="DO157" s="113" t="str">
        <f t="shared" si="192"/>
        <v/>
      </c>
      <c r="DP157" s="113" t="str">
        <f t="shared" si="192"/>
        <v/>
      </c>
      <c r="DQ157" s="113" t="str">
        <f t="shared" si="192"/>
        <v/>
      </c>
      <c r="DR157" s="113" t="str">
        <f t="shared" si="192"/>
        <v/>
      </c>
      <c r="DS157" s="113" t="str">
        <f t="shared" si="192"/>
        <v/>
      </c>
      <c r="DT157" s="113" t="str">
        <f t="shared" si="192"/>
        <v/>
      </c>
      <c r="DU157" s="113" t="str">
        <f t="shared" si="192"/>
        <v/>
      </c>
      <c r="DV157" s="113" t="str">
        <f t="shared" si="192"/>
        <v/>
      </c>
      <c r="DW157" s="114"/>
      <c r="DX157" s="114"/>
      <c r="DY157" s="115"/>
    </row>
    <row r="158" spans="2:129" outlineLevel="1" x14ac:dyDescent="0.2">
      <c r="B158" s="125" t="s">
        <v>78</v>
      </c>
      <c r="C158" s="126">
        <f>C143</f>
        <v>9.99</v>
      </c>
      <c r="D158" s="16"/>
      <c r="E158" s="16"/>
      <c r="F158" s="66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27"/>
      <c r="Z158" s="127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127"/>
      <c r="AO158" s="127"/>
      <c r="AP158" s="127"/>
      <c r="AQ158" s="127"/>
      <c r="AR158" s="127"/>
      <c r="AS158" s="127"/>
      <c r="AT158" s="127"/>
      <c r="AU158" s="127"/>
      <c r="AV158" s="127"/>
      <c r="AW158" s="127"/>
      <c r="AX158" s="127"/>
      <c r="AY158" s="127"/>
      <c r="AZ158" s="127"/>
      <c r="BA158" s="127"/>
      <c r="BB158" s="127"/>
      <c r="BC158" s="127"/>
      <c r="BD158" s="127"/>
      <c r="BE158" s="127"/>
      <c r="BF158" s="127"/>
      <c r="BG158" s="127"/>
      <c r="BH158" s="127"/>
      <c r="BI158" s="127"/>
      <c r="BJ158" s="127"/>
      <c r="BK158" s="127"/>
      <c r="BL158" s="127"/>
      <c r="BM158" s="127"/>
      <c r="BN158" s="127"/>
      <c r="BO158" s="127"/>
      <c r="BP158" s="127"/>
      <c r="BQ158" s="127"/>
      <c r="BR158" s="127"/>
      <c r="BS158" s="127"/>
      <c r="BT158" s="127"/>
      <c r="BU158" s="127"/>
      <c r="BV158" s="127"/>
      <c r="BW158" s="127"/>
      <c r="BX158" s="127"/>
      <c r="BY158" s="127"/>
      <c r="BZ158" s="127"/>
      <c r="CA158" s="127"/>
      <c r="CB158" s="127"/>
      <c r="CC158" s="127"/>
      <c r="CD158" s="127"/>
      <c r="CE158" s="127"/>
      <c r="CF158" s="127"/>
      <c r="CG158" s="127"/>
      <c r="CH158" s="127"/>
      <c r="CI158" s="127"/>
      <c r="CJ158" s="127"/>
      <c r="CK158" s="127"/>
      <c r="CL158" s="127"/>
      <c r="CM158" s="127"/>
      <c r="CN158" s="127"/>
      <c r="CO158" s="127"/>
      <c r="CP158" s="127"/>
      <c r="CQ158" s="127"/>
      <c r="CR158" s="127"/>
      <c r="CS158" s="127"/>
      <c r="CT158" s="127"/>
      <c r="CU158" s="127"/>
      <c r="CV158" s="127"/>
      <c r="CW158" s="127"/>
      <c r="CX158" s="127"/>
      <c r="CY158" s="127"/>
      <c r="CZ158" s="127"/>
      <c r="DA158" s="127"/>
      <c r="DB158" s="127"/>
      <c r="DC158" s="127"/>
      <c r="DD158" s="127"/>
      <c r="DE158" s="127"/>
      <c r="DF158" s="127"/>
      <c r="DG158" s="127"/>
      <c r="DH158" s="127"/>
      <c r="DI158" s="127"/>
      <c r="DJ158" s="127"/>
      <c r="DK158" s="127"/>
      <c r="DL158" s="127"/>
      <c r="DM158" s="127"/>
      <c r="DN158" s="127"/>
      <c r="DO158" s="127"/>
      <c r="DP158" s="127"/>
      <c r="DQ158" s="127"/>
      <c r="DR158" s="127"/>
      <c r="DS158" s="127"/>
      <c r="DT158" s="127"/>
      <c r="DU158" s="127"/>
      <c r="DV158" s="127"/>
      <c r="DW158" s="127"/>
      <c r="DX158" s="127"/>
      <c r="DY158" s="115"/>
    </row>
    <row r="159" spans="2:129" outlineLevel="1" x14ac:dyDescent="0.2">
      <c r="B159" s="16" t="s">
        <v>63</v>
      </c>
      <c r="C159" s="16"/>
      <c r="D159" s="16"/>
      <c r="E159" s="16"/>
      <c r="F159" s="77">
        <f>IF(F157="","",F155*$I$19)</f>
        <v>0</v>
      </c>
      <c r="G159" s="77">
        <f t="shared" ref="G159:BR159" si="193">IF(G157="","",G155*$I$19)</f>
        <v>0</v>
      </c>
      <c r="H159" s="77">
        <f t="shared" si="193"/>
        <v>0</v>
      </c>
      <c r="I159" s="77">
        <f t="shared" si="193"/>
        <v>0</v>
      </c>
      <c r="J159" s="77">
        <f t="shared" si="193"/>
        <v>0</v>
      </c>
      <c r="K159" s="77">
        <f t="shared" si="193"/>
        <v>0</v>
      </c>
      <c r="L159" s="77">
        <f t="shared" si="193"/>
        <v>0</v>
      </c>
      <c r="M159" s="77">
        <f t="shared" si="193"/>
        <v>0</v>
      </c>
      <c r="N159" s="77">
        <f t="shared" si="193"/>
        <v>0</v>
      </c>
      <c r="O159" s="77">
        <f t="shared" si="193"/>
        <v>0</v>
      </c>
      <c r="P159" s="77">
        <f t="shared" si="193"/>
        <v>0</v>
      </c>
      <c r="Q159" s="77">
        <f t="shared" si="193"/>
        <v>0</v>
      </c>
      <c r="R159" s="77">
        <f t="shared" si="193"/>
        <v>0</v>
      </c>
      <c r="S159" s="77">
        <f t="shared" si="193"/>
        <v>0</v>
      </c>
      <c r="T159" s="77">
        <f t="shared" si="193"/>
        <v>0</v>
      </c>
      <c r="U159" s="77">
        <f t="shared" si="193"/>
        <v>0</v>
      </c>
      <c r="V159" s="77">
        <f t="shared" si="193"/>
        <v>0</v>
      </c>
      <c r="W159" s="77">
        <f t="shared" si="193"/>
        <v>0</v>
      </c>
      <c r="X159" s="77">
        <f t="shared" si="193"/>
        <v>0</v>
      </c>
      <c r="Y159" s="77">
        <f t="shared" si="193"/>
        <v>0</v>
      </c>
      <c r="Z159" s="77">
        <f t="shared" si="193"/>
        <v>0</v>
      </c>
      <c r="AA159" s="77">
        <f t="shared" si="193"/>
        <v>0</v>
      </c>
      <c r="AB159" s="77">
        <f t="shared" si="193"/>
        <v>0</v>
      </c>
      <c r="AC159" s="77">
        <f t="shared" si="193"/>
        <v>0</v>
      </c>
      <c r="AD159" s="77">
        <f t="shared" si="193"/>
        <v>0</v>
      </c>
      <c r="AE159" s="77">
        <f t="shared" si="193"/>
        <v>0</v>
      </c>
      <c r="AF159" s="77">
        <f t="shared" si="193"/>
        <v>0</v>
      </c>
      <c r="AG159" s="77">
        <f t="shared" si="193"/>
        <v>0</v>
      </c>
      <c r="AH159" s="77">
        <f t="shared" si="193"/>
        <v>0</v>
      </c>
      <c r="AI159" s="77">
        <f t="shared" si="193"/>
        <v>0</v>
      </c>
      <c r="AJ159" s="77">
        <f t="shared" si="193"/>
        <v>0</v>
      </c>
      <c r="AK159" s="77">
        <f t="shared" si="193"/>
        <v>0</v>
      </c>
      <c r="AL159" s="77">
        <f t="shared" si="193"/>
        <v>0</v>
      </c>
      <c r="AM159" s="77">
        <f t="shared" si="193"/>
        <v>0</v>
      </c>
      <c r="AN159" s="77">
        <f t="shared" si="193"/>
        <v>0</v>
      </c>
      <c r="AO159" s="77">
        <f t="shared" si="193"/>
        <v>0</v>
      </c>
      <c r="AP159" s="77">
        <f t="shared" si="193"/>
        <v>0</v>
      </c>
      <c r="AQ159" s="77">
        <f t="shared" si="193"/>
        <v>0</v>
      </c>
      <c r="AR159" s="77">
        <f t="shared" si="193"/>
        <v>0</v>
      </c>
      <c r="AS159" s="77">
        <f t="shared" si="193"/>
        <v>0</v>
      </c>
      <c r="AT159" s="77">
        <f t="shared" si="193"/>
        <v>0</v>
      </c>
      <c r="AU159" s="77">
        <f t="shared" si="193"/>
        <v>0</v>
      </c>
      <c r="AV159" s="77">
        <f t="shared" si="193"/>
        <v>0</v>
      </c>
      <c r="AW159" s="77">
        <f t="shared" si="193"/>
        <v>0</v>
      </c>
      <c r="AX159" s="77">
        <f t="shared" si="193"/>
        <v>0</v>
      </c>
      <c r="AY159" s="77">
        <f t="shared" si="193"/>
        <v>0</v>
      </c>
      <c r="AZ159" s="77">
        <f t="shared" si="193"/>
        <v>0</v>
      </c>
      <c r="BA159" s="77">
        <f t="shared" si="193"/>
        <v>0</v>
      </c>
      <c r="BB159" s="77">
        <f t="shared" si="193"/>
        <v>0</v>
      </c>
      <c r="BC159" s="77">
        <f t="shared" si="193"/>
        <v>0</v>
      </c>
      <c r="BD159" s="77">
        <f t="shared" si="193"/>
        <v>0</v>
      </c>
      <c r="BE159" s="77">
        <f t="shared" si="193"/>
        <v>0</v>
      </c>
      <c r="BF159" s="77">
        <f t="shared" si="193"/>
        <v>0</v>
      </c>
      <c r="BG159" s="77">
        <f t="shared" si="193"/>
        <v>0</v>
      </c>
      <c r="BH159" s="77">
        <f t="shared" si="193"/>
        <v>0</v>
      </c>
      <c r="BI159" s="77">
        <f t="shared" si="193"/>
        <v>0</v>
      </c>
      <c r="BJ159" s="77">
        <f t="shared" si="193"/>
        <v>0</v>
      </c>
      <c r="BK159" s="77">
        <f t="shared" si="193"/>
        <v>0</v>
      </c>
      <c r="BL159" s="77">
        <f t="shared" si="193"/>
        <v>0</v>
      </c>
      <c r="BM159" s="77">
        <f t="shared" si="193"/>
        <v>0</v>
      </c>
      <c r="BN159" s="77">
        <f t="shared" si="193"/>
        <v>0</v>
      </c>
      <c r="BO159" s="77">
        <f t="shared" si="193"/>
        <v>0</v>
      </c>
      <c r="BP159" s="77">
        <f t="shared" si="193"/>
        <v>0</v>
      </c>
      <c r="BQ159" s="77">
        <f t="shared" si="193"/>
        <v>0</v>
      </c>
      <c r="BR159" s="77">
        <f t="shared" si="193"/>
        <v>0</v>
      </c>
      <c r="BS159" s="77">
        <f t="shared" ref="BS159:DV159" si="194">IF(BS157="","",BS155*$I$19)</f>
        <v>0</v>
      </c>
      <c r="BT159" s="77">
        <f t="shared" si="194"/>
        <v>0</v>
      </c>
      <c r="BU159" s="77">
        <f t="shared" si="194"/>
        <v>0</v>
      </c>
      <c r="BV159" s="77">
        <f t="shared" si="194"/>
        <v>0</v>
      </c>
      <c r="BW159" s="77">
        <f t="shared" si="194"/>
        <v>0</v>
      </c>
      <c r="BX159" s="77">
        <f t="shared" si="194"/>
        <v>0</v>
      </c>
      <c r="BY159" s="77">
        <f t="shared" si="194"/>
        <v>0</v>
      </c>
      <c r="BZ159" s="77">
        <f t="shared" si="194"/>
        <v>0</v>
      </c>
      <c r="CA159" s="77">
        <f t="shared" si="194"/>
        <v>0</v>
      </c>
      <c r="CB159" s="77">
        <f t="shared" si="194"/>
        <v>0</v>
      </c>
      <c r="CC159" s="77">
        <f t="shared" si="194"/>
        <v>0</v>
      </c>
      <c r="CD159" s="77">
        <f t="shared" si="194"/>
        <v>0</v>
      </c>
      <c r="CE159" s="77">
        <f t="shared" si="194"/>
        <v>0</v>
      </c>
      <c r="CF159" s="77">
        <f t="shared" si="194"/>
        <v>0</v>
      </c>
      <c r="CG159" s="77">
        <f t="shared" si="194"/>
        <v>0</v>
      </c>
      <c r="CH159" s="77">
        <f t="shared" si="194"/>
        <v>0</v>
      </c>
      <c r="CI159" s="77">
        <f t="shared" si="194"/>
        <v>0</v>
      </c>
      <c r="CJ159" s="77">
        <f t="shared" si="194"/>
        <v>0</v>
      </c>
      <c r="CK159" s="77">
        <f t="shared" si="194"/>
        <v>0</v>
      </c>
      <c r="CL159" s="77">
        <f t="shared" si="194"/>
        <v>0</v>
      </c>
      <c r="CM159" s="77">
        <f t="shared" si="194"/>
        <v>0</v>
      </c>
      <c r="CN159" s="77">
        <f t="shared" si="194"/>
        <v>0</v>
      </c>
      <c r="CO159" s="77">
        <f t="shared" si="194"/>
        <v>0</v>
      </c>
      <c r="CP159" s="77">
        <f t="shared" si="194"/>
        <v>0</v>
      </c>
      <c r="CQ159" s="77">
        <f t="shared" si="194"/>
        <v>0</v>
      </c>
      <c r="CR159" s="77">
        <f t="shared" si="194"/>
        <v>0</v>
      </c>
      <c r="CS159" s="77">
        <f t="shared" si="194"/>
        <v>0</v>
      </c>
      <c r="CT159" s="77">
        <f t="shared" si="194"/>
        <v>0</v>
      </c>
      <c r="CU159" s="77">
        <f t="shared" si="194"/>
        <v>0</v>
      </c>
      <c r="CV159" s="77">
        <f t="shared" si="194"/>
        <v>0</v>
      </c>
      <c r="CW159" s="77">
        <f t="shared" si="194"/>
        <v>0</v>
      </c>
      <c r="CX159" s="77" t="str">
        <f t="shared" si="194"/>
        <v/>
      </c>
      <c r="CY159" s="77" t="str">
        <f t="shared" si="194"/>
        <v/>
      </c>
      <c r="CZ159" s="77" t="str">
        <f t="shared" si="194"/>
        <v/>
      </c>
      <c r="DA159" s="77" t="str">
        <f t="shared" si="194"/>
        <v/>
      </c>
      <c r="DB159" s="77" t="str">
        <f t="shared" si="194"/>
        <v/>
      </c>
      <c r="DC159" s="77" t="str">
        <f t="shared" si="194"/>
        <v/>
      </c>
      <c r="DD159" s="77" t="str">
        <f t="shared" si="194"/>
        <v/>
      </c>
      <c r="DE159" s="77" t="str">
        <f t="shared" si="194"/>
        <v/>
      </c>
      <c r="DF159" s="77" t="str">
        <f t="shared" si="194"/>
        <v/>
      </c>
      <c r="DG159" s="77" t="str">
        <f t="shared" si="194"/>
        <v/>
      </c>
      <c r="DH159" s="77" t="str">
        <f t="shared" si="194"/>
        <v/>
      </c>
      <c r="DI159" s="77" t="str">
        <f t="shared" si="194"/>
        <v/>
      </c>
      <c r="DJ159" s="77" t="str">
        <f t="shared" si="194"/>
        <v/>
      </c>
      <c r="DK159" s="77" t="str">
        <f t="shared" si="194"/>
        <v/>
      </c>
      <c r="DL159" s="77" t="str">
        <f t="shared" si="194"/>
        <v/>
      </c>
      <c r="DM159" s="77" t="str">
        <f t="shared" si="194"/>
        <v/>
      </c>
      <c r="DN159" s="77" t="str">
        <f t="shared" si="194"/>
        <v/>
      </c>
      <c r="DO159" s="77" t="str">
        <f t="shared" si="194"/>
        <v/>
      </c>
      <c r="DP159" s="77" t="str">
        <f t="shared" si="194"/>
        <v/>
      </c>
      <c r="DQ159" s="77" t="str">
        <f t="shared" si="194"/>
        <v/>
      </c>
      <c r="DR159" s="77" t="str">
        <f t="shared" si="194"/>
        <v/>
      </c>
      <c r="DS159" s="77" t="str">
        <f t="shared" si="194"/>
        <v/>
      </c>
      <c r="DT159" s="77" t="str">
        <f t="shared" si="194"/>
        <v/>
      </c>
      <c r="DU159" s="77" t="str">
        <f t="shared" si="194"/>
        <v/>
      </c>
      <c r="DV159" s="77" t="str">
        <f t="shared" si="194"/>
        <v/>
      </c>
      <c r="DW159" s="77"/>
      <c r="DX159" s="77"/>
      <c r="DY159" s="78"/>
    </row>
    <row r="160" spans="2:129" outlineLevel="1" x14ac:dyDescent="0.2">
      <c r="B160" s="16" t="s">
        <v>67</v>
      </c>
      <c r="C160" s="16"/>
      <c r="D160" s="16"/>
      <c r="E160" s="16"/>
      <c r="F160" s="77">
        <f>IF(F157="","",F155-F159)</f>
        <v>0</v>
      </c>
      <c r="G160" s="77">
        <f t="shared" ref="G160:BR160" si="195">IF(G157="","",G155-G159)</f>
        <v>0</v>
      </c>
      <c r="H160" s="77">
        <f t="shared" si="195"/>
        <v>0</v>
      </c>
      <c r="I160" s="77">
        <f t="shared" si="195"/>
        <v>0</v>
      </c>
      <c r="J160" s="77">
        <f t="shared" si="195"/>
        <v>0</v>
      </c>
      <c r="K160" s="77">
        <f t="shared" si="195"/>
        <v>0</v>
      </c>
      <c r="L160" s="77">
        <f t="shared" si="195"/>
        <v>0</v>
      </c>
      <c r="M160" s="77">
        <f t="shared" si="195"/>
        <v>0</v>
      </c>
      <c r="N160" s="77">
        <f t="shared" si="195"/>
        <v>0</v>
      </c>
      <c r="O160" s="77">
        <f t="shared" si="195"/>
        <v>0</v>
      </c>
      <c r="P160" s="77">
        <f t="shared" si="195"/>
        <v>0</v>
      </c>
      <c r="Q160" s="77">
        <f t="shared" si="195"/>
        <v>0</v>
      </c>
      <c r="R160" s="77">
        <f t="shared" si="195"/>
        <v>0</v>
      </c>
      <c r="S160" s="77">
        <f t="shared" si="195"/>
        <v>0</v>
      </c>
      <c r="T160" s="77">
        <f t="shared" si="195"/>
        <v>0</v>
      </c>
      <c r="U160" s="77">
        <f t="shared" si="195"/>
        <v>0</v>
      </c>
      <c r="V160" s="77">
        <f t="shared" si="195"/>
        <v>0</v>
      </c>
      <c r="W160" s="77">
        <f t="shared" si="195"/>
        <v>0</v>
      </c>
      <c r="X160" s="77">
        <f t="shared" si="195"/>
        <v>0</v>
      </c>
      <c r="Y160" s="77">
        <f t="shared" si="195"/>
        <v>0</v>
      </c>
      <c r="Z160" s="77">
        <f t="shared" si="195"/>
        <v>0</v>
      </c>
      <c r="AA160" s="77">
        <f t="shared" si="195"/>
        <v>0</v>
      </c>
      <c r="AB160" s="77">
        <f t="shared" si="195"/>
        <v>0</v>
      </c>
      <c r="AC160" s="77">
        <f t="shared" si="195"/>
        <v>0</v>
      </c>
      <c r="AD160" s="77">
        <f t="shared" si="195"/>
        <v>0</v>
      </c>
      <c r="AE160" s="77">
        <f t="shared" si="195"/>
        <v>0</v>
      </c>
      <c r="AF160" s="77">
        <f t="shared" si="195"/>
        <v>0</v>
      </c>
      <c r="AG160" s="77">
        <f t="shared" si="195"/>
        <v>0</v>
      </c>
      <c r="AH160" s="77">
        <f t="shared" si="195"/>
        <v>0</v>
      </c>
      <c r="AI160" s="77">
        <f t="shared" si="195"/>
        <v>0</v>
      </c>
      <c r="AJ160" s="77">
        <f t="shared" si="195"/>
        <v>0</v>
      </c>
      <c r="AK160" s="77">
        <f t="shared" si="195"/>
        <v>0</v>
      </c>
      <c r="AL160" s="77">
        <f t="shared" si="195"/>
        <v>0</v>
      </c>
      <c r="AM160" s="77">
        <f t="shared" si="195"/>
        <v>0</v>
      </c>
      <c r="AN160" s="77">
        <f t="shared" si="195"/>
        <v>0</v>
      </c>
      <c r="AO160" s="77">
        <f t="shared" si="195"/>
        <v>0</v>
      </c>
      <c r="AP160" s="77">
        <f t="shared" si="195"/>
        <v>0</v>
      </c>
      <c r="AQ160" s="77">
        <f t="shared" si="195"/>
        <v>0</v>
      </c>
      <c r="AR160" s="77">
        <f t="shared" si="195"/>
        <v>0</v>
      </c>
      <c r="AS160" s="77">
        <f t="shared" si="195"/>
        <v>0</v>
      </c>
      <c r="AT160" s="77">
        <f t="shared" si="195"/>
        <v>0</v>
      </c>
      <c r="AU160" s="77">
        <f t="shared" si="195"/>
        <v>0</v>
      </c>
      <c r="AV160" s="77">
        <f t="shared" si="195"/>
        <v>0</v>
      </c>
      <c r="AW160" s="77">
        <f t="shared" si="195"/>
        <v>0</v>
      </c>
      <c r="AX160" s="77">
        <f t="shared" si="195"/>
        <v>0</v>
      </c>
      <c r="AY160" s="77">
        <f t="shared" si="195"/>
        <v>0</v>
      </c>
      <c r="AZ160" s="77">
        <f t="shared" si="195"/>
        <v>0</v>
      </c>
      <c r="BA160" s="77">
        <f t="shared" si="195"/>
        <v>0</v>
      </c>
      <c r="BB160" s="77">
        <f t="shared" si="195"/>
        <v>0</v>
      </c>
      <c r="BC160" s="77">
        <f t="shared" si="195"/>
        <v>0</v>
      </c>
      <c r="BD160" s="77">
        <f t="shared" si="195"/>
        <v>0</v>
      </c>
      <c r="BE160" s="77">
        <f t="shared" si="195"/>
        <v>0</v>
      </c>
      <c r="BF160" s="77">
        <f t="shared" si="195"/>
        <v>0</v>
      </c>
      <c r="BG160" s="77">
        <f t="shared" si="195"/>
        <v>0</v>
      </c>
      <c r="BH160" s="77">
        <f t="shared" si="195"/>
        <v>0</v>
      </c>
      <c r="BI160" s="77">
        <f t="shared" si="195"/>
        <v>0</v>
      </c>
      <c r="BJ160" s="77">
        <f t="shared" si="195"/>
        <v>0</v>
      </c>
      <c r="BK160" s="77">
        <f t="shared" si="195"/>
        <v>0</v>
      </c>
      <c r="BL160" s="77">
        <f t="shared" si="195"/>
        <v>0</v>
      </c>
      <c r="BM160" s="77">
        <f t="shared" si="195"/>
        <v>0</v>
      </c>
      <c r="BN160" s="77">
        <f t="shared" si="195"/>
        <v>0</v>
      </c>
      <c r="BO160" s="77">
        <f t="shared" si="195"/>
        <v>0</v>
      </c>
      <c r="BP160" s="77">
        <f t="shared" si="195"/>
        <v>0</v>
      </c>
      <c r="BQ160" s="77">
        <f t="shared" si="195"/>
        <v>0</v>
      </c>
      <c r="BR160" s="77">
        <f t="shared" si="195"/>
        <v>0</v>
      </c>
      <c r="BS160" s="77">
        <f t="shared" ref="BS160:DV160" si="196">IF(BS157="","",BS155-BS159)</f>
        <v>0</v>
      </c>
      <c r="BT160" s="77">
        <f t="shared" si="196"/>
        <v>0</v>
      </c>
      <c r="BU160" s="77">
        <f t="shared" si="196"/>
        <v>0</v>
      </c>
      <c r="BV160" s="77">
        <f t="shared" si="196"/>
        <v>0</v>
      </c>
      <c r="BW160" s="77">
        <f t="shared" si="196"/>
        <v>0</v>
      </c>
      <c r="BX160" s="77">
        <f t="shared" si="196"/>
        <v>0</v>
      </c>
      <c r="BY160" s="77">
        <f t="shared" si="196"/>
        <v>0</v>
      </c>
      <c r="BZ160" s="77">
        <f t="shared" si="196"/>
        <v>0</v>
      </c>
      <c r="CA160" s="77">
        <f t="shared" si="196"/>
        <v>0</v>
      </c>
      <c r="CB160" s="77">
        <f t="shared" si="196"/>
        <v>0</v>
      </c>
      <c r="CC160" s="77">
        <f t="shared" si="196"/>
        <v>0</v>
      </c>
      <c r="CD160" s="77">
        <f t="shared" si="196"/>
        <v>0</v>
      </c>
      <c r="CE160" s="77">
        <f t="shared" si="196"/>
        <v>0</v>
      </c>
      <c r="CF160" s="77">
        <f t="shared" si="196"/>
        <v>0</v>
      </c>
      <c r="CG160" s="77">
        <f t="shared" si="196"/>
        <v>0</v>
      </c>
      <c r="CH160" s="77">
        <f t="shared" si="196"/>
        <v>0</v>
      </c>
      <c r="CI160" s="77">
        <f t="shared" si="196"/>
        <v>0</v>
      </c>
      <c r="CJ160" s="77">
        <f t="shared" si="196"/>
        <v>0</v>
      </c>
      <c r="CK160" s="77">
        <f t="shared" si="196"/>
        <v>0</v>
      </c>
      <c r="CL160" s="77">
        <f t="shared" si="196"/>
        <v>0</v>
      </c>
      <c r="CM160" s="77">
        <f t="shared" si="196"/>
        <v>0</v>
      </c>
      <c r="CN160" s="77">
        <f t="shared" si="196"/>
        <v>0</v>
      </c>
      <c r="CO160" s="77">
        <f t="shared" si="196"/>
        <v>0</v>
      </c>
      <c r="CP160" s="77">
        <f t="shared" si="196"/>
        <v>0</v>
      </c>
      <c r="CQ160" s="77">
        <f t="shared" si="196"/>
        <v>0</v>
      </c>
      <c r="CR160" s="77">
        <f t="shared" si="196"/>
        <v>0</v>
      </c>
      <c r="CS160" s="77">
        <f t="shared" si="196"/>
        <v>0</v>
      </c>
      <c r="CT160" s="77">
        <f t="shared" si="196"/>
        <v>0</v>
      </c>
      <c r="CU160" s="77">
        <f t="shared" si="196"/>
        <v>0</v>
      </c>
      <c r="CV160" s="77">
        <f t="shared" si="196"/>
        <v>0</v>
      </c>
      <c r="CW160" s="77">
        <f t="shared" si="196"/>
        <v>0</v>
      </c>
      <c r="CX160" s="77" t="str">
        <f t="shared" si="196"/>
        <v/>
      </c>
      <c r="CY160" s="77" t="str">
        <f t="shared" si="196"/>
        <v/>
      </c>
      <c r="CZ160" s="77" t="str">
        <f t="shared" si="196"/>
        <v/>
      </c>
      <c r="DA160" s="77" t="str">
        <f t="shared" si="196"/>
        <v/>
      </c>
      <c r="DB160" s="77" t="str">
        <f t="shared" si="196"/>
        <v/>
      </c>
      <c r="DC160" s="77" t="str">
        <f t="shared" si="196"/>
        <v/>
      </c>
      <c r="DD160" s="77" t="str">
        <f t="shared" si="196"/>
        <v/>
      </c>
      <c r="DE160" s="77" t="str">
        <f t="shared" si="196"/>
        <v/>
      </c>
      <c r="DF160" s="77" t="str">
        <f t="shared" si="196"/>
        <v/>
      </c>
      <c r="DG160" s="77" t="str">
        <f t="shared" si="196"/>
        <v/>
      </c>
      <c r="DH160" s="77" t="str">
        <f t="shared" si="196"/>
        <v/>
      </c>
      <c r="DI160" s="77" t="str">
        <f t="shared" si="196"/>
        <v/>
      </c>
      <c r="DJ160" s="77" t="str">
        <f t="shared" si="196"/>
        <v/>
      </c>
      <c r="DK160" s="77" t="str">
        <f t="shared" si="196"/>
        <v/>
      </c>
      <c r="DL160" s="77" t="str">
        <f t="shared" si="196"/>
        <v/>
      </c>
      <c r="DM160" s="77" t="str">
        <f t="shared" si="196"/>
        <v/>
      </c>
      <c r="DN160" s="77" t="str">
        <f t="shared" si="196"/>
        <v/>
      </c>
      <c r="DO160" s="77" t="str">
        <f t="shared" si="196"/>
        <v/>
      </c>
      <c r="DP160" s="77" t="str">
        <f t="shared" si="196"/>
        <v/>
      </c>
      <c r="DQ160" s="77" t="str">
        <f t="shared" si="196"/>
        <v/>
      </c>
      <c r="DR160" s="77" t="str">
        <f t="shared" si="196"/>
        <v/>
      </c>
      <c r="DS160" s="77" t="str">
        <f t="shared" si="196"/>
        <v/>
      </c>
      <c r="DT160" s="77" t="str">
        <f t="shared" si="196"/>
        <v/>
      </c>
      <c r="DU160" s="77" t="str">
        <f t="shared" si="196"/>
        <v/>
      </c>
      <c r="DV160" s="77" t="str">
        <f t="shared" si="196"/>
        <v/>
      </c>
      <c r="DW160" s="77"/>
      <c r="DX160" s="77"/>
      <c r="DY160" s="78"/>
    </row>
    <row r="161" spans="2:129" outlineLevel="1" x14ac:dyDescent="0.2">
      <c r="B161" s="16" t="str">
        <f>"Total Distributions ("&amp;B157&amp;")"</f>
        <v>Total Distributions (Tier 5)</v>
      </c>
      <c r="C161" s="16"/>
      <c r="D161" s="16"/>
      <c r="E161" s="16"/>
      <c r="F161" s="77">
        <f>IF(F157="","",F159+F160)</f>
        <v>0</v>
      </c>
      <c r="G161" s="77">
        <f t="shared" ref="G161:BR161" si="197">IF(G157="","",G159+G160)</f>
        <v>0</v>
      </c>
      <c r="H161" s="77">
        <f t="shared" si="197"/>
        <v>0</v>
      </c>
      <c r="I161" s="77">
        <f t="shared" si="197"/>
        <v>0</v>
      </c>
      <c r="J161" s="77">
        <f t="shared" si="197"/>
        <v>0</v>
      </c>
      <c r="K161" s="77">
        <f t="shared" si="197"/>
        <v>0</v>
      </c>
      <c r="L161" s="77">
        <f t="shared" si="197"/>
        <v>0</v>
      </c>
      <c r="M161" s="77">
        <f t="shared" si="197"/>
        <v>0</v>
      </c>
      <c r="N161" s="77">
        <f t="shared" si="197"/>
        <v>0</v>
      </c>
      <c r="O161" s="77">
        <f t="shared" si="197"/>
        <v>0</v>
      </c>
      <c r="P161" s="77">
        <f t="shared" si="197"/>
        <v>0</v>
      </c>
      <c r="Q161" s="77">
        <f t="shared" si="197"/>
        <v>0</v>
      </c>
      <c r="R161" s="77">
        <f t="shared" si="197"/>
        <v>0</v>
      </c>
      <c r="S161" s="77">
        <f t="shared" si="197"/>
        <v>0</v>
      </c>
      <c r="T161" s="77">
        <f t="shared" si="197"/>
        <v>0</v>
      </c>
      <c r="U161" s="77">
        <f t="shared" si="197"/>
        <v>0</v>
      </c>
      <c r="V161" s="77">
        <f t="shared" si="197"/>
        <v>0</v>
      </c>
      <c r="W161" s="77">
        <f t="shared" si="197"/>
        <v>0</v>
      </c>
      <c r="X161" s="77">
        <f t="shared" si="197"/>
        <v>0</v>
      </c>
      <c r="Y161" s="77">
        <f t="shared" si="197"/>
        <v>0</v>
      </c>
      <c r="Z161" s="77">
        <f t="shared" si="197"/>
        <v>0</v>
      </c>
      <c r="AA161" s="77">
        <f t="shared" si="197"/>
        <v>0</v>
      </c>
      <c r="AB161" s="77">
        <f t="shared" si="197"/>
        <v>0</v>
      </c>
      <c r="AC161" s="77">
        <f t="shared" si="197"/>
        <v>0</v>
      </c>
      <c r="AD161" s="77">
        <f t="shared" si="197"/>
        <v>0</v>
      </c>
      <c r="AE161" s="77">
        <f t="shared" si="197"/>
        <v>0</v>
      </c>
      <c r="AF161" s="77">
        <f t="shared" si="197"/>
        <v>0</v>
      </c>
      <c r="AG161" s="77">
        <f t="shared" si="197"/>
        <v>0</v>
      </c>
      <c r="AH161" s="77">
        <f t="shared" si="197"/>
        <v>0</v>
      </c>
      <c r="AI161" s="77">
        <f t="shared" si="197"/>
        <v>0</v>
      </c>
      <c r="AJ161" s="77">
        <f t="shared" si="197"/>
        <v>0</v>
      </c>
      <c r="AK161" s="77">
        <f t="shared" si="197"/>
        <v>0</v>
      </c>
      <c r="AL161" s="77">
        <f t="shared" si="197"/>
        <v>0</v>
      </c>
      <c r="AM161" s="77">
        <f t="shared" si="197"/>
        <v>0</v>
      </c>
      <c r="AN161" s="77">
        <f t="shared" si="197"/>
        <v>0</v>
      </c>
      <c r="AO161" s="77">
        <f t="shared" si="197"/>
        <v>0</v>
      </c>
      <c r="AP161" s="77">
        <f t="shared" si="197"/>
        <v>0</v>
      </c>
      <c r="AQ161" s="77">
        <f t="shared" si="197"/>
        <v>0</v>
      </c>
      <c r="AR161" s="77">
        <f t="shared" si="197"/>
        <v>0</v>
      </c>
      <c r="AS161" s="77">
        <f t="shared" si="197"/>
        <v>0</v>
      </c>
      <c r="AT161" s="77">
        <f t="shared" si="197"/>
        <v>0</v>
      </c>
      <c r="AU161" s="77">
        <f t="shared" si="197"/>
        <v>0</v>
      </c>
      <c r="AV161" s="77">
        <f t="shared" si="197"/>
        <v>0</v>
      </c>
      <c r="AW161" s="77">
        <f t="shared" si="197"/>
        <v>0</v>
      </c>
      <c r="AX161" s="77">
        <f t="shared" si="197"/>
        <v>0</v>
      </c>
      <c r="AY161" s="77">
        <f t="shared" si="197"/>
        <v>0</v>
      </c>
      <c r="AZ161" s="77">
        <f t="shared" si="197"/>
        <v>0</v>
      </c>
      <c r="BA161" s="77">
        <f t="shared" si="197"/>
        <v>0</v>
      </c>
      <c r="BB161" s="77">
        <f t="shared" si="197"/>
        <v>0</v>
      </c>
      <c r="BC161" s="77">
        <f t="shared" si="197"/>
        <v>0</v>
      </c>
      <c r="BD161" s="77">
        <f t="shared" si="197"/>
        <v>0</v>
      </c>
      <c r="BE161" s="77">
        <f t="shared" si="197"/>
        <v>0</v>
      </c>
      <c r="BF161" s="77">
        <f t="shared" si="197"/>
        <v>0</v>
      </c>
      <c r="BG161" s="77">
        <f t="shared" si="197"/>
        <v>0</v>
      </c>
      <c r="BH161" s="77">
        <f t="shared" si="197"/>
        <v>0</v>
      </c>
      <c r="BI161" s="77">
        <f t="shared" si="197"/>
        <v>0</v>
      </c>
      <c r="BJ161" s="77">
        <f t="shared" si="197"/>
        <v>0</v>
      </c>
      <c r="BK161" s="77">
        <f t="shared" si="197"/>
        <v>0</v>
      </c>
      <c r="BL161" s="77">
        <f t="shared" si="197"/>
        <v>0</v>
      </c>
      <c r="BM161" s="77">
        <f t="shared" si="197"/>
        <v>0</v>
      </c>
      <c r="BN161" s="77">
        <f t="shared" si="197"/>
        <v>0</v>
      </c>
      <c r="BO161" s="77">
        <f t="shared" si="197"/>
        <v>0</v>
      </c>
      <c r="BP161" s="77">
        <f t="shared" si="197"/>
        <v>0</v>
      </c>
      <c r="BQ161" s="77">
        <f t="shared" si="197"/>
        <v>0</v>
      </c>
      <c r="BR161" s="77">
        <f t="shared" si="197"/>
        <v>0</v>
      </c>
      <c r="BS161" s="77">
        <f t="shared" ref="BS161:DV161" si="198">IF(BS157="","",BS159+BS160)</f>
        <v>0</v>
      </c>
      <c r="BT161" s="77">
        <f t="shared" si="198"/>
        <v>0</v>
      </c>
      <c r="BU161" s="77">
        <f t="shared" si="198"/>
        <v>0</v>
      </c>
      <c r="BV161" s="77">
        <f t="shared" si="198"/>
        <v>0</v>
      </c>
      <c r="BW161" s="77">
        <f t="shared" si="198"/>
        <v>0</v>
      </c>
      <c r="BX161" s="77">
        <f t="shared" si="198"/>
        <v>0</v>
      </c>
      <c r="BY161" s="77">
        <f t="shared" si="198"/>
        <v>0</v>
      </c>
      <c r="BZ161" s="77">
        <f t="shared" si="198"/>
        <v>0</v>
      </c>
      <c r="CA161" s="77">
        <f t="shared" si="198"/>
        <v>0</v>
      </c>
      <c r="CB161" s="77">
        <f t="shared" si="198"/>
        <v>0</v>
      </c>
      <c r="CC161" s="77">
        <f t="shared" si="198"/>
        <v>0</v>
      </c>
      <c r="CD161" s="77">
        <f t="shared" si="198"/>
        <v>0</v>
      </c>
      <c r="CE161" s="77">
        <f t="shared" si="198"/>
        <v>0</v>
      </c>
      <c r="CF161" s="77">
        <f t="shared" si="198"/>
        <v>0</v>
      </c>
      <c r="CG161" s="77">
        <f t="shared" si="198"/>
        <v>0</v>
      </c>
      <c r="CH161" s="77">
        <f t="shared" si="198"/>
        <v>0</v>
      </c>
      <c r="CI161" s="77">
        <f t="shared" si="198"/>
        <v>0</v>
      </c>
      <c r="CJ161" s="77">
        <f t="shared" si="198"/>
        <v>0</v>
      </c>
      <c r="CK161" s="77">
        <f t="shared" si="198"/>
        <v>0</v>
      </c>
      <c r="CL161" s="77">
        <f t="shared" si="198"/>
        <v>0</v>
      </c>
      <c r="CM161" s="77">
        <f t="shared" si="198"/>
        <v>0</v>
      </c>
      <c r="CN161" s="77">
        <f t="shared" si="198"/>
        <v>0</v>
      </c>
      <c r="CO161" s="77">
        <f t="shared" si="198"/>
        <v>0</v>
      </c>
      <c r="CP161" s="77">
        <f t="shared" si="198"/>
        <v>0</v>
      </c>
      <c r="CQ161" s="77">
        <f t="shared" si="198"/>
        <v>0</v>
      </c>
      <c r="CR161" s="77">
        <f t="shared" si="198"/>
        <v>0</v>
      </c>
      <c r="CS161" s="77">
        <f t="shared" si="198"/>
        <v>0</v>
      </c>
      <c r="CT161" s="77">
        <f t="shared" si="198"/>
        <v>0</v>
      </c>
      <c r="CU161" s="77">
        <f t="shared" si="198"/>
        <v>0</v>
      </c>
      <c r="CV161" s="77">
        <f t="shared" si="198"/>
        <v>0</v>
      </c>
      <c r="CW161" s="77">
        <f t="shared" si="198"/>
        <v>0</v>
      </c>
      <c r="CX161" s="77" t="str">
        <f t="shared" si="198"/>
        <v/>
      </c>
      <c r="CY161" s="77" t="str">
        <f t="shared" si="198"/>
        <v/>
      </c>
      <c r="CZ161" s="77" t="str">
        <f t="shared" si="198"/>
        <v/>
      </c>
      <c r="DA161" s="77" t="str">
        <f t="shared" si="198"/>
        <v/>
      </c>
      <c r="DB161" s="77" t="str">
        <f t="shared" si="198"/>
        <v/>
      </c>
      <c r="DC161" s="77" t="str">
        <f t="shared" si="198"/>
        <v/>
      </c>
      <c r="DD161" s="77" t="str">
        <f t="shared" si="198"/>
        <v/>
      </c>
      <c r="DE161" s="77" t="str">
        <f t="shared" si="198"/>
        <v/>
      </c>
      <c r="DF161" s="77" t="str">
        <f t="shared" si="198"/>
        <v/>
      </c>
      <c r="DG161" s="77" t="str">
        <f t="shared" si="198"/>
        <v/>
      </c>
      <c r="DH161" s="77" t="str">
        <f t="shared" si="198"/>
        <v/>
      </c>
      <c r="DI161" s="77" t="str">
        <f t="shared" si="198"/>
        <v/>
      </c>
      <c r="DJ161" s="77" t="str">
        <f t="shared" si="198"/>
        <v/>
      </c>
      <c r="DK161" s="77" t="str">
        <f t="shared" si="198"/>
        <v/>
      </c>
      <c r="DL161" s="77" t="str">
        <f t="shared" si="198"/>
        <v/>
      </c>
      <c r="DM161" s="77" t="str">
        <f t="shared" si="198"/>
        <v/>
      </c>
      <c r="DN161" s="77" t="str">
        <f t="shared" si="198"/>
        <v/>
      </c>
      <c r="DO161" s="77" t="str">
        <f t="shared" si="198"/>
        <v/>
      </c>
      <c r="DP161" s="77" t="str">
        <f t="shared" si="198"/>
        <v/>
      </c>
      <c r="DQ161" s="77" t="str">
        <f t="shared" si="198"/>
        <v/>
      </c>
      <c r="DR161" s="77" t="str">
        <f t="shared" si="198"/>
        <v/>
      </c>
      <c r="DS161" s="77" t="str">
        <f t="shared" si="198"/>
        <v/>
      </c>
      <c r="DT161" s="77" t="str">
        <f t="shared" si="198"/>
        <v/>
      </c>
      <c r="DU161" s="77" t="str">
        <f t="shared" si="198"/>
        <v/>
      </c>
      <c r="DV161" s="77" t="str">
        <f t="shared" si="198"/>
        <v/>
      </c>
      <c r="DW161" s="77"/>
      <c r="DX161" s="77"/>
      <c r="DY161" s="78"/>
    </row>
    <row r="162" spans="2:129" outlineLevel="1" x14ac:dyDescent="0.2">
      <c r="B162" s="16" t="s">
        <v>69</v>
      </c>
      <c r="C162" s="16"/>
      <c r="D162" s="16"/>
      <c r="E162" s="16"/>
      <c r="F162" s="77">
        <f>IF(F157="","",F155-F161)</f>
        <v>0</v>
      </c>
      <c r="G162" s="77">
        <f t="shared" ref="G162:BR162" si="199">IF(G157="","",G155-G161)</f>
        <v>0</v>
      </c>
      <c r="H162" s="77">
        <f t="shared" si="199"/>
        <v>0</v>
      </c>
      <c r="I162" s="77">
        <f t="shared" si="199"/>
        <v>0</v>
      </c>
      <c r="J162" s="77">
        <f t="shared" si="199"/>
        <v>0</v>
      </c>
      <c r="K162" s="77">
        <f t="shared" si="199"/>
        <v>0</v>
      </c>
      <c r="L162" s="77">
        <f t="shared" si="199"/>
        <v>0</v>
      </c>
      <c r="M162" s="77">
        <f t="shared" si="199"/>
        <v>0</v>
      </c>
      <c r="N162" s="77">
        <f t="shared" si="199"/>
        <v>0</v>
      </c>
      <c r="O162" s="77">
        <f t="shared" si="199"/>
        <v>0</v>
      </c>
      <c r="P162" s="77">
        <f t="shared" si="199"/>
        <v>0</v>
      </c>
      <c r="Q162" s="77">
        <f t="shared" si="199"/>
        <v>0</v>
      </c>
      <c r="R162" s="77">
        <f t="shared" si="199"/>
        <v>0</v>
      </c>
      <c r="S162" s="77">
        <f t="shared" si="199"/>
        <v>0</v>
      </c>
      <c r="T162" s="77">
        <f t="shared" si="199"/>
        <v>0</v>
      </c>
      <c r="U162" s="77">
        <f t="shared" si="199"/>
        <v>0</v>
      </c>
      <c r="V162" s="77">
        <f t="shared" si="199"/>
        <v>0</v>
      </c>
      <c r="W162" s="77">
        <f t="shared" si="199"/>
        <v>0</v>
      </c>
      <c r="X162" s="77">
        <f t="shared" si="199"/>
        <v>0</v>
      </c>
      <c r="Y162" s="77">
        <f t="shared" si="199"/>
        <v>0</v>
      </c>
      <c r="Z162" s="77">
        <f t="shared" si="199"/>
        <v>0</v>
      </c>
      <c r="AA162" s="77">
        <f t="shared" si="199"/>
        <v>0</v>
      </c>
      <c r="AB162" s="77">
        <f t="shared" si="199"/>
        <v>0</v>
      </c>
      <c r="AC162" s="77">
        <f t="shared" si="199"/>
        <v>0</v>
      </c>
      <c r="AD162" s="77">
        <f t="shared" si="199"/>
        <v>0</v>
      </c>
      <c r="AE162" s="77">
        <f t="shared" si="199"/>
        <v>0</v>
      </c>
      <c r="AF162" s="77">
        <f t="shared" si="199"/>
        <v>0</v>
      </c>
      <c r="AG162" s="77">
        <f t="shared" si="199"/>
        <v>0</v>
      </c>
      <c r="AH162" s="77">
        <f t="shared" si="199"/>
        <v>0</v>
      </c>
      <c r="AI162" s="77">
        <f t="shared" si="199"/>
        <v>0</v>
      </c>
      <c r="AJ162" s="77">
        <f t="shared" si="199"/>
        <v>0</v>
      </c>
      <c r="AK162" s="77">
        <f t="shared" si="199"/>
        <v>0</v>
      </c>
      <c r="AL162" s="77">
        <f t="shared" si="199"/>
        <v>0</v>
      </c>
      <c r="AM162" s="77">
        <f t="shared" si="199"/>
        <v>0</v>
      </c>
      <c r="AN162" s="77">
        <f t="shared" si="199"/>
        <v>0</v>
      </c>
      <c r="AO162" s="77">
        <f t="shared" si="199"/>
        <v>0</v>
      </c>
      <c r="AP162" s="77">
        <f t="shared" si="199"/>
        <v>0</v>
      </c>
      <c r="AQ162" s="77">
        <f t="shared" si="199"/>
        <v>0</v>
      </c>
      <c r="AR162" s="77">
        <f t="shared" si="199"/>
        <v>0</v>
      </c>
      <c r="AS162" s="77">
        <f t="shared" si="199"/>
        <v>0</v>
      </c>
      <c r="AT162" s="77">
        <f t="shared" si="199"/>
        <v>0</v>
      </c>
      <c r="AU162" s="77">
        <f t="shared" si="199"/>
        <v>0</v>
      </c>
      <c r="AV162" s="77">
        <f t="shared" si="199"/>
        <v>0</v>
      </c>
      <c r="AW162" s="77">
        <f t="shared" si="199"/>
        <v>0</v>
      </c>
      <c r="AX162" s="77">
        <f t="shared" si="199"/>
        <v>0</v>
      </c>
      <c r="AY162" s="77">
        <f t="shared" si="199"/>
        <v>0</v>
      </c>
      <c r="AZ162" s="77">
        <f t="shared" si="199"/>
        <v>0</v>
      </c>
      <c r="BA162" s="77">
        <f t="shared" si="199"/>
        <v>0</v>
      </c>
      <c r="BB162" s="77">
        <f t="shared" si="199"/>
        <v>0</v>
      </c>
      <c r="BC162" s="77">
        <f t="shared" si="199"/>
        <v>0</v>
      </c>
      <c r="BD162" s="77">
        <f t="shared" si="199"/>
        <v>0</v>
      </c>
      <c r="BE162" s="77">
        <f t="shared" si="199"/>
        <v>0</v>
      </c>
      <c r="BF162" s="77">
        <f t="shared" si="199"/>
        <v>0</v>
      </c>
      <c r="BG162" s="77">
        <f t="shared" si="199"/>
        <v>0</v>
      </c>
      <c r="BH162" s="77">
        <f t="shared" si="199"/>
        <v>0</v>
      </c>
      <c r="BI162" s="77">
        <f t="shared" si="199"/>
        <v>0</v>
      </c>
      <c r="BJ162" s="77">
        <f t="shared" si="199"/>
        <v>0</v>
      </c>
      <c r="BK162" s="77">
        <f t="shared" si="199"/>
        <v>0</v>
      </c>
      <c r="BL162" s="77">
        <f t="shared" si="199"/>
        <v>0</v>
      </c>
      <c r="BM162" s="77">
        <f t="shared" si="199"/>
        <v>0</v>
      </c>
      <c r="BN162" s="77">
        <f t="shared" si="199"/>
        <v>0</v>
      </c>
      <c r="BO162" s="77">
        <f t="shared" si="199"/>
        <v>0</v>
      </c>
      <c r="BP162" s="77">
        <f t="shared" si="199"/>
        <v>0</v>
      </c>
      <c r="BQ162" s="77">
        <f t="shared" si="199"/>
        <v>0</v>
      </c>
      <c r="BR162" s="77">
        <f t="shared" si="199"/>
        <v>0</v>
      </c>
      <c r="BS162" s="77">
        <f t="shared" ref="BS162:DV162" si="200">IF(BS157="","",BS155-BS161)</f>
        <v>0</v>
      </c>
      <c r="BT162" s="77">
        <f t="shared" si="200"/>
        <v>0</v>
      </c>
      <c r="BU162" s="77">
        <f t="shared" si="200"/>
        <v>0</v>
      </c>
      <c r="BV162" s="77">
        <f t="shared" si="200"/>
        <v>0</v>
      </c>
      <c r="BW162" s="77">
        <f t="shared" si="200"/>
        <v>0</v>
      </c>
      <c r="BX162" s="77">
        <f t="shared" si="200"/>
        <v>0</v>
      </c>
      <c r="BY162" s="77">
        <f t="shared" si="200"/>
        <v>0</v>
      </c>
      <c r="BZ162" s="77">
        <f t="shared" si="200"/>
        <v>0</v>
      </c>
      <c r="CA162" s="77">
        <f t="shared" si="200"/>
        <v>0</v>
      </c>
      <c r="CB162" s="77">
        <f t="shared" si="200"/>
        <v>0</v>
      </c>
      <c r="CC162" s="77">
        <f t="shared" si="200"/>
        <v>0</v>
      </c>
      <c r="CD162" s="77">
        <f t="shared" si="200"/>
        <v>0</v>
      </c>
      <c r="CE162" s="77">
        <f t="shared" si="200"/>
        <v>0</v>
      </c>
      <c r="CF162" s="77">
        <f t="shared" si="200"/>
        <v>0</v>
      </c>
      <c r="CG162" s="77">
        <f t="shared" si="200"/>
        <v>0</v>
      </c>
      <c r="CH162" s="77">
        <f t="shared" si="200"/>
        <v>0</v>
      </c>
      <c r="CI162" s="77">
        <f t="shared" si="200"/>
        <v>0</v>
      </c>
      <c r="CJ162" s="77">
        <f t="shared" si="200"/>
        <v>0</v>
      </c>
      <c r="CK162" s="77">
        <f t="shared" si="200"/>
        <v>0</v>
      </c>
      <c r="CL162" s="77">
        <f t="shared" si="200"/>
        <v>0</v>
      </c>
      <c r="CM162" s="77">
        <f t="shared" si="200"/>
        <v>0</v>
      </c>
      <c r="CN162" s="77">
        <f t="shared" si="200"/>
        <v>0</v>
      </c>
      <c r="CO162" s="77">
        <f t="shared" si="200"/>
        <v>0</v>
      </c>
      <c r="CP162" s="77">
        <f t="shared" si="200"/>
        <v>0</v>
      </c>
      <c r="CQ162" s="77">
        <f t="shared" si="200"/>
        <v>0</v>
      </c>
      <c r="CR162" s="77">
        <f t="shared" si="200"/>
        <v>0</v>
      </c>
      <c r="CS162" s="77">
        <f t="shared" si="200"/>
        <v>0</v>
      </c>
      <c r="CT162" s="77">
        <f t="shared" si="200"/>
        <v>0</v>
      </c>
      <c r="CU162" s="77">
        <f t="shared" si="200"/>
        <v>0</v>
      </c>
      <c r="CV162" s="77">
        <f t="shared" si="200"/>
        <v>0</v>
      </c>
      <c r="CW162" s="77">
        <f t="shared" si="200"/>
        <v>0</v>
      </c>
      <c r="CX162" s="77" t="str">
        <f t="shared" si="200"/>
        <v/>
      </c>
      <c r="CY162" s="77" t="str">
        <f t="shared" si="200"/>
        <v/>
      </c>
      <c r="CZ162" s="77" t="str">
        <f t="shared" si="200"/>
        <v/>
      </c>
      <c r="DA162" s="77" t="str">
        <f t="shared" si="200"/>
        <v/>
      </c>
      <c r="DB162" s="77" t="str">
        <f t="shared" si="200"/>
        <v/>
      </c>
      <c r="DC162" s="77" t="str">
        <f t="shared" si="200"/>
        <v/>
      </c>
      <c r="DD162" s="77" t="str">
        <f t="shared" si="200"/>
        <v/>
      </c>
      <c r="DE162" s="77" t="str">
        <f t="shared" si="200"/>
        <v/>
      </c>
      <c r="DF162" s="77" t="str">
        <f t="shared" si="200"/>
        <v/>
      </c>
      <c r="DG162" s="77" t="str">
        <f t="shared" si="200"/>
        <v/>
      </c>
      <c r="DH162" s="77" t="str">
        <f t="shared" si="200"/>
        <v/>
      </c>
      <c r="DI162" s="77" t="str">
        <f t="shared" si="200"/>
        <v/>
      </c>
      <c r="DJ162" s="77" t="str">
        <f t="shared" si="200"/>
        <v/>
      </c>
      <c r="DK162" s="77" t="str">
        <f t="shared" si="200"/>
        <v/>
      </c>
      <c r="DL162" s="77" t="str">
        <f t="shared" si="200"/>
        <v/>
      </c>
      <c r="DM162" s="77" t="str">
        <f t="shared" si="200"/>
        <v/>
      </c>
      <c r="DN162" s="77" t="str">
        <f t="shared" si="200"/>
        <v/>
      </c>
      <c r="DO162" s="77" t="str">
        <f t="shared" si="200"/>
        <v/>
      </c>
      <c r="DP162" s="77" t="str">
        <f t="shared" si="200"/>
        <v/>
      </c>
      <c r="DQ162" s="77" t="str">
        <f t="shared" si="200"/>
        <v/>
      </c>
      <c r="DR162" s="77" t="str">
        <f t="shared" si="200"/>
        <v/>
      </c>
      <c r="DS162" s="77" t="str">
        <f t="shared" si="200"/>
        <v/>
      </c>
      <c r="DT162" s="77" t="str">
        <f t="shared" si="200"/>
        <v/>
      </c>
      <c r="DU162" s="77" t="str">
        <f t="shared" si="200"/>
        <v/>
      </c>
      <c r="DV162" s="77" t="str">
        <f t="shared" si="200"/>
        <v/>
      </c>
      <c r="DW162" s="77"/>
      <c r="DX162" s="77"/>
      <c r="DY162" s="78"/>
    </row>
    <row r="163" spans="2:129" outlineLevel="1" x14ac:dyDescent="0.2">
      <c r="B163" s="3"/>
      <c r="C163" s="3"/>
      <c r="D163" s="3"/>
      <c r="E163" s="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3"/>
      <c r="DX163" s="3"/>
    </row>
    <row r="164" spans="2:129" ht="19" outlineLevel="1" x14ac:dyDescent="0.25">
      <c r="B164" s="97" t="s">
        <v>79</v>
      </c>
      <c r="C164" s="98"/>
      <c r="D164" s="98"/>
      <c r="E164" s="98"/>
      <c r="F164" s="99"/>
      <c r="G164" s="99"/>
      <c r="H164" s="99"/>
      <c r="I164" s="99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  <c r="AH164" s="99"/>
      <c r="AI164" s="99"/>
      <c r="AJ164" s="99"/>
      <c r="AK164" s="99"/>
      <c r="AL164" s="99"/>
      <c r="AM164" s="99"/>
      <c r="AN164" s="99"/>
      <c r="AO164" s="99"/>
      <c r="AP164" s="99"/>
      <c r="AQ164" s="99"/>
      <c r="AR164" s="99"/>
      <c r="AS164" s="99"/>
      <c r="AT164" s="99"/>
      <c r="AU164" s="99"/>
      <c r="AV164" s="99"/>
      <c r="AW164" s="99"/>
      <c r="AX164" s="99"/>
      <c r="AY164" s="99"/>
      <c r="AZ164" s="99"/>
      <c r="BA164" s="99"/>
      <c r="BB164" s="99"/>
      <c r="BC164" s="99"/>
      <c r="BD164" s="99"/>
      <c r="BE164" s="99"/>
      <c r="BF164" s="99"/>
      <c r="BG164" s="99"/>
      <c r="BH164" s="99"/>
      <c r="BI164" s="99"/>
      <c r="BJ164" s="99"/>
      <c r="BK164" s="99"/>
      <c r="BL164" s="99"/>
      <c r="BM164" s="99"/>
      <c r="BN164" s="99"/>
      <c r="BO164" s="99"/>
      <c r="BP164" s="99"/>
      <c r="BQ164" s="99"/>
      <c r="BR164" s="99"/>
      <c r="BS164" s="99"/>
      <c r="BT164" s="99"/>
      <c r="BU164" s="99"/>
      <c r="BV164" s="99"/>
      <c r="BW164" s="99"/>
      <c r="BX164" s="99"/>
      <c r="BY164" s="99"/>
      <c r="BZ164" s="99"/>
      <c r="CA164" s="99"/>
      <c r="CB164" s="99"/>
      <c r="CC164" s="99"/>
      <c r="CD164" s="99"/>
      <c r="CE164" s="99"/>
      <c r="CF164" s="99"/>
      <c r="CG164" s="99"/>
      <c r="CH164" s="99"/>
      <c r="CI164" s="99"/>
      <c r="CJ164" s="99"/>
      <c r="CK164" s="99"/>
      <c r="CL164" s="99"/>
      <c r="CM164" s="99"/>
      <c r="CN164" s="99"/>
      <c r="CO164" s="99"/>
      <c r="CP164" s="99"/>
      <c r="CQ164" s="99"/>
      <c r="CR164" s="99"/>
      <c r="CS164" s="99"/>
      <c r="CT164" s="99"/>
      <c r="CU164" s="99"/>
      <c r="CV164" s="99"/>
      <c r="CW164" s="99"/>
      <c r="CX164" s="99"/>
      <c r="CY164" s="99"/>
      <c r="CZ164" s="99"/>
      <c r="DA164" s="99"/>
      <c r="DB164" s="99"/>
      <c r="DC164" s="99"/>
      <c r="DD164" s="99"/>
      <c r="DE164" s="99"/>
      <c r="DF164" s="99"/>
      <c r="DG164" s="99"/>
      <c r="DH164" s="99"/>
      <c r="DI164" s="99"/>
      <c r="DJ164" s="99"/>
      <c r="DK164" s="99"/>
      <c r="DL164" s="99"/>
      <c r="DM164" s="99"/>
      <c r="DN164" s="99"/>
      <c r="DO164" s="99"/>
      <c r="DP164" s="99"/>
      <c r="DQ164" s="99"/>
      <c r="DR164" s="99"/>
      <c r="DS164" s="99"/>
      <c r="DT164" s="99"/>
      <c r="DU164" s="99"/>
      <c r="DV164" s="99"/>
      <c r="DW164" s="99"/>
      <c r="DX164" s="99"/>
      <c r="DY164" s="7"/>
    </row>
    <row r="165" spans="2:129" ht="5" customHeight="1" outlineLevel="1" thickBot="1" x14ac:dyDescent="0.25">
      <c r="B165" s="19"/>
      <c r="C165" s="19"/>
      <c r="D165" s="10" t="s">
        <v>22</v>
      </c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</row>
    <row r="166" spans="2:129" outlineLevel="1" x14ac:dyDescent="0.2">
      <c r="B166" s="100"/>
      <c r="C166" s="100"/>
      <c r="D166" s="101"/>
      <c r="E166" s="100"/>
      <c r="F166" s="150" t="s">
        <v>17</v>
      </c>
      <c r="G166" s="150"/>
      <c r="H166" s="151" t="s">
        <v>18</v>
      </c>
      <c r="I166" s="151"/>
      <c r="J166" s="102"/>
      <c r="K166" s="102"/>
      <c r="L166" s="102"/>
      <c r="M166" s="102"/>
      <c r="N166" s="102"/>
      <c r="O166" s="19"/>
      <c r="P166" s="27" t="s">
        <v>11</v>
      </c>
      <c r="Q166" s="28" t="str">
        <f>IF(ROUND(Q168,0)=ROUND(Q167,0),"OK","Error")</f>
        <v>OK</v>
      </c>
      <c r="R166" s="103"/>
      <c r="S166" s="103"/>
      <c r="T166" s="103"/>
      <c r="U166" s="103"/>
      <c r="V166" s="103"/>
      <c r="W166" s="103"/>
      <c r="X166" s="103"/>
      <c r="Y166" s="103"/>
      <c r="Z166" s="103"/>
      <c r="AA166" s="103"/>
      <c r="AB166" s="103"/>
      <c r="AC166" s="103"/>
      <c r="AD166" s="103"/>
      <c r="AE166" s="103"/>
      <c r="AF166" s="103"/>
      <c r="AG166" s="103"/>
      <c r="AH166" s="103"/>
      <c r="AI166" s="103"/>
      <c r="AJ166" s="103"/>
      <c r="AK166" s="103"/>
      <c r="AL166" s="103"/>
      <c r="AM166" s="103"/>
      <c r="AN166" s="103"/>
      <c r="AO166" s="103"/>
      <c r="AP166" s="103"/>
      <c r="AQ166" s="103"/>
      <c r="AR166" s="103"/>
      <c r="AS166" s="103"/>
      <c r="AT166" s="103"/>
      <c r="AU166" s="103"/>
      <c r="AV166" s="103"/>
      <c r="AW166" s="103"/>
      <c r="AX166" s="103"/>
      <c r="AY166" s="103"/>
      <c r="AZ166" s="103"/>
      <c r="BA166" s="103"/>
      <c r="BB166" s="103"/>
      <c r="BC166" s="103"/>
      <c r="BD166" s="103"/>
      <c r="BE166" s="103"/>
      <c r="BF166" s="103"/>
      <c r="BG166" s="103"/>
      <c r="BH166" s="103"/>
      <c r="BI166" s="103"/>
      <c r="BJ166" s="103"/>
      <c r="BK166" s="103"/>
      <c r="BL166" s="103"/>
      <c r="BM166" s="103"/>
      <c r="BN166" s="103"/>
      <c r="BO166" s="103"/>
      <c r="BP166" s="103"/>
      <c r="BQ166" s="103"/>
      <c r="BR166" s="103"/>
      <c r="BS166" s="103"/>
      <c r="BT166" s="103"/>
      <c r="BU166" s="103"/>
      <c r="BV166" s="103"/>
      <c r="BW166" s="103"/>
      <c r="BX166" s="103"/>
      <c r="BY166" s="103"/>
      <c r="BZ166" s="103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3"/>
      <c r="CY166" s="103"/>
      <c r="CZ166" s="103"/>
      <c r="DA166" s="103"/>
      <c r="DB166" s="103"/>
      <c r="DC166" s="103"/>
      <c r="DD166" s="103"/>
      <c r="DE166" s="103"/>
      <c r="DF166" s="103"/>
      <c r="DG166" s="103"/>
      <c r="DH166" s="103"/>
      <c r="DI166" s="103"/>
      <c r="DJ166" s="3"/>
      <c r="DK166" s="104"/>
      <c r="DL166" s="104"/>
      <c r="DM166" s="104"/>
      <c r="DN166" s="104"/>
      <c r="DO166" s="104"/>
      <c r="DP166" s="104"/>
      <c r="DQ166" s="104"/>
      <c r="DR166" s="104"/>
      <c r="DS166" s="104"/>
      <c r="DT166" s="104"/>
      <c r="DU166" s="104"/>
      <c r="DV166" s="16"/>
      <c r="DW166" s="16"/>
      <c r="DX166" s="16"/>
    </row>
    <row r="167" spans="2:129" ht="16" outlineLevel="1" x14ac:dyDescent="0.2">
      <c r="B167" s="105" t="str">
        <f>IF(D165="Equity Multiple","Partnership Distribution Assumptions (Equity Multiple Hurdles)","Partnership Distribution Assumptions (IRR Hurdles)")</f>
        <v>Partnership Distribution Assumptions (Equity Multiple Hurdles)</v>
      </c>
      <c r="C167" s="100"/>
      <c r="D167" s="101"/>
      <c r="E167" s="100"/>
      <c r="F167" s="150"/>
      <c r="G167" s="150"/>
      <c r="H167" s="106" t="s">
        <v>19</v>
      </c>
      <c r="I167" s="107" t="s">
        <v>20</v>
      </c>
      <c r="J167" s="107" t="s">
        <v>21</v>
      </c>
      <c r="K167" s="102"/>
      <c r="L167" s="102"/>
      <c r="M167" s="102"/>
      <c r="N167" s="102"/>
      <c r="O167" s="19"/>
      <c r="P167" s="31" t="s">
        <v>13</v>
      </c>
      <c r="Q167" s="32">
        <f>(D178+D186)/1000000</f>
        <v>155.10234899999992</v>
      </c>
      <c r="R167" s="103"/>
      <c r="S167" s="103"/>
      <c r="T167" s="103"/>
      <c r="U167" s="103"/>
      <c r="V167" s="103"/>
      <c r="W167" s="103"/>
      <c r="X167" s="103"/>
      <c r="Y167" s="103"/>
      <c r="Z167" s="103"/>
      <c r="AA167" s="103"/>
      <c r="AB167" s="103"/>
      <c r="AC167" s="103"/>
      <c r="AD167" s="103"/>
      <c r="AE167" s="103"/>
      <c r="AF167" s="103"/>
      <c r="AG167" s="103"/>
      <c r="AH167" s="103"/>
      <c r="AI167" s="103"/>
      <c r="AJ167" s="103"/>
      <c r="AK167" s="103"/>
      <c r="AL167" s="103"/>
      <c r="AM167" s="103"/>
      <c r="AN167" s="103"/>
      <c r="AO167" s="103"/>
      <c r="AP167" s="103"/>
      <c r="AQ167" s="103"/>
      <c r="AR167" s="103"/>
      <c r="AS167" s="103"/>
      <c r="AT167" s="103"/>
      <c r="AU167" s="103"/>
      <c r="AV167" s="103"/>
      <c r="AW167" s="103"/>
      <c r="AX167" s="103"/>
      <c r="AY167" s="103"/>
      <c r="AZ167" s="103"/>
      <c r="BA167" s="103"/>
      <c r="BB167" s="103"/>
      <c r="BC167" s="103"/>
      <c r="BD167" s="103"/>
      <c r="BE167" s="103"/>
      <c r="BF167" s="103"/>
      <c r="BG167" s="103"/>
      <c r="BH167" s="103"/>
      <c r="BI167" s="103"/>
      <c r="BJ167" s="103"/>
      <c r="BK167" s="103"/>
      <c r="BL167" s="103"/>
      <c r="BM167" s="103"/>
      <c r="BN167" s="103"/>
      <c r="BO167" s="103"/>
      <c r="BP167" s="103"/>
      <c r="BQ167" s="103"/>
      <c r="BR167" s="103"/>
      <c r="BS167" s="103"/>
      <c r="BT167" s="103"/>
      <c r="BU167" s="103"/>
      <c r="BV167" s="103"/>
      <c r="BW167" s="103"/>
      <c r="BX167" s="103"/>
      <c r="BY167" s="103"/>
      <c r="BZ167" s="103"/>
      <c r="CA167" s="103"/>
      <c r="CB167" s="103"/>
      <c r="CC167" s="103"/>
      <c r="CD167" s="103"/>
      <c r="CE167" s="103"/>
      <c r="CF167" s="103"/>
      <c r="CG167" s="103"/>
      <c r="CH167" s="103"/>
      <c r="CI167" s="103"/>
      <c r="CJ167" s="103"/>
      <c r="CK167" s="103"/>
      <c r="CL167" s="103"/>
      <c r="CM167" s="103"/>
      <c r="CN167" s="103"/>
      <c r="CO167" s="103"/>
      <c r="CP167" s="103"/>
      <c r="CQ167" s="103"/>
      <c r="CR167" s="103"/>
      <c r="CS167" s="103"/>
      <c r="CT167" s="103"/>
      <c r="CU167" s="103"/>
      <c r="CV167" s="103"/>
      <c r="CW167" s="103"/>
      <c r="CX167" s="103"/>
      <c r="CY167" s="103"/>
      <c r="CZ167" s="103"/>
      <c r="DA167" s="103"/>
      <c r="DB167" s="103"/>
      <c r="DC167" s="103"/>
      <c r="DD167" s="103"/>
      <c r="DE167" s="103"/>
      <c r="DF167" s="103"/>
      <c r="DG167" s="103"/>
      <c r="DH167" s="103"/>
      <c r="DI167" s="103"/>
      <c r="DJ167" s="3"/>
      <c r="DK167" s="108"/>
      <c r="DL167" s="108"/>
      <c r="DM167" s="108"/>
      <c r="DN167" s="108"/>
      <c r="DO167" s="108"/>
      <c r="DP167" s="108"/>
      <c r="DQ167" s="108"/>
      <c r="DR167" s="108"/>
      <c r="DS167" s="108"/>
      <c r="DT167" s="108"/>
      <c r="DU167" s="108"/>
      <c r="DV167" s="16"/>
      <c r="DW167" s="16"/>
      <c r="DX167" s="16"/>
    </row>
    <row r="168" spans="2:129" ht="16" outlineLevel="1" thickBot="1" x14ac:dyDescent="0.25">
      <c r="B168" s="16" t="str">
        <f>B15</f>
        <v>Preferred</v>
      </c>
      <c r="C168" s="43" t="s">
        <v>22</v>
      </c>
      <c r="D168" s="44"/>
      <c r="E168" s="131">
        <f>C169</f>
        <v>1</v>
      </c>
      <c r="F168" s="46"/>
      <c r="G168" s="47"/>
      <c r="H168" s="109">
        <f>IF(H15="","",H15)</f>
        <v>0.1</v>
      </c>
      <c r="I168" s="33">
        <f>1-H168</f>
        <v>0.9</v>
      </c>
      <c r="J168" s="149" t="str">
        <f>IF(I168=Equity_Share_LP,"Pref prorata to LP/GP, then Pro rata return of capital",IF(CU?,"Return of capital and Pref NOT pro rata + GP Catch Up","Return of capital and Pref NOT pro rata"))</f>
        <v>Pref prorata to LP/GP, then Pro rata return of capital</v>
      </c>
      <c r="K168" s="149"/>
      <c r="L168" s="149"/>
      <c r="M168" s="149"/>
      <c r="N168" s="149"/>
      <c r="O168" s="19"/>
      <c r="P168" s="34" t="s">
        <v>15</v>
      </c>
      <c r="Q168" s="35">
        <f>SUM(F192:DY192)/1000000</f>
        <v>155.102349</v>
      </c>
      <c r="R168" s="103"/>
      <c r="S168" s="103"/>
      <c r="T168" s="103"/>
      <c r="U168" s="103"/>
      <c r="V168" s="103"/>
      <c r="W168" s="103"/>
      <c r="X168" s="103"/>
      <c r="Y168" s="103"/>
      <c r="Z168" s="103"/>
      <c r="AA168" s="103"/>
      <c r="AB168" s="103"/>
      <c r="AC168" s="103"/>
      <c r="AD168" s="103"/>
      <c r="AE168" s="103"/>
      <c r="AF168" s="103"/>
      <c r="AG168" s="103"/>
      <c r="AH168" s="103"/>
      <c r="AI168" s="103"/>
      <c r="AJ168" s="103"/>
      <c r="AK168" s="103"/>
      <c r="AL168" s="103"/>
      <c r="AM168" s="103"/>
      <c r="AN168" s="103"/>
      <c r="AO168" s="103"/>
      <c r="AP168" s="103"/>
      <c r="AQ168" s="103"/>
      <c r="AR168" s="103"/>
      <c r="AS168" s="103"/>
      <c r="AT168" s="103"/>
      <c r="AU168" s="103"/>
      <c r="AV168" s="103"/>
      <c r="AW168" s="103"/>
      <c r="AX168" s="103"/>
      <c r="AY168" s="103"/>
      <c r="AZ168" s="103"/>
      <c r="BA168" s="103"/>
      <c r="BB168" s="103"/>
      <c r="BC168" s="103"/>
      <c r="BD168" s="103"/>
      <c r="BE168" s="103"/>
      <c r="BF168" s="103"/>
      <c r="BG168" s="103"/>
      <c r="BH168" s="103"/>
      <c r="BI168" s="103"/>
      <c r="BJ168" s="103"/>
      <c r="BK168" s="103"/>
      <c r="BL168" s="103"/>
      <c r="BM168" s="103"/>
      <c r="BN168" s="103"/>
      <c r="BO168" s="103"/>
      <c r="BP168" s="103"/>
      <c r="BQ168" s="103"/>
      <c r="BR168" s="103"/>
      <c r="BS168" s="103"/>
      <c r="BT168" s="103"/>
      <c r="BU168" s="103"/>
      <c r="BV168" s="103"/>
      <c r="BW168" s="103"/>
      <c r="BX168" s="103"/>
      <c r="BY168" s="103"/>
      <c r="BZ168" s="103"/>
      <c r="CA168" s="103"/>
      <c r="CB168" s="103"/>
      <c r="CC168" s="103"/>
      <c r="CD168" s="103"/>
      <c r="CE168" s="103"/>
      <c r="CF168" s="103"/>
      <c r="CG168" s="103"/>
      <c r="CH168" s="103"/>
      <c r="CI168" s="103"/>
      <c r="CJ168" s="103"/>
      <c r="CK168" s="103"/>
      <c r="CL168" s="103"/>
      <c r="CM168" s="103"/>
      <c r="CN168" s="103"/>
      <c r="CO168" s="103"/>
      <c r="CP168" s="103"/>
      <c r="CQ168" s="103"/>
      <c r="CR168" s="103"/>
      <c r="CS168" s="103"/>
      <c r="CT168" s="103"/>
      <c r="CU168" s="103"/>
      <c r="CV168" s="103"/>
      <c r="CW168" s="103"/>
      <c r="CX168" s="103"/>
      <c r="CY168" s="103"/>
      <c r="CZ168" s="103"/>
      <c r="DA168" s="103"/>
      <c r="DB168" s="103"/>
      <c r="DC168" s="103"/>
      <c r="DD168" s="103"/>
      <c r="DE168" s="103"/>
      <c r="DF168" s="103"/>
      <c r="DG168" s="103"/>
      <c r="DH168" s="103"/>
      <c r="DI168" s="103"/>
      <c r="DJ168" s="3"/>
      <c r="DK168" s="108"/>
      <c r="DL168" s="108"/>
      <c r="DM168" s="108"/>
      <c r="DN168" s="108"/>
      <c r="DO168" s="108"/>
      <c r="DP168" s="108"/>
      <c r="DQ168" s="108"/>
      <c r="DR168" s="108"/>
      <c r="DS168" s="108"/>
      <c r="DT168" s="108"/>
      <c r="DU168" s="108"/>
      <c r="DV168" s="16"/>
      <c r="DW168" s="16"/>
      <c r="DX168" s="16"/>
    </row>
    <row r="169" spans="2:129" outlineLevel="1" x14ac:dyDescent="0.2">
      <c r="B169" s="16" t="str">
        <f>B16</f>
        <v>Tier 2 (Promote)</v>
      </c>
      <c r="C169" s="132">
        <f>C16</f>
        <v>1</v>
      </c>
      <c r="D169" s="51"/>
      <c r="E169" s="131">
        <f>IF($B$277&lt;3,99,C170)</f>
        <v>1.5</v>
      </c>
      <c r="F169" s="48"/>
      <c r="G169" s="33"/>
      <c r="H169" s="109">
        <f>IF(H16="","",H16)</f>
        <v>0.27999999999999992</v>
      </c>
      <c r="I169" s="33">
        <f t="shared" ref="I169:I172" si="201">1-H169</f>
        <v>0.72000000000000008</v>
      </c>
      <c r="J169" s="149" t="str">
        <f>IF(Equity_Share_GP&lt;&gt;H168,TEXT(I168,"0.0%")&amp;"/"&amp;TEXT(H168,"0.0%")&amp;" to "&amp;(IF(D165="IRR",TEXT(E168,"0.0%"),TEXT(E168,"0.0X")))&amp;", then "&amp;TEXT(I169,"0.0%")&amp;"/"&amp;TEXT(H169,"0.0%")&amp;" to "&amp;(IF(D165="IRR",TEXT(E169,"0.0%"),TEXT(E169,"0.0X"))),"Prorata to LP/GP to "&amp;(IF(D165="IRR",TEXT(E168,"0.0%"),TEXT(E168,"0.0X")))&amp;", then "&amp;TEXT(I169,"0.0%")&amp;"/"&amp;TEXT(H169,"0.0%")&amp;" to "&amp;(IF(D165="IRR",TEXT(E169,"0.0%"),TEXT(E169,"0.0X"))))</f>
        <v>Prorata to LP/GP to 1.0X, then 72.0%/28.0% to 1.5X</v>
      </c>
      <c r="K169" s="149"/>
      <c r="L169" s="149"/>
      <c r="M169" s="149"/>
      <c r="N169" s="14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</row>
    <row r="170" spans="2:129" outlineLevel="1" x14ac:dyDescent="0.2">
      <c r="B170" s="16" t="str">
        <f>B17</f>
        <v>Tier 3 (Promote)</v>
      </c>
      <c r="C170" s="132">
        <f>C17</f>
        <v>1.5</v>
      </c>
      <c r="D170" s="51"/>
      <c r="E170" s="131">
        <f>IF($B$277&lt;4,99,C171)</f>
        <v>99</v>
      </c>
      <c r="F170" s="48"/>
      <c r="G170" s="33"/>
      <c r="H170" s="109">
        <f>IF(H17="","",H17)</f>
        <v>0.55000000000000004</v>
      </c>
      <c r="I170" s="33">
        <f t="shared" si="201"/>
        <v>0.44999999999999996</v>
      </c>
      <c r="J170" s="149" t="str">
        <f>TEXT(I169,"0.0%")&amp;"/"&amp;TEXT(H169,"0.0%")&amp;" to "&amp;(IF(D165="IRR",TEXT(E169,"0.0%"),TEXT(E169,"0.0X")))&amp;", then "&amp;TEXT(I170,"0.0%")&amp;"/"&amp;TEXT(H170,"0.0%")&amp;" to "&amp;(IF(D165="IRR",TEXT(E170,"0.0%"),TEXT(E170,"0.0X")))</f>
        <v>72.0%/28.0% to 1.5X, then 45.0%/55.0% to 99.0X</v>
      </c>
      <c r="K170" s="149"/>
      <c r="L170" s="149"/>
      <c r="M170" s="149"/>
      <c r="N170" s="14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</row>
    <row r="171" spans="2:129" outlineLevel="1" x14ac:dyDescent="0.2">
      <c r="B171" s="16" t="str">
        <f>B18</f>
        <v>NOT USED</v>
      </c>
      <c r="C171" s="132">
        <f>C18</f>
        <v>0</v>
      </c>
      <c r="D171" s="51"/>
      <c r="E171" s="131">
        <f>IF($B$277&lt;5,99,C172)</f>
        <v>99</v>
      </c>
      <c r="F171" s="48"/>
      <c r="G171" s="33"/>
      <c r="H171" s="109">
        <f>IF(H18="","",H18)</f>
        <v>9.9999999999999978E-2</v>
      </c>
      <c r="I171" s="33">
        <f t="shared" si="201"/>
        <v>0.9</v>
      </c>
      <c r="J171" s="49" t="str">
        <f t="shared" ref="J171:J172" si="202">TEXT(I170,"0.0%")&amp;"/"&amp;TEXT(H170,"0.0%")&amp;" to "&amp;(IF(D166="IRR",TEXT(E170,"0.0%"),TEXT(E170,"0.0X")))&amp;", then "&amp;TEXT(I171,"0.0%")&amp;"/"&amp;TEXT(H171,"0.0%")&amp;" to "&amp;(IF(D166="IRR",TEXT(E171,"0.0%"),TEXT(E171,"0.0X")))</f>
        <v>45.0%/55.0% to 99.0X, then 90.0%/10.0% to 99.0X</v>
      </c>
      <c r="K171" s="49"/>
      <c r="L171" s="49"/>
      <c r="M171" s="49"/>
      <c r="N171" s="4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</row>
    <row r="172" spans="2:129" outlineLevel="1" x14ac:dyDescent="0.2">
      <c r="B172" s="16" t="str">
        <f>B19</f>
        <v>NOT USED</v>
      </c>
      <c r="C172" s="132">
        <f>C19</f>
        <v>0</v>
      </c>
      <c r="D172" s="51"/>
      <c r="E172" s="52"/>
      <c r="F172" s="48"/>
      <c r="G172" s="33"/>
      <c r="H172" s="109">
        <f>IF(H19="","",H19)</f>
        <v>9.9999999999999978E-2</v>
      </c>
      <c r="I172" s="33">
        <f t="shared" si="201"/>
        <v>0.9</v>
      </c>
      <c r="J172" s="149" t="str">
        <f t="shared" si="202"/>
        <v>90.0%/10.0% to 99.0X, then 90.0%/10.0% to 0.0X</v>
      </c>
      <c r="K172" s="149"/>
      <c r="L172" s="149"/>
      <c r="M172" s="149"/>
      <c r="N172" s="14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</row>
    <row r="173" spans="2:129" outlineLevel="1" x14ac:dyDescent="0.2">
      <c r="B173" s="16"/>
      <c r="C173" s="16"/>
      <c r="D173" s="54"/>
      <c r="E173" s="52"/>
      <c r="F173" s="26"/>
      <c r="G173" s="55"/>
      <c r="H173" s="56"/>
      <c r="I173" s="56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</row>
    <row r="174" spans="2:129" ht="16" outlineLevel="1" x14ac:dyDescent="0.2">
      <c r="B174" s="105" t="s">
        <v>26</v>
      </c>
      <c r="C174" s="100"/>
      <c r="D174" s="111"/>
      <c r="E174" s="112"/>
      <c r="F174" s="113">
        <f>F$21</f>
        <v>0</v>
      </c>
      <c r="G174" s="113">
        <f t="shared" ref="G174:BR174" si="203">G$21</f>
        <v>1</v>
      </c>
      <c r="H174" s="113">
        <f t="shared" si="203"/>
        <v>2</v>
      </c>
      <c r="I174" s="113">
        <f t="shared" si="203"/>
        <v>3</v>
      </c>
      <c r="J174" s="113">
        <f t="shared" si="203"/>
        <v>4</v>
      </c>
      <c r="K174" s="113">
        <f t="shared" si="203"/>
        <v>5</v>
      </c>
      <c r="L174" s="113">
        <f t="shared" si="203"/>
        <v>6</v>
      </c>
      <c r="M174" s="113">
        <f t="shared" si="203"/>
        <v>7</v>
      </c>
      <c r="N174" s="113">
        <f t="shared" si="203"/>
        <v>8</v>
      </c>
      <c r="O174" s="113">
        <f t="shared" si="203"/>
        <v>9</v>
      </c>
      <c r="P174" s="113">
        <f t="shared" si="203"/>
        <v>10</v>
      </c>
      <c r="Q174" s="113">
        <f t="shared" si="203"/>
        <v>11</v>
      </c>
      <c r="R174" s="113">
        <f t="shared" si="203"/>
        <v>12</v>
      </c>
      <c r="S174" s="113">
        <f t="shared" si="203"/>
        <v>13</v>
      </c>
      <c r="T174" s="113">
        <f t="shared" si="203"/>
        <v>14</v>
      </c>
      <c r="U174" s="113">
        <f t="shared" si="203"/>
        <v>15</v>
      </c>
      <c r="V174" s="113">
        <f t="shared" si="203"/>
        <v>16</v>
      </c>
      <c r="W174" s="113">
        <f t="shared" si="203"/>
        <v>17</v>
      </c>
      <c r="X174" s="113">
        <f t="shared" si="203"/>
        <v>18</v>
      </c>
      <c r="Y174" s="113">
        <f t="shared" si="203"/>
        <v>19</v>
      </c>
      <c r="Z174" s="113">
        <f t="shared" si="203"/>
        <v>20</v>
      </c>
      <c r="AA174" s="113">
        <f t="shared" si="203"/>
        <v>21</v>
      </c>
      <c r="AB174" s="113">
        <f t="shared" si="203"/>
        <v>22</v>
      </c>
      <c r="AC174" s="113">
        <f t="shared" si="203"/>
        <v>23</v>
      </c>
      <c r="AD174" s="113">
        <f t="shared" si="203"/>
        <v>24</v>
      </c>
      <c r="AE174" s="113">
        <f t="shared" si="203"/>
        <v>25</v>
      </c>
      <c r="AF174" s="113">
        <f t="shared" si="203"/>
        <v>26</v>
      </c>
      <c r="AG174" s="113">
        <f t="shared" si="203"/>
        <v>27</v>
      </c>
      <c r="AH174" s="113">
        <f t="shared" si="203"/>
        <v>28</v>
      </c>
      <c r="AI174" s="113">
        <f t="shared" si="203"/>
        <v>29</v>
      </c>
      <c r="AJ174" s="113">
        <f t="shared" si="203"/>
        <v>30</v>
      </c>
      <c r="AK174" s="113">
        <f t="shared" si="203"/>
        <v>31</v>
      </c>
      <c r="AL174" s="113">
        <f t="shared" si="203"/>
        <v>32</v>
      </c>
      <c r="AM174" s="113">
        <f t="shared" si="203"/>
        <v>33</v>
      </c>
      <c r="AN174" s="113">
        <f t="shared" si="203"/>
        <v>34</v>
      </c>
      <c r="AO174" s="113">
        <f t="shared" si="203"/>
        <v>35</v>
      </c>
      <c r="AP174" s="113">
        <f t="shared" si="203"/>
        <v>36</v>
      </c>
      <c r="AQ174" s="113">
        <f t="shared" si="203"/>
        <v>37</v>
      </c>
      <c r="AR174" s="113">
        <f t="shared" si="203"/>
        <v>38</v>
      </c>
      <c r="AS174" s="113">
        <f t="shared" si="203"/>
        <v>39</v>
      </c>
      <c r="AT174" s="113">
        <f t="shared" si="203"/>
        <v>40</v>
      </c>
      <c r="AU174" s="113">
        <f t="shared" si="203"/>
        <v>41</v>
      </c>
      <c r="AV174" s="113">
        <f t="shared" si="203"/>
        <v>42</v>
      </c>
      <c r="AW174" s="113">
        <f t="shared" si="203"/>
        <v>43</v>
      </c>
      <c r="AX174" s="113">
        <f t="shared" si="203"/>
        <v>44</v>
      </c>
      <c r="AY174" s="113">
        <f t="shared" si="203"/>
        <v>45</v>
      </c>
      <c r="AZ174" s="113">
        <f t="shared" si="203"/>
        <v>46</v>
      </c>
      <c r="BA174" s="113">
        <f t="shared" si="203"/>
        <v>47</v>
      </c>
      <c r="BB174" s="113">
        <f t="shared" si="203"/>
        <v>48</v>
      </c>
      <c r="BC174" s="113">
        <f t="shared" si="203"/>
        <v>49</v>
      </c>
      <c r="BD174" s="113">
        <f t="shared" si="203"/>
        <v>50</v>
      </c>
      <c r="BE174" s="113">
        <f t="shared" si="203"/>
        <v>51</v>
      </c>
      <c r="BF174" s="113">
        <f t="shared" si="203"/>
        <v>52</v>
      </c>
      <c r="BG174" s="113">
        <f t="shared" si="203"/>
        <v>53</v>
      </c>
      <c r="BH174" s="113">
        <f t="shared" si="203"/>
        <v>54</v>
      </c>
      <c r="BI174" s="113">
        <f t="shared" si="203"/>
        <v>55</v>
      </c>
      <c r="BJ174" s="113">
        <f t="shared" si="203"/>
        <v>56</v>
      </c>
      <c r="BK174" s="113">
        <f t="shared" si="203"/>
        <v>57</v>
      </c>
      <c r="BL174" s="113">
        <f t="shared" si="203"/>
        <v>58</v>
      </c>
      <c r="BM174" s="113">
        <f t="shared" si="203"/>
        <v>59</v>
      </c>
      <c r="BN174" s="113">
        <f t="shared" si="203"/>
        <v>60</v>
      </c>
      <c r="BO174" s="113">
        <f t="shared" si="203"/>
        <v>61</v>
      </c>
      <c r="BP174" s="113">
        <f t="shared" si="203"/>
        <v>62</v>
      </c>
      <c r="BQ174" s="113">
        <f t="shared" si="203"/>
        <v>63</v>
      </c>
      <c r="BR174" s="113">
        <f t="shared" si="203"/>
        <v>64</v>
      </c>
      <c r="BS174" s="113">
        <f t="shared" ref="BS174:DV174" si="204">BS$21</f>
        <v>65</v>
      </c>
      <c r="BT174" s="113">
        <f t="shared" si="204"/>
        <v>66</v>
      </c>
      <c r="BU174" s="113">
        <f t="shared" si="204"/>
        <v>67</v>
      </c>
      <c r="BV174" s="113">
        <f t="shared" si="204"/>
        <v>68</v>
      </c>
      <c r="BW174" s="113">
        <f t="shared" si="204"/>
        <v>69</v>
      </c>
      <c r="BX174" s="113">
        <f t="shared" si="204"/>
        <v>70</v>
      </c>
      <c r="BY174" s="113">
        <f t="shared" si="204"/>
        <v>71</v>
      </c>
      <c r="BZ174" s="113">
        <f t="shared" si="204"/>
        <v>72</v>
      </c>
      <c r="CA174" s="113">
        <f t="shared" si="204"/>
        <v>73</v>
      </c>
      <c r="CB174" s="113">
        <f t="shared" si="204"/>
        <v>74</v>
      </c>
      <c r="CC174" s="113">
        <f t="shared" si="204"/>
        <v>75</v>
      </c>
      <c r="CD174" s="113">
        <f t="shared" si="204"/>
        <v>76</v>
      </c>
      <c r="CE174" s="113">
        <f t="shared" si="204"/>
        <v>77</v>
      </c>
      <c r="CF174" s="113">
        <f t="shared" si="204"/>
        <v>78</v>
      </c>
      <c r="CG174" s="113">
        <f t="shared" si="204"/>
        <v>79</v>
      </c>
      <c r="CH174" s="113">
        <f t="shared" si="204"/>
        <v>80</v>
      </c>
      <c r="CI174" s="113">
        <f t="shared" si="204"/>
        <v>81</v>
      </c>
      <c r="CJ174" s="113">
        <f t="shared" si="204"/>
        <v>82</v>
      </c>
      <c r="CK174" s="113">
        <f t="shared" si="204"/>
        <v>83</v>
      </c>
      <c r="CL174" s="113">
        <f t="shared" si="204"/>
        <v>84</v>
      </c>
      <c r="CM174" s="113">
        <f t="shared" si="204"/>
        <v>85</v>
      </c>
      <c r="CN174" s="113">
        <f t="shared" si="204"/>
        <v>86</v>
      </c>
      <c r="CO174" s="113">
        <f t="shared" si="204"/>
        <v>87</v>
      </c>
      <c r="CP174" s="113">
        <f t="shared" si="204"/>
        <v>88</v>
      </c>
      <c r="CQ174" s="113">
        <f t="shared" si="204"/>
        <v>89</v>
      </c>
      <c r="CR174" s="113">
        <f t="shared" si="204"/>
        <v>90</v>
      </c>
      <c r="CS174" s="113">
        <f t="shared" si="204"/>
        <v>91</v>
      </c>
      <c r="CT174" s="113">
        <f t="shared" si="204"/>
        <v>92</v>
      </c>
      <c r="CU174" s="113">
        <f t="shared" si="204"/>
        <v>93</v>
      </c>
      <c r="CV174" s="113">
        <f t="shared" si="204"/>
        <v>94</v>
      </c>
      <c r="CW174" s="113">
        <f t="shared" si="204"/>
        <v>95</v>
      </c>
      <c r="CX174" s="113" t="str">
        <f t="shared" si="204"/>
        <v/>
      </c>
      <c r="CY174" s="113" t="str">
        <f t="shared" si="204"/>
        <v/>
      </c>
      <c r="CZ174" s="113" t="str">
        <f t="shared" si="204"/>
        <v/>
      </c>
      <c r="DA174" s="113" t="str">
        <f t="shared" si="204"/>
        <v/>
      </c>
      <c r="DB174" s="113" t="str">
        <f t="shared" si="204"/>
        <v/>
      </c>
      <c r="DC174" s="113" t="str">
        <f t="shared" si="204"/>
        <v/>
      </c>
      <c r="DD174" s="113" t="str">
        <f t="shared" si="204"/>
        <v/>
      </c>
      <c r="DE174" s="113" t="str">
        <f t="shared" si="204"/>
        <v/>
      </c>
      <c r="DF174" s="113" t="str">
        <f t="shared" si="204"/>
        <v/>
      </c>
      <c r="DG174" s="113" t="str">
        <f t="shared" si="204"/>
        <v/>
      </c>
      <c r="DH174" s="113" t="str">
        <f t="shared" si="204"/>
        <v/>
      </c>
      <c r="DI174" s="113" t="str">
        <f t="shared" si="204"/>
        <v/>
      </c>
      <c r="DJ174" s="113" t="str">
        <f t="shared" si="204"/>
        <v/>
      </c>
      <c r="DK174" s="113" t="str">
        <f t="shared" si="204"/>
        <v/>
      </c>
      <c r="DL174" s="113" t="str">
        <f t="shared" si="204"/>
        <v/>
      </c>
      <c r="DM174" s="113" t="str">
        <f t="shared" si="204"/>
        <v/>
      </c>
      <c r="DN174" s="113" t="str">
        <f t="shared" si="204"/>
        <v/>
      </c>
      <c r="DO174" s="113" t="str">
        <f t="shared" si="204"/>
        <v/>
      </c>
      <c r="DP174" s="113" t="str">
        <f t="shared" si="204"/>
        <v/>
      </c>
      <c r="DQ174" s="113" t="str">
        <f t="shared" si="204"/>
        <v/>
      </c>
      <c r="DR174" s="113" t="str">
        <f t="shared" si="204"/>
        <v/>
      </c>
      <c r="DS174" s="113" t="str">
        <f t="shared" si="204"/>
        <v/>
      </c>
      <c r="DT174" s="113" t="str">
        <f t="shared" si="204"/>
        <v/>
      </c>
      <c r="DU174" s="113" t="str">
        <f t="shared" si="204"/>
        <v/>
      </c>
      <c r="DV174" s="113" t="str">
        <f t="shared" si="204"/>
        <v/>
      </c>
      <c r="DW174" s="114"/>
      <c r="DX174" s="114"/>
      <c r="DY174" s="115"/>
    </row>
    <row r="175" spans="2:129" outlineLevel="1" x14ac:dyDescent="0.2">
      <c r="B175" s="61" t="s">
        <v>28</v>
      </c>
      <c r="C175" s="16"/>
      <c r="D175" s="54"/>
      <c r="E175" s="52"/>
      <c r="F175" s="63"/>
      <c r="G175" s="64"/>
      <c r="H175" s="65"/>
      <c r="I175" s="65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66"/>
      <c r="AU175" s="66"/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/>
      <c r="BJ175" s="66"/>
      <c r="BK175" s="66"/>
      <c r="BL175" s="66"/>
      <c r="BM175" s="66"/>
      <c r="BN175" s="66"/>
      <c r="BO175" s="66"/>
      <c r="BP175" s="66"/>
      <c r="BQ175" s="66"/>
      <c r="BR175" s="66"/>
      <c r="BS175" s="66"/>
      <c r="BT175" s="66"/>
      <c r="BU175" s="66"/>
      <c r="BV175" s="66"/>
      <c r="BW175" s="66"/>
      <c r="BX175" s="66"/>
      <c r="BY175" s="66"/>
      <c r="BZ175" s="66"/>
      <c r="CA175" s="66"/>
      <c r="CB175" s="66"/>
      <c r="CC175" s="66"/>
      <c r="CD175" s="66"/>
      <c r="CE175" s="66"/>
      <c r="CF175" s="66"/>
      <c r="CG175" s="66"/>
      <c r="CH175" s="66"/>
      <c r="CI175" s="66"/>
      <c r="CJ175" s="66"/>
      <c r="CK175" s="66"/>
      <c r="CL175" s="66"/>
      <c r="CM175" s="66"/>
      <c r="CN175" s="66"/>
      <c r="CO175" s="66"/>
      <c r="CP175" s="66"/>
      <c r="CQ175" s="66"/>
      <c r="CR175" s="66"/>
      <c r="CS175" s="66"/>
      <c r="CT175" s="66"/>
      <c r="CU175" s="66"/>
      <c r="CV175" s="66"/>
      <c r="CW175" s="66"/>
      <c r="CX175" s="66"/>
      <c r="CY175" s="66"/>
      <c r="CZ175" s="66"/>
      <c r="DA175" s="66"/>
      <c r="DB175" s="66"/>
      <c r="DC175" s="66"/>
      <c r="DD175" s="66"/>
      <c r="DE175" s="66"/>
      <c r="DF175" s="66"/>
      <c r="DG175" s="66"/>
      <c r="DH175" s="66"/>
      <c r="DI175" s="66"/>
      <c r="DJ175" s="66"/>
      <c r="DK175" s="66"/>
      <c r="DL175" s="66"/>
      <c r="DM175" s="66"/>
      <c r="DN175" s="66"/>
      <c r="DO175" s="66"/>
      <c r="DP175" s="66"/>
      <c r="DQ175" s="66"/>
      <c r="DR175" s="66"/>
      <c r="DS175" s="66"/>
      <c r="DT175" s="66"/>
      <c r="DU175" s="66"/>
      <c r="DV175" s="66"/>
      <c r="DW175" s="66"/>
      <c r="DX175" s="66"/>
      <c r="DY175" s="17"/>
    </row>
    <row r="176" spans="2:129" outlineLevel="1" x14ac:dyDescent="0.2">
      <c r="B176" s="67" t="s">
        <v>33</v>
      </c>
      <c r="C176" s="16"/>
      <c r="D176" s="69">
        <f>SUM(F176:DY176)</f>
        <v>219117985.20000023</v>
      </c>
      <c r="E176" s="52"/>
      <c r="F176" s="24">
        <f>IF(F174="","",F208+F230+F245+F260+F267)</f>
        <v>0</v>
      </c>
      <c r="G176" s="24">
        <f t="shared" ref="G176:BR176" si="205">IF(G174="","",G208+G230+G245+G260+G267)</f>
        <v>0</v>
      </c>
      <c r="H176" s="24">
        <f t="shared" si="205"/>
        <v>0</v>
      </c>
      <c r="I176" s="24">
        <f t="shared" si="205"/>
        <v>0</v>
      </c>
      <c r="J176" s="24">
        <f t="shared" si="205"/>
        <v>0</v>
      </c>
      <c r="K176" s="24">
        <f t="shared" si="205"/>
        <v>0</v>
      </c>
      <c r="L176" s="24">
        <f t="shared" si="205"/>
        <v>0</v>
      </c>
      <c r="M176" s="24">
        <f t="shared" si="205"/>
        <v>0</v>
      </c>
      <c r="N176" s="24">
        <f t="shared" si="205"/>
        <v>0</v>
      </c>
      <c r="O176" s="24">
        <f t="shared" si="205"/>
        <v>0</v>
      </c>
      <c r="P176" s="24">
        <f t="shared" si="205"/>
        <v>0</v>
      </c>
      <c r="Q176" s="24">
        <f t="shared" si="205"/>
        <v>0</v>
      </c>
      <c r="R176" s="24">
        <f t="shared" si="205"/>
        <v>0</v>
      </c>
      <c r="S176" s="24">
        <f t="shared" si="205"/>
        <v>0</v>
      </c>
      <c r="T176" s="24">
        <f t="shared" si="205"/>
        <v>0</v>
      </c>
      <c r="U176" s="24">
        <f t="shared" si="205"/>
        <v>0</v>
      </c>
      <c r="V176" s="24">
        <f t="shared" si="205"/>
        <v>0</v>
      </c>
      <c r="W176" s="24">
        <f t="shared" si="205"/>
        <v>0</v>
      </c>
      <c r="X176" s="24">
        <f t="shared" si="205"/>
        <v>0</v>
      </c>
      <c r="Y176" s="24">
        <f t="shared" si="205"/>
        <v>0</v>
      </c>
      <c r="Z176" s="24">
        <f t="shared" si="205"/>
        <v>0</v>
      </c>
      <c r="AA176" s="24">
        <f t="shared" si="205"/>
        <v>0</v>
      </c>
      <c r="AB176" s="24">
        <f t="shared" si="205"/>
        <v>0</v>
      </c>
      <c r="AC176" s="24">
        <f t="shared" si="205"/>
        <v>0</v>
      </c>
      <c r="AD176" s="24">
        <f t="shared" si="205"/>
        <v>0</v>
      </c>
      <c r="AE176" s="24">
        <f t="shared" si="205"/>
        <v>25591908.600000001</v>
      </c>
      <c r="AF176" s="24">
        <f t="shared" si="205"/>
        <v>0</v>
      </c>
      <c r="AG176" s="24">
        <f t="shared" si="205"/>
        <v>0</v>
      </c>
      <c r="AH176" s="24">
        <f t="shared" si="205"/>
        <v>0</v>
      </c>
      <c r="AI176" s="24">
        <f t="shared" si="205"/>
        <v>0</v>
      </c>
      <c r="AJ176" s="24">
        <f t="shared" si="205"/>
        <v>0</v>
      </c>
      <c r="AK176" s="24">
        <f t="shared" si="205"/>
        <v>0</v>
      </c>
      <c r="AL176" s="24">
        <f t="shared" si="205"/>
        <v>0</v>
      </c>
      <c r="AM176" s="24">
        <f t="shared" si="205"/>
        <v>0</v>
      </c>
      <c r="AN176" s="24">
        <f t="shared" si="205"/>
        <v>0</v>
      </c>
      <c r="AO176" s="24">
        <f t="shared" si="205"/>
        <v>0</v>
      </c>
      <c r="AP176" s="24">
        <f t="shared" si="205"/>
        <v>0</v>
      </c>
      <c r="AQ176" s="24">
        <f t="shared" si="205"/>
        <v>0</v>
      </c>
      <c r="AR176" s="24">
        <f t="shared" si="205"/>
        <v>0</v>
      </c>
      <c r="AS176" s="24">
        <f t="shared" si="205"/>
        <v>0</v>
      </c>
      <c r="AT176" s="24">
        <f t="shared" si="205"/>
        <v>0</v>
      </c>
      <c r="AU176" s="24">
        <f t="shared" si="205"/>
        <v>37257084.899999999</v>
      </c>
      <c r="AV176" s="24">
        <f t="shared" si="205"/>
        <v>0</v>
      </c>
      <c r="AW176" s="24">
        <f t="shared" si="205"/>
        <v>0</v>
      </c>
      <c r="AX176" s="24">
        <f t="shared" si="205"/>
        <v>0</v>
      </c>
      <c r="AY176" s="24">
        <f t="shared" si="205"/>
        <v>0</v>
      </c>
      <c r="AZ176" s="24">
        <f t="shared" si="205"/>
        <v>0</v>
      </c>
      <c r="BA176" s="24">
        <f t="shared" si="205"/>
        <v>121944826.23750018</v>
      </c>
      <c r="BB176" s="24">
        <f t="shared" si="205"/>
        <v>0</v>
      </c>
      <c r="BC176" s="24">
        <f t="shared" si="205"/>
        <v>0</v>
      </c>
      <c r="BD176" s="24">
        <f t="shared" si="205"/>
        <v>0</v>
      </c>
      <c r="BE176" s="24">
        <f t="shared" si="205"/>
        <v>0</v>
      </c>
      <c r="BF176" s="24">
        <f t="shared" si="205"/>
        <v>0</v>
      </c>
      <c r="BG176" s="24">
        <f t="shared" si="205"/>
        <v>0</v>
      </c>
      <c r="BH176" s="24">
        <f t="shared" si="205"/>
        <v>0</v>
      </c>
      <c r="BI176" s="24">
        <f t="shared" si="205"/>
        <v>0</v>
      </c>
      <c r="BJ176" s="24">
        <f t="shared" si="205"/>
        <v>0</v>
      </c>
      <c r="BK176" s="24">
        <f t="shared" si="205"/>
        <v>0</v>
      </c>
      <c r="BL176" s="24">
        <f t="shared" si="205"/>
        <v>0</v>
      </c>
      <c r="BM176" s="24">
        <f t="shared" si="205"/>
        <v>0</v>
      </c>
      <c r="BN176" s="24">
        <f t="shared" si="205"/>
        <v>0</v>
      </c>
      <c r="BO176" s="24">
        <f t="shared" si="205"/>
        <v>0</v>
      </c>
      <c r="BP176" s="24">
        <f t="shared" si="205"/>
        <v>0</v>
      </c>
      <c r="BQ176" s="24">
        <f t="shared" si="205"/>
        <v>0</v>
      </c>
      <c r="BR176" s="24">
        <f t="shared" si="205"/>
        <v>0</v>
      </c>
      <c r="BS176" s="24">
        <f t="shared" ref="BS176:DV176" si="206">IF(BS174="","",BS208+BS230+BS245+BS260+BS267)</f>
        <v>0</v>
      </c>
      <c r="BT176" s="24">
        <f t="shared" si="206"/>
        <v>0</v>
      </c>
      <c r="BU176" s="24">
        <f t="shared" si="206"/>
        <v>0</v>
      </c>
      <c r="BV176" s="24">
        <f t="shared" si="206"/>
        <v>0</v>
      </c>
      <c r="BW176" s="24">
        <f t="shared" si="206"/>
        <v>0</v>
      </c>
      <c r="BX176" s="24">
        <f t="shared" si="206"/>
        <v>0</v>
      </c>
      <c r="BY176" s="24">
        <f t="shared" si="206"/>
        <v>5316225.3</v>
      </c>
      <c r="BZ176" s="24">
        <f t="shared" si="206"/>
        <v>3756239.4600000004</v>
      </c>
      <c r="CA176" s="24">
        <f t="shared" si="206"/>
        <v>0</v>
      </c>
      <c r="CB176" s="24">
        <f t="shared" si="206"/>
        <v>0</v>
      </c>
      <c r="CC176" s="24">
        <f t="shared" si="206"/>
        <v>0</v>
      </c>
      <c r="CD176" s="24">
        <f t="shared" si="206"/>
        <v>0</v>
      </c>
      <c r="CE176" s="24">
        <f t="shared" si="206"/>
        <v>8758336.9274999965</v>
      </c>
      <c r="CF176" s="24">
        <f t="shared" si="206"/>
        <v>0</v>
      </c>
      <c r="CG176" s="24">
        <f t="shared" si="206"/>
        <v>0</v>
      </c>
      <c r="CH176" s="24">
        <f t="shared" si="206"/>
        <v>0</v>
      </c>
      <c r="CI176" s="24">
        <f t="shared" si="206"/>
        <v>0</v>
      </c>
      <c r="CJ176" s="24">
        <f t="shared" si="206"/>
        <v>0</v>
      </c>
      <c r="CK176" s="24">
        <f t="shared" si="206"/>
        <v>0</v>
      </c>
      <c r="CL176" s="24">
        <f t="shared" si="206"/>
        <v>0</v>
      </c>
      <c r="CM176" s="24">
        <f t="shared" si="206"/>
        <v>0</v>
      </c>
      <c r="CN176" s="24">
        <f t="shared" si="206"/>
        <v>0</v>
      </c>
      <c r="CO176" s="24">
        <f t="shared" si="206"/>
        <v>0</v>
      </c>
      <c r="CP176" s="24">
        <f t="shared" si="206"/>
        <v>0</v>
      </c>
      <c r="CQ176" s="24">
        <f t="shared" si="206"/>
        <v>0</v>
      </c>
      <c r="CR176" s="24">
        <f t="shared" si="206"/>
        <v>0</v>
      </c>
      <c r="CS176" s="24">
        <f t="shared" si="206"/>
        <v>0</v>
      </c>
      <c r="CT176" s="24">
        <f t="shared" si="206"/>
        <v>0</v>
      </c>
      <c r="CU176" s="24">
        <f t="shared" si="206"/>
        <v>0</v>
      </c>
      <c r="CV176" s="24">
        <f t="shared" si="206"/>
        <v>0</v>
      </c>
      <c r="CW176" s="24">
        <f t="shared" si="206"/>
        <v>16493363.775</v>
      </c>
      <c r="CX176" s="24" t="str">
        <f t="shared" si="206"/>
        <v/>
      </c>
      <c r="CY176" s="24" t="str">
        <f t="shared" si="206"/>
        <v/>
      </c>
      <c r="CZ176" s="24" t="str">
        <f t="shared" si="206"/>
        <v/>
      </c>
      <c r="DA176" s="24" t="str">
        <f t="shared" si="206"/>
        <v/>
      </c>
      <c r="DB176" s="24" t="str">
        <f t="shared" si="206"/>
        <v/>
      </c>
      <c r="DC176" s="24" t="str">
        <f t="shared" si="206"/>
        <v/>
      </c>
      <c r="DD176" s="24" t="str">
        <f t="shared" si="206"/>
        <v/>
      </c>
      <c r="DE176" s="24" t="str">
        <f t="shared" si="206"/>
        <v/>
      </c>
      <c r="DF176" s="24" t="str">
        <f t="shared" si="206"/>
        <v/>
      </c>
      <c r="DG176" s="24" t="str">
        <f t="shared" si="206"/>
        <v/>
      </c>
      <c r="DH176" s="24" t="str">
        <f t="shared" si="206"/>
        <v/>
      </c>
      <c r="DI176" s="24" t="str">
        <f t="shared" si="206"/>
        <v/>
      </c>
      <c r="DJ176" s="24" t="str">
        <f t="shared" si="206"/>
        <v/>
      </c>
      <c r="DK176" s="24" t="str">
        <f t="shared" si="206"/>
        <v/>
      </c>
      <c r="DL176" s="24" t="str">
        <f t="shared" si="206"/>
        <v/>
      </c>
      <c r="DM176" s="24" t="str">
        <f t="shared" si="206"/>
        <v/>
      </c>
      <c r="DN176" s="24" t="str">
        <f t="shared" si="206"/>
        <v/>
      </c>
      <c r="DO176" s="24" t="str">
        <f t="shared" si="206"/>
        <v/>
      </c>
      <c r="DP176" s="24" t="str">
        <f t="shared" si="206"/>
        <v/>
      </c>
      <c r="DQ176" s="24" t="str">
        <f t="shared" si="206"/>
        <v/>
      </c>
      <c r="DR176" s="24" t="str">
        <f t="shared" si="206"/>
        <v/>
      </c>
      <c r="DS176" s="24" t="str">
        <f t="shared" si="206"/>
        <v/>
      </c>
      <c r="DT176" s="24" t="str">
        <f t="shared" si="206"/>
        <v/>
      </c>
      <c r="DU176" s="24" t="str">
        <f t="shared" si="206"/>
        <v/>
      </c>
      <c r="DV176" s="24" t="str">
        <f t="shared" si="206"/>
        <v/>
      </c>
      <c r="DW176" s="24"/>
      <c r="DX176" s="24"/>
      <c r="DY176" s="70"/>
    </row>
    <row r="177" spans="2:129" outlineLevel="1" x14ac:dyDescent="0.2">
      <c r="B177" s="67" t="s">
        <v>34</v>
      </c>
      <c r="C177" s="16"/>
      <c r="D177" s="69">
        <f>SUM(F177:DY177)</f>
        <v>125744781.60000014</v>
      </c>
      <c r="E177" s="52"/>
      <c r="F177" s="24">
        <f t="shared" ref="F177:BQ177" si="207">F204</f>
        <v>93624225.299999997</v>
      </c>
      <c r="G177" s="24">
        <f t="shared" si="207"/>
        <v>24225.3</v>
      </c>
      <c r="H177" s="24">
        <f t="shared" si="207"/>
        <v>24225.3</v>
      </c>
      <c r="I177" s="24">
        <f t="shared" si="207"/>
        <v>24225.3</v>
      </c>
      <c r="J177" s="24">
        <f t="shared" si="207"/>
        <v>24225.3</v>
      </c>
      <c r="K177" s="24">
        <f t="shared" si="207"/>
        <v>24225.3</v>
      </c>
      <c r="L177" s="24">
        <f t="shared" si="207"/>
        <v>24225.3</v>
      </c>
      <c r="M177" s="24">
        <f t="shared" si="207"/>
        <v>24225.3</v>
      </c>
      <c r="N177" s="24">
        <f t="shared" si="207"/>
        <v>24225.3</v>
      </c>
      <c r="O177" s="24">
        <f t="shared" si="207"/>
        <v>24225.3</v>
      </c>
      <c r="P177" s="24">
        <f t="shared" si="207"/>
        <v>24225.3</v>
      </c>
      <c r="Q177" s="24">
        <f t="shared" si="207"/>
        <v>24225.3</v>
      </c>
      <c r="R177" s="24">
        <f t="shared" si="207"/>
        <v>24225.3</v>
      </c>
      <c r="S177" s="24">
        <f t="shared" si="207"/>
        <v>24225.3</v>
      </c>
      <c r="T177" s="24">
        <f t="shared" si="207"/>
        <v>24225.3</v>
      </c>
      <c r="U177" s="24">
        <f t="shared" si="207"/>
        <v>24225.3</v>
      </c>
      <c r="V177" s="24">
        <f t="shared" si="207"/>
        <v>24225.3</v>
      </c>
      <c r="W177" s="24">
        <f t="shared" si="207"/>
        <v>24225.3</v>
      </c>
      <c r="X177" s="24">
        <f t="shared" si="207"/>
        <v>24225.3</v>
      </c>
      <c r="Y177" s="24">
        <f t="shared" si="207"/>
        <v>24225.3</v>
      </c>
      <c r="Z177" s="24">
        <f t="shared" si="207"/>
        <v>24225.3</v>
      </c>
      <c r="AA177" s="24">
        <f t="shared" si="207"/>
        <v>24225.3</v>
      </c>
      <c r="AB177" s="24">
        <f t="shared" si="207"/>
        <v>24225.3</v>
      </c>
      <c r="AC177" s="24">
        <f t="shared" si="207"/>
        <v>347943.60000000003</v>
      </c>
      <c r="AD177" s="24">
        <f t="shared" si="207"/>
        <v>842081.4</v>
      </c>
      <c r="AE177" s="24">
        <f t="shared" si="207"/>
        <v>0</v>
      </c>
      <c r="AF177" s="24">
        <f t="shared" si="207"/>
        <v>842081.4</v>
      </c>
      <c r="AG177" s="24">
        <f t="shared" si="207"/>
        <v>842081.4</v>
      </c>
      <c r="AH177" s="24">
        <f t="shared" si="207"/>
        <v>842081.4</v>
      </c>
      <c r="AI177" s="24">
        <f t="shared" si="207"/>
        <v>842081.4</v>
      </c>
      <c r="AJ177" s="24">
        <f t="shared" si="207"/>
        <v>842081.4</v>
      </c>
      <c r="AK177" s="24">
        <f t="shared" si="207"/>
        <v>842081.4</v>
      </c>
      <c r="AL177" s="24">
        <f t="shared" si="207"/>
        <v>842081.4</v>
      </c>
      <c r="AM177" s="24">
        <f t="shared" si="207"/>
        <v>678031.20000000007</v>
      </c>
      <c r="AN177" s="24">
        <f t="shared" si="207"/>
        <v>678031.20000000007</v>
      </c>
      <c r="AO177" s="24">
        <f t="shared" si="207"/>
        <v>884093.4</v>
      </c>
      <c r="AP177" s="24">
        <f t="shared" si="207"/>
        <v>608580.9</v>
      </c>
      <c r="AQ177" s="24">
        <f t="shared" si="207"/>
        <v>608580.9</v>
      </c>
      <c r="AR177" s="24">
        <f t="shared" si="207"/>
        <v>608580.9</v>
      </c>
      <c r="AS177" s="24">
        <f t="shared" si="207"/>
        <v>608580.9</v>
      </c>
      <c r="AT177" s="24">
        <f t="shared" si="207"/>
        <v>608580.9</v>
      </c>
      <c r="AU177" s="24">
        <f t="shared" si="207"/>
        <v>0</v>
      </c>
      <c r="AV177" s="24">
        <f t="shared" si="207"/>
        <v>670845.6</v>
      </c>
      <c r="AW177" s="24">
        <f t="shared" si="207"/>
        <v>670845.6</v>
      </c>
      <c r="AX177" s="24">
        <f t="shared" si="207"/>
        <v>670845.6</v>
      </c>
      <c r="AY177" s="24">
        <f t="shared" si="207"/>
        <v>670845.6</v>
      </c>
      <c r="AZ177" s="24">
        <f t="shared" si="207"/>
        <v>670845.6</v>
      </c>
      <c r="BA177" s="24">
        <f t="shared" si="207"/>
        <v>0</v>
      </c>
      <c r="BB177" s="24">
        <f t="shared" si="207"/>
        <v>501548.4</v>
      </c>
      <c r="BC177" s="24">
        <f t="shared" si="207"/>
        <v>501548.4</v>
      </c>
      <c r="BD177" s="24">
        <f t="shared" si="207"/>
        <v>501548.4</v>
      </c>
      <c r="BE177" s="24">
        <f t="shared" si="207"/>
        <v>501548.4</v>
      </c>
      <c r="BF177" s="24">
        <f t="shared" si="207"/>
        <v>501548.4</v>
      </c>
      <c r="BG177" s="24">
        <f t="shared" si="207"/>
        <v>501548.4</v>
      </c>
      <c r="BH177" s="24">
        <f t="shared" si="207"/>
        <v>501548.4</v>
      </c>
      <c r="BI177" s="24">
        <f t="shared" si="207"/>
        <v>501548.4</v>
      </c>
      <c r="BJ177" s="24">
        <f t="shared" si="207"/>
        <v>501548.4</v>
      </c>
      <c r="BK177" s="24">
        <f t="shared" si="207"/>
        <v>501548.4</v>
      </c>
      <c r="BL177" s="24">
        <f t="shared" si="207"/>
        <v>501548.4</v>
      </c>
      <c r="BM177" s="24">
        <f t="shared" si="207"/>
        <v>368838.9</v>
      </c>
      <c r="BN177" s="24">
        <f t="shared" si="207"/>
        <v>368838.9</v>
      </c>
      <c r="BO177" s="24">
        <f t="shared" si="207"/>
        <v>368838.9</v>
      </c>
      <c r="BP177" s="24">
        <f t="shared" si="207"/>
        <v>227774.7</v>
      </c>
      <c r="BQ177" s="24">
        <f t="shared" si="207"/>
        <v>227774.7</v>
      </c>
      <c r="BR177" s="24">
        <f t="shared" ref="BR177:DV177" si="208">BR204</f>
        <v>227774.7</v>
      </c>
      <c r="BS177" s="24">
        <f t="shared" si="208"/>
        <v>227774.7</v>
      </c>
      <c r="BT177" s="24">
        <f t="shared" si="208"/>
        <v>227774.7</v>
      </c>
      <c r="BU177" s="24">
        <f t="shared" si="208"/>
        <v>227774.7</v>
      </c>
      <c r="BV177" s="24">
        <f t="shared" si="208"/>
        <v>227774.7</v>
      </c>
      <c r="BW177" s="24">
        <f t="shared" si="208"/>
        <v>227774.7</v>
      </c>
      <c r="BX177" s="24">
        <f t="shared" si="208"/>
        <v>227774.7</v>
      </c>
      <c r="BY177" s="24">
        <f t="shared" si="208"/>
        <v>0</v>
      </c>
      <c r="BZ177" s="24">
        <f t="shared" si="208"/>
        <v>0</v>
      </c>
      <c r="CA177" s="24">
        <f t="shared" si="208"/>
        <v>227774.7</v>
      </c>
      <c r="CB177" s="24">
        <f t="shared" si="208"/>
        <v>227774.7</v>
      </c>
      <c r="CC177" s="24">
        <f t="shared" si="208"/>
        <v>227774.7</v>
      </c>
      <c r="CD177" s="24">
        <f t="shared" si="208"/>
        <v>227774.7</v>
      </c>
      <c r="CE177" s="24">
        <f t="shared" si="208"/>
        <v>0</v>
      </c>
      <c r="CF177" s="24">
        <f t="shared" si="208"/>
        <v>0</v>
      </c>
      <c r="CG177" s="24">
        <f t="shared" si="208"/>
        <v>0</v>
      </c>
      <c r="CH177" s="24">
        <f t="shared" si="208"/>
        <v>0</v>
      </c>
      <c r="CI177" s="24">
        <f t="shared" si="208"/>
        <v>0</v>
      </c>
      <c r="CJ177" s="24">
        <f t="shared" si="208"/>
        <v>0</v>
      </c>
      <c r="CK177" s="24">
        <f t="shared" si="208"/>
        <v>523424.7</v>
      </c>
      <c r="CL177" s="24">
        <f t="shared" si="208"/>
        <v>523424.7</v>
      </c>
      <c r="CM177" s="24">
        <f t="shared" si="208"/>
        <v>523424.7</v>
      </c>
      <c r="CN177" s="24">
        <f t="shared" si="208"/>
        <v>523424.7</v>
      </c>
      <c r="CO177" s="24">
        <f t="shared" si="208"/>
        <v>523424.7</v>
      </c>
      <c r="CP177" s="24">
        <f t="shared" si="208"/>
        <v>523424.7</v>
      </c>
      <c r="CQ177" s="24">
        <f t="shared" si="208"/>
        <v>523424.7</v>
      </c>
      <c r="CR177" s="24">
        <f t="shared" si="208"/>
        <v>523424.7</v>
      </c>
      <c r="CS177" s="24">
        <f t="shared" si="208"/>
        <v>523424.7</v>
      </c>
      <c r="CT177" s="24">
        <f t="shared" si="208"/>
        <v>523424.7</v>
      </c>
      <c r="CU177" s="24">
        <f t="shared" si="208"/>
        <v>523424.7</v>
      </c>
      <c r="CV177" s="24">
        <f t="shared" si="208"/>
        <v>523424.7</v>
      </c>
      <c r="CW177" s="24">
        <f t="shared" si="208"/>
        <v>0</v>
      </c>
      <c r="CX177" s="24" t="str">
        <f t="shared" si="208"/>
        <v/>
      </c>
      <c r="CY177" s="24" t="str">
        <f t="shared" si="208"/>
        <v/>
      </c>
      <c r="CZ177" s="24" t="str">
        <f t="shared" si="208"/>
        <v/>
      </c>
      <c r="DA177" s="24" t="str">
        <f t="shared" si="208"/>
        <v/>
      </c>
      <c r="DB177" s="24" t="str">
        <f t="shared" si="208"/>
        <v/>
      </c>
      <c r="DC177" s="24" t="str">
        <f t="shared" si="208"/>
        <v/>
      </c>
      <c r="DD177" s="24" t="str">
        <f t="shared" si="208"/>
        <v/>
      </c>
      <c r="DE177" s="24" t="str">
        <f t="shared" si="208"/>
        <v/>
      </c>
      <c r="DF177" s="24" t="str">
        <f t="shared" si="208"/>
        <v/>
      </c>
      <c r="DG177" s="24" t="str">
        <f t="shared" si="208"/>
        <v/>
      </c>
      <c r="DH177" s="24" t="str">
        <f t="shared" si="208"/>
        <v/>
      </c>
      <c r="DI177" s="24" t="str">
        <f t="shared" si="208"/>
        <v/>
      </c>
      <c r="DJ177" s="24" t="str">
        <f t="shared" si="208"/>
        <v/>
      </c>
      <c r="DK177" s="24" t="str">
        <f t="shared" si="208"/>
        <v/>
      </c>
      <c r="DL177" s="24" t="str">
        <f t="shared" si="208"/>
        <v/>
      </c>
      <c r="DM177" s="24" t="str">
        <f t="shared" si="208"/>
        <v/>
      </c>
      <c r="DN177" s="24" t="str">
        <f t="shared" si="208"/>
        <v/>
      </c>
      <c r="DO177" s="24" t="str">
        <f t="shared" si="208"/>
        <v/>
      </c>
      <c r="DP177" s="24" t="str">
        <f t="shared" si="208"/>
        <v/>
      </c>
      <c r="DQ177" s="24" t="str">
        <f t="shared" si="208"/>
        <v/>
      </c>
      <c r="DR177" s="24" t="str">
        <f t="shared" si="208"/>
        <v/>
      </c>
      <c r="DS177" s="24" t="str">
        <f t="shared" si="208"/>
        <v/>
      </c>
      <c r="DT177" s="24" t="str">
        <f t="shared" si="208"/>
        <v/>
      </c>
      <c r="DU177" s="24" t="str">
        <f t="shared" si="208"/>
        <v/>
      </c>
      <c r="DV177" s="24" t="str">
        <f t="shared" si="208"/>
        <v/>
      </c>
      <c r="DW177" s="24"/>
      <c r="DX177" s="24"/>
      <c r="DY177" s="70"/>
    </row>
    <row r="178" spans="2:129" outlineLevel="1" x14ac:dyDescent="0.2">
      <c r="B178" s="67" t="s">
        <v>35</v>
      </c>
      <c r="C178" s="16"/>
      <c r="D178" s="69">
        <f>D176-D177</f>
        <v>93373203.600000083</v>
      </c>
      <c r="E178" s="52"/>
      <c r="F178" s="76"/>
      <c r="G178" s="24"/>
      <c r="H178" s="77"/>
      <c r="I178" s="77"/>
      <c r="J178" s="77"/>
      <c r="K178" s="77"/>
      <c r="L178" s="77"/>
      <c r="M178" s="77"/>
      <c r="N178" s="77"/>
      <c r="O178" s="77"/>
      <c r="P178" s="77"/>
      <c r="Q178" s="77"/>
      <c r="R178" s="77"/>
      <c r="S178" s="77"/>
      <c r="T178" s="77"/>
      <c r="U178" s="77"/>
      <c r="V178" s="77"/>
      <c r="W178" s="77"/>
      <c r="X178" s="77"/>
      <c r="Y178" s="77"/>
      <c r="Z178" s="77"/>
      <c r="AA178" s="77"/>
      <c r="AB178" s="77"/>
      <c r="AC178" s="77"/>
      <c r="AD178" s="77"/>
      <c r="AE178" s="77"/>
      <c r="AF178" s="77"/>
      <c r="AG178" s="77"/>
      <c r="AH178" s="77"/>
      <c r="AI178" s="77"/>
      <c r="AJ178" s="77"/>
      <c r="AK178" s="77"/>
      <c r="AL178" s="77"/>
      <c r="AM178" s="77"/>
      <c r="AN178" s="77"/>
      <c r="AO178" s="77"/>
      <c r="AP178" s="77"/>
      <c r="AQ178" s="77"/>
      <c r="AR178" s="77"/>
      <c r="AS178" s="77"/>
      <c r="AT178" s="77"/>
      <c r="AU178" s="77"/>
      <c r="AV178" s="77"/>
      <c r="AW178" s="77"/>
      <c r="AX178" s="77"/>
      <c r="AY178" s="77"/>
      <c r="AZ178" s="77"/>
      <c r="BA178" s="77"/>
      <c r="BB178" s="77"/>
      <c r="BC178" s="77"/>
      <c r="BD178" s="77"/>
      <c r="BE178" s="77"/>
      <c r="BF178" s="77"/>
      <c r="BG178" s="77"/>
      <c r="BH178" s="77"/>
      <c r="BI178" s="77"/>
      <c r="BJ178" s="77"/>
      <c r="BK178" s="77"/>
      <c r="BL178" s="77"/>
      <c r="BM178" s="77"/>
      <c r="BN178" s="77"/>
      <c r="BO178" s="77"/>
      <c r="BP178" s="77"/>
      <c r="BQ178" s="77"/>
      <c r="BR178" s="77"/>
      <c r="BS178" s="77"/>
      <c r="BT178" s="77"/>
      <c r="BU178" s="77"/>
      <c r="BV178" s="77"/>
      <c r="BW178" s="77"/>
      <c r="BX178" s="77"/>
      <c r="BY178" s="77"/>
      <c r="BZ178" s="77"/>
      <c r="CA178" s="77"/>
      <c r="CB178" s="77"/>
      <c r="CC178" s="77"/>
      <c r="CD178" s="77"/>
      <c r="CE178" s="77"/>
      <c r="CF178" s="77"/>
      <c r="CG178" s="77"/>
      <c r="CH178" s="77"/>
      <c r="CI178" s="77"/>
      <c r="CJ178" s="77"/>
      <c r="CK178" s="77"/>
      <c r="CL178" s="77"/>
      <c r="CM178" s="77"/>
      <c r="CN178" s="77"/>
      <c r="CO178" s="77"/>
      <c r="CP178" s="77"/>
      <c r="CQ178" s="77"/>
      <c r="CR178" s="77"/>
      <c r="CS178" s="77"/>
      <c r="CT178" s="77"/>
      <c r="CU178" s="77"/>
      <c r="CV178" s="77"/>
      <c r="CW178" s="77"/>
      <c r="CX178" s="77"/>
      <c r="CY178" s="77"/>
      <c r="CZ178" s="77"/>
      <c r="DA178" s="77"/>
      <c r="DB178" s="77"/>
      <c r="DC178" s="77"/>
      <c r="DD178" s="77"/>
      <c r="DE178" s="77"/>
      <c r="DF178" s="77"/>
      <c r="DG178" s="77"/>
      <c r="DH178" s="77"/>
      <c r="DI178" s="77"/>
      <c r="DJ178" s="77"/>
      <c r="DK178" s="77"/>
      <c r="DL178" s="77"/>
      <c r="DM178" s="77"/>
      <c r="DN178" s="77"/>
      <c r="DO178" s="77"/>
      <c r="DP178" s="77"/>
      <c r="DQ178" s="77"/>
      <c r="DR178" s="77"/>
      <c r="DS178" s="77"/>
      <c r="DT178" s="77"/>
      <c r="DU178" s="77"/>
      <c r="DV178" s="77"/>
      <c r="DW178" s="77"/>
      <c r="DX178" s="77"/>
      <c r="DY178" s="78"/>
    </row>
    <row r="179" spans="2:129" outlineLevel="1" x14ac:dyDescent="0.2">
      <c r="B179" s="67" t="s">
        <v>36</v>
      </c>
      <c r="C179" s="16"/>
      <c r="D179" s="79">
        <f ca="1">XIRR(OFFSET(F179,0,0,1,$E$21+1),OFFSET($F$46,0,0,1,$E$21+1))</f>
        <v>0.19249784350395205</v>
      </c>
      <c r="E179" s="52"/>
      <c r="F179" s="24">
        <f t="shared" ref="F179:BQ179" si="209">IF(F174="","",(-F177)+F176)</f>
        <v>-93624225.299999997</v>
      </c>
      <c r="G179" s="24">
        <f t="shared" si="209"/>
        <v>-24225.3</v>
      </c>
      <c r="H179" s="24">
        <f t="shared" si="209"/>
        <v>-24225.3</v>
      </c>
      <c r="I179" s="24">
        <f t="shared" si="209"/>
        <v>-24225.3</v>
      </c>
      <c r="J179" s="24">
        <f t="shared" si="209"/>
        <v>-24225.3</v>
      </c>
      <c r="K179" s="24">
        <f t="shared" si="209"/>
        <v>-24225.3</v>
      </c>
      <c r="L179" s="24">
        <f t="shared" si="209"/>
        <v>-24225.3</v>
      </c>
      <c r="M179" s="24">
        <f t="shared" si="209"/>
        <v>-24225.3</v>
      </c>
      <c r="N179" s="24">
        <f t="shared" si="209"/>
        <v>-24225.3</v>
      </c>
      <c r="O179" s="24">
        <f t="shared" si="209"/>
        <v>-24225.3</v>
      </c>
      <c r="P179" s="24">
        <f t="shared" si="209"/>
        <v>-24225.3</v>
      </c>
      <c r="Q179" s="24">
        <f t="shared" si="209"/>
        <v>-24225.3</v>
      </c>
      <c r="R179" s="24">
        <f t="shared" si="209"/>
        <v>-24225.3</v>
      </c>
      <c r="S179" s="24">
        <f t="shared" si="209"/>
        <v>-24225.3</v>
      </c>
      <c r="T179" s="24">
        <f t="shared" si="209"/>
        <v>-24225.3</v>
      </c>
      <c r="U179" s="24">
        <f t="shared" si="209"/>
        <v>-24225.3</v>
      </c>
      <c r="V179" s="24">
        <f t="shared" si="209"/>
        <v>-24225.3</v>
      </c>
      <c r="W179" s="24">
        <f t="shared" si="209"/>
        <v>-24225.3</v>
      </c>
      <c r="X179" s="24">
        <f t="shared" si="209"/>
        <v>-24225.3</v>
      </c>
      <c r="Y179" s="24">
        <f t="shared" si="209"/>
        <v>-24225.3</v>
      </c>
      <c r="Z179" s="24">
        <f t="shared" si="209"/>
        <v>-24225.3</v>
      </c>
      <c r="AA179" s="24">
        <f t="shared" si="209"/>
        <v>-24225.3</v>
      </c>
      <c r="AB179" s="24">
        <f t="shared" si="209"/>
        <v>-24225.3</v>
      </c>
      <c r="AC179" s="24">
        <f t="shared" si="209"/>
        <v>-347943.60000000003</v>
      </c>
      <c r="AD179" s="24">
        <f t="shared" si="209"/>
        <v>-842081.4</v>
      </c>
      <c r="AE179" s="24">
        <f t="shared" si="209"/>
        <v>25591908.600000001</v>
      </c>
      <c r="AF179" s="24">
        <f t="shared" si="209"/>
        <v>-842081.4</v>
      </c>
      <c r="AG179" s="24">
        <f t="shared" si="209"/>
        <v>-842081.4</v>
      </c>
      <c r="AH179" s="24">
        <f t="shared" si="209"/>
        <v>-842081.4</v>
      </c>
      <c r="AI179" s="24">
        <f t="shared" si="209"/>
        <v>-842081.4</v>
      </c>
      <c r="AJ179" s="24">
        <f t="shared" si="209"/>
        <v>-842081.4</v>
      </c>
      <c r="AK179" s="24">
        <f t="shared" si="209"/>
        <v>-842081.4</v>
      </c>
      <c r="AL179" s="24">
        <f t="shared" si="209"/>
        <v>-842081.4</v>
      </c>
      <c r="AM179" s="24">
        <f t="shared" si="209"/>
        <v>-678031.20000000007</v>
      </c>
      <c r="AN179" s="24">
        <f t="shared" si="209"/>
        <v>-678031.20000000007</v>
      </c>
      <c r="AO179" s="24">
        <f t="shared" si="209"/>
        <v>-884093.4</v>
      </c>
      <c r="AP179" s="24">
        <f t="shared" si="209"/>
        <v>-608580.9</v>
      </c>
      <c r="AQ179" s="24">
        <f t="shared" si="209"/>
        <v>-608580.9</v>
      </c>
      <c r="AR179" s="24">
        <f t="shared" si="209"/>
        <v>-608580.9</v>
      </c>
      <c r="AS179" s="24">
        <f t="shared" si="209"/>
        <v>-608580.9</v>
      </c>
      <c r="AT179" s="24">
        <f t="shared" si="209"/>
        <v>-608580.9</v>
      </c>
      <c r="AU179" s="24">
        <f t="shared" si="209"/>
        <v>37257084.899999999</v>
      </c>
      <c r="AV179" s="24">
        <f t="shared" si="209"/>
        <v>-670845.6</v>
      </c>
      <c r="AW179" s="24">
        <f t="shared" si="209"/>
        <v>-670845.6</v>
      </c>
      <c r="AX179" s="24">
        <f t="shared" si="209"/>
        <v>-670845.6</v>
      </c>
      <c r="AY179" s="24">
        <f t="shared" si="209"/>
        <v>-670845.6</v>
      </c>
      <c r="AZ179" s="24">
        <f t="shared" si="209"/>
        <v>-670845.6</v>
      </c>
      <c r="BA179" s="24">
        <f t="shared" si="209"/>
        <v>121944826.23750018</v>
      </c>
      <c r="BB179" s="24">
        <f t="shared" si="209"/>
        <v>-501548.4</v>
      </c>
      <c r="BC179" s="24">
        <f t="shared" si="209"/>
        <v>-501548.4</v>
      </c>
      <c r="BD179" s="24">
        <f t="shared" si="209"/>
        <v>-501548.4</v>
      </c>
      <c r="BE179" s="24">
        <f t="shared" si="209"/>
        <v>-501548.4</v>
      </c>
      <c r="BF179" s="24">
        <f t="shared" si="209"/>
        <v>-501548.4</v>
      </c>
      <c r="BG179" s="24">
        <f t="shared" si="209"/>
        <v>-501548.4</v>
      </c>
      <c r="BH179" s="24">
        <f t="shared" si="209"/>
        <v>-501548.4</v>
      </c>
      <c r="BI179" s="24">
        <f t="shared" si="209"/>
        <v>-501548.4</v>
      </c>
      <c r="BJ179" s="24">
        <f t="shared" si="209"/>
        <v>-501548.4</v>
      </c>
      <c r="BK179" s="24">
        <f t="shared" si="209"/>
        <v>-501548.4</v>
      </c>
      <c r="BL179" s="24">
        <f t="shared" si="209"/>
        <v>-501548.4</v>
      </c>
      <c r="BM179" s="24">
        <f t="shared" si="209"/>
        <v>-368838.9</v>
      </c>
      <c r="BN179" s="24">
        <f t="shared" si="209"/>
        <v>-368838.9</v>
      </c>
      <c r="BO179" s="24">
        <f t="shared" si="209"/>
        <v>-368838.9</v>
      </c>
      <c r="BP179" s="24">
        <f t="shared" si="209"/>
        <v>-227774.7</v>
      </c>
      <c r="BQ179" s="24">
        <f t="shared" si="209"/>
        <v>-227774.7</v>
      </c>
      <c r="BR179" s="24">
        <f t="shared" ref="BR179:DV179" si="210">IF(BR174="","",(-BR177)+BR176)</f>
        <v>-227774.7</v>
      </c>
      <c r="BS179" s="24">
        <f t="shared" si="210"/>
        <v>-227774.7</v>
      </c>
      <c r="BT179" s="24">
        <f t="shared" si="210"/>
        <v>-227774.7</v>
      </c>
      <c r="BU179" s="24">
        <f t="shared" si="210"/>
        <v>-227774.7</v>
      </c>
      <c r="BV179" s="24">
        <f t="shared" si="210"/>
        <v>-227774.7</v>
      </c>
      <c r="BW179" s="24">
        <f t="shared" si="210"/>
        <v>-227774.7</v>
      </c>
      <c r="BX179" s="24">
        <f t="shared" si="210"/>
        <v>-227774.7</v>
      </c>
      <c r="BY179" s="24">
        <f t="shared" si="210"/>
        <v>5316225.3</v>
      </c>
      <c r="BZ179" s="24">
        <f t="shared" si="210"/>
        <v>3756239.4600000004</v>
      </c>
      <c r="CA179" s="24">
        <f t="shared" si="210"/>
        <v>-227774.7</v>
      </c>
      <c r="CB179" s="24">
        <f t="shared" si="210"/>
        <v>-227774.7</v>
      </c>
      <c r="CC179" s="24">
        <f t="shared" si="210"/>
        <v>-227774.7</v>
      </c>
      <c r="CD179" s="24">
        <f t="shared" si="210"/>
        <v>-227774.7</v>
      </c>
      <c r="CE179" s="24">
        <f t="shared" si="210"/>
        <v>8758336.9274999965</v>
      </c>
      <c r="CF179" s="24">
        <f t="shared" si="210"/>
        <v>0</v>
      </c>
      <c r="CG179" s="24">
        <f t="shared" si="210"/>
        <v>0</v>
      </c>
      <c r="CH179" s="24">
        <f t="shared" si="210"/>
        <v>0</v>
      </c>
      <c r="CI179" s="24">
        <f t="shared" si="210"/>
        <v>0</v>
      </c>
      <c r="CJ179" s="24">
        <f t="shared" si="210"/>
        <v>0</v>
      </c>
      <c r="CK179" s="24">
        <f t="shared" si="210"/>
        <v>-523424.7</v>
      </c>
      <c r="CL179" s="24">
        <f t="shared" si="210"/>
        <v>-523424.7</v>
      </c>
      <c r="CM179" s="24">
        <f t="shared" si="210"/>
        <v>-523424.7</v>
      </c>
      <c r="CN179" s="24">
        <f t="shared" si="210"/>
        <v>-523424.7</v>
      </c>
      <c r="CO179" s="24">
        <f t="shared" si="210"/>
        <v>-523424.7</v>
      </c>
      <c r="CP179" s="24">
        <f t="shared" si="210"/>
        <v>-523424.7</v>
      </c>
      <c r="CQ179" s="24">
        <f t="shared" si="210"/>
        <v>-523424.7</v>
      </c>
      <c r="CR179" s="24">
        <f t="shared" si="210"/>
        <v>-523424.7</v>
      </c>
      <c r="CS179" s="24">
        <f t="shared" si="210"/>
        <v>-523424.7</v>
      </c>
      <c r="CT179" s="24">
        <f t="shared" si="210"/>
        <v>-523424.7</v>
      </c>
      <c r="CU179" s="24">
        <f t="shared" si="210"/>
        <v>-523424.7</v>
      </c>
      <c r="CV179" s="24">
        <f t="shared" si="210"/>
        <v>-523424.7</v>
      </c>
      <c r="CW179" s="24">
        <f t="shared" si="210"/>
        <v>16493363.775</v>
      </c>
      <c r="CX179" s="24" t="str">
        <f t="shared" si="210"/>
        <v/>
      </c>
      <c r="CY179" s="24" t="str">
        <f t="shared" si="210"/>
        <v/>
      </c>
      <c r="CZ179" s="24" t="str">
        <f t="shared" si="210"/>
        <v/>
      </c>
      <c r="DA179" s="24" t="str">
        <f t="shared" si="210"/>
        <v/>
      </c>
      <c r="DB179" s="24" t="str">
        <f t="shared" si="210"/>
        <v/>
      </c>
      <c r="DC179" s="24" t="str">
        <f t="shared" si="210"/>
        <v/>
      </c>
      <c r="DD179" s="24" t="str">
        <f t="shared" si="210"/>
        <v/>
      </c>
      <c r="DE179" s="24" t="str">
        <f t="shared" si="210"/>
        <v/>
      </c>
      <c r="DF179" s="24" t="str">
        <f t="shared" si="210"/>
        <v/>
      </c>
      <c r="DG179" s="24" t="str">
        <f t="shared" si="210"/>
        <v/>
      </c>
      <c r="DH179" s="24" t="str">
        <f t="shared" si="210"/>
        <v/>
      </c>
      <c r="DI179" s="24" t="str">
        <f t="shared" si="210"/>
        <v/>
      </c>
      <c r="DJ179" s="24" t="str">
        <f t="shared" si="210"/>
        <v/>
      </c>
      <c r="DK179" s="24" t="str">
        <f t="shared" si="210"/>
        <v/>
      </c>
      <c r="DL179" s="24" t="str">
        <f t="shared" si="210"/>
        <v/>
      </c>
      <c r="DM179" s="24" t="str">
        <f t="shared" si="210"/>
        <v/>
      </c>
      <c r="DN179" s="24" t="str">
        <f t="shared" si="210"/>
        <v/>
      </c>
      <c r="DO179" s="24" t="str">
        <f t="shared" si="210"/>
        <v/>
      </c>
      <c r="DP179" s="24" t="str">
        <f t="shared" si="210"/>
        <v/>
      </c>
      <c r="DQ179" s="24" t="str">
        <f t="shared" si="210"/>
        <v/>
      </c>
      <c r="DR179" s="24" t="str">
        <f t="shared" si="210"/>
        <v/>
      </c>
      <c r="DS179" s="24" t="str">
        <f t="shared" si="210"/>
        <v/>
      </c>
      <c r="DT179" s="24" t="str">
        <f t="shared" si="210"/>
        <v/>
      </c>
      <c r="DU179" s="24" t="str">
        <f t="shared" si="210"/>
        <v/>
      </c>
      <c r="DV179" s="24" t="str">
        <f t="shared" si="210"/>
        <v/>
      </c>
      <c r="DW179" s="24"/>
      <c r="DX179" s="24"/>
      <c r="DY179" s="70"/>
    </row>
    <row r="180" spans="2:129" outlineLevel="1" x14ac:dyDescent="0.2">
      <c r="B180" s="67" t="s">
        <v>37</v>
      </c>
      <c r="C180" s="16"/>
      <c r="D180" s="80">
        <f>D176/D177</f>
        <v>1.742561261086957</v>
      </c>
      <c r="E180" s="52"/>
      <c r="F180" s="76"/>
      <c r="G180" s="24"/>
      <c r="H180" s="77"/>
      <c r="I180" s="77"/>
      <c r="J180" s="77"/>
      <c r="K180" s="77"/>
      <c r="L180" s="77"/>
      <c r="M180" s="77"/>
      <c r="N180" s="77"/>
      <c r="O180" s="77"/>
      <c r="P180" s="77"/>
      <c r="Q180" s="77"/>
      <c r="R180" s="77"/>
      <c r="S180" s="77"/>
      <c r="T180" s="77"/>
      <c r="U180" s="77"/>
      <c r="V180" s="77"/>
      <c r="W180" s="77"/>
      <c r="X180" s="77"/>
      <c r="Y180" s="77"/>
      <c r="Z180" s="77"/>
      <c r="AA180" s="77"/>
      <c r="AB180" s="77"/>
      <c r="AC180" s="77"/>
      <c r="AD180" s="77"/>
      <c r="AE180" s="77"/>
      <c r="AF180" s="77"/>
      <c r="AG180" s="77"/>
      <c r="AH180" s="77"/>
      <c r="AI180" s="77"/>
      <c r="AJ180" s="77"/>
      <c r="AK180" s="77"/>
      <c r="AL180" s="77"/>
      <c r="AM180" s="77"/>
      <c r="AN180" s="77"/>
      <c r="AO180" s="77"/>
      <c r="AP180" s="77"/>
      <c r="AQ180" s="77"/>
      <c r="AR180" s="77"/>
      <c r="AS180" s="77"/>
      <c r="AT180" s="77"/>
      <c r="AU180" s="77"/>
      <c r="AV180" s="77"/>
      <c r="AW180" s="77"/>
      <c r="AX180" s="77"/>
      <c r="AY180" s="77"/>
      <c r="AZ180" s="77"/>
      <c r="BA180" s="77"/>
      <c r="BB180" s="77"/>
      <c r="BC180" s="77"/>
      <c r="BD180" s="77"/>
      <c r="BE180" s="77"/>
      <c r="BF180" s="77"/>
      <c r="BG180" s="77"/>
      <c r="BH180" s="77"/>
      <c r="BI180" s="77"/>
      <c r="BJ180" s="77"/>
      <c r="BK180" s="77"/>
      <c r="BL180" s="77"/>
      <c r="BM180" s="77"/>
      <c r="BN180" s="77"/>
      <c r="BO180" s="77"/>
      <c r="BP180" s="77"/>
      <c r="BQ180" s="77"/>
      <c r="BR180" s="77"/>
      <c r="BS180" s="77"/>
      <c r="BT180" s="77"/>
      <c r="BU180" s="77"/>
      <c r="BV180" s="77"/>
      <c r="BW180" s="77"/>
      <c r="BX180" s="77"/>
      <c r="BY180" s="77"/>
      <c r="BZ180" s="77"/>
      <c r="CA180" s="77"/>
      <c r="CB180" s="77"/>
      <c r="CC180" s="77"/>
      <c r="CD180" s="77"/>
      <c r="CE180" s="77"/>
      <c r="CF180" s="77"/>
      <c r="CG180" s="77"/>
      <c r="CH180" s="77"/>
      <c r="CI180" s="77"/>
      <c r="CJ180" s="77"/>
      <c r="CK180" s="77"/>
      <c r="CL180" s="77"/>
      <c r="CM180" s="77"/>
      <c r="CN180" s="77"/>
      <c r="CO180" s="77"/>
      <c r="CP180" s="77"/>
      <c r="CQ180" s="77"/>
      <c r="CR180" s="77"/>
      <c r="CS180" s="77"/>
      <c r="CT180" s="77"/>
      <c r="CU180" s="77"/>
      <c r="CV180" s="77"/>
      <c r="CW180" s="77"/>
      <c r="CX180" s="77"/>
      <c r="CY180" s="77"/>
      <c r="CZ180" s="77"/>
      <c r="DA180" s="77"/>
      <c r="DB180" s="77"/>
      <c r="DC180" s="77"/>
      <c r="DD180" s="77"/>
      <c r="DE180" s="77"/>
      <c r="DF180" s="77"/>
      <c r="DG180" s="77"/>
      <c r="DH180" s="77"/>
      <c r="DI180" s="77"/>
      <c r="DJ180" s="77"/>
      <c r="DK180" s="77"/>
      <c r="DL180" s="77"/>
      <c r="DM180" s="77"/>
      <c r="DN180" s="77"/>
      <c r="DO180" s="77"/>
      <c r="DP180" s="77"/>
      <c r="DQ180" s="77"/>
      <c r="DR180" s="77"/>
      <c r="DS180" s="77"/>
      <c r="DT180" s="77"/>
      <c r="DU180" s="77"/>
      <c r="DV180" s="77"/>
      <c r="DW180" s="77"/>
      <c r="DX180" s="77"/>
      <c r="DY180" s="78"/>
    </row>
    <row r="181" spans="2:129" outlineLevel="1" x14ac:dyDescent="0.2">
      <c r="B181" s="67"/>
      <c r="C181" s="16"/>
      <c r="D181" s="54"/>
      <c r="E181" s="52"/>
      <c r="F181" s="76"/>
      <c r="G181" s="24"/>
      <c r="H181" s="77"/>
      <c r="I181" s="77"/>
      <c r="J181" s="77"/>
      <c r="K181" s="77"/>
      <c r="L181" s="77"/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/>
      <c r="Z181" s="77"/>
      <c r="AA181" s="77"/>
      <c r="AB181" s="77"/>
      <c r="AC181" s="77"/>
      <c r="AD181" s="77"/>
      <c r="AE181" s="77"/>
      <c r="AF181" s="77"/>
      <c r="AG181" s="77"/>
      <c r="AH181" s="77"/>
      <c r="AI181" s="77"/>
      <c r="AJ181" s="77"/>
      <c r="AK181" s="77"/>
      <c r="AL181" s="77"/>
      <c r="AM181" s="77"/>
      <c r="AN181" s="77"/>
      <c r="AO181" s="77"/>
      <c r="AP181" s="77"/>
      <c r="AQ181" s="77"/>
      <c r="AR181" s="77"/>
      <c r="AS181" s="77"/>
      <c r="AT181" s="77"/>
      <c r="AU181" s="77"/>
      <c r="AV181" s="77"/>
      <c r="AW181" s="77"/>
      <c r="AX181" s="77"/>
      <c r="AY181" s="77"/>
      <c r="AZ181" s="77"/>
      <c r="BA181" s="77"/>
      <c r="BB181" s="77"/>
      <c r="BC181" s="77"/>
      <c r="BD181" s="77"/>
      <c r="BE181" s="77"/>
      <c r="BF181" s="77"/>
      <c r="BG181" s="77"/>
      <c r="BH181" s="77"/>
      <c r="BI181" s="77"/>
      <c r="BJ181" s="77"/>
      <c r="BK181" s="77"/>
      <c r="BL181" s="77"/>
      <c r="BM181" s="77"/>
      <c r="BN181" s="77"/>
      <c r="BO181" s="77"/>
      <c r="BP181" s="77"/>
      <c r="BQ181" s="77"/>
      <c r="BR181" s="77"/>
      <c r="BS181" s="77"/>
      <c r="BT181" s="77"/>
      <c r="BU181" s="77"/>
      <c r="BV181" s="77"/>
      <c r="BW181" s="77"/>
      <c r="BX181" s="77"/>
      <c r="BY181" s="77"/>
      <c r="BZ181" s="77"/>
      <c r="CA181" s="77"/>
      <c r="CB181" s="77"/>
      <c r="CC181" s="77"/>
      <c r="CD181" s="77"/>
      <c r="CE181" s="77"/>
      <c r="CF181" s="77"/>
      <c r="CG181" s="77"/>
      <c r="CH181" s="77"/>
      <c r="CI181" s="77"/>
      <c r="CJ181" s="77"/>
      <c r="CK181" s="77"/>
      <c r="CL181" s="77"/>
      <c r="CM181" s="77"/>
      <c r="CN181" s="77"/>
      <c r="CO181" s="77"/>
      <c r="CP181" s="77"/>
      <c r="CQ181" s="77"/>
      <c r="CR181" s="77"/>
      <c r="CS181" s="77"/>
      <c r="CT181" s="77"/>
      <c r="CU181" s="77"/>
      <c r="CV181" s="77"/>
      <c r="CW181" s="77"/>
      <c r="CX181" s="77"/>
      <c r="CY181" s="77"/>
      <c r="CZ181" s="77"/>
      <c r="DA181" s="77"/>
      <c r="DB181" s="77"/>
      <c r="DC181" s="77"/>
      <c r="DD181" s="77"/>
      <c r="DE181" s="77"/>
      <c r="DF181" s="77"/>
      <c r="DG181" s="77"/>
      <c r="DH181" s="77"/>
      <c r="DI181" s="77"/>
      <c r="DJ181" s="77"/>
      <c r="DK181" s="77"/>
      <c r="DL181" s="77"/>
      <c r="DM181" s="77"/>
      <c r="DN181" s="77"/>
      <c r="DO181" s="77"/>
      <c r="DP181" s="77"/>
      <c r="DQ181" s="77"/>
      <c r="DR181" s="77"/>
      <c r="DS181" s="77"/>
      <c r="DT181" s="77"/>
      <c r="DU181" s="77"/>
      <c r="DV181" s="77"/>
      <c r="DW181" s="77"/>
      <c r="DX181" s="77"/>
      <c r="DY181" s="78"/>
    </row>
    <row r="182" spans="2:129" outlineLevel="1" x14ac:dyDescent="0.2">
      <c r="B182" s="61" t="s">
        <v>38</v>
      </c>
      <c r="C182" s="16"/>
      <c r="D182" s="54"/>
      <c r="E182" s="52"/>
      <c r="F182" s="76"/>
      <c r="G182" s="24"/>
      <c r="H182" s="77"/>
      <c r="I182" s="77"/>
      <c r="J182" s="77"/>
      <c r="K182" s="77"/>
      <c r="L182" s="77"/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7"/>
      <c r="AB182" s="77"/>
      <c r="AC182" s="77"/>
      <c r="AD182" s="77"/>
      <c r="AE182" s="77"/>
      <c r="AF182" s="77"/>
      <c r="AG182" s="77"/>
      <c r="AH182" s="77"/>
      <c r="AI182" s="77"/>
      <c r="AJ182" s="77"/>
      <c r="AK182" s="77"/>
      <c r="AL182" s="77"/>
      <c r="AM182" s="77"/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/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/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77"/>
      <c r="CA182" s="77"/>
      <c r="CB182" s="77"/>
      <c r="CC182" s="77"/>
      <c r="CD182" s="77"/>
      <c r="CE182" s="77"/>
      <c r="CF182" s="77"/>
      <c r="CG182" s="77"/>
      <c r="CH182" s="77"/>
      <c r="CI182" s="77"/>
      <c r="CJ182" s="77"/>
      <c r="CK182" s="77"/>
      <c r="CL182" s="77"/>
      <c r="CM182" s="77"/>
      <c r="CN182" s="77"/>
      <c r="CO182" s="77"/>
      <c r="CP182" s="77"/>
      <c r="CQ182" s="77"/>
      <c r="CR182" s="77"/>
      <c r="CS182" s="77"/>
      <c r="CT182" s="77"/>
      <c r="CU182" s="77"/>
      <c r="CV182" s="77"/>
      <c r="CW182" s="77"/>
      <c r="CX182" s="77"/>
      <c r="CY182" s="77"/>
      <c r="CZ182" s="77"/>
      <c r="DA182" s="77"/>
      <c r="DB182" s="77"/>
      <c r="DC182" s="77"/>
      <c r="DD182" s="77"/>
      <c r="DE182" s="77"/>
      <c r="DF182" s="77"/>
      <c r="DG182" s="77"/>
      <c r="DH182" s="77"/>
      <c r="DI182" s="77"/>
      <c r="DJ182" s="77"/>
      <c r="DK182" s="77"/>
      <c r="DL182" s="77"/>
      <c r="DM182" s="77"/>
      <c r="DN182" s="77"/>
      <c r="DO182" s="77"/>
      <c r="DP182" s="77"/>
      <c r="DQ182" s="77"/>
      <c r="DR182" s="77"/>
      <c r="DS182" s="77"/>
      <c r="DT182" s="77"/>
      <c r="DU182" s="77"/>
      <c r="DV182" s="77"/>
      <c r="DW182" s="77"/>
      <c r="DX182" s="77"/>
      <c r="DY182" s="78"/>
    </row>
    <row r="183" spans="2:129" outlineLevel="1" x14ac:dyDescent="0.2">
      <c r="B183" s="67" t="s">
        <v>40</v>
      </c>
      <c r="C183" s="16"/>
      <c r="D183" s="24">
        <f>SUM(F183:DY183)</f>
        <v>75700787.799999833</v>
      </c>
      <c r="E183" s="52"/>
      <c r="F183" s="24">
        <f>IF(F174="","",F213+F231+F246+F261+F268)</f>
        <v>0</v>
      </c>
      <c r="G183" s="24">
        <f t="shared" ref="G183:BR183" si="211">IF(G174="","",G213+G231+G246+G261+G268)</f>
        <v>0</v>
      </c>
      <c r="H183" s="24">
        <f t="shared" si="211"/>
        <v>0</v>
      </c>
      <c r="I183" s="24">
        <f t="shared" si="211"/>
        <v>0</v>
      </c>
      <c r="J183" s="24">
        <f t="shared" si="211"/>
        <v>0</v>
      </c>
      <c r="K183" s="24">
        <f t="shared" si="211"/>
        <v>0</v>
      </c>
      <c r="L183" s="24">
        <f t="shared" si="211"/>
        <v>0</v>
      </c>
      <c r="M183" s="24">
        <f t="shared" si="211"/>
        <v>0</v>
      </c>
      <c r="N183" s="24">
        <f t="shared" si="211"/>
        <v>0</v>
      </c>
      <c r="O183" s="24">
        <f t="shared" si="211"/>
        <v>0</v>
      </c>
      <c r="P183" s="24">
        <f t="shared" si="211"/>
        <v>0</v>
      </c>
      <c r="Q183" s="24">
        <f t="shared" si="211"/>
        <v>0</v>
      </c>
      <c r="R183" s="24">
        <f t="shared" si="211"/>
        <v>0</v>
      </c>
      <c r="S183" s="24">
        <f t="shared" si="211"/>
        <v>0</v>
      </c>
      <c r="T183" s="24">
        <f t="shared" si="211"/>
        <v>0</v>
      </c>
      <c r="U183" s="24">
        <f t="shared" si="211"/>
        <v>0</v>
      </c>
      <c r="V183" s="24">
        <f t="shared" si="211"/>
        <v>0</v>
      </c>
      <c r="W183" s="24">
        <f t="shared" si="211"/>
        <v>0</v>
      </c>
      <c r="X183" s="24">
        <f t="shared" si="211"/>
        <v>0</v>
      </c>
      <c r="Y183" s="24">
        <f t="shared" si="211"/>
        <v>0</v>
      </c>
      <c r="Z183" s="24">
        <f t="shared" si="211"/>
        <v>0</v>
      </c>
      <c r="AA183" s="24">
        <f t="shared" si="211"/>
        <v>0</v>
      </c>
      <c r="AB183" s="24">
        <f t="shared" si="211"/>
        <v>0</v>
      </c>
      <c r="AC183" s="24">
        <f t="shared" si="211"/>
        <v>0</v>
      </c>
      <c r="AD183" s="24">
        <f t="shared" si="211"/>
        <v>0</v>
      </c>
      <c r="AE183" s="24">
        <f t="shared" si="211"/>
        <v>2843545.4000000004</v>
      </c>
      <c r="AF183" s="24">
        <f t="shared" si="211"/>
        <v>0</v>
      </c>
      <c r="AG183" s="24">
        <f t="shared" si="211"/>
        <v>0</v>
      </c>
      <c r="AH183" s="24">
        <f t="shared" si="211"/>
        <v>0</v>
      </c>
      <c r="AI183" s="24">
        <f t="shared" si="211"/>
        <v>0</v>
      </c>
      <c r="AJ183" s="24">
        <f t="shared" si="211"/>
        <v>0</v>
      </c>
      <c r="AK183" s="24">
        <f t="shared" si="211"/>
        <v>0</v>
      </c>
      <c r="AL183" s="24">
        <f t="shared" si="211"/>
        <v>0</v>
      </c>
      <c r="AM183" s="24">
        <f t="shared" si="211"/>
        <v>0</v>
      </c>
      <c r="AN183" s="24">
        <f t="shared" si="211"/>
        <v>0</v>
      </c>
      <c r="AO183" s="24">
        <f t="shared" si="211"/>
        <v>0</v>
      </c>
      <c r="AP183" s="24">
        <f t="shared" si="211"/>
        <v>0</v>
      </c>
      <c r="AQ183" s="24">
        <f t="shared" si="211"/>
        <v>0</v>
      </c>
      <c r="AR183" s="24">
        <f t="shared" si="211"/>
        <v>0</v>
      </c>
      <c r="AS183" s="24">
        <f t="shared" si="211"/>
        <v>0</v>
      </c>
      <c r="AT183" s="24">
        <f t="shared" si="211"/>
        <v>0</v>
      </c>
      <c r="AU183" s="24">
        <f t="shared" si="211"/>
        <v>4139676.1</v>
      </c>
      <c r="AV183" s="24">
        <f t="shared" si="211"/>
        <v>0</v>
      </c>
      <c r="AW183" s="24">
        <f t="shared" si="211"/>
        <v>0</v>
      </c>
      <c r="AX183" s="24">
        <f t="shared" si="211"/>
        <v>0</v>
      </c>
      <c r="AY183" s="24">
        <f t="shared" si="211"/>
        <v>0</v>
      </c>
      <c r="AZ183" s="24">
        <f t="shared" si="211"/>
        <v>0</v>
      </c>
      <c r="BA183" s="24">
        <f t="shared" si="211"/>
        <v>51005097.762499824</v>
      </c>
      <c r="BB183" s="24">
        <f t="shared" si="211"/>
        <v>0</v>
      </c>
      <c r="BC183" s="24">
        <f t="shared" si="211"/>
        <v>0</v>
      </c>
      <c r="BD183" s="24">
        <f t="shared" si="211"/>
        <v>0</v>
      </c>
      <c r="BE183" s="24">
        <f t="shared" si="211"/>
        <v>0</v>
      </c>
      <c r="BF183" s="24">
        <f t="shared" si="211"/>
        <v>0</v>
      </c>
      <c r="BG183" s="24">
        <f t="shared" si="211"/>
        <v>0</v>
      </c>
      <c r="BH183" s="24">
        <f t="shared" si="211"/>
        <v>0</v>
      </c>
      <c r="BI183" s="24">
        <f t="shared" si="211"/>
        <v>0</v>
      </c>
      <c r="BJ183" s="24">
        <f t="shared" si="211"/>
        <v>0</v>
      </c>
      <c r="BK183" s="24">
        <f t="shared" si="211"/>
        <v>0</v>
      </c>
      <c r="BL183" s="24">
        <f t="shared" si="211"/>
        <v>0</v>
      </c>
      <c r="BM183" s="24">
        <f t="shared" si="211"/>
        <v>0</v>
      </c>
      <c r="BN183" s="24">
        <f t="shared" si="211"/>
        <v>0</v>
      </c>
      <c r="BO183" s="24">
        <f t="shared" si="211"/>
        <v>0</v>
      </c>
      <c r="BP183" s="24">
        <f t="shared" si="211"/>
        <v>0</v>
      </c>
      <c r="BQ183" s="24">
        <f t="shared" si="211"/>
        <v>0</v>
      </c>
      <c r="BR183" s="24">
        <f t="shared" si="211"/>
        <v>0</v>
      </c>
      <c r="BS183" s="24">
        <f t="shared" ref="BS183:DV183" si="212">IF(BS174="","",BS213+BS231+BS246+BS261+BS268)</f>
        <v>0</v>
      </c>
      <c r="BT183" s="24">
        <f t="shared" si="212"/>
        <v>0</v>
      </c>
      <c r="BU183" s="24">
        <f t="shared" si="212"/>
        <v>0</v>
      </c>
      <c r="BV183" s="24">
        <f t="shared" si="212"/>
        <v>0</v>
      </c>
      <c r="BW183" s="24">
        <f t="shared" si="212"/>
        <v>0</v>
      </c>
      <c r="BX183" s="24">
        <f t="shared" si="212"/>
        <v>0</v>
      </c>
      <c r="BY183" s="24">
        <f t="shared" si="212"/>
        <v>590691.70000000007</v>
      </c>
      <c r="BZ183" s="24">
        <f t="shared" si="212"/>
        <v>528177.53999999946</v>
      </c>
      <c r="CA183" s="24">
        <f t="shared" si="212"/>
        <v>0</v>
      </c>
      <c r="CB183" s="24">
        <f t="shared" si="212"/>
        <v>0</v>
      </c>
      <c r="CC183" s="24">
        <f t="shared" si="212"/>
        <v>0</v>
      </c>
      <c r="CD183" s="24">
        <f t="shared" si="212"/>
        <v>0</v>
      </c>
      <c r="CE183" s="24">
        <f t="shared" si="212"/>
        <v>6031163.0725000035</v>
      </c>
      <c r="CF183" s="24">
        <f t="shared" si="212"/>
        <v>0</v>
      </c>
      <c r="CG183" s="24">
        <f t="shared" si="212"/>
        <v>0</v>
      </c>
      <c r="CH183" s="24">
        <f t="shared" si="212"/>
        <v>0</v>
      </c>
      <c r="CI183" s="24">
        <f t="shared" si="212"/>
        <v>0</v>
      </c>
      <c r="CJ183" s="24">
        <f t="shared" si="212"/>
        <v>0</v>
      </c>
      <c r="CK183" s="24">
        <f t="shared" si="212"/>
        <v>0</v>
      </c>
      <c r="CL183" s="24">
        <f t="shared" si="212"/>
        <v>0</v>
      </c>
      <c r="CM183" s="24">
        <f t="shared" si="212"/>
        <v>0</v>
      </c>
      <c r="CN183" s="24">
        <f t="shared" si="212"/>
        <v>0</v>
      </c>
      <c r="CO183" s="24">
        <f t="shared" si="212"/>
        <v>0</v>
      </c>
      <c r="CP183" s="24">
        <f t="shared" si="212"/>
        <v>0</v>
      </c>
      <c r="CQ183" s="24">
        <f t="shared" si="212"/>
        <v>0</v>
      </c>
      <c r="CR183" s="24">
        <f t="shared" si="212"/>
        <v>0</v>
      </c>
      <c r="CS183" s="24">
        <f t="shared" si="212"/>
        <v>0</v>
      </c>
      <c r="CT183" s="24">
        <f t="shared" si="212"/>
        <v>0</v>
      </c>
      <c r="CU183" s="24">
        <f t="shared" si="212"/>
        <v>0</v>
      </c>
      <c r="CV183" s="24">
        <f t="shared" si="212"/>
        <v>0</v>
      </c>
      <c r="CW183" s="24">
        <f t="shared" si="212"/>
        <v>10562436.225000001</v>
      </c>
      <c r="CX183" s="24" t="str">
        <f t="shared" si="212"/>
        <v/>
      </c>
      <c r="CY183" s="24" t="str">
        <f t="shared" si="212"/>
        <v/>
      </c>
      <c r="CZ183" s="24" t="str">
        <f t="shared" si="212"/>
        <v/>
      </c>
      <c r="DA183" s="24" t="str">
        <f t="shared" si="212"/>
        <v/>
      </c>
      <c r="DB183" s="24" t="str">
        <f t="shared" si="212"/>
        <v/>
      </c>
      <c r="DC183" s="24" t="str">
        <f t="shared" si="212"/>
        <v/>
      </c>
      <c r="DD183" s="24" t="str">
        <f t="shared" si="212"/>
        <v/>
      </c>
      <c r="DE183" s="24" t="str">
        <f t="shared" si="212"/>
        <v/>
      </c>
      <c r="DF183" s="24" t="str">
        <f t="shared" si="212"/>
        <v/>
      </c>
      <c r="DG183" s="24" t="str">
        <f t="shared" si="212"/>
        <v/>
      </c>
      <c r="DH183" s="24" t="str">
        <f t="shared" si="212"/>
        <v/>
      </c>
      <c r="DI183" s="24" t="str">
        <f t="shared" si="212"/>
        <v/>
      </c>
      <c r="DJ183" s="24" t="str">
        <f t="shared" si="212"/>
        <v/>
      </c>
      <c r="DK183" s="24" t="str">
        <f t="shared" si="212"/>
        <v/>
      </c>
      <c r="DL183" s="24" t="str">
        <f t="shared" si="212"/>
        <v/>
      </c>
      <c r="DM183" s="24" t="str">
        <f t="shared" si="212"/>
        <v/>
      </c>
      <c r="DN183" s="24" t="str">
        <f t="shared" si="212"/>
        <v/>
      </c>
      <c r="DO183" s="24" t="str">
        <f t="shared" si="212"/>
        <v/>
      </c>
      <c r="DP183" s="24" t="str">
        <f t="shared" si="212"/>
        <v/>
      </c>
      <c r="DQ183" s="24" t="str">
        <f t="shared" si="212"/>
        <v/>
      </c>
      <c r="DR183" s="24" t="str">
        <f t="shared" si="212"/>
        <v/>
      </c>
      <c r="DS183" s="24" t="str">
        <f t="shared" si="212"/>
        <v/>
      </c>
      <c r="DT183" s="24" t="str">
        <f t="shared" si="212"/>
        <v/>
      </c>
      <c r="DU183" s="24" t="str">
        <f t="shared" si="212"/>
        <v/>
      </c>
      <c r="DV183" s="24" t="str">
        <f t="shared" si="212"/>
        <v/>
      </c>
      <c r="DW183" s="24"/>
      <c r="DX183" s="24"/>
      <c r="DY183" s="70"/>
    </row>
    <row r="184" spans="2:129" outlineLevel="1" x14ac:dyDescent="0.2">
      <c r="B184" s="67" t="s">
        <v>41</v>
      </c>
      <c r="C184" s="16"/>
      <c r="D184" s="24">
        <f>SUM(F184:DY184)</f>
        <v>0</v>
      </c>
      <c r="E184" s="52"/>
      <c r="F184" s="24">
        <f>IF(F174="","",SUM(F193:F194))</f>
        <v>0</v>
      </c>
      <c r="G184" s="24">
        <f t="shared" ref="G184:BR184" si="213">IF(G174="","",SUM(G193:G194))</f>
        <v>0</v>
      </c>
      <c r="H184" s="24">
        <f t="shared" si="213"/>
        <v>0</v>
      </c>
      <c r="I184" s="24">
        <f t="shared" si="213"/>
        <v>0</v>
      </c>
      <c r="J184" s="24">
        <f t="shared" si="213"/>
        <v>0</v>
      </c>
      <c r="K184" s="24">
        <f t="shared" si="213"/>
        <v>0</v>
      </c>
      <c r="L184" s="24">
        <f t="shared" si="213"/>
        <v>0</v>
      </c>
      <c r="M184" s="24">
        <f t="shared" si="213"/>
        <v>0</v>
      </c>
      <c r="N184" s="24">
        <f t="shared" si="213"/>
        <v>0</v>
      </c>
      <c r="O184" s="24">
        <f t="shared" si="213"/>
        <v>0</v>
      </c>
      <c r="P184" s="24">
        <f t="shared" si="213"/>
        <v>0</v>
      </c>
      <c r="Q184" s="24">
        <f t="shared" si="213"/>
        <v>0</v>
      </c>
      <c r="R184" s="24">
        <f t="shared" si="213"/>
        <v>0</v>
      </c>
      <c r="S184" s="24">
        <f t="shared" si="213"/>
        <v>0</v>
      </c>
      <c r="T184" s="24">
        <f t="shared" si="213"/>
        <v>0</v>
      </c>
      <c r="U184" s="24">
        <f t="shared" si="213"/>
        <v>0</v>
      </c>
      <c r="V184" s="24">
        <f t="shared" si="213"/>
        <v>0</v>
      </c>
      <c r="W184" s="24">
        <f t="shared" si="213"/>
        <v>0</v>
      </c>
      <c r="X184" s="24">
        <f t="shared" si="213"/>
        <v>0</v>
      </c>
      <c r="Y184" s="24">
        <f t="shared" si="213"/>
        <v>0</v>
      </c>
      <c r="Z184" s="24">
        <f t="shared" si="213"/>
        <v>0</v>
      </c>
      <c r="AA184" s="24">
        <f t="shared" si="213"/>
        <v>0</v>
      </c>
      <c r="AB184" s="24">
        <f t="shared" si="213"/>
        <v>0</v>
      </c>
      <c r="AC184" s="24">
        <f t="shared" si="213"/>
        <v>0</v>
      </c>
      <c r="AD184" s="24">
        <f t="shared" si="213"/>
        <v>0</v>
      </c>
      <c r="AE184" s="24">
        <f t="shared" si="213"/>
        <v>0</v>
      </c>
      <c r="AF184" s="24">
        <f t="shared" si="213"/>
        <v>0</v>
      </c>
      <c r="AG184" s="24">
        <f t="shared" si="213"/>
        <v>0</v>
      </c>
      <c r="AH184" s="24">
        <f t="shared" si="213"/>
        <v>0</v>
      </c>
      <c r="AI184" s="24">
        <f t="shared" si="213"/>
        <v>0</v>
      </c>
      <c r="AJ184" s="24">
        <f t="shared" si="213"/>
        <v>0</v>
      </c>
      <c r="AK184" s="24">
        <f t="shared" si="213"/>
        <v>0</v>
      </c>
      <c r="AL184" s="24">
        <f t="shared" si="213"/>
        <v>0</v>
      </c>
      <c r="AM184" s="24">
        <f t="shared" si="213"/>
        <v>0</v>
      </c>
      <c r="AN184" s="24">
        <f t="shared" si="213"/>
        <v>0</v>
      </c>
      <c r="AO184" s="24">
        <f t="shared" si="213"/>
        <v>0</v>
      </c>
      <c r="AP184" s="24">
        <f t="shared" si="213"/>
        <v>0</v>
      </c>
      <c r="AQ184" s="24">
        <f t="shared" si="213"/>
        <v>0</v>
      </c>
      <c r="AR184" s="24">
        <f t="shared" si="213"/>
        <v>0</v>
      </c>
      <c r="AS184" s="24">
        <f t="shared" si="213"/>
        <v>0</v>
      </c>
      <c r="AT184" s="24">
        <f t="shared" si="213"/>
        <v>0</v>
      </c>
      <c r="AU184" s="24">
        <f t="shared" si="213"/>
        <v>0</v>
      </c>
      <c r="AV184" s="24">
        <f t="shared" si="213"/>
        <v>0</v>
      </c>
      <c r="AW184" s="24">
        <f t="shared" si="213"/>
        <v>0</v>
      </c>
      <c r="AX184" s="24">
        <f t="shared" si="213"/>
        <v>0</v>
      </c>
      <c r="AY184" s="24">
        <f t="shared" si="213"/>
        <v>0</v>
      </c>
      <c r="AZ184" s="24">
        <f t="shared" si="213"/>
        <v>0</v>
      </c>
      <c r="BA184" s="24">
        <f t="shared" si="213"/>
        <v>0</v>
      </c>
      <c r="BB184" s="24">
        <f t="shared" si="213"/>
        <v>0</v>
      </c>
      <c r="BC184" s="24">
        <f t="shared" si="213"/>
        <v>0</v>
      </c>
      <c r="BD184" s="24">
        <f t="shared" si="213"/>
        <v>0</v>
      </c>
      <c r="BE184" s="24">
        <f t="shared" si="213"/>
        <v>0</v>
      </c>
      <c r="BF184" s="24">
        <f t="shared" si="213"/>
        <v>0</v>
      </c>
      <c r="BG184" s="24">
        <f t="shared" si="213"/>
        <v>0</v>
      </c>
      <c r="BH184" s="24">
        <f t="shared" si="213"/>
        <v>0</v>
      </c>
      <c r="BI184" s="24">
        <f t="shared" si="213"/>
        <v>0</v>
      </c>
      <c r="BJ184" s="24">
        <f t="shared" si="213"/>
        <v>0</v>
      </c>
      <c r="BK184" s="24">
        <f t="shared" si="213"/>
        <v>0</v>
      </c>
      <c r="BL184" s="24">
        <f t="shared" si="213"/>
        <v>0</v>
      </c>
      <c r="BM184" s="24">
        <f t="shared" si="213"/>
        <v>0</v>
      </c>
      <c r="BN184" s="24">
        <f t="shared" si="213"/>
        <v>0</v>
      </c>
      <c r="BO184" s="24">
        <f t="shared" si="213"/>
        <v>0</v>
      </c>
      <c r="BP184" s="24">
        <f t="shared" si="213"/>
        <v>0</v>
      </c>
      <c r="BQ184" s="24">
        <f t="shared" si="213"/>
        <v>0</v>
      </c>
      <c r="BR184" s="24">
        <f t="shared" si="213"/>
        <v>0</v>
      </c>
      <c r="BS184" s="24">
        <f t="shared" ref="BS184:DV184" si="214">IF(BS174="","",SUM(BS193:BS194))</f>
        <v>0</v>
      </c>
      <c r="BT184" s="24">
        <f t="shared" si="214"/>
        <v>0</v>
      </c>
      <c r="BU184" s="24">
        <f t="shared" si="214"/>
        <v>0</v>
      </c>
      <c r="BV184" s="24">
        <f t="shared" si="214"/>
        <v>0</v>
      </c>
      <c r="BW184" s="24">
        <f t="shared" si="214"/>
        <v>0</v>
      </c>
      <c r="BX184" s="24">
        <f t="shared" si="214"/>
        <v>0</v>
      </c>
      <c r="BY184" s="24">
        <f t="shared" si="214"/>
        <v>0</v>
      </c>
      <c r="BZ184" s="24">
        <f t="shared" si="214"/>
        <v>0</v>
      </c>
      <c r="CA184" s="24">
        <f t="shared" si="214"/>
        <v>0</v>
      </c>
      <c r="CB184" s="24">
        <f t="shared" si="214"/>
        <v>0</v>
      </c>
      <c r="CC184" s="24">
        <f t="shared" si="214"/>
        <v>0</v>
      </c>
      <c r="CD184" s="24">
        <f t="shared" si="214"/>
        <v>0</v>
      </c>
      <c r="CE184" s="24">
        <f t="shared" si="214"/>
        <v>0</v>
      </c>
      <c r="CF184" s="24">
        <f t="shared" si="214"/>
        <v>0</v>
      </c>
      <c r="CG184" s="24">
        <f t="shared" si="214"/>
        <v>0</v>
      </c>
      <c r="CH184" s="24">
        <f t="shared" si="214"/>
        <v>0</v>
      </c>
      <c r="CI184" s="24">
        <f t="shared" si="214"/>
        <v>0</v>
      </c>
      <c r="CJ184" s="24">
        <f t="shared" si="214"/>
        <v>0</v>
      </c>
      <c r="CK184" s="24">
        <f t="shared" si="214"/>
        <v>0</v>
      </c>
      <c r="CL184" s="24">
        <f t="shared" si="214"/>
        <v>0</v>
      </c>
      <c r="CM184" s="24">
        <f t="shared" si="214"/>
        <v>0</v>
      </c>
      <c r="CN184" s="24">
        <f t="shared" si="214"/>
        <v>0</v>
      </c>
      <c r="CO184" s="24">
        <f t="shared" si="214"/>
        <v>0</v>
      </c>
      <c r="CP184" s="24">
        <f t="shared" si="214"/>
        <v>0</v>
      </c>
      <c r="CQ184" s="24">
        <f t="shared" si="214"/>
        <v>0</v>
      </c>
      <c r="CR184" s="24">
        <f t="shared" si="214"/>
        <v>0</v>
      </c>
      <c r="CS184" s="24">
        <f t="shared" si="214"/>
        <v>0</v>
      </c>
      <c r="CT184" s="24">
        <f t="shared" si="214"/>
        <v>0</v>
      </c>
      <c r="CU184" s="24">
        <f t="shared" si="214"/>
        <v>0</v>
      </c>
      <c r="CV184" s="24">
        <f t="shared" si="214"/>
        <v>0</v>
      </c>
      <c r="CW184" s="24">
        <f t="shared" si="214"/>
        <v>0</v>
      </c>
      <c r="CX184" s="24" t="str">
        <f t="shared" si="214"/>
        <v/>
      </c>
      <c r="CY184" s="24" t="str">
        <f t="shared" si="214"/>
        <v/>
      </c>
      <c r="CZ184" s="24" t="str">
        <f t="shared" si="214"/>
        <v/>
      </c>
      <c r="DA184" s="24" t="str">
        <f t="shared" si="214"/>
        <v/>
      </c>
      <c r="DB184" s="24" t="str">
        <f t="shared" si="214"/>
        <v/>
      </c>
      <c r="DC184" s="24" t="str">
        <f t="shared" si="214"/>
        <v/>
      </c>
      <c r="DD184" s="24" t="str">
        <f t="shared" si="214"/>
        <v/>
      </c>
      <c r="DE184" s="24" t="str">
        <f t="shared" si="214"/>
        <v/>
      </c>
      <c r="DF184" s="24" t="str">
        <f t="shared" si="214"/>
        <v/>
      </c>
      <c r="DG184" s="24" t="str">
        <f t="shared" si="214"/>
        <v/>
      </c>
      <c r="DH184" s="24" t="str">
        <f t="shared" si="214"/>
        <v/>
      </c>
      <c r="DI184" s="24" t="str">
        <f t="shared" si="214"/>
        <v/>
      </c>
      <c r="DJ184" s="24" t="str">
        <f t="shared" si="214"/>
        <v/>
      </c>
      <c r="DK184" s="24" t="str">
        <f t="shared" si="214"/>
        <v/>
      </c>
      <c r="DL184" s="24" t="str">
        <f t="shared" si="214"/>
        <v/>
      </c>
      <c r="DM184" s="24" t="str">
        <f t="shared" si="214"/>
        <v/>
      </c>
      <c r="DN184" s="24" t="str">
        <f t="shared" si="214"/>
        <v/>
      </c>
      <c r="DO184" s="24" t="str">
        <f t="shared" si="214"/>
        <v/>
      </c>
      <c r="DP184" s="24" t="str">
        <f t="shared" si="214"/>
        <v/>
      </c>
      <c r="DQ184" s="24" t="str">
        <f t="shared" si="214"/>
        <v/>
      </c>
      <c r="DR184" s="24" t="str">
        <f t="shared" si="214"/>
        <v/>
      </c>
      <c r="DS184" s="24" t="str">
        <f t="shared" si="214"/>
        <v/>
      </c>
      <c r="DT184" s="24" t="str">
        <f t="shared" si="214"/>
        <v/>
      </c>
      <c r="DU184" s="24" t="str">
        <f t="shared" si="214"/>
        <v/>
      </c>
      <c r="DV184" s="24" t="str">
        <f t="shared" si="214"/>
        <v/>
      </c>
      <c r="DW184" s="24"/>
      <c r="DX184" s="24"/>
      <c r="DY184" s="70"/>
    </row>
    <row r="185" spans="2:129" outlineLevel="1" x14ac:dyDescent="0.2">
      <c r="B185" s="67" t="s">
        <v>42</v>
      </c>
      <c r="C185" s="16"/>
      <c r="D185" s="24">
        <f>SUM(F185:DY185)</f>
        <v>13971642.399999999</v>
      </c>
      <c r="E185" s="52"/>
      <c r="F185" s="24">
        <f t="shared" ref="F185:BQ185" si="215">IF(F174="","",-(MIN(F195,0)+F204))</f>
        <v>10402691.700000003</v>
      </c>
      <c r="G185" s="24">
        <f t="shared" si="215"/>
        <v>2691.7000000000007</v>
      </c>
      <c r="H185" s="24">
        <f t="shared" si="215"/>
        <v>2691.7000000000007</v>
      </c>
      <c r="I185" s="24">
        <f t="shared" si="215"/>
        <v>2691.7000000000007</v>
      </c>
      <c r="J185" s="24">
        <f t="shared" si="215"/>
        <v>2691.7000000000007</v>
      </c>
      <c r="K185" s="24">
        <f t="shared" si="215"/>
        <v>2691.7000000000007</v>
      </c>
      <c r="L185" s="24">
        <f t="shared" si="215"/>
        <v>2691.7000000000007</v>
      </c>
      <c r="M185" s="24">
        <f t="shared" si="215"/>
        <v>2691.7000000000007</v>
      </c>
      <c r="N185" s="24">
        <f t="shared" si="215"/>
        <v>2691.7000000000007</v>
      </c>
      <c r="O185" s="24">
        <f t="shared" si="215"/>
        <v>2691.7000000000007</v>
      </c>
      <c r="P185" s="24">
        <f t="shared" si="215"/>
        <v>2691.7000000000007</v>
      </c>
      <c r="Q185" s="24">
        <f t="shared" si="215"/>
        <v>2691.7000000000007</v>
      </c>
      <c r="R185" s="24">
        <f t="shared" si="215"/>
        <v>2691.7000000000007</v>
      </c>
      <c r="S185" s="24">
        <f t="shared" si="215"/>
        <v>2691.7000000000007</v>
      </c>
      <c r="T185" s="24">
        <f t="shared" si="215"/>
        <v>2691.7000000000007</v>
      </c>
      <c r="U185" s="24">
        <f t="shared" si="215"/>
        <v>2691.7000000000007</v>
      </c>
      <c r="V185" s="24">
        <f t="shared" si="215"/>
        <v>2691.7000000000007</v>
      </c>
      <c r="W185" s="24">
        <f t="shared" si="215"/>
        <v>2691.7000000000007</v>
      </c>
      <c r="X185" s="24">
        <f t="shared" si="215"/>
        <v>2691.7000000000007</v>
      </c>
      <c r="Y185" s="24">
        <f t="shared" si="215"/>
        <v>2691.7000000000007</v>
      </c>
      <c r="Z185" s="24">
        <f t="shared" si="215"/>
        <v>2691.7000000000007</v>
      </c>
      <c r="AA185" s="24">
        <f t="shared" si="215"/>
        <v>2691.7000000000007</v>
      </c>
      <c r="AB185" s="24">
        <f t="shared" si="215"/>
        <v>2691.7000000000007</v>
      </c>
      <c r="AC185" s="24">
        <f t="shared" si="215"/>
        <v>38660.399999999965</v>
      </c>
      <c r="AD185" s="24">
        <f t="shared" si="215"/>
        <v>93564.599999999977</v>
      </c>
      <c r="AE185" s="24">
        <f t="shared" si="215"/>
        <v>0</v>
      </c>
      <c r="AF185" s="24">
        <f t="shared" si="215"/>
        <v>93564.599999999977</v>
      </c>
      <c r="AG185" s="24">
        <f t="shared" si="215"/>
        <v>93564.599999999977</v>
      </c>
      <c r="AH185" s="24">
        <f t="shared" si="215"/>
        <v>93564.599999999977</v>
      </c>
      <c r="AI185" s="24">
        <f t="shared" si="215"/>
        <v>93564.599999999977</v>
      </c>
      <c r="AJ185" s="24">
        <f t="shared" si="215"/>
        <v>93564.599999999977</v>
      </c>
      <c r="AK185" s="24">
        <f t="shared" si="215"/>
        <v>93564.599999999977</v>
      </c>
      <c r="AL185" s="24">
        <f t="shared" si="215"/>
        <v>93564.599999999977</v>
      </c>
      <c r="AM185" s="24">
        <f t="shared" si="215"/>
        <v>75336.79999999993</v>
      </c>
      <c r="AN185" s="24">
        <f t="shared" si="215"/>
        <v>75336.79999999993</v>
      </c>
      <c r="AO185" s="24">
        <f t="shared" si="215"/>
        <v>98232.599999999977</v>
      </c>
      <c r="AP185" s="24">
        <f t="shared" si="215"/>
        <v>67620.099999999977</v>
      </c>
      <c r="AQ185" s="24">
        <f t="shared" si="215"/>
        <v>67620.099999999977</v>
      </c>
      <c r="AR185" s="24">
        <f t="shared" si="215"/>
        <v>67620.099999999977</v>
      </c>
      <c r="AS185" s="24">
        <f t="shared" si="215"/>
        <v>67620.099999999977</v>
      </c>
      <c r="AT185" s="24">
        <f t="shared" si="215"/>
        <v>67620.099999999977</v>
      </c>
      <c r="AU185" s="24">
        <f t="shared" si="215"/>
        <v>0</v>
      </c>
      <c r="AV185" s="24">
        <f t="shared" si="215"/>
        <v>74538.400000000023</v>
      </c>
      <c r="AW185" s="24">
        <f t="shared" si="215"/>
        <v>74538.400000000023</v>
      </c>
      <c r="AX185" s="24">
        <f t="shared" si="215"/>
        <v>74538.400000000023</v>
      </c>
      <c r="AY185" s="24">
        <f t="shared" si="215"/>
        <v>74538.400000000023</v>
      </c>
      <c r="AZ185" s="24">
        <f t="shared" si="215"/>
        <v>74538.400000000023</v>
      </c>
      <c r="BA185" s="24">
        <f t="shared" si="215"/>
        <v>0</v>
      </c>
      <c r="BB185" s="24">
        <f t="shared" si="215"/>
        <v>55727.599999999977</v>
      </c>
      <c r="BC185" s="24">
        <f t="shared" si="215"/>
        <v>55727.599999999977</v>
      </c>
      <c r="BD185" s="24">
        <f t="shared" si="215"/>
        <v>55727.599999999977</v>
      </c>
      <c r="BE185" s="24">
        <f t="shared" si="215"/>
        <v>55727.599999999977</v>
      </c>
      <c r="BF185" s="24">
        <f t="shared" si="215"/>
        <v>55727.599999999977</v>
      </c>
      <c r="BG185" s="24">
        <f t="shared" si="215"/>
        <v>55727.599999999977</v>
      </c>
      <c r="BH185" s="24">
        <f t="shared" si="215"/>
        <v>55727.599999999977</v>
      </c>
      <c r="BI185" s="24">
        <f t="shared" si="215"/>
        <v>55727.599999999977</v>
      </c>
      <c r="BJ185" s="24">
        <f t="shared" si="215"/>
        <v>55727.599999999977</v>
      </c>
      <c r="BK185" s="24">
        <f t="shared" si="215"/>
        <v>55727.599999999977</v>
      </c>
      <c r="BL185" s="24">
        <f t="shared" si="215"/>
        <v>55727.599999999977</v>
      </c>
      <c r="BM185" s="24">
        <f t="shared" si="215"/>
        <v>40982.099999999977</v>
      </c>
      <c r="BN185" s="24">
        <f t="shared" si="215"/>
        <v>40982.099999999977</v>
      </c>
      <c r="BO185" s="24">
        <f t="shared" si="215"/>
        <v>40982.099999999977</v>
      </c>
      <c r="BP185" s="24">
        <f t="shared" si="215"/>
        <v>25308.299999999988</v>
      </c>
      <c r="BQ185" s="24">
        <f t="shared" si="215"/>
        <v>25308.299999999988</v>
      </c>
      <c r="BR185" s="24">
        <f t="shared" ref="BR185:DV185" si="216">IF(BR174="","",-(MIN(BR195,0)+BR204))</f>
        <v>25308.299999999988</v>
      </c>
      <c r="BS185" s="24">
        <f t="shared" si="216"/>
        <v>25308.299999999988</v>
      </c>
      <c r="BT185" s="24">
        <f t="shared" si="216"/>
        <v>25308.299999999988</v>
      </c>
      <c r="BU185" s="24">
        <f t="shared" si="216"/>
        <v>25308.299999999988</v>
      </c>
      <c r="BV185" s="24">
        <f t="shared" si="216"/>
        <v>25308.299999999988</v>
      </c>
      <c r="BW185" s="24">
        <f t="shared" si="216"/>
        <v>25308.299999999988</v>
      </c>
      <c r="BX185" s="24">
        <f t="shared" si="216"/>
        <v>25308.299999999988</v>
      </c>
      <c r="BY185" s="24">
        <f t="shared" si="216"/>
        <v>0</v>
      </c>
      <c r="BZ185" s="24">
        <f t="shared" si="216"/>
        <v>0</v>
      </c>
      <c r="CA185" s="24">
        <f t="shared" si="216"/>
        <v>25308.299999999988</v>
      </c>
      <c r="CB185" s="24">
        <f t="shared" si="216"/>
        <v>25308.299999999988</v>
      </c>
      <c r="CC185" s="24">
        <f t="shared" si="216"/>
        <v>25308.299999999988</v>
      </c>
      <c r="CD185" s="24">
        <f t="shared" si="216"/>
        <v>25308.299999999988</v>
      </c>
      <c r="CE185" s="24">
        <f t="shared" si="216"/>
        <v>0</v>
      </c>
      <c r="CF185" s="24">
        <f t="shared" si="216"/>
        <v>0</v>
      </c>
      <c r="CG185" s="24">
        <f t="shared" si="216"/>
        <v>0</v>
      </c>
      <c r="CH185" s="24">
        <f t="shared" si="216"/>
        <v>0</v>
      </c>
      <c r="CI185" s="24">
        <f t="shared" si="216"/>
        <v>0</v>
      </c>
      <c r="CJ185" s="24">
        <f t="shared" si="216"/>
        <v>0</v>
      </c>
      <c r="CK185" s="24">
        <f t="shared" si="216"/>
        <v>58158.299999999988</v>
      </c>
      <c r="CL185" s="24">
        <f t="shared" si="216"/>
        <v>58158.299999999988</v>
      </c>
      <c r="CM185" s="24">
        <f t="shared" si="216"/>
        <v>58158.299999999988</v>
      </c>
      <c r="CN185" s="24">
        <f t="shared" si="216"/>
        <v>58158.299999999988</v>
      </c>
      <c r="CO185" s="24">
        <f t="shared" si="216"/>
        <v>58158.299999999988</v>
      </c>
      <c r="CP185" s="24">
        <f t="shared" si="216"/>
        <v>58158.299999999988</v>
      </c>
      <c r="CQ185" s="24">
        <f t="shared" si="216"/>
        <v>58158.299999999988</v>
      </c>
      <c r="CR185" s="24">
        <f t="shared" si="216"/>
        <v>58158.299999999988</v>
      </c>
      <c r="CS185" s="24">
        <f t="shared" si="216"/>
        <v>58158.299999999988</v>
      </c>
      <c r="CT185" s="24">
        <f t="shared" si="216"/>
        <v>58158.299999999988</v>
      </c>
      <c r="CU185" s="24">
        <f t="shared" si="216"/>
        <v>58158.299999999988</v>
      </c>
      <c r="CV185" s="24">
        <f t="shared" si="216"/>
        <v>58158.299999999988</v>
      </c>
      <c r="CW185" s="24">
        <f t="shared" si="216"/>
        <v>0</v>
      </c>
      <c r="CX185" s="24" t="str">
        <f t="shared" si="216"/>
        <v/>
      </c>
      <c r="CY185" s="24" t="str">
        <f t="shared" si="216"/>
        <v/>
      </c>
      <c r="CZ185" s="24" t="str">
        <f t="shared" si="216"/>
        <v/>
      </c>
      <c r="DA185" s="24" t="str">
        <f t="shared" si="216"/>
        <v/>
      </c>
      <c r="DB185" s="24" t="str">
        <f t="shared" si="216"/>
        <v/>
      </c>
      <c r="DC185" s="24" t="str">
        <f t="shared" si="216"/>
        <v/>
      </c>
      <c r="DD185" s="24" t="str">
        <f t="shared" si="216"/>
        <v/>
      </c>
      <c r="DE185" s="24" t="str">
        <f t="shared" si="216"/>
        <v/>
      </c>
      <c r="DF185" s="24" t="str">
        <f t="shared" si="216"/>
        <v/>
      </c>
      <c r="DG185" s="24" t="str">
        <f t="shared" si="216"/>
        <v/>
      </c>
      <c r="DH185" s="24" t="str">
        <f t="shared" si="216"/>
        <v/>
      </c>
      <c r="DI185" s="24" t="str">
        <f t="shared" si="216"/>
        <v/>
      </c>
      <c r="DJ185" s="24" t="str">
        <f t="shared" si="216"/>
        <v/>
      </c>
      <c r="DK185" s="24" t="str">
        <f t="shared" si="216"/>
        <v/>
      </c>
      <c r="DL185" s="24" t="str">
        <f t="shared" si="216"/>
        <v/>
      </c>
      <c r="DM185" s="24" t="str">
        <f t="shared" si="216"/>
        <v/>
      </c>
      <c r="DN185" s="24" t="str">
        <f t="shared" si="216"/>
        <v/>
      </c>
      <c r="DO185" s="24" t="str">
        <f t="shared" si="216"/>
        <v/>
      </c>
      <c r="DP185" s="24" t="str">
        <f t="shared" si="216"/>
        <v/>
      </c>
      <c r="DQ185" s="24" t="str">
        <f t="shared" si="216"/>
        <v/>
      </c>
      <c r="DR185" s="24" t="str">
        <f t="shared" si="216"/>
        <v/>
      </c>
      <c r="DS185" s="24" t="str">
        <f t="shared" si="216"/>
        <v/>
      </c>
      <c r="DT185" s="24" t="str">
        <f t="shared" si="216"/>
        <v/>
      </c>
      <c r="DU185" s="24" t="str">
        <f t="shared" si="216"/>
        <v/>
      </c>
      <c r="DV185" s="24" t="str">
        <f t="shared" si="216"/>
        <v/>
      </c>
      <c r="DW185" s="24"/>
      <c r="DX185" s="24"/>
      <c r="DY185" s="70"/>
    </row>
    <row r="186" spans="2:129" outlineLevel="1" x14ac:dyDescent="0.2">
      <c r="B186" s="67" t="s">
        <v>53</v>
      </c>
      <c r="C186" s="16"/>
      <c r="D186" s="24">
        <f>+D183+D184-D185</f>
        <v>61729145.399999835</v>
      </c>
      <c r="E186" s="52"/>
      <c r="F186" s="76"/>
      <c r="G186" s="24"/>
      <c r="H186" s="77"/>
      <c r="I186" s="77"/>
      <c r="J186" s="77"/>
      <c r="K186" s="77"/>
      <c r="L186" s="77"/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/>
      <c r="Z186" s="77"/>
      <c r="AA186" s="77"/>
      <c r="AB186" s="77"/>
      <c r="AC186" s="77"/>
      <c r="AD186" s="77"/>
      <c r="AE186" s="77"/>
      <c r="AF186" s="77"/>
      <c r="AG186" s="77"/>
      <c r="AH186" s="77"/>
      <c r="AI186" s="77"/>
      <c r="AJ186" s="77"/>
      <c r="AK186" s="77"/>
      <c r="AL186" s="77"/>
      <c r="AM186" s="77"/>
      <c r="AN186" s="77"/>
      <c r="AO186" s="77"/>
      <c r="AP186" s="77"/>
      <c r="AQ186" s="77"/>
      <c r="AR186" s="77"/>
      <c r="AS186" s="77"/>
      <c r="AT186" s="77"/>
      <c r="AU186" s="77"/>
      <c r="AV186" s="77"/>
      <c r="AW186" s="77"/>
      <c r="AX186" s="77"/>
      <c r="AY186" s="77"/>
      <c r="AZ186" s="77"/>
      <c r="BA186" s="77"/>
      <c r="BB186" s="77"/>
      <c r="BC186" s="77"/>
      <c r="BD186" s="77"/>
      <c r="BE186" s="77"/>
      <c r="BF186" s="77"/>
      <c r="BG186" s="77"/>
      <c r="BH186" s="77"/>
      <c r="BI186" s="77"/>
      <c r="BJ186" s="77"/>
      <c r="BK186" s="77"/>
      <c r="BL186" s="77"/>
      <c r="BM186" s="77"/>
      <c r="BN186" s="77"/>
      <c r="BO186" s="77"/>
      <c r="BP186" s="77"/>
      <c r="BQ186" s="77"/>
      <c r="BR186" s="77"/>
      <c r="BS186" s="77"/>
      <c r="BT186" s="77"/>
      <c r="BU186" s="77"/>
      <c r="BV186" s="77"/>
      <c r="BW186" s="77"/>
      <c r="BX186" s="77"/>
      <c r="BY186" s="77"/>
      <c r="BZ186" s="77"/>
      <c r="CA186" s="77"/>
      <c r="CB186" s="77"/>
      <c r="CC186" s="77"/>
      <c r="CD186" s="77"/>
      <c r="CE186" s="77"/>
      <c r="CF186" s="77"/>
      <c r="CG186" s="77"/>
      <c r="CH186" s="77"/>
      <c r="CI186" s="77"/>
      <c r="CJ186" s="77"/>
      <c r="CK186" s="77"/>
      <c r="CL186" s="77"/>
      <c r="CM186" s="77"/>
      <c r="CN186" s="77"/>
      <c r="CO186" s="77"/>
      <c r="CP186" s="77"/>
      <c r="CQ186" s="77"/>
      <c r="CR186" s="77"/>
      <c r="CS186" s="77"/>
      <c r="CT186" s="77"/>
      <c r="CU186" s="77"/>
      <c r="CV186" s="77"/>
      <c r="CW186" s="77"/>
      <c r="CX186" s="77"/>
      <c r="CY186" s="77"/>
      <c r="CZ186" s="77"/>
      <c r="DA186" s="77"/>
      <c r="DB186" s="77"/>
      <c r="DC186" s="77"/>
      <c r="DD186" s="77"/>
      <c r="DE186" s="77"/>
      <c r="DF186" s="77"/>
      <c r="DG186" s="77"/>
      <c r="DH186" s="77"/>
      <c r="DI186" s="77"/>
      <c r="DJ186" s="77"/>
      <c r="DK186" s="77"/>
      <c r="DL186" s="77"/>
      <c r="DM186" s="77"/>
      <c r="DN186" s="77"/>
      <c r="DO186" s="77"/>
      <c r="DP186" s="77"/>
      <c r="DQ186" s="77"/>
      <c r="DR186" s="77"/>
      <c r="DS186" s="77"/>
      <c r="DT186" s="77"/>
      <c r="DU186" s="77"/>
      <c r="DV186" s="77"/>
      <c r="DW186" s="77"/>
      <c r="DX186" s="77"/>
      <c r="DY186" s="78"/>
    </row>
    <row r="187" spans="2:129" outlineLevel="1" x14ac:dyDescent="0.2">
      <c r="B187" s="67" t="s">
        <v>44</v>
      </c>
      <c r="C187" s="16"/>
      <c r="D187" s="79">
        <f ca="1">XIRR(OFFSET(F187,0,0,1,$E$21+1),OFFSET($F$46,0,0,1,$E$21+1))</f>
        <v>0.5824405014514924</v>
      </c>
      <c r="E187" s="52"/>
      <c r="F187" s="24">
        <f>IF(F174="","",(-F185)+F183+F184)</f>
        <v>-10402691.700000003</v>
      </c>
      <c r="G187" s="24">
        <f t="shared" ref="G187:BR187" si="217">IF(G174="","",(-G185)+G183+G184)</f>
        <v>-2691.7000000000007</v>
      </c>
      <c r="H187" s="24">
        <f t="shared" si="217"/>
        <v>-2691.7000000000007</v>
      </c>
      <c r="I187" s="24">
        <f t="shared" si="217"/>
        <v>-2691.7000000000007</v>
      </c>
      <c r="J187" s="24">
        <f t="shared" si="217"/>
        <v>-2691.7000000000007</v>
      </c>
      <c r="K187" s="24">
        <f t="shared" si="217"/>
        <v>-2691.7000000000007</v>
      </c>
      <c r="L187" s="24">
        <f t="shared" si="217"/>
        <v>-2691.7000000000007</v>
      </c>
      <c r="M187" s="24">
        <f t="shared" si="217"/>
        <v>-2691.7000000000007</v>
      </c>
      <c r="N187" s="24">
        <f t="shared" si="217"/>
        <v>-2691.7000000000007</v>
      </c>
      <c r="O187" s="24">
        <f t="shared" si="217"/>
        <v>-2691.7000000000007</v>
      </c>
      <c r="P187" s="24">
        <f t="shared" si="217"/>
        <v>-2691.7000000000007</v>
      </c>
      <c r="Q187" s="24">
        <f t="shared" si="217"/>
        <v>-2691.7000000000007</v>
      </c>
      <c r="R187" s="24">
        <f t="shared" si="217"/>
        <v>-2691.7000000000007</v>
      </c>
      <c r="S187" s="24">
        <f t="shared" si="217"/>
        <v>-2691.7000000000007</v>
      </c>
      <c r="T187" s="24">
        <f t="shared" si="217"/>
        <v>-2691.7000000000007</v>
      </c>
      <c r="U187" s="24">
        <f t="shared" si="217"/>
        <v>-2691.7000000000007</v>
      </c>
      <c r="V187" s="24">
        <f t="shared" si="217"/>
        <v>-2691.7000000000007</v>
      </c>
      <c r="W187" s="24">
        <f t="shared" si="217"/>
        <v>-2691.7000000000007</v>
      </c>
      <c r="X187" s="24">
        <f t="shared" si="217"/>
        <v>-2691.7000000000007</v>
      </c>
      <c r="Y187" s="24">
        <f t="shared" si="217"/>
        <v>-2691.7000000000007</v>
      </c>
      <c r="Z187" s="24">
        <f t="shared" si="217"/>
        <v>-2691.7000000000007</v>
      </c>
      <c r="AA187" s="24">
        <f t="shared" si="217"/>
        <v>-2691.7000000000007</v>
      </c>
      <c r="AB187" s="24">
        <f t="shared" si="217"/>
        <v>-2691.7000000000007</v>
      </c>
      <c r="AC187" s="24">
        <f t="shared" si="217"/>
        <v>-38660.399999999965</v>
      </c>
      <c r="AD187" s="24">
        <f t="shared" si="217"/>
        <v>-93564.599999999977</v>
      </c>
      <c r="AE187" s="24">
        <f t="shared" si="217"/>
        <v>2843545.4000000004</v>
      </c>
      <c r="AF187" s="24">
        <f t="shared" si="217"/>
        <v>-93564.599999999977</v>
      </c>
      <c r="AG187" s="24">
        <f t="shared" si="217"/>
        <v>-93564.599999999977</v>
      </c>
      <c r="AH187" s="24">
        <f t="shared" si="217"/>
        <v>-93564.599999999977</v>
      </c>
      <c r="AI187" s="24">
        <f t="shared" si="217"/>
        <v>-93564.599999999977</v>
      </c>
      <c r="AJ187" s="24">
        <f t="shared" si="217"/>
        <v>-93564.599999999977</v>
      </c>
      <c r="AK187" s="24">
        <f t="shared" si="217"/>
        <v>-93564.599999999977</v>
      </c>
      <c r="AL187" s="24">
        <f t="shared" si="217"/>
        <v>-93564.599999999977</v>
      </c>
      <c r="AM187" s="24">
        <f t="shared" si="217"/>
        <v>-75336.79999999993</v>
      </c>
      <c r="AN187" s="24">
        <f t="shared" si="217"/>
        <v>-75336.79999999993</v>
      </c>
      <c r="AO187" s="24">
        <f t="shared" si="217"/>
        <v>-98232.599999999977</v>
      </c>
      <c r="AP187" s="24">
        <f t="shared" si="217"/>
        <v>-67620.099999999977</v>
      </c>
      <c r="AQ187" s="24">
        <f t="shared" si="217"/>
        <v>-67620.099999999977</v>
      </c>
      <c r="AR187" s="24">
        <f t="shared" si="217"/>
        <v>-67620.099999999977</v>
      </c>
      <c r="AS187" s="24">
        <f t="shared" si="217"/>
        <v>-67620.099999999977</v>
      </c>
      <c r="AT187" s="24">
        <f t="shared" si="217"/>
        <v>-67620.099999999977</v>
      </c>
      <c r="AU187" s="24">
        <f t="shared" si="217"/>
        <v>4139676.1</v>
      </c>
      <c r="AV187" s="24">
        <f t="shared" si="217"/>
        <v>-74538.400000000023</v>
      </c>
      <c r="AW187" s="24">
        <f t="shared" si="217"/>
        <v>-74538.400000000023</v>
      </c>
      <c r="AX187" s="24">
        <f t="shared" si="217"/>
        <v>-74538.400000000023</v>
      </c>
      <c r="AY187" s="24">
        <f t="shared" si="217"/>
        <v>-74538.400000000023</v>
      </c>
      <c r="AZ187" s="24">
        <f t="shared" si="217"/>
        <v>-74538.400000000023</v>
      </c>
      <c r="BA187" s="24">
        <f t="shared" si="217"/>
        <v>51005097.762499824</v>
      </c>
      <c r="BB187" s="24">
        <f t="shared" si="217"/>
        <v>-55727.599999999977</v>
      </c>
      <c r="BC187" s="24">
        <f t="shared" si="217"/>
        <v>-55727.599999999977</v>
      </c>
      <c r="BD187" s="24">
        <f t="shared" si="217"/>
        <v>-55727.599999999977</v>
      </c>
      <c r="BE187" s="24">
        <f t="shared" si="217"/>
        <v>-55727.599999999977</v>
      </c>
      <c r="BF187" s="24">
        <f t="shared" si="217"/>
        <v>-55727.599999999977</v>
      </c>
      <c r="BG187" s="24">
        <f t="shared" si="217"/>
        <v>-55727.599999999977</v>
      </c>
      <c r="BH187" s="24">
        <f t="shared" si="217"/>
        <v>-55727.599999999977</v>
      </c>
      <c r="BI187" s="24">
        <f t="shared" si="217"/>
        <v>-55727.599999999977</v>
      </c>
      <c r="BJ187" s="24">
        <f t="shared" si="217"/>
        <v>-55727.599999999977</v>
      </c>
      <c r="BK187" s="24">
        <f t="shared" si="217"/>
        <v>-55727.599999999977</v>
      </c>
      <c r="BL187" s="24">
        <f t="shared" si="217"/>
        <v>-55727.599999999977</v>
      </c>
      <c r="BM187" s="24">
        <f t="shared" si="217"/>
        <v>-40982.099999999977</v>
      </c>
      <c r="BN187" s="24">
        <f t="shared" si="217"/>
        <v>-40982.099999999977</v>
      </c>
      <c r="BO187" s="24">
        <f t="shared" si="217"/>
        <v>-40982.099999999977</v>
      </c>
      <c r="BP187" s="24">
        <f t="shared" si="217"/>
        <v>-25308.299999999988</v>
      </c>
      <c r="BQ187" s="24">
        <f t="shared" si="217"/>
        <v>-25308.299999999988</v>
      </c>
      <c r="BR187" s="24">
        <f t="shared" si="217"/>
        <v>-25308.299999999988</v>
      </c>
      <c r="BS187" s="24">
        <f t="shared" ref="BS187:DV187" si="218">IF(BS174="","",(-BS185)+BS183+BS184)</f>
        <v>-25308.299999999988</v>
      </c>
      <c r="BT187" s="24">
        <f t="shared" si="218"/>
        <v>-25308.299999999988</v>
      </c>
      <c r="BU187" s="24">
        <f t="shared" si="218"/>
        <v>-25308.299999999988</v>
      </c>
      <c r="BV187" s="24">
        <f t="shared" si="218"/>
        <v>-25308.299999999988</v>
      </c>
      <c r="BW187" s="24">
        <f t="shared" si="218"/>
        <v>-25308.299999999988</v>
      </c>
      <c r="BX187" s="24">
        <f t="shared" si="218"/>
        <v>-25308.299999999988</v>
      </c>
      <c r="BY187" s="24">
        <f t="shared" si="218"/>
        <v>590691.70000000007</v>
      </c>
      <c r="BZ187" s="24">
        <f t="shared" si="218"/>
        <v>528177.53999999946</v>
      </c>
      <c r="CA187" s="24">
        <f t="shared" si="218"/>
        <v>-25308.299999999988</v>
      </c>
      <c r="CB187" s="24">
        <f t="shared" si="218"/>
        <v>-25308.299999999988</v>
      </c>
      <c r="CC187" s="24">
        <f t="shared" si="218"/>
        <v>-25308.299999999988</v>
      </c>
      <c r="CD187" s="24">
        <f t="shared" si="218"/>
        <v>-25308.299999999988</v>
      </c>
      <c r="CE187" s="24">
        <f t="shared" si="218"/>
        <v>6031163.0725000035</v>
      </c>
      <c r="CF187" s="24">
        <f t="shared" si="218"/>
        <v>0</v>
      </c>
      <c r="CG187" s="24">
        <f t="shared" si="218"/>
        <v>0</v>
      </c>
      <c r="CH187" s="24">
        <f t="shared" si="218"/>
        <v>0</v>
      </c>
      <c r="CI187" s="24">
        <f t="shared" si="218"/>
        <v>0</v>
      </c>
      <c r="CJ187" s="24">
        <f t="shared" si="218"/>
        <v>0</v>
      </c>
      <c r="CK187" s="24">
        <f t="shared" si="218"/>
        <v>-58158.299999999988</v>
      </c>
      <c r="CL187" s="24">
        <f t="shared" si="218"/>
        <v>-58158.299999999988</v>
      </c>
      <c r="CM187" s="24">
        <f t="shared" si="218"/>
        <v>-58158.299999999988</v>
      </c>
      <c r="CN187" s="24">
        <f t="shared" si="218"/>
        <v>-58158.299999999988</v>
      </c>
      <c r="CO187" s="24">
        <f t="shared" si="218"/>
        <v>-58158.299999999988</v>
      </c>
      <c r="CP187" s="24">
        <f t="shared" si="218"/>
        <v>-58158.299999999988</v>
      </c>
      <c r="CQ187" s="24">
        <f t="shared" si="218"/>
        <v>-58158.299999999988</v>
      </c>
      <c r="CR187" s="24">
        <f t="shared" si="218"/>
        <v>-58158.299999999988</v>
      </c>
      <c r="CS187" s="24">
        <f t="shared" si="218"/>
        <v>-58158.299999999988</v>
      </c>
      <c r="CT187" s="24">
        <f t="shared" si="218"/>
        <v>-58158.299999999988</v>
      </c>
      <c r="CU187" s="24">
        <f t="shared" si="218"/>
        <v>-58158.299999999988</v>
      </c>
      <c r="CV187" s="24">
        <f t="shared" si="218"/>
        <v>-58158.299999999988</v>
      </c>
      <c r="CW187" s="24">
        <f t="shared" si="218"/>
        <v>10562436.225000001</v>
      </c>
      <c r="CX187" s="24" t="str">
        <f t="shared" si="218"/>
        <v/>
      </c>
      <c r="CY187" s="24" t="str">
        <f t="shared" si="218"/>
        <v/>
      </c>
      <c r="CZ187" s="24" t="str">
        <f t="shared" si="218"/>
        <v/>
      </c>
      <c r="DA187" s="24" t="str">
        <f t="shared" si="218"/>
        <v/>
      </c>
      <c r="DB187" s="24" t="str">
        <f t="shared" si="218"/>
        <v/>
      </c>
      <c r="DC187" s="24" t="str">
        <f t="shared" si="218"/>
        <v/>
      </c>
      <c r="DD187" s="24" t="str">
        <f t="shared" si="218"/>
        <v/>
      </c>
      <c r="DE187" s="24" t="str">
        <f t="shared" si="218"/>
        <v/>
      </c>
      <c r="DF187" s="24" t="str">
        <f t="shared" si="218"/>
        <v/>
      </c>
      <c r="DG187" s="24" t="str">
        <f t="shared" si="218"/>
        <v/>
      </c>
      <c r="DH187" s="24" t="str">
        <f t="shared" si="218"/>
        <v/>
      </c>
      <c r="DI187" s="24" t="str">
        <f t="shared" si="218"/>
        <v/>
      </c>
      <c r="DJ187" s="24" t="str">
        <f t="shared" si="218"/>
        <v/>
      </c>
      <c r="DK187" s="24" t="str">
        <f t="shared" si="218"/>
        <v/>
      </c>
      <c r="DL187" s="24" t="str">
        <f t="shared" si="218"/>
        <v/>
      </c>
      <c r="DM187" s="24" t="str">
        <f t="shared" si="218"/>
        <v/>
      </c>
      <c r="DN187" s="24" t="str">
        <f t="shared" si="218"/>
        <v/>
      </c>
      <c r="DO187" s="24" t="str">
        <f t="shared" si="218"/>
        <v/>
      </c>
      <c r="DP187" s="24" t="str">
        <f t="shared" si="218"/>
        <v/>
      </c>
      <c r="DQ187" s="24" t="str">
        <f t="shared" si="218"/>
        <v/>
      </c>
      <c r="DR187" s="24" t="str">
        <f t="shared" si="218"/>
        <v/>
      </c>
      <c r="DS187" s="24" t="str">
        <f t="shared" si="218"/>
        <v/>
      </c>
      <c r="DT187" s="24" t="str">
        <f t="shared" si="218"/>
        <v/>
      </c>
      <c r="DU187" s="24" t="str">
        <f t="shared" si="218"/>
        <v/>
      </c>
      <c r="DV187" s="24" t="str">
        <f t="shared" si="218"/>
        <v/>
      </c>
      <c r="DW187" s="24"/>
      <c r="DX187" s="24"/>
      <c r="DY187" s="70"/>
    </row>
    <row r="188" spans="2:129" outlineLevel="1" x14ac:dyDescent="0.2">
      <c r="B188" s="67" t="s">
        <v>45</v>
      </c>
      <c r="C188" s="16"/>
      <c r="D188" s="82">
        <f>IFERROR(D183/D185,"NA")</f>
        <v>5.4181738719565171</v>
      </c>
      <c r="E188" s="52"/>
      <c r="F188" s="63"/>
      <c r="G188" s="64"/>
      <c r="H188" s="65"/>
      <c r="I188" s="65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/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66"/>
      <c r="BP188" s="66"/>
      <c r="BQ188" s="66"/>
      <c r="BR188" s="66"/>
      <c r="BS188" s="66"/>
      <c r="BT188" s="66"/>
      <c r="BU188" s="66"/>
      <c r="BV188" s="66"/>
      <c r="BW188" s="66"/>
      <c r="BX188" s="66"/>
      <c r="BY188" s="66"/>
      <c r="BZ188" s="66"/>
      <c r="CA188" s="66"/>
      <c r="CB188" s="66"/>
      <c r="CC188" s="66"/>
      <c r="CD188" s="66"/>
      <c r="CE188" s="66"/>
      <c r="CF188" s="66"/>
      <c r="CG188" s="66"/>
      <c r="CH188" s="66"/>
      <c r="CI188" s="66"/>
      <c r="CJ188" s="66"/>
      <c r="CK188" s="66"/>
      <c r="CL188" s="66"/>
      <c r="CM188" s="66"/>
      <c r="CN188" s="66"/>
      <c r="CO188" s="66"/>
      <c r="CP188" s="66"/>
      <c r="CQ188" s="66"/>
      <c r="CR188" s="66"/>
      <c r="CS188" s="66"/>
      <c r="CT188" s="66"/>
      <c r="CU188" s="66"/>
      <c r="CV188" s="66"/>
      <c r="CW188" s="66"/>
      <c r="CX188" s="66"/>
      <c r="CY188" s="66"/>
      <c r="CZ188" s="66"/>
      <c r="DA188" s="66"/>
      <c r="DB188" s="66"/>
      <c r="DC188" s="66"/>
      <c r="DD188" s="66"/>
      <c r="DE188" s="66"/>
      <c r="DF188" s="66"/>
      <c r="DG188" s="66"/>
      <c r="DH188" s="66"/>
      <c r="DI188" s="66"/>
      <c r="DJ188" s="66"/>
      <c r="DK188" s="66"/>
      <c r="DL188" s="66"/>
      <c r="DM188" s="66"/>
      <c r="DN188" s="66"/>
      <c r="DO188" s="66"/>
      <c r="DP188" s="66"/>
      <c r="DQ188" s="66"/>
      <c r="DR188" s="66"/>
      <c r="DS188" s="66"/>
      <c r="DT188" s="66"/>
      <c r="DU188" s="66"/>
      <c r="DV188" s="66"/>
      <c r="DW188" s="66"/>
      <c r="DX188" s="66"/>
      <c r="DY188" s="17"/>
    </row>
    <row r="189" spans="2:129" outlineLevel="1" x14ac:dyDescent="0.2">
      <c r="B189" s="83"/>
      <c r="C189" s="84"/>
      <c r="D189" s="85"/>
      <c r="E189" s="1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66"/>
      <c r="AU189" s="66"/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/>
      <c r="BJ189" s="66"/>
      <c r="BK189" s="66"/>
      <c r="BL189" s="66"/>
      <c r="BM189" s="66"/>
      <c r="BN189" s="66"/>
      <c r="BO189" s="66"/>
      <c r="BP189" s="66"/>
      <c r="BQ189" s="66"/>
      <c r="BR189" s="66"/>
      <c r="BS189" s="66"/>
      <c r="BT189" s="66"/>
      <c r="BU189" s="66"/>
      <c r="BV189" s="66"/>
      <c r="BW189" s="66"/>
      <c r="BX189" s="66"/>
      <c r="BY189" s="66"/>
      <c r="BZ189" s="66"/>
      <c r="CA189" s="66"/>
      <c r="CB189" s="66"/>
      <c r="CC189" s="66"/>
      <c r="CD189" s="66"/>
      <c r="CE189" s="66"/>
      <c r="CF189" s="66"/>
      <c r="CG189" s="66"/>
      <c r="CH189" s="66"/>
      <c r="CI189" s="66"/>
      <c r="CJ189" s="66"/>
      <c r="CK189" s="66"/>
      <c r="CL189" s="66"/>
      <c r="CM189" s="66"/>
      <c r="CN189" s="66"/>
      <c r="CO189" s="66"/>
      <c r="CP189" s="66"/>
      <c r="CQ189" s="66"/>
      <c r="CR189" s="66"/>
      <c r="CS189" s="66"/>
      <c r="CT189" s="66"/>
      <c r="CU189" s="66"/>
      <c r="CV189" s="66"/>
      <c r="CW189" s="66"/>
      <c r="CX189" s="66"/>
      <c r="CY189" s="66"/>
      <c r="CZ189" s="66"/>
      <c r="DA189" s="66"/>
      <c r="DB189" s="66"/>
      <c r="DC189" s="66"/>
      <c r="DD189" s="66"/>
      <c r="DE189" s="66"/>
      <c r="DF189" s="66"/>
      <c r="DG189" s="66"/>
      <c r="DH189" s="66"/>
      <c r="DI189" s="66"/>
      <c r="DJ189" s="66"/>
      <c r="DK189" s="66"/>
      <c r="DL189" s="66"/>
      <c r="DM189" s="66"/>
      <c r="DN189" s="66"/>
      <c r="DO189" s="66"/>
      <c r="DP189" s="66"/>
      <c r="DQ189" s="66"/>
      <c r="DR189" s="66"/>
      <c r="DS189" s="66"/>
      <c r="DT189" s="66"/>
      <c r="DU189" s="66"/>
      <c r="DV189" s="66"/>
      <c r="DW189" s="66"/>
      <c r="DX189" s="66"/>
      <c r="DY189" s="17"/>
    </row>
    <row r="190" spans="2:129" ht="16" outlineLevel="1" x14ac:dyDescent="0.2">
      <c r="B190" s="105" t="s">
        <v>46</v>
      </c>
      <c r="C190" s="100"/>
      <c r="D190" s="100"/>
      <c r="E190" s="102"/>
      <c r="F190" s="113">
        <f>F$21</f>
        <v>0</v>
      </c>
      <c r="G190" s="113">
        <f t="shared" ref="G190:BR190" si="219">G$21</f>
        <v>1</v>
      </c>
      <c r="H190" s="113">
        <f t="shared" si="219"/>
        <v>2</v>
      </c>
      <c r="I190" s="113">
        <f t="shared" si="219"/>
        <v>3</v>
      </c>
      <c r="J190" s="113">
        <f t="shared" si="219"/>
        <v>4</v>
      </c>
      <c r="K190" s="113">
        <f t="shared" si="219"/>
        <v>5</v>
      </c>
      <c r="L190" s="113">
        <f t="shared" si="219"/>
        <v>6</v>
      </c>
      <c r="M190" s="113">
        <f t="shared" si="219"/>
        <v>7</v>
      </c>
      <c r="N190" s="113">
        <f t="shared" si="219"/>
        <v>8</v>
      </c>
      <c r="O190" s="113">
        <f t="shared" si="219"/>
        <v>9</v>
      </c>
      <c r="P190" s="113">
        <f t="shared" si="219"/>
        <v>10</v>
      </c>
      <c r="Q190" s="113">
        <f t="shared" si="219"/>
        <v>11</v>
      </c>
      <c r="R190" s="113">
        <f t="shared" si="219"/>
        <v>12</v>
      </c>
      <c r="S190" s="113">
        <f t="shared" si="219"/>
        <v>13</v>
      </c>
      <c r="T190" s="113">
        <f t="shared" si="219"/>
        <v>14</v>
      </c>
      <c r="U190" s="113">
        <f t="shared" si="219"/>
        <v>15</v>
      </c>
      <c r="V190" s="113">
        <f t="shared" si="219"/>
        <v>16</v>
      </c>
      <c r="W190" s="113">
        <f t="shared" si="219"/>
        <v>17</v>
      </c>
      <c r="X190" s="113">
        <f t="shared" si="219"/>
        <v>18</v>
      </c>
      <c r="Y190" s="113">
        <f t="shared" si="219"/>
        <v>19</v>
      </c>
      <c r="Z190" s="113">
        <f t="shared" si="219"/>
        <v>20</v>
      </c>
      <c r="AA190" s="113">
        <f t="shared" si="219"/>
        <v>21</v>
      </c>
      <c r="AB190" s="113">
        <f t="shared" si="219"/>
        <v>22</v>
      </c>
      <c r="AC190" s="113">
        <f t="shared" si="219"/>
        <v>23</v>
      </c>
      <c r="AD190" s="113">
        <f t="shared" si="219"/>
        <v>24</v>
      </c>
      <c r="AE190" s="113">
        <f t="shared" si="219"/>
        <v>25</v>
      </c>
      <c r="AF190" s="113">
        <f t="shared" si="219"/>
        <v>26</v>
      </c>
      <c r="AG190" s="113">
        <f t="shared" si="219"/>
        <v>27</v>
      </c>
      <c r="AH190" s="113">
        <f t="shared" si="219"/>
        <v>28</v>
      </c>
      <c r="AI190" s="113">
        <f t="shared" si="219"/>
        <v>29</v>
      </c>
      <c r="AJ190" s="113">
        <f t="shared" si="219"/>
        <v>30</v>
      </c>
      <c r="AK190" s="113">
        <f t="shared" si="219"/>
        <v>31</v>
      </c>
      <c r="AL190" s="113">
        <f t="shared" si="219"/>
        <v>32</v>
      </c>
      <c r="AM190" s="113">
        <f t="shared" si="219"/>
        <v>33</v>
      </c>
      <c r="AN190" s="113">
        <f t="shared" si="219"/>
        <v>34</v>
      </c>
      <c r="AO190" s="113">
        <f t="shared" si="219"/>
        <v>35</v>
      </c>
      <c r="AP190" s="113">
        <f t="shared" si="219"/>
        <v>36</v>
      </c>
      <c r="AQ190" s="113">
        <f t="shared" si="219"/>
        <v>37</v>
      </c>
      <c r="AR190" s="113">
        <f t="shared" si="219"/>
        <v>38</v>
      </c>
      <c r="AS190" s="113">
        <f t="shared" si="219"/>
        <v>39</v>
      </c>
      <c r="AT190" s="113">
        <f t="shared" si="219"/>
        <v>40</v>
      </c>
      <c r="AU190" s="113">
        <f t="shared" si="219"/>
        <v>41</v>
      </c>
      <c r="AV190" s="113">
        <f t="shared" si="219"/>
        <v>42</v>
      </c>
      <c r="AW190" s="113">
        <f t="shared" si="219"/>
        <v>43</v>
      </c>
      <c r="AX190" s="113">
        <f t="shared" si="219"/>
        <v>44</v>
      </c>
      <c r="AY190" s="113">
        <f t="shared" si="219"/>
        <v>45</v>
      </c>
      <c r="AZ190" s="113">
        <f t="shared" si="219"/>
        <v>46</v>
      </c>
      <c r="BA190" s="113">
        <f t="shared" si="219"/>
        <v>47</v>
      </c>
      <c r="BB190" s="113">
        <f t="shared" si="219"/>
        <v>48</v>
      </c>
      <c r="BC190" s="113">
        <f t="shared" si="219"/>
        <v>49</v>
      </c>
      <c r="BD190" s="113">
        <f t="shared" si="219"/>
        <v>50</v>
      </c>
      <c r="BE190" s="113">
        <f t="shared" si="219"/>
        <v>51</v>
      </c>
      <c r="BF190" s="113">
        <f t="shared" si="219"/>
        <v>52</v>
      </c>
      <c r="BG190" s="113">
        <f t="shared" si="219"/>
        <v>53</v>
      </c>
      <c r="BH190" s="113">
        <f t="shared" si="219"/>
        <v>54</v>
      </c>
      <c r="BI190" s="113">
        <f t="shared" si="219"/>
        <v>55</v>
      </c>
      <c r="BJ190" s="113">
        <f t="shared" si="219"/>
        <v>56</v>
      </c>
      <c r="BK190" s="113">
        <f t="shared" si="219"/>
        <v>57</v>
      </c>
      <c r="BL190" s="113">
        <f t="shared" si="219"/>
        <v>58</v>
      </c>
      <c r="BM190" s="113">
        <f t="shared" si="219"/>
        <v>59</v>
      </c>
      <c r="BN190" s="113">
        <f t="shared" si="219"/>
        <v>60</v>
      </c>
      <c r="BO190" s="113">
        <f t="shared" si="219"/>
        <v>61</v>
      </c>
      <c r="BP190" s="113">
        <f t="shared" si="219"/>
        <v>62</v>
      </c>
      <c r="BQ190" s="113">
        <f t="shared" si="219"/>
        <v>63</v>
      </c>
      <c r="BR190" s="113">
        <f t="shared" si="219"/>
        <v>64</v>
      </c>
      <c r="BS190" s="113">
        <f t="shared" ref="BS190:DV190" si="220">BS$21</f>
        <v>65</v>
      </c>
      <c r="BT190" s="113">
        <f t="shared" si="220"/>
        <v>66</v>
      </c>
      <c r="BU190" s="113">
        <f t="shared" si="220"/>
        <v>67</v>
      </c>
      <c r="BV190" s="113">
        <f t="shared" si="220"/>
        <v>68</v>
      </c>
      <c r="BW190" s="113">
        <f t="shared" si="220"/>
        <v>69</v>
      </c>
      <c r="BX190" s="113">
        <f t="shared" si="220"/>
        <v>70</v>
      </c>
      <c r="BY190" s="113">
        <f t="shared" si="220"/>
        <v>71</v>
      </c>
      <c r="BZ190" s="113">
        <f t="shared" si="220"/>
        <v>72</v>
      </c>
      <c r="CA190" s="113">
        <f t="shared" si="220"/>
        <v>73</v>
      </c>
      <c r="CB190" s="113">
        <f t="shared" si="220"/>
        <v>74</v>
      </c>
      <c r="CC190" s="113">
        <f t="shared" si="220"/>
        <v>75</v>
      </c>
      <c r="CD190" s="113">
        <f t="shared" si="220"/>
        <v>76</v>
      </c>
      <c r="CE190" s="113">
        <f t="shared" si="220"/>
        <v>77</v>
      </c>
      <c r="CF190" s="113">
        <f t="shared" si="220"/>
        <v>78</v>
      </c>
      <c r="CG190" s="113">
        <f t="shared" si="220"/>
        <v>79</v>
      </c>
      <c r="CH190" s="113">
        <f t="shared" si="220"/>
        <v>80</v>
      </c>
      <c r="CI190" s="113">
        <f t="shared" si="220"/>
        <v>81</v>
      </c>
      <c r="CJ190" s="113">
        <f t="shared" si="220"/>
        <v>82</v>
      </c>
      <c r="CK190" s="113">
        <f t="shared" si="220"/>
        <v>83</v>
      </c>
      <c r="CL190" s="113">
        <f t="shared" si="220"/>
        <v>84</v>
      </c>
      <c r="CM190" s="113">
        <f t="shared" si="220"/>
        <v>85</v>
      </c>
      <c r="CN190" s="113">
        <f t="shared" si="220"/>
        <v>86</v>
      </c>
      <c r="CO190" s="113">
        <f t="shared" si="220"/>
        <v>87</v>
      </c>
      <c r="CP190" s="113">
        <f t="shared" si="220"/>
        <v>88</v>
      </c>
      <c r="CQ190" s="113">
        <f t="shared" si="220"/>
        <v>89</v>
      </c>
      <c r="CR190" s="113">
        <f t="shared" si="220"/>
        <v>90</v>
      </c>
      <c r="CS190" s="113">
        <f t="shared" si="220"/>
        <v>91</v>
      </c>
      <c r="CT190" s="113">
        <f t="shared" si="220"/>
        <v>92</v>
      </c>
      <c r="CU190" s="113">
        <f t="shared" si="220"/>
        <v>93</v>
      </c>
      <c r="CV190" s="113">
        <f t="shared" si="220"/>
        <v>94</v>
      </c>
      <c r="CW190" s="113">
        <f t="shared" si="220"/>
        <v>95</v>
      </c>
      <c r="CX190" s="113" t="str">
        <f t="shared" si="220"/>
        <v/>
      </c>
      <c r="CY190" s="113" t="str">
        <f t="shared" si="220"/>
        <v/>
      </c>
      <c r="CZ190" s="113" t="str">
        <f t="shared" si="220"/>
        <v/>
      </c>
      <c r="DA190" s="113" t="str">
        <f t="shared" si="220"/>
        <v/>
      </c>
      <c r="DB190" s="113" t="str">
        <f t="shared" si="220"/>
        <v/>
      </c>
      <c r="DC190" s="113" t="str">
        <f t="shared" si="220"/>
        <v/>
      </c>
      <c r="DD190" s="113" t="str">
        <f t="shared" si="220"/>
        <v/>
      </c>
      <c r="DE190" s="113" t="str">
        <f t="shared" si="220"/>
        <v/>
      </c>
      <c r="DF190" s="113" t="str">
        <f t="shared" si="220"/>
        <v/>
      </c>
      <c r="DG190" s="113" t="str">
        <f t="shared" si="220"/>
        <v/>
      </c>
      <c r="DH190" s="113" t="str">
        <f t="shared" si="220"/>
        <v/>
      </c>
      <c r="DI190" s="113" t="str">
        <f t="shared" si="220"/>
        <v/>
      </c>
      <c r="DJ190" s="113" t="str">
        <f t="shared" si="220"/>
        <v/>
      </c>
      <c r="DK190" s="113" t="str">
        <f t="shared" si="220"/>
        <v/>
      </c>
      <c r="DL190" s="113" t="str">
        <f t="shared" si="220"/>
        <v/>
      </c>
      <c r="DM190" s="113" t="str">
        <f t="shared" si="220"/>
        <v/>
      </c>
      <c r="DN190" s="113" t="str">
        <f t="shared" si="220"/>
        <v/>
      </c>
      <c r="DO190" s="113" t="str">
        <f t="shared" si="220"/>
        <v/>
      </c>
      <c r="DP190" s="113" t="str">
        <f t="shared" si="220"/>
        <v/>
      </c>
      <c r="DQ190" s="113" t="str">
        <f t="shared" si="220"/>
        <v/>
      </c>
      <c r="DR190" s="113" t="str">
        <f t="shared" si="220"/>
        <v/>
      </c>
      <c r="DS190" s="113" t="str">
        <f t="shared" si="220"/>
        <v/>
      </c>
      <c r="DT190" s="113" t="str">
        <f t="shared" si="220"/>
        <v/>
      </c>
      <c r="DU190" s="113" t="str">
        <f t="shared" si="220"/>
        <v/>
      </c>
      <c r="DV190" s="113" t="str">
        <f t="shared" si="220"/>
        <v/>
      </c>
      <c r="DW190" s="114"/>
      <c r="DX190" s="114"/>
      <c r="DY190" s="115"/>
    </row>
    <row r="191" spans="2:129" outlineLevel="1" x14ac:dyDescent="0.2">
      <c r="B191" s="133"/>
      <c r="C191" s="133"/>
      <c r="D191" s="133"/>
      <c r="E191" s="134" t="s">
        <v>54</v>
      </c>
      <c r="F191" s="116">
        <f t="shared" ref="F191:BQ194" si="221">IF(F46="","",F46)</f>
        <v>46023</v>
      </c>
      <c r="G191" s="117">
        <f t="shared" si="221"/>
        <v>46054</v>
      </c>
      <c r="H191" s="117">
        <f t="shared" si="221"/>
        <v>46082</v>
      </c>
      <c r="I191" s="117">
        <f t="shared" si="221"/>
        <v>46113</v>
      </c>
      <c r="J191" s="117">
        <f t="shared" si="221"/>
        <v>46143</v>
      </c>
      <c r="K191" s="117">
        <f t="shared" si="221"/>
        <v>46174</v>
      </c>
      <c r="L191" s="117">
        <f t="shared" si="221"/>
        <v>46204</v>
      </c>
      <c r="M191" s="117">
        <f t="shared" si="221"/>
        <v>46235</v>
      </c>
      <c r="N191" s="117">
        <f t="shared" si="221"/>
        <v>46266</v>
      </c>
      <c r="O191" s="117">
        <f t="shared" si="221"/>
        <v>46296</v>
      </c>
      <c r="P191" s="117">
        <f t="shared" si="221"/>
        <v>46327</v>
      </c>
      <c r="Q191" s="117">
        <f t="shared" si="221"/>
        <v>46357</v>
      </c>
      <c r="R191" s="117">
        <f t="shared" si="221"/>
        <v>46388</v>
      </c>
      <c r="S191" s="117">
        <f t="shared" si="221"/>
        <v>46419</v>
      </c>
      <c r="T191" s="117">
        <f t="shared" si="221"/>
        <v>46447</v>
      </c>
      <c r="U191" s="117">
        <f t="shared" si="221"/>
        <v>46478</v>
      </c>
      <c r="V191" s="117">
        <f t="shared" si="221"/>
        <v>46508</v>
      </c>
      <c r="W191" s="117">
        <f t="shared" si="221"/>
        <v>46539</v>
      </c>
      <c r="X191" s="117">
        <f t="shared" si="221"/>
        <v>46569</v>
      </c>
      <c r="Y191" s="117">
        <f t="shared" si="221"/>
        <v>46600</v>
      </c>
      <c r="Z191" s="117">
        <f t="shared" si="221"/>
        <v>46631</v>
      </c>
      <c r="AA191" s="117">
        <f t="shared" si="221"/>
        <v>46661</v>
      </c>
      <c r="AB191" s="117">
        <f t="shared" si="221"/>
        <v>46692</v>
      </c>
      <c r="AC191" s="117">
        <f t="shared" si="221"/>
        <v>46722</v>
      </c>
      <c r="AD191" s="117">
        <f t="shared" si="221"/>
        <v>46753</v>
      </c>
      <c r="AE191" s="117">
        <f t="shared" si="221"/>
        <v>46784</v>
      </c>
      <c r="AF191" s="117">
        <f t="shared" si="221"/>
        <v>46813</v>
      </c>
      <c r="AG191" s="117">
        <f t="shared" si="221"/>
        <v>46844</v>
      </c>
      <c r="AH191" s="117">
        <f t="shared" si="221"/>
        <v>46874</v>
      </c>
      <c r="AI191" s="117">
        <f t="shared" si="221"/>
        <v>46905</v>
      </c>
      <c r="AJ191" s="117">
        <f t="shared" si="221"/>
        <v>46935</v>
      </c>
      <c r="AK191" s="117">
        <f t="shared" si="221"/>
        <v>46966</v>
      </c>
      <c r="AL191" s="117">
        <f t="shared" si="221"/>
        <v>46997</v>
      </c>
      <c r="AM191" s="117">
        <f t="shared" si="221"/>
        <v>47027</v>
      </c>
      <c r="AN191" s="117">
        <f t="shared" si="221"/>
        <v>47058</v>
      </c>
      <c r="AO191" s="117">
        <f t="shared" si="221"/>
        <v>47088</v>
      </c>
      <c r="AP191" s="117">
        <f t="shared" si="221"/>
        <v>47119</v>
      </c>
      <c r="AQ191" s="117">
        <f t="shared" si="221"/>
        <v>47150</v>
      </c>
      <c r="AR191" s="117">
        <f t="shared" si="221"/>
        <v>47178</v>
      </c>
      <c r="AS191" s="117">
        <f t="shared" si="221"/>
        <v>47209</v>
      </c>
      <c r="AT191" s="117">
        <f t="shared" si="221"/>
        <v>47239</v>
      </c>
      <c r="AU191" s="117">
        <f t="shared" si="221"/>
        <v>47270</v>
      </c>
      <c r="AV191" s="117">
        <f t="shared" si="221"/>
        <v>47300</v>
      </c>
      <c r="AW191" s="117">
        <f t="shared" si="221"/>
        <v>47331</v>
      </c>
      <c r="AX191" s="117">
        <f t="shared" si="221"/>
        <v>47362</v>
      </c>
      <c r="AY191" s="117">
        <f t="shared" si="221"/>
        <v>47392</v>
      </c>
      <c r="AZ191" s="117">
        <f t="shared" si="221"/>
        <v>47423</v>
      </c>
      <c r="BA191" s="117">
        <f t="shared" si="221"/>
        <v>47453</v>
      </c>
      <c r="BB191" s="117">
        <f t="shared" si="221"/>
        <v>47484</v>
      </c>
      <c r="BC191" s="117">
        <f t="shared" si="221"/>
        <v>47515</v>
      </c>
      <c r="BD191" s="117">
        <f t="shared" si="221"/>
        <v>47543</v>
      </c>
      <c r="BE191" s="117">
        <f t="shared" si="221"/>
        <v>47574</v>
      </c>
      <c r="BF191" s="117">
        <f t="shared" si="221"/>
        <v>47604</v>
      </c>
      <c r="BG191" s="117">
        <f t="shared" si="221"/>
        <v>47635</v>
      </c>
      <c r="BH191" s="117">
        <f t="shared" si="221"/>
        <v>47665</v>
      </c>
      <c r="BI191" s="117">
        <f t="shared" si="221"/>
        <v>47696</v>
      </c>
      <c r="BJ191" s="117">
        <f t="shared" si="221"/>
        <v>47727</v>
      </c>
      <c r="BK191" s="117">
        <f t="shared" si="221"/>
        <v>47757</v>
      </c>
      <c r="BL191" s="117">
        <f t="shared" si="221"/>
        <v>47788</v>
      </c>
      <c r="BM191" s="117">
        <f t="shared" si="221"/>
        <v>47818</v>
      </c>
      <c r="BN191" s="117">
        <f t="shared" si="221"/>
        <v>47849</v>
      </c>
      <c r="BO191" s="117">
        <f t="shared" si="221"/>
        <v>47880</v>
      </c>
      <c r="BP191" s="117">
        <f t="shared" si="221"/>
        <v>47908</v>
      </c>
      <c r="BQ191" s="117">
        <f t="shared" si="221"/>
        <v>47939</v>
      </c>
      <c r="BR191" s="117">
        <f t="shared" ref="BR191:DV194" si="222">IF(BR46="","",BR46)</f>
        <v>47969</v>
      </c>
      <c r="BS191" s="117">
        <f t="shared" si="222"/>
        <v>48000</v>
      </c>
      <c r="BT191" s="117">
        <f t="shared" si="222"/>
        <v>48030</v>
      </c>
      <c r="BU191" s="117">
        <f t="shared" si="222"/>
        <v>48061</v>
      </c>
      <c r="BV191" s="117">
        <f t="shared" si="222"/>
        <v>48092</v>
      </c>
      <c r="BW191" s="117">
        <f t="shared" si="222"/>
        <v>48122</v>
      </c>
      <c r="BX191" s="117">
        <f t="shared" si="222"/>
        <v>48153</v>
      </c>
      <c r="BY191" s="117">
        <f t="shared" si="222"/>
        <v>48183</v>
      </c>
      <c r="BZ191" s="117">
        <f t="shared" si="222"/>
        <v>48214</v>
      </c>
      <c r="CA191" s="117">
        <f t="shared" si="222"/>
        <v>48245</v>
      </c>
      <c r="CB191" s="117">
        <f t="shared" si="222"/>
        <v>48274</v>
      </c>
      <c r="CC191" s="117">
        <f t="shared" si="222"/>
        <v>48305</v>
      </c>
      <c r="CD191" s="117">
        <f t="shared" si="222"/>
        <v>48335</v>
      </c>
      <c r="CE191" s="117">
        <f t="shared" si="222"/>
        <v>48366</v>
      </c>
      <c r="CF191" s="117">
        <f t="shared" si="222"/>
        <v>48396</v>
      </c>
      <c r="CG191" s="117">
        <f t="shared" si="222"/>
        <v>48427</v>
      </c>
      <c r="CH191" s="117">
        <f t="shared" si="222"/>
        <v>48458</v>
      </c>
      <c r="CI191" s="117">
        <f t="shared" si="222"/>
        <v>48488</v>
      </c>
      <c r="CJ191" s="117">
        <f t="shared" si="222"/>
        <v>48519</v>
      </c>
      <c r="CK191" s="117">
        <f t="shared" si="222"/>
        <v>48549</v>
      </c>
      <c r="CL191" s="117">
        <f t="shared" si="222"/>
        <v>48580</v>
      </c>
      <c r="CM191" s="117">
        <f t="shared" si="222"/>
        <v>48611</v>
      </c>
      <c r="CN191" s="117">
        <f t="shared" si="222"/>
        <v>48639</v>
      </c>
      <c r="CO191" s="117">
        <f t="shared" si="222"/>
        <v>48670</v>
      </c>
      <c r="CP191" s="117">
        <f t="shared" si="222"/>
        <v>48700</v>
      </c>
      <c r="CQ191" s="117">
        <f t="shared" si="222"/>
        <v>48731</v>
      </c>
      <c r="CR191" s="117">
        <f t="shared" si="222"/>
        <v>48761</v>
      </c>
      <c r="CS191" s="117">
        <f t="shared" si="222"/>
        <v>48792</v>
      </c>
      <c r="CT191" s="117">
        <f t="shared" si="222"/>
        <v>48823</v>
      </c>
      <c r="CU191" s="117">
        <f t="shared" si="222"/>
        <v>48853</v>
      </c>
      <c r="CV191" s="117">
        <f t="shared" si="222"/>
        <v>48884</v>
      </c>
      <c r="CW191" s="117">
        <f t="shared" si="222"/>
        <v>48914</v>
      </c>
      <c r="CX191" s="117" t="str">
        <f t="shared" si="222"/>
        <v/>
      </c>
      <c r="CY191" s="117" t="str">
        <f t="shared" si="222"/>
        <v/>
      </c>
      <c r="CZ191" s="117" t="str">
        <f t="shared" si="222"/>
        <v/>
      </c>
      <c r="DA191" s="117" t="str">
        <f t="shared" si="222"/>
        <v/>
      </c>
      <c r="DB191" s="117" t="str">
        <f t="shared" si="222"/>
        <v/>
      </c>
      <c r="DC191" s="117" t="str">
        <f t="shared" si="222"/>
        <v/>
      </c>
      <c r="DD191" s="117" t="str">
        <f t="shared" si="222"/>
        <v/>
      </c>
      <c r="DE191" s="117" t="str">
        <f t="shared" si="222"/>
        <v/>
      </c>
      <c r="DF191" s="117" t="str">
        <f t="shared" si="222"/>
        <v/>
      </c>
      <c r="DG191" s="117" t="str">
        <f t="shared" si="222"/>
        <v/>
      </c>
      <c r="DH191" s="117" t="str">
        <f t="shared" si="222"/>
        <v/>
      </c>
      <c r="DI191" s="117" t="str">
        <f t="shared" si="222"/>
        <v/>
      </c>
      <c r="DJ191" s="117" t="str">
        <f t="shared" si="222"/>
        <v/>
      </c>
      <c r="DK191" s="117" t="str">
        <f t="shared" si="222"/>
        <v/>
      </c>
      <c r="DL191" s="117" t="str">
        <f t="shared" si="222"/>
        <v/>
      </c>
      <c r="DM191" s="117" t="str">
        <f t="shared" si="222"/>
        <v/>
      </c>
      <c r="DN191" s="117" t="str">
        <f t="shared" si="222"/>
        <v/>
      </c>
      <c r="DO191" s="117" t="str">
        <f t="shared" si="222"/>
        <v/>
      </c>
      <c r="DP191" s="117" t="str">
        <f t="shared" si="222"/>
        <v/>
      </c>
      <c r="DQ191" s="117" t="str">
        <f t="shared" si="222"/>
        <v/>
      </c>
      <c r="DR191" s="117" t="str">
        <f t="shared" si="222"/>
        <v/>
      </c>
      <c r="DS191" s="117" t="str">
        <f t="shared" si="222"/>
        <v/>
      </c>
      <c r="DT191" s="117" t="str">
        <f t="shared" si="222"/>
        <v/>
      </c>
      <c r="DU191" s="117" t="str">
        <f t="shared" si="222"/>
        <v/>
      </c>
      <c r="DV191" s="117" t="str">
        <f t="shared" si="222"/>
        <v/>
      </c>
      <c r="DW191" s="117"/>
      <c r="DX191" s="117"/>
      <c r="DY191" s="118"/>
    </row>
    <row r="192" spans="2:129" outlineLevel="1" x14ac:dyDescent="0.2">
      <c r="B192" s="133" t="s">
        <v>47</v>
      </c>
      <c r="C192" s="133"/>
      <c r="D192" s="133"/>
      <c r="E192" s="135"/>
      <c r="F192" s="119">
        <f t="shared" si="221"/>
        <v>-104026917</v>
      </c>
      <c r="G192" s="119">
        <f t="shared" si="221"/>
        <v>-26917</v>
      </c>
      <c r="H192" s="119">
        <f t="shared" si="221"/>
        <v>-26917</v>
      </c>
      <c r="I192" s="119">
        <f t="shared" si="221"/>
        <v>-26917</v>
      </c>
      <c r="J192" s="119">
        <f t="shared" si="221"/>
        <v>-26917</v>
      </c>
      <c r="K192" s="119">
        <f t="shared" si="221"/>
        <v>-26917</v>
      </c>
      <c r="L192" s="119">
        <f t="shared" si="221"/>
        <v>-26917</v>
      </c>
      <c r="M192" s="119">
        <f t="shared" si="221"/>
        <v>-26917</v>
      </c>
      <c r="N192" s="119">
        <f t="shared" si="221"/>
        <v>-26917</v>
      </c>
      <c r="O192" s="119">
        <f t="shared" si="221"/>
        <v>-26917</v>
      </c>
      <c r="P192" s="119">
        <f t="shared" si="221"/>
        <v>-26917</v>
      </c>
      <c r="Q192" s="119">
        <f t="shared" si="221"/>
        <v>-26917</v>
      </c>
      <c r="R192" s="119">
        <f t="shared" si="221"/>
        <v>-26917</v>
      </c>
      <c r="S192" s="119">
        <f t="shared" si="221"/>
        <v>-26917</v>
      </c>
      <c r="T192" s="119">
        <f t="shared" si="221"/>
        <v>-26917</v>
      </c>
      <c r="U192" s="119">
        <f t="shared" si="221"/>
        <v>-26917</v>
      </c>
      <c r="V192" s="119">
        <f t="shared" si="221"/>
        <v>-26917</v>
      </c>
      <c r="W192" s="119">
        <f t="shared" si="221"/>
        <v>-26917</v>
      </c>
      <c r="X192" s="119">
        <f t="shared" si="221"/>
        <v>-26917</v>
      </c>
      <c r="Y192" s="119">
        <f t="shared" si="221"/>
        <v>-26917</v>
      </c>
      <c r="Z192" s="119">
        <f t="shared" si="221"/>
        <v>-26917</v>
      </c>
      <c r="AA192" s="119">
        <f t="shared" si="221"/>
        <v>-26917</v>
      </c>
      <c r="AB192" s="119">
        <f t="shared" si="221"/>
        <v>-26917</v>
      </c>
      <c r="AC192" s="119">
        <f t="shared" si="221"/>
        <v>-386604</v>
      </c>
      <c r="AD192" s="119">
        <f t="shared" si="221"/>
        <v>-935646</v>
      </c>
      <c r="AE192" s="119">
        <f t="shared" si="221"/>
        <v>28435454</v>
      </c>
      <c r="AF192" s="119">
        <f t="shared" si="221"/>
        <v>-935646</v>
      </c>
      <c r="AG192" s="119">
        <f t="shared" si="221"/>
        <v>-935646</v>
      </c>
      <c r="AH192" s="119">
        <f t="shared" si="221"/>
        <v>-935646</v>
      </c>
      <c r="AI192" s="119">
        <f t="shared" si="221"/>
        <v>-935646</v>
      </c>
      <c r="AJ192" s="119">
        <f t="shared" si="221"/>
        <v>-935646</v>
      </c>
      <c r="AK192" s="119">
        <f t="shared" si="221"/>
        <v>-935646</v>
      </c>
      <c r="AL192" s="119">
        <f t="shared" si="221"/>
        <v>-935646</v>
      </c>
      <c r="AM192" s="119">
        <f t="shared" si="221"/>
        <v>-753368</v>
      </c>
      <c r="AN192" s="119">
        <f t="shared" si="221"/>
        <v>-753368</v>
      </c>
      <c r="AO192" s="119">
        <f t="shared" si="221"/>
        <v>-982326</v>
      </c>
      <c r="AP192" s="119">
        <f t="shared" si="221"/>
        <v>-676201</v>
      </c>
      <c r="AQ192" s="119">
        <f t="shared" si="221"/>
        <v>-676201</v>
      </c>
      <c r="AR192" s="119">
        <f t="shared" si="221"/>
        <v>-676201</v>
      </c>
      <c r="AS192" s="119">
        <f t="shared" si="221"/>
        <v>-676201</v>
      </c>
      <c r="AT192" s="119">
        <f t="shared" si="221"/>
        <v>-676201</v>
      </c>
      <c r="AU192" s="119">
        <f t="shared" si="221"/>
        <v>41396761</v>
      </c>
      <c r="AV192" s="119">
        <f t="shared" si="221"/>
        <v>-745384</v>
      </c>
      <c r="AW192" s="119">
        <f t="shared" si="221"/>
        <v>-745384</v>
      </c>
      <c r="AX192" s="119">
        <f t="shared" si="221"/>
        <v>-745384</v>
      </c>
      <c r="AY192" s="119">
        <f t="shared" si="221"/>
        <v>-745384</v>
      </c>
      <c r="AZ192" s="119">
        <f t="shared" si="221"/>
        <v>-745384</v>
      </c>
      <c r="BA192" s="119">
        <f t="shared" si="221"/>
        <v>172949924</v>
      </c>
      <c r="BB192" s="119">
        <f t="shared" si="221"/>
        <v>-557276</v>
      </c>
      <c r="BC192" s="119">
        <f t="shared" si="221"/>
        <v>-557276</v>
      </c>
      <c r="BD192" s="119">
        <f t="shared" si="221"/>
        <v>-557276</v>
      </c>
      <c r="BE192" s="119">
        <f t="shared" si="221"/>
        <v>-557276</v>
      </c>
      <c r="BF192" s="119">
        <f t="shared" si="221"/>
        <v>-557276</v>
      </c>
      <c r="BG192" s="119">
        <f t="shared" si="221"/>
        <v>-557276</v>
      </c>
      <c r="BH192" s="119">
        <f t="shared" si="221"/>
        <v>-557276</v>
      </c>
      <c r="BI192" s="119">
        <f t="shared" si="221"/>
        <v>-557276</v>
      </c>
      <c r="BJ192" s="119">
        <f t="shared" si="221"/>
        <v>-557276</v>
      </c>
      <c r="BK192" s="119">
        <f t="shared" si="221"/>
        <v>-557276</v>
      </c>
      <c r="BL192" s="119">
        <f t="shared" si="221"/>
        <v>-557276</v>
      </c>
      <c r="BM192" s="119">
        <f t="shared" si="221"/>
        <v>-409821</v>
      </c>
      <c r="BN192" s="119">
        <f t="shared" si="221"/>
        <v>-409821</v>
      </c>
      <c r="BO192" s="119">
        <f t="shared" si="221"/>
        <v>-409821</v>
      </c>
      <c r="BP192" s="119">
        <f t="shared" si="221"/>
        <v>-253083</v>
      </c>
      <c r="BQ192" s="119">
        <f t="shared" si="221"/>
        <v>-253083</v>
      </c>
      <c r="BR192" s="119">
        <f t="shared" si="222"/>
        <v>-253083</v>
      </c>
      <c r="BS192" s="119">
        <f t="shared" si="222"/>
        <v>-253083</v>
      </c>
      <c r="BT192" s="119">
        <f t="shared" si="222"/>
        <v>-253083</v>
      </c>
      <c r="BU192" s="119">
        <f t="shared" si="222"/>
        <v>-253083</v>
      </c>
      <c r="BV192" s="119">
        <f t="shared" si="222"/>
        <v>-253083</v>
      </c>
      <c r="BW192" s="119">
        <f t="shared" si="222"/>
        <v>-253083</v>
      </c>
      <c r="BX192" s="119">
        <f t="shared" si="222"/>
        <v>-253083</v>
      </c>
      <c r="BY192" s="119">
        <f t="shared" si="222"/>
        <v>5906917</v>
      </c>
      <c r="BZ192" s="119">
        <f t="shared" si="222"/>
        <v>4284417</v>
      </c>
      <c r="CA192" s="119">
        <f t="shared" si="222"/>
        <v>-253083</v>
      </c>
      <c r="CB192" s="119">
        <f t="shared" si="222"/>
        <v>-253083</v>
      </c>
      <c r="CC192" s="119">
        <f t="shared" si="222"/>
        <v>-253083</v>
      </c>
      <c r="CD192" s="119">
        <f t="shared" si="222"/>
        <v>-253083</v>
      </c>
      <c r="CE192" s="119">
        <f t="shared" si="222"/>
        <v>14789500</v>
      </c>
      <c r="CF192" s="119">
        <f t="shared" si="222"/>
        <v>0</v>
      </c>
      <c r="CG192" s="119">
        <f t="shared" si="222"/>
        <v>0</v>
      </c>
      <c r="CH192" s="119">
        <f t="shared" si="222"/>
        <v>0</v>
      </c>
      <c r="CI192" s="119">
        <f t="shared" si="222"/>
        <v>0</v>
      </c>
      <c r="CJ192" s="119">
        <f t="shared" si="222"/>
        <v>0</v>
      </c>
      <c r="CK192" s="119">
        <f t="shared" si="222"/>
        <v>-581583</v>
      </c>
      <c r="CL192" s="119">
        <f t="shared" si="222"/>
        <v>-581583</v>
      </c>
      <c r="CM192" s="119">
        <f t="shared" si="222"/>
        <v>-581583</v>
      </c>
      <c r="CN192" s="119">
        <f t="shared" si="222"/>
        <v>-581583</v>
      </c>
      <c r="CO192" s="119">
        <f t="shared" si="222"/>
        <v>-581583</v>
      </c>
      <c r="CP192" s="119">
        <f t="shared" si="222"/>
        <v>-581583</v>
      </c>
      <c r="CQ192" s="119">
        <f t="shared" si="222"/>
        <v>-581583</v>
      </c>
      <c r="CR192" s="119">
        <f t="shared" si="222"/>
        <v>-581583</v>
      </c>
      <c r="CS192" s="119">
        <f t="shared" si="222"/>
        <v>-581583</v>
      </c>
      <c r="CT192" s="119">
        <f t="shared" si="222"/>
        <v>-581583</v>
      </c>
      <c r="CU192" s="119">
        <f t="shared" si="222"/>
        <v>-581583</v>
      </c>
      <c r="CV192" s="119">
        <f t="shared" si="222"/>
        <v>-581583</v>
      </c>
      <c r="CW192" s="119">
        <f t="shared" si="222"/>
        <v>27055800</v>
      </c>
      <c r="CX192" s="119" t="str">
        <f t="shared" si="222"/>
        <v/>
      </c>
      <c r="CY192" s="119" t="str">
        <f t="shared" si="222"/>
        <v/>
      </c>
      <c r="CZ192" s="119" t="str">
        <f t="shared" si="222"/>
        <v/>
      </c>
      <c r="DA192" s="119" t="str">
        <f t="shared" si="222"/>
        <v/>
      </c>
      <c r="DB192" s="119" t="str">
        <f t="shared" si="222"/>
        <v/>
      </c>
      <c r="DC192" s="119" t="str">
        <f t="shared" si="222"/>
        <v/>
      </c>
      <c r="DD192" s="119" t="str">
        <f t="shared" si="222"/>
        <v/>
      </c>
      <c r="DE192" s="119" t="str">
        <f t="shared" si="222"/>
        <v/>
      </c>
      <c r="DF192" s="119" t="str">
        <f t="shared" si="222"/>
        <v/>
      </c>
      <c r="DG192" s="119" t="str">
        <f t="shared" si="222"/>
        <v/>
      </c>
      <c r="DH192" s="119" t="str">
        <f t="shared" si="222"/>
        <v/>
      </c>
      <c r="DI192" s="119" t="str">
        <f t="shared" si="222"/>
        <v/>
      </c>
      <c r="DJ192" s="119" t="str">
        <f t="shared" si="222"/>
        <v/>
      </c>
      <c r="DK192" s="119" t="str">
        <f t="shared" si="222"/>
        <v/>
      </c>
      <c r="DL192" s="119" t="str">
        <f t="shared" si="222"/>
        <v/>
      </c>
      <c r="DM192" s="119" t="str">
        <f t="shared" si="222"/>
        <v/>
      </c>
      <c r="DN192" s="119" t="str">
        <f t="shared" si="222"/>
        <v/>
      </c>
      <c r="DO192" s="119" t="str">
        <f t="shared" si="222"/>
        <v/>
      </c>
      <c r="DP192" s="119" t="str">
        <f t="shared" si="222"/>
        <v/>
      </c>
      <c r="DQ192" s="119" t="str">
        <f t="shared" si="222"/>
        <v/>
      </c>
      <c r="DR192" s="119" t="str">
        <f t="shared" si="222"/>
        <v/>
      </c>
      <c r="DS192" s="119" t="str">
        <f t="shared" si="222"/>
        <v/>
      </c>
      <c r="DT192" s="119" t="str">
        <f t="shared" si="222"/>
        <v/>
      </c>
      <c r="DU192" s="119" t="str">
        <f t="shared" si="222"/>
        <v/>
      </c>
      <c r="DV192" s="119" t="str">
        <f t="shared" si="222"/>
        <v/>
      </c>
      <c r="DW192" s="119"/>
      <c r="DX192" s="119"/>
      <c r="DY192" s="119"/>
    </row>
    <row r="193" spans="2:129" outlineLevel="1" x14ac:dyDescent="0.2">
      <c r="B193" s="120" t="str">
        <f>IF(B48="","",B48)</f>
        <v>Asset Management Fees</v>
      </c>
      <c r="C193" s="133"/>
      <c r="D193" s="133"/>
      <c r="E193" s="135"/>
      <c r="F193" s="119">
        <f t="shared" si="221"/>
        <v>0</v>
      </c>
      <c r="G193" s="119">
        <f t="shared" si="221"/>
        <v>0</v>
      </c>
      <c r="H193" s="119">
        <f t="shared" si="221"/>
        <v>0</v>
      </c>
      <c r="I193" s="119">
        <f t="shared" si="221"/>
        <v>0</v>
      </c>
      <c r="J193" s="119">
        <f t="shared" si="221"/>
        <v>0</v>
      </c>
      <c r="K193" s="119">
        <f t="shared" si="221"/>
        <v>0</v>
      </c>
      <c r="L193" s="119">
        <f t="shared" si="221"/>
        <v>0</v>
      </c>
      <c r="M193" s="119">
        <f t="shared" si="221"/>
        <v>0</v>
      </c>
      <c r="N193" s="119">
        <f t="shared" si="221"/>
        <v>0</v>
      </c>
      <c r="O193" s="119">
        <f t="shared" si="221"/>
        <v>0</v>
      </c>
      <c r="P193" s="119">
        <f t="shared" si="221"/>
        <v>0</v>
      </c>
      <c r="Q193" s="119">
        <f t="shared" si="221"/>
        <v>0</v>
      </c>
      <c r="R193" s="119">
        <f t="shared" si="221"/>
        <v>0</v>
      </c>
      <c r="S193" s="119">
        <f t="shared" si="221"/>
        <v>0</v>
      </c>
      <c r="T193" s="119">
        <f t="shared" si="221"/>
        <v>0</v>
      </c>
      <c r="U193" s="119">
        <f t="shared" si="221"/>
        <v>0</v>
      </c>
      <c r="V193" s="119">
        <f t="shared" si="221"/>
        <v>0</v>
      </c>
      <c r="W193" s="119">
        <f t="shared" si="221"/>
        <v>0</v>
      </c>
      <c r="X193" s="119">
        <f t="shared" si="221"/>
        <v>0</v>
      </c>
      <c r="Y193" s="119">
        <f t="shared" si="221"/>
        <v>0</v>
      </c>
      <c r="Z193" s="119">
        <f t="shared" si="221"/>
        <v>0</v>
      </c>
      <c r="AA193" s="119">
        <f t="shared" si="221"/>
        <v>0</v>
      </c>
      <c r="AB193" s="119">
        <f t="shared" si="221"/>
        <v>0</v>
      </c>
      <c r="AC193" s="119">
        <f t="shared" si="221"/>
        <v>0</v>
      </c>
      <c r="AD193" s="119">
        <f t="shared" si="221"/>
        <v>0</v>
      </c>
      <c r="AE193" s="119">
        <f t="shared" si="221"/>
        <v>0</v>
      </c>
      <c r="AF193" s="119">
        <f t="shared" si="221"/>
        <v>0</v>
      </c>
      <c r="AG193" s="119">
        <f t="shared" si="221"/>
        <v>0</v>
      </c>
      <c r="AH193" s="119">
        <f t="shared" si="221"/>
        <v>0</v>
      </c>
      <c r="AI193" s="119">
        <f t="shared" si="221"/>
        <v>0</v>
      </c>
      <c r="AJ193" s="119">
        <f t="shared" si="221"/>
        <v>0</v>
      </c>
      <c r="AK193" s="119">
        <f t="shared" si="221"/>
        <v>0</v>
      </c>
      <c r="AL193" s="119">
        <f t="shared" si="221"/>
        <v>0</v>
      </c>
      <c r="AM193" s="119">
        <f t="shared" si="221"/>
        <v>0</v>
      </c>
      <c r="AN193" s="119">
        <f t="shared" si="221"/>
        <v>0</v>
      </c>
      <c r="AO193" s="119">
        <f t="shared" si="221"/>
        <v>0</v>
      </c>
      <c r="AP193" s="119">
        <f t="shared" si="221"/>
        <v>0</v>
      </c>
      <c r="AQ193" s="119">
        <f t="shared" si="221"/>
        <v>0</v>
      </c>
      <c r="AR193" s="119">
        <f t="shared" si="221"/>
        <v>0</v>
      </c>
      <c r="AS193" s="119">
        <f t="shared" si="221"/>
        <v>0</v>
      </c>
      <c r="AT193" s="119">
        <f t="shared" si="221"/>
        <v>0</v>
      </c>
      <c r="AU193" s="119">
        <f t="shared" si="221"/>
        <v>0</v>
      </c>
      <c r="AV193" s="119">
        <f t="shared" si="221"/>
        <v>0</v>
      </c>
      <c r="AW193" s="119">
        <f t="shared" si="221"/>
        <v>0</v>
      </c>
      <c r="AX193" s="119">
        <f t="shared" si="221"/>
        <v>0</v>
      </c>
      <c r="AY193" s="119">
        <f t="shared" si="221"/>
        <v>0</v>
      </c>
      <c r="AZ193" s="119">
        <f t="shared" si="221"/>
        <v>0</v>
      </c>
      <c r="BA193" s="119">
        <f t="shared" si="221"/>
        <v>0</v>
      </c>
      <c r="BB193" s="119">
        <f t="shared" si="221"/>
        <v>0</v>
      </c>
      <c r="BC193" s="119">
        <f t="shared" si="221"/>
        <v>0</v>
      </c>
      <c r="BD193" s="119">
        <f t="shared" si="221"/>
        <v>0</v>
      </c>
      <c r="BE193" s="119">
        <f t="shared" si="221"/>
        <v>0</v>
      </c>
      <c r="BF193" s="119">
        <f t="shared" si="221"/>
        <v>0</v>
      </c>
      <c r="BG193" s="119">
        <f t="shared" si="221"/>
        <v>0</v>
      </c>
      <c r="BH193" s="119">
        <f t="shared" si="221"/>
        <v>0</v>
      </c>
      <c r="BI193" s="119">
        <f t="shared" si="221"/>
        <v>0</v>
      </c>
      <c r="BJ193" s="119">
        <f t="shared" si="221"/>
        <v>0</v>
      </c>
      <c r="BK193" s="119">
        <f t="shared" si="221"/>
        <v>0</v>
      </c>
      <c r="BL193" s="119">
        <f t="shared" si="221"/>
        <v>0</v>
      </c>
      <c r="BM193" s="119">
        <f t="shared" si="221"/>
        <v>0</v>
      </c>
      <c r="BN193" s="119">
        <f t="shared" si="221"/>
        <v>0</v>
      </c>
      <c r="BO193" s="119">
        <f t="shared" si="221"/>
        <v>0</v>
      </c>
      <c r="BP193" s="119">
        <f t="shared" si="221"/>
        <v>0</v>
      </c>
      <c r="BQ193" s="119">
        <f t="shared" si="221"/>
        <v>0</v>
      </c>
      <c r="BR193" s="119">
        <f t="shared" si="222"/>
        <v>0</v>
      </c>
      <c r="BS193" s="119">
        <f t="shared" si="222"/>
        <v>0</v>
      </c>
      <c r="BT193" s="119">
        <f t="shared" si="222"/>
        <v>0</v>
      </c>
      <c r="BU193" s="119">
        <f t="shared" si="222"/>
        <v>0</v>
      </c>
      <c r="BV193" s="119">
        <f t="shared" si="222"/>
        <v>0</v>
      </c>
      <c r="BW193" s="119">
        <f t="shared" si="222"/>
        <v>0</v>
      </c>
      <c r="BX193" s="119">
        <f t="shared" si="222"/>
        <v>0</v>
      </c>
      <c r="BY193" s="119">
        <f t="shared" si="222"/>
        <v>0</v>
      </c>
      <c r="BZ193" s="119">
        <f t="shared" si="222"/>
        <v>0</v>
      </c>
      <c r="CA193" s="119">
        <f t="shared" si="222"/>
        <v>0</v>
      </c>
      <c r="CB193" s="119">
        <f t="shared" si="222"/>
        <v>0</v>
      </c>
      <c r="CC193" s="119">
        <f t="shared" si="222"/>
        <v>0</v>
      </c>
      <c r="CD193" s="119">
        <f t="shared" si="222"/>
        <v>0</v>
      </c>
      <c r="CE193" s="119">
        <f t="shared" si="222"/>
        <v>0</v>
      </c>
      <c r="CF193" s="119">
        <f t="shared" si="222"/>
        <v>0</v>
      </c>
      <c r="CG193" s="119">
        <f t="shared" si="222"/>
        <v>0</v>
      </c>
      <c r="CH193" s="119">
        <f t="shared" si="222"/>
        <v>0</v>
      </c>
      <c r="CI193" s="119">
        <f t="shared" si="222"/>
        <v>0</v>
      </c>
      <c r="CJ193" s="119">
        <f t="shared" si="222"/>
        <v>0</v>
      </c>
      <c r="CK193" s="119">
        <f t="shared" si="222"/>
        <v>0</v>
      </c>
      <c r="CL193" s="119">
        <f t="shared" si="222"/>
        <v>0</v>
      </c>
      <c r="CM193" s="119">
        <f t="shared" si="222"/>
        <v>0</v>
      </c>
      <c r="CN193" s="119">
        <f t="shared" si="222"/>
        <v>0</v>
      </c>
      <c r="CO193" s="119">
        <f t="shared" si="222"/>
        <v>0</v>
      </c>
      <c r="CP193" s="119">
        <f t="shared" si="222"/>
        <v>0</v>
      </c>
      <c r="CQ193" s="119">
        <f t="shared" si="222"/>
        <v>0</v>
      </c>
      <c r="CR193" s="119">
        <f t="shared" si="222"/>
        <v>0</v>
      </c>
      <c r="CS193" s="119">
        <f t="shared" si="222"/>
        <v>0</v>
      </c>
      <c r="CT193" s="119">
        <f t="shared" si="222"/>
        <v>0</v>
      </c>
      <c r="CU193" s="119">
        <f t="shared" si="222"/>
        <v>0</v>
      </c>
      <c r="CV193" s="119">
        <f t="shared" si="222"/>
        <v>0</v>
      </c>
      <c r="CW193" s="119">
        <f t="shared" si="222"/>
        <v>0</v>
      </c>
      <c r="CX193" s="119">
        <f t="shared" si="222"/>
        <v>0</v>
      </c>
      <c r="CY193" s="119">
        <f t="shared" si="222"/>
        <v>0</v>
      </c>
      <c r="CZ193" s="119">
        <f t="shared" si="222"/>
        <v>0</v>
      </c>
      <c r="DA193" s="119">
        <f t="shared" si="222"/>
        <v>0</v>
      </c>
      <c r="DB193" s="119">
        <f t="shared" si="222"/>
        <v>0</v>
      </c>
      <c r="DC193" s="119">
        <f t="shared" si="222"/>
        <v>0</v>
      </c>
      <c r="DD193" s="119">
        <f t="shared" si="222"/>
        <v>0</v>
      </c>
      <c r="DE193" s="119">
        <f t="shared" si="222"/>
        <v>0</v>
      </c>
      <c r="DF193" s="119">
        <f t="shared" si="222"/>
        <v>0</v>
      </c>
      <c r="DG193" s="119">
        <f t="shared" si="222"/>
        <v>0</v>
      </c>
      <c r="DH193" s="119">
        <f t="shared" si="222"/>
        <v>0</v>
      </c>
      <c r="DI193" s="119">
        <f t="shared" si="222"/>
        <v>0</v>
      </c>
      <c r="DJ193" s="119">
        <f t="shared" si="222"/>
        <v>0</v>
      </c>
      <c r="DK193" s="119">
        <f t="shared" si="222"/>
        <v>0</v>
      </c>
      <c r="DL193" s="119">
        <f t="shared" si="222"/>
        <v>0</v>
      </c>
      <c r="DM193" s="119">
        <f t="shared" si="222"/>
        <v>0</v>
      </c>
      <c r="DN193" s="119">
        <f t="shared" si="222"/>
        <v>0</v>
      </c>
      <c r="DO193" s="119">
        <f t="shared" si="222"/>
        <v>0</v>
      </c>
      <c r="DP193" s="119">
        <f t="shared" si="222"/>
        <v>0</v>
      </c>
      <c r="DQ193" s="119">
        <f t="shared" si="222"/>
        <v>0</v>
      </c>
      <c r="DR193" s="119">
        <f t="shared" si="222"/>
        <v>0</v>
      </c>
      <c r="DS193" s="119">
        <f t="shared" si="222"/>
        <v>0</v>
      </c>
      <c r="DT193" s="119">
        <f t="shared" si="222"/>
        <v>0</v>
      </c>
      <c r="DU193" s="119">
        <f t="shared" si="222"/>
        <v>0</v>
      </c>
      <c r="DV193" s="119">
        <f t="shared" si="222"/>
        <v>0</v>
      </c>
      <c r="DW193" s="119"/>
      <c r="DX193" s="119"/>
      <c r="DY193" s="119"/>
    </row>
    <row r="194" spans="2:129" outlineLevel="1" x14ac:dyDescent="0.2">
      <c r="B194" s="120" t="str">
        <f>IF(B49="","",B49)</f>
        <v>Acquisition/Disposition Fees</v>
      </c>
      <c r="C194" s="133"/>
      <c r="D194" s="133"/>
      <c r="E194" s="135"/>
      <c r="F194" s="119">
        <f t="shared" si="221"/>
        <v>0</v>
      </c>
      <c r="G194" s="119">
        <f t="shared" si="221"/>
        <v>0</v>
      </c>
      <c r="H194" s="119">
        <f t="shared" si="221"/>
        <v>0</v>
      </c>
      <c r="I194" s="119">
        <f t="shared" si="221"/>
        <v>0</v>
      </c>
      <c r="J194" s="119">
        <f t="shared" si="221"/>
        <v>0</v>
      </c>
      <c r="K194" s="119">
        <f t="shared" si="221"/>
        <v>0</v>
      </c>
      <c r="L194" s="119">
        <f t="shared" si="221"/>
        <v>0</v>
      </c>
      <c r="M194" s="119">
        <f t="shared" si="221"/>
        <v>0</v>
      </c>
      <c r="N194" s="119">
        <f t="shared" si="221"/>
        <v>0</v>
      </c>
      <c r="O194" s="119">
        <f t="shared" si="221"/>
        <v>0</v>
      </c>
      <c r="P194" s="119">
        <f t="shared" si="221"/>
        <v>0</v>
      </c>
      <c r="Q194" s="119">
        <f t="shared" si="221"/>
        <v>0</v>
      </c>
      <c r="R194" s="119">
        <f t="shared" si="221"/>
        <v>0</v>
      </c>
      <c r="S194" s="119">
        <f t="shared" si="221"/>
        <v>0</v>
      </c>
      <c r="T194" s="119">
        <f t="shared" si="221"/>
        <v>0</v>
      </c>
      <c r="U194" s="119">
        <f t="shared" si="221"/>
        <v>0</v>
      </c>
      <c r="V194" s="119">
        <f t="shared" si="221"/>
        <v>0</v>
      </c>
      <c r="W194" s="119">
        <f t="shared" si="221"/>
        <v>0</v>
      </c>
      <c r="X194" s="119">
        <f t="shared" si="221"/>
        <v>0</v>
      </c>
      <c r="Y194" s="119">
        <f t="shared" si="221"/>
        <v>0</v>
      </c>
      <c r="Z194" s="119">
        <f t="shared" si="221"/>
        <v>0</v>
      </c>
      <c r="AA194" s="119">
        <f t="shared" si="221"/>
        <v>0</v>
      </c>
      <c r="AB194" s="119">
        <f t="shared" si="221"/>
        <v>0</v>
      </c>
      <c r="AC194" s="119">
        <f t="shared" si="221"/>
        <v>0</v>
      </c>
      <c r="AD194" s="119">
        <f t="shared" si="221"/>
        <v>0</v>
      </c>
      <c r="AE194" s="119">
        <f t="shared" si="221"/>
        <v>0</v>
      </c>
      <c r="AF194" s="119">
        <f t="shared" si="221"/>
        <v>0</v>
      </c>
      <c r="AG194" s="119">
        <f t="shared" si="221"/>
        <v>0</v>
      </c>
      <c r="AH194" s="119">
        <f t="shared" si="221"/>
        <v>0</v>
      </c>
      <c r="AI194" s="119">
        <f t="shared" si="221"/>
        <v>0</v>
      </c>
      <c r="AJ194" s="119">
        <f t="shared" si="221"/>
        <v>0</v>
      </c>
      <c r="AK194" s="119">
        <f t="shared" si="221"/>
        <v>0</v>
      </c>
      <c r="AL194" s="119">
        <f t="shared" si="221"/>
        <v>0</v>
      </c>
      <c r="AM194" s="119">
        <f t="shared" si="221"/>
        <v>0</v>
      </c>
      <c r="AN194" s="119">
        <f t="shared" si="221"/>
        <v>0</v>
      </c>
      <c r="AO194" s="119">
        <f t="shared" si="221"/>
        <v>0</v>
      </c>
      <c r="AP194" s="119">
        <f t="shared" si="221"/>
        <v>0</v>
      </c>
      <c r="AQ194" s="119">
        <f t="shared" si="221"/>
        <v>0</v>
      </c>
      <c r="AR194" s="119">
        <f t="shared" si="221"/>
        <v>0</v>
      </c>
      <c r="AS194" s="119">
        <f t="shared" si="221"/>
        <v>0</v>
      </c>
      <c r="AT194" s="119">
        <f t="shared" si="221"/>
        <v>0</v>
      </c>
      <c r="AU194" s="119">
        <f t="shared" si="221"/>
        <v>0</v>
      </c>
      <c r="AV194" s="119">
        <f t="shared" si="221"/>
        <v>0</v>
      </c>
      <c r="AW194" s="119">
        <f t="shared" si="221"/>
        <v>0</v>
      </c>
      <c r="AX194" s="119">
        <f t="shared" si="221"/>
        <v>0</v>
      </c>
      <c r="AY194" s="119">
        <f t="shared" si="221"/>
        <v>0</v>
      </c>
      <c r="AZ194" s="119">
        <f t="shared" si="221"/>
        <v>0</v>
      </c>
      <c r="BA194" s="119">
        <f t="shared" si="221"/>
        <v>0</v>
      </c>
      <c r="BB194" s="119">
        <f t="shared" si="221"/>
        <v>0</v>
      </c>
      <c r="BC194" s="119">
        <f t="shared" si="221"/>
        <v>0</v>
      </c>
      <c r="BD194" s="119">
        <f t="shared" si="221"/>
        <v>0</v>
      </c>
      <c r="BE194" s="119">
        <f t="shared" si="221"/>
        <v>0</v>
      </c>
      <c r="BF194" s="119">
        <f t="shared" si="221"/>
        <v>0</v>
      </c>
      <c r="BG194" s="119">
        <f t="shared" si="221"/>
        <v>0</v>
      </c>
      <c r="BH194" s="119">
        <f t="shared" si="221"/>
        <v>0</v>
      </c>
      <c r="BI194" s="119">
        <f t="shared" si="221"/>
        <v>0</v>
      </c>
      <c r="BJ194" s="119">
        <f t="shared" si="221"/>
        <v>0</v>
      </c>
      <c r="BK194" s="119">
        <f t="shared" si="221"/>
        <v>0</v>
      </c>
      <c r="BL194" s="119">
        <f t="shared" si="221"/>
        <v>0</v>
      </c>
      <c r="BM194" s="119">
        <f t="shared" si="221"/>
        <v>0</v>
      </c>
      <c r="BN194" s="119">
        <f t="shared" si="221"/>
        <v>0</v>
      </c>
      <c r="BO194" s="119">
        <f t="shared" si="221"/>
        <v>0</v>
      </c>
      <c r="BP194" s="119">
        <f t="shared" si="221"/>
        <v>0</v>
      </c>
      <c r="BQ194" s="119">
        <f t="shared" ref="BQ194:CB194" si="223">IF(BQ49="","",BQ49)</f>
        <v>0</v>
      </c>
      <c r="BR194" s="119">
        <f t="shared" si="223"/>
        <v>0</v>
      </c>
      <c r="BS194" s="119">
        <f t="shared" si="223"/>
        <v>0</v>
      </c>
      <c r="BT194" s="119">
        <f t="shared" si="223"/>
        <v>0</v>
      </c>
      <c r="BU194" s="119">
        <f t="shared" si="223"/>
        <v>0</v>
      </c>
      <c r="BV194" s="119">
        <f t="shared" si="223"/>
        <v>0</v>
      </c>
      <c r="BW194" s="119">
        <f t="shared" si="223"/>
        <v>0</v>
      </c>
      <c r="BX194" s="119">
        <f t="shared" si="223"/>
        <v>0</v>
      </c>
      <c r="BY194" s="119">
        <f t="shared" si="223"/>
        <v>0</v>
      </c>
      <c r="BZ194" s="119">
        <f t="shared" si="223"/>
        <v>0</v>
      </c>
      <c r="CA194" s="119">
        <f t="shared" si="223"/>
        <v>0</v>
      </c>
      <c r="CB194" s="119">
        <f t="shared" si="223"/>
        <v>0</v>
      </c>
      <c r="CC194" s="119">
        <f t="shared" si="222"/>
        <v>0</v>
      </c>
      <c r="CD194" s="119">
        <f t="shared" si="222"/>
        <v>0</v>
      </c>
      <c r="CE194" s="119">
        <f t="shared" si="222"/>
        <v>0</v>
      </c>
      <c r="CF194" s="119">
        <f t="shared" si="222"/>
        <v>0</v>
      </c>
      <c r="CG194" s="119">
        <f t="shared" si="222"/>
        <v>0</v>
      </c>
      <c r="CH194" s="119">
        <f t="shared" si="222"/>
        <v>0</v>
      </c>
      <c r="CI194" s="119">
        <f t="shared" si="222"/>
        <v>0</v>
      </c>
      <c r="CJ194" s="119">
        <f t="shared" si="222"/>
        <v>0</v>
      </c>
      <c r="CK194" s="119">
        <f t="shared" si="222"/>
        <v>0</v>
      </c>
      <c r="CL194" s="119">
        <f t="shared" si="222"/>
        <v>0</v>
      </c>
      <c r="CM194" s="119">
        <f t="shared" si="222"/>
        <v>0</v>
      </c>
      <c r="CN194" s="119">
        <f t="shared" si="222"/>
        <v>0</v>
      </c>
      <c r="CO194" s="119">
        <f t="shared" si="222"/>
        <v>0</v>
      </c>
      <c r="CP194" s="119">
        <f t="shared" si="222"/>
        <v>0</v>
      </c>
      <c r="CQ194" s="119">
        <f t="shared" si="222"/>
        <v>0</v>
      </c>
      <c r="CR194" s="119">
        <f t="shared" si="222"/>
        <v>0</v>
      </c>
      <c r="CS194" s="119">
        <f t="shared" si="222"/>
        <v>0</v>
      </c>
      <c r="CT194" s="119">
        <f t="shared" si="222"/>
        <v>0</v>
      </c>
      <c r="CU194" s="119">
        <f t="shared" si="222"/>
        <v>0</v>
      </c>
      <c r="CV194" s="119">
        <f t="shared" si="222"/>
        <v>0</v>
      </c>
      <c r="CW194" s="119">
        <f t="shared" si="222"/>
        <v>0</v>
      </c>
      <c r="CX194" s="119">
        <f t="shared" si="222"/>
        <v>0</v>
      </c>
      <c r="CY194" s="119">
        <f t="shared" si="222"/>
        <v>0</v>
      </c>
      <c r="CZ194" s="119">
        <f t="shared" si="222"/>
        <v>0</v>
      </c>
      <c r="DA194" s="119">
        <f t="shared" si="222"/>
        <v>0</v>
      </c>
      <c r="DB194" s="119">
        <f t="shared" si="222"/>
        <v>0</v>
      </c>
      <c r="DC194" s="119">
        <f t="shared" si="222"/>
        <v>0</v>
      </c>
      <c r="DD194" s="119">
        <f t="shared" si="222"/>
        <v>0</v>
      </c>
      <c r="DE194" s="119">
        <f t="shared" si="222"/>
        <v>0</v>
      </c>
      <c r="DF194" s="119">
        <f t="shared" si="222"/>
        <v>0</v>
      </c>
      <c r="DG194" s="119">
        <f t="shared" si="222"/>
        <v>0</v>
      </c>
      <c r="DH194" s="119">
        <f t="shared" si="222"/>
        <v>0</v>
      </c>
      <c r="DI194" s="119">
        <f t="shared" si="222"/>
        <v>0</v>
      </c>
      <c r="DJ194" s="119">
        <f t="shared" si="222"/>
        <v>0</v>
      </c>
      <c r="DK194" s="119">
        <f t="shared" si="222"/>
        <v>0</v>
      </c>
      <c r="DL194" s="119">
        <f t="shared" si="222"/>
        <v>0</v>
      </c>
      <c r="DM194" s="119">
        <f t="shared" si="222"/>
        <v>0</v>
      </c>
      <c r="DN194" s="119">
        <f t="shared" si="222"/>
        <v>0</v>
      </c>
      <c r="DO194" s="119">
        <f t="shared" si="222"/>
        <v>0</v>
      </c>
      <c r="DP194" s="119">
        <f t="shared" si="222"/>
        <v>0</v>
      </c>
      <c r="DQ194" s="119">
        <f t="shared" si="222"/>
        <v>0</v>
      </c>
      <c r="DR194" s="119">
        <f t="shared" si="222"/>
        <v>0</v>
      </c>
      <c r="DS194" s="119">
        <f t="shared" si="222"/>
        <v>0</v>
      </c>
      <c r="DT194" s="119">
        <f t="shared" si="222"/>
        <v>0</v>
      </c>
      <c r="DU194" s="119">
        <f t="shared" si="222"/>
        <v>0</v>
      </c>
      <c r="DV194" s="119">
        <f t="shared" si="222"/>
        <v>0</v>
      </c>
      <c r="DW194" s="119"/>
      <c r="DX194" s="119"/>
      <c r="DY194" s="119"/>
    </row>
    <row r="195" spans="2:129" outlineLevel="1" x14ac:dyDescent="0.2">
      <c r="B195" s="90" t="s">
        <v>50</v>
      </c>
      <c r="C195" s="16"/>
      <c r="D195" s="16"/>
      <c r="E195" s="91"/>
      <c r="F195" s="94">
        <f>IF(F190="","",F192-F193-F194)</f>
        <v>-104026917</v>
      </c>
      <c r="G195" s="94">
        <f t="shared" ref="G195:BR195" si="224">IF(G190="","",G192-G193-G194)</f>
        <v>-26917</v>
      </c>
      <c r="H195" s="94">
        <f t="shared" si="224"/>
        <v>-26917</v>
      </c>
      <c r="I195" s="94">
        <f t="shared" si="224"/>
        <v>-26917</v>
      </c>
      <c r="J195" s="94">
        <f t="shared" si="224"/>
        <v>-26917</v>
      </c>
      <c r="K195" s="94">
        <f t="shared" si="224"/>
        <v>-26917</v>
      </c>
      <c r="L195" s="94">
        <f t="shared" si="224"/>
        <v>-26917</v>
      </c>
      <c r="M195" s="94">
        <f t="shared" si="224"/>
        <v>-26917</v>
      </c>
      <c r="N195" s="94">
        <f t="shared" si="224"/>
        <v>-26917</v>
      </c>
      <c r="O195" s="94">
        <f t="shared" si="224"/>
        <v>-26917</v>
      </c>
      <c r="P195" s="94">
        <f t="shared" si="224"/>
        <v>-26917</v>
      </c>
      <c r="Q195" s="94">
        <f t="shared" si="224"/>
        <v>-26917</v>
      </c>
      <c r="R195" s="94">
        <f t="shared" si="224"/>
        <v>-26917</v>
      </c>
      <c r="S195" s="94">
        <f t="shared" si="224"/>
        <v>-26917</v>
      </c>
      <c r="T195" s="94">
        <f t="shared" si="224"/>
        <v>-26917</v>
      </c>
      <c r="U195" s="94">
        <f t="shared" si="224"/>
        <v>-26917</v>
      </c>
      <c r="V195" s="94">
        <f t="shared" si="224"/>
        <v>-26917</v>
      </c>
      <c r="W195" s="94">
        <f t="shared" si="224"/>
        <v>-26917</v>
      </c>
      <c r="X195" s="94">
        <f t="shared" si="224"/>
        <v>-26917</v>
      </c>
      <c r="Y195" s="94">
        <f t="shared" si="224"/>
        <v>-26917</v>
      </c>
      <c r="Z195" s="94">
        <f t="shared" si="224"/>
        <v>-26917</v>
      </c>
      <c r="AA195" s="94">
        <f t="shared" si="224"/>
        <v>-26917</v>
      </c>
      <c r="AB195" s="94">
        <f t="shared" si="224"/>
        <v>-26917</v>
      </c>
      <c r="AC195" s="94">
        <f t="shared" si="224"/>
        <v>-386604</v>
      </c>
      <c r="AD195" s="94">
        <f t="shared" si="224"/>
        <v>-935646</v>
      </c>
      <c r="AE195" s="94">
        <f t="shared" si="224"/>
        <v>28435454</v>
      </c>
      <c r="AF195" s="94">
        <f t="shared" si="224"/>
        <v>-935646</v>
      </c>
      <c r="AG195" s="94">
        <f t="shared" si="224"/>
        <v>-935646</v>
      </c>
      <c r="AH195" s="94">
        <f t="shared" si="224"/>
        <v>-935646</v>
      </c>
      <c r="AI195" s="94">
        <f t="shared" si="224"/>
        <v>-935646</v>
      </c>
      <c r="AJ195" s="94">
        <f t="shared" si="224"/>
        <v>-935646</v>
      </c>
      <c r="AK195" s="94">
        <f t="shared" si="224"/>
        <v>-935646</v>
      </c>
      <c r="AL195" s="94">
        <f t="shared" si="224"/>
        <v>-935646</v>
      </c>
      <c r="AM195" s="94">
        <f t="shared" si="224"/>
        <v>-753368</v>
      </c>
      <c r="AN195" s="94">
        <f t="shared" si="224"/>
        <v>-753368</v>
      </c>
      <c r="AO195" s="94">
        <f t="shared" si="224"/>
        <v>-982326</v>
      </c>
      <c r="AP195" s="94">
        <f t="shared" si="224"/>
        <v>-676201</v>
      </c>
      <c r="AQ195" s="94">
        <f t="shared" si="224"/>
        <v>-676201</v>
      </c>
      <c r="AR195" s="94">
        <f t="shared" si="224"/>
        <v>-676201</v>
      </c>
      <c r="AS195" s="94">
        <f t="shared" si="224"/>
        <v>-676201</v>
      </c>
      <c r="AT195" s="94">
        <f t="shared" si="224"/>
        <v>-676201</v>
      </c>
      <c r="AU195" s="94">
        <f t="shared" si="224"/>
        <v>41396761</v>
      </c>
      <c r="AV195" s="94">
        <f t="shared" si="224"/>
        <v>-745384</v>
      </c>
      <c r="AW195" s="94">
        <f t="shared" si="224"/>
        <v>-745384</v>
      </c>
      <c r="AX195" s="94">
        <f t="shared" si="224"/>
        <v>-745384</v>
      </c>
      <c r="AY195" s="94">
        <f t="shared" si="224"/>
        <v>-745384</v>
      </c>
      <c r="AZ195" s="94">
        <f t="shared" si="224"/>
        <v>-745384</v>
      </c>
      <c r="BA195" s="94">
        <f t="shared" si="224"/>
        <v>172949924</v>
      </c>
      <c r="BB195" s="94">
        <f t="shared" si="224"/>
        <v>-557276</v>
      </c>
      <c r="BC195" s="94">
        <f t="shared" si="224"/>
        <v>-557276</v>
      </c>
      <c r="BD195" s="94">
        <f t="shared" si="224"/>
        <v>-557276</v>
      </c>
      <c r="BE195" s="94">
        <f t="shared" si="224"/>
        <v>-557276</v>
      </c>
      <c r="BF195" s="94">
        <f t="shared" si="224"/>
        <v>-557276</v>
      </c>
      <c r="BG195" s="94">
        <f t="shared" si="224"/>
        <v>-557276</v>
      </c>
      <c r="BH195" s="94">
        <f t="shared" si="224"/>
        <v>-557276</v>
      </c>
      <c r="BI195" s="94">
        <f t="shared" si="224"/>
        <v>-557276</v>
      </c>
      <c r="BJ195" s="94">
        <f t="shared" si="224"/>
        <v>-557276</v>
      </c>
      <c r="BK195" s="94">
        <f t="shared" si="224"/>
        <v>-557276</v>
      </c>
      <c r="BL195" s="94">
        <f t="shared" si="224"/>
        <v>-557276</v>
      </c>
      <c r="BM195" s="94">
        <f t="shared" si="224"/>
        <v>-409821</v>
      </c>
      <c r="BN195" s="94">
        <f t="shared" si="224"/>
        <v>-409821</v>
      </c>
      <c r="BO195" s="94">
        <f t="shared" si="224"/>
        <v>-409821</v>
      </c>
      <c r="BP195" s="94">
        <f t="shared" si="224"/>
        <v>-253083</v>
      </c>
      <c r="BQ195" s="94">
        <f t="shared" si="224"/>
        <v>-253083</v>
      </c>
      <c r="BR195" s="94">
        <f t="shared" si="224"/>
        <v>-253083</v>
      </c>
      <c r="BS195" s="94">
        <f t="shared" ref="BS195:DV195" si="225">IF(BS190="","",BS192-BS193-BS194)</f>
        <v>-253083</v>
      </c>
      <c r="BT195" s="94">
        <f t="shared" si="225"/>
        <v>-253083</v>
      </c>
      <c r="BU195" s="94">
        <f t="shared" si="225"/>
        <v>-253083</v>
      </c>
      <c r="BV195" s="94">
        <f t="shared" si="225"/>
        <v>-253083</v>
      </c>
      <c r="BW195" s="94">
        <f t="shared" si="225"/>
        <v>-253083</v>
      </c>
      <c r="BX195" s="94">
        <f t="shared" si="225"/>
        <v>-253083</v>
      </c>
      <c r="BY195" s="94">
        <f t="shared" si="225"/>
        <v>5906917</v>
      </c>
      <c r="BZ195" s="94">
        <f t="shared" si="225"/>
        <v>4284417</v>
      </c>
      <c r="CA195" s="94">
        <f t="shared" si="225"/>
        <v>-253083</v>
      </c>
      <c r="CB195" s="94">
        <f t="shared" si="225"/>
        <v>-253083</v>
      </c>
      <c r="CC195" s="94">
        <f t="shared" si="225"/>
        <v>-253083</v>
      </c>
      <c r="CD195" s="94">
        <f t="shared" si="225"/>
        <v>-253083</v>
      </c>
      <c r="CE195" s="94">
        <f t="shared" si="225"/>
        <v>14789500</v>
      </c>
      <c r="CF195" s="94">
        <f t="shared" si="225"/>
        <v>0</v>
      </c>
      <c r="CG195" s="94">
        <f t="shared" si="225"/>
        <v>0</v>
      </c>
      <c r="CH195" s="94">
        <f t="shared" si="225"/>
        <v>0</v>
      </c>
      <c r="CI195" s="94">
        <f t="shared" si="225"/>
        <v>0</v>
      </c>
      <c r="CJ195" s="94">
        <f t="shared" si="225"/>
        <v>0</v>
      </c>
      <c r="CK195" s="94">
        <f t="shared" si="225"/>
        <v>-581583</v>
      </c>
      <c r="CL195" s="94">
        <f t="shared" si="225"/>
        <v>-581583</v>
      </c>
      <c r="CM195" s="94">
        <f t="shared" si="225"/>
        <v>-581583</v>
      </c>
      <c r="CN195" s="94">
        <f t="shared" si="225"/>
        <v>-581583</v>
      </c>
      <c r="CO195" s="94">
        <f t="shared" si="225"/>
        <v>-581583</v>
      </c>
      <c r="CP195" s="94">
        <f t="shared" si="225"/>
        <v>-581583</v>
      </c>
      <c r="CQ195" s="94">
        <f t="shared" si="225"/>
        <v>-581583</v>
      </c>
      <c r="CR195" s="94">
        <f t="shared" si="225"/>
        <v>-581583</v>
      </c>
      <c r="CS195" s="94">
        <f t="shared" si="225"/>
        <v>-581583</v>
      </c>
      <c r="CT195" s="94">
        <f t="shared" si="225"/>
        <v>-581583</v>
      </c>
      <c r="CU195" s="94">
        <f t="shared" si="225"/>
        <v>-581583</v>
      </c>
      <c r="CV195" s="94">
        <f t="shared" si="225"/>
        <v>-581583</v>
      </c>
      <c r="CW195" s="94">
        <f t="shared" si="225"/>
        <v>27055800</v>
      </c>
      <c r="CX195" s="94" t="str">
        <f t="shared" si="225"/>
        <v/>
      </c>
      <c r="CY195" s="94" t="str">
        <f t="shared" si="225"/>
        <v/>
      </c>
      <c r="CZ195" s="94" t="str">
        <f t="shared" si="225"/>
        <v/>
      </c>
      <c r="DA195" s="94" t="str">
        <f t="shared" si="225"/>
        <v/>
      </c>
      <c r="DB195" s="94" t="str">
        <f t="shared" si="225"/>
        <v/>
      </c>
      <c r="DC195" s="94" t="str">
        <f t="shared" si="225"/>
        <v/>
      </c>
      <c r="DD195" s="94" t="str">
        <f t="shared" si="225"/>
        <v/>
      </c>
      <c r="DE195" s="94" t="str">
        <f t="shared" si="225"/>
        <v/>
      </c>
      <c r="DF195" s="94" t="str">
        <f t="shared" si="225"/>
        <v/>
      </c>
      <c r="DG195" s="94" t="str">
        <f t="shared" si="225"/>
        <v/>
      </c>
      <c r="DH195" s="94" t="str">
        <f t="shared" si="225"/>
        <v/>
      </c>
      <c r="DI195" s="94" t="str">
        <f t="shared" si="225"/>
        <v/>
      </c>
      <c r="DJ195" s="94" t="str">
        <f t="shared" si="225"/>
        <v/>
      </c>
      <c r="DK195" s="94" t="str">
        <f t="shared" si="225"/>
        <v/>
      </c>
      <c r="DL195" s="94" t="str">
        <f t="shared" si="225"/>
        <v/>
      </c>
      <c r="DM195" s="94" t="str">
        <f t="shared" si="225"/>
        <v/>
      </c>
      <c r="DN195" s="94" t="str">
        <f t="shared" si="225"/>
        <v/>
      </c>
      <c r="DO195" s="94" t="str">
        <f t="shared" si="225"/>
        <v/>
      </c>
      <c r="DP195" s="94" t="str">
        <f t="shared" si="225"/>
        <v/>
      </c>
      <c r="DQ195" s="94" t="str">
        <f t="shared" si="225"/>
        <v/>
      </c>
      <c r="DR195" s="94" t="str">
        <f t="shared" si="225"/>
        <v/>
      </c>
      <c r="DS195" s="94" t="str">
        <f t="shared" si="225"/>
        <v/>
      </c>
      <c r="DT195" s="94" t="str">
        <f t="shared" si="225"/>
        <v/>
      </c>
      <c r="DU195" s="94" t="str">
        <f t="shared" si="225"/>
        <v/>
      </c>
      <c r="DV195" s="94" t="str">
        <f t="shared" si="225"/>
        <v/>
      </c>
      <c r="DW195" s="94"/>
      <c r="DX195" s="94"/>
      <c r="DY195" s="94"/>
    </row>
    <row r="196" spans="2:129" outlineLevel="1" x14ac:dyDescent="0.2">
      <c r="B196" s="16" t="s">
        <v>51</v>
      </c>
      <c r="C196" s="16"/>
      <c r="D196" s="16"/>
      <c r="E196" s="16"/>
      <c r="F196" s="79">
        <f ca="1">XIRR(OFFSET(F195,0,0,1,$E$21+1),OFFSET($F$46,0,0,1,$E$21+1))</f>
        <v>0.25431432127952569</v>
      </c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66"/>
      <c r="AU196" s="66"/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/>
      <c r="BJ196" s="66"/>
      <c r="BK196" s="66"/>
      <c r="BL196" s="66"/>
      <c r="BM196" s="66"/>
      <c r="BN196" s="66"/>
      <c r="BO196" s="66"/>
      <c r="BP196" s="66"/>
      <c r="BQ196" s="66"/>
      <c r="BR196" s="66"/>
      <c r="BS196" s="66"/>
      <c r="BT196" s="66"/>
      <c r="BU196" s="66"/>
      <c r="BV196" s="66"/>
      <c r="BW196" s="66"/>
      <c r="BX196" s="66"/>
      <c r="BY196" s="66"/>
      <c r="BZ196" s="66"/>
      <c r="CA196" s="66"/>
      <c r="CB196" s="66"/>
      <c r="CC196" s="66"/>
      <c r="CD196" s="66"/>
      <c r="CE196" s="66"/>
      <c r="CF196" s="66"/>
      <c r="CG196" s="66"/>
      <c r="CH196" s="66"/>
      <c r="CI196" s="66"/>
      <c r="CJ196" s="66"/>
      <c r="CK196" s="66"/>
      <c r="CL196" s="66"/>
      <c r="CM196" s="66"/>
      <c r="CN196" s="66"/>
      <c r="CO196" s="66"/>
      <c r="CP196" s="66"/>
      <c r="CQ196" s="66"/>
      <c r="CR196" s="66"/>
      <c r="CS196" s="66"/>
      <c r="CT196" s="66"/>
      <c r="CU196" s="66"/>
      <c r="CV196" s="66"/>
      <c r="CW196" s="66"/>
      <c r="CX196" s="66"/>
      <c r="CY196" s="66"/>
      <c r="CZ196" s="66"/>
      <c r="DA196" s="66"/>
      <c r="DB196" s="66"/>
      <c r="DC196" s="66"/>
      <c r="DD196" s="66"/>
      <c r="DE196" s="66"/>
      <c r="DF196" s="66"/>
      <c r="DG196" s="66"/>
      <c r="DH196" s="66"/>
      <c r="DI196" s="66"/>
      <c r="DJ196" s="66"/>
      <c r="DK196" s="66"/>
      <c r="DL196" s="66"/>
      <c r="DM196" s="66"/>
      <c r="DN196" s="66"/>
      <c r="DO196" s="66"/>
      <c r="DP196" s="66"/>
      <c r="DQ196" s="66"/>
      <c r="DR196" s="66"/>
      <c r="DS196" s="66"/>
      <c r="DT196" s="66"/>
      <c r="DU196" s="66"/>
      <c r="DV196" s="66"/>
      <c r="DW196" s="66"/>
      <c r="DX196" s="66"/>
      <c r="DY196" s="17"/>
    </row>
    <row r="197" spans="2:129" outlineLevel="1" x14ac:dyDescent="0.2">
      <c r="B197" s="16" t="s">
        <v>22</v>
      </c>
      <c r="C197" s="16"/>
      <c r="D197" s="16"/>
      <c r="E197" s="16"/>
      <c r="F197" s="95">
        <f>SUMIF(F195:DY195,"&gt;0")/-SUMIF(F195:DY195,"&lt;0")</f>
        <v>2.1101225221739144</v>
      </c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66"/>
      <c r="AU197" s="66"/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/>
      <c r="BJ197" s="66"/>
      <c r="BK197" s="66"/>
      <c r="BL197" s="66"/>
      <c r="BM197" s="66"/>
      <c r="BN197" s="66"/>
      <c r="BO197" s="66"/>
      <c r="BP197" s="66"/>
      <c r="BQ197" s="66"/>
      <c r="BR197" s="66"/>
      <c r="BS197" s="66"/>
      <c r="BT197" s="66"/>
      <c r="BU197" s="66"/>
      <c r="BV197" s="66"/>
      <c r="BW197" s="66"/>
      <c r="BX197" s="66"/>
      <c r="BY197" s="66"/>
      <c r="BZ197" s="66"/>
      <c r="CA197" s="66"/>
      <c r="CB197" s="66"/>
      <c r="CC197" s="66"/>
      <c r="CD197" s="66"/>
      <c r="CE197" s="66"/>
      <c r="CF197" s="66"/>
      <c r="CG197" s="66"/>
      <c r="CH197" s="66"/>
      <c r="CI197" s="66"/>
      <c r="CJ197" s="66"/>
      <c r="CK197" s="66"/>
      <c r="CL197" s="66"/>
      <c r="CM197" s="66"/>
      <c r="CN197" s="66"/>
      <c r="CO197" s="66"/>
      <c r="CP197" s="66"/>
      <c r="CQ197" s="66"/>
      <c r="CR197" s="66"/>
      <c r="CS197" s="66"/>
      <c r="CT197" s="66"/>
      <c r="CU197" s="66"/>
      <c r="CV197" s="66"/>
      <c r="CW197" s="66"/>
      <c r="CX197" s="66"/>
      <c r="CY197" s="66"/>
      <c r="CZ197" s="66"/>
      <c r="DA197" s="66"/>
      <c r="DB197" s="66"/>
      <c r="DC197" s="66"/>
      <c r="DD197" s="66"/>
      <c r="DE197" s="66"/>
      <c r="DF197" s="66"/>
      <c r="DG197" s="66"/>
      <c r="DH197" s="66"/>
      <c r="DI197" s="66"/>
      <c r="DJ197" s="66"/>
      <c r="DK197" s="66"/>
      <c r="DL197" s="66"/>
      <c r="DM197" s="66"/>
      <c r="DN197" s="66"/>
      <c r="DO197" s="66"/>
      <c r="DP197" s="66"/>
      <c r="DQ197" s="66"/>
      <c r="DR197" s="66"/>
      <c r="DS197" s="66"/>
      <c r="DT197" s="66"/>
      <c r="DU197" s="66"/>
      <c r="DV197" s="66"/>
      <c r="DW197" s="66"/>
      <c r="DX197" s="66"/>
      <c r="DY197" s="17"/>
    </row>
    <row r="198" spans="2:129" outlineLevel="1" x14ac:dyDescent="0.2">
      <c r="B198" s="16"/>
      <c r="C198" s="16"/>
      <c r="D198" s="16"/>
      <c r="E198" s="66"/>
      <c r="F198" s="96"/>
      <c r="G198" s="66"/>
      <c r="H198" s="66"/>
      <c r="I198" s="66"/>
      <c r="J198" s="66"/>
      <c r="K198" s="66"/>
      <c r="L198" s="66"/>
      <c r="M198" s="66"/>
      <c r="N198" s="66"/>
      <c r="O198" s="6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6"/>
      <c r="BI198" s="96"/>
      <c r="BJ198" s="96"/>
      <c r="BK198" s="96"/>
      <c r="BL198" s="96"/>
      <c r="BM198" s="96"/>
      <c r="BN198" s="96"/>
      <c r="BO198" s="96"/>
      <c r="BP198" s="96"/>
      <c r="BQ198" s="96"/>
      <c r="BR198" s="96"/>
      <c r="BS198" s="96"/>
      <c r="BT198" s="96"/>
      <c r="BU198" s="96"/>
      <c r="BV198" s="96"/>
      <c r="BW198" s="96"/>
      <c r="BX198" s="96"/>
      <c r="BY198" s="96"/>
      <c r="BZ198" s="96"/>
      <c r="CA198" s="96"/>
      <c r="CB198" s="96"/>
      <c r="CC198" s="96"/>
      <c r="CD198" s="96"/>
      <c r="CE198" s="96"/>
      <c r="CF198" s="96"/>
      <c r="CG198" s="96"/>
      <c r="CH198" s="96"/>
      <c r="CI198" s="96"/>
      <c r="CJ198" s="96"/>
      <c r="CK198" s="96"/>
      <c r="CL198" s="96"/>
      <c r="CM198" s="96"/>
      <c r="CN198" s="96"/>
      <c r="CO198" s="96"/>
      <c r="CP198" s="96"/>
      <c r="CQ198" s="96"/>
      <c r="CR198" s="96"/>
      <c r="CS198" s="96"/>
      <c r="CT198" s="96"/>
      <c r="CU198" s="96"/>
      <c r="CV198" s="96"/>
      <c r="CW198" s="96"/>
      <c r="CX198" s="96"/>
      <c r="CY198" s="96"/>
      <c r="CZ198" s="96"/>
      <c r="DA198" s="96"/>
      <c r="DB198" s="96"/>
      <c r="DC198" s="96"/>
      <c r="DD198" s="96"/>
      <c r="DE198" s="96"/>
      <c r="DF198" s="96"/>
      <c r="DG198" s="96"/>
      <c r="DH198" s="96"/>
      <c r="DI198" s="96"/>
      <c r="DJ198" s="96"/>
      <c r="DK198" s="96"/>
      <c r="DL198" s="96"/>
      <c r="DM198" s="96"/>
      <c r="DN198" s="96"/>
      <c r="DO198" s="96"/>
      <c r="DP198" s="96"/>
      <c r="DQ198" s="96"/>
      <c r="DR198" s="96"/>
      <c r="DS198" s="96"/>
      <c r="DT198" s="96"/>
      <c r="DU198" s="96"/>
      <c r="DV198" s="96"/>
      <c r="DW198" s="66"/>
      <c r="DX198" s="66"/>
      <c r="DY198" s="17"/>
    </row>
    <row r="199" spans="2:129" ht="16" outlineLevel="1" x14ac:dyDescent="0.2">
      <c r="B199" s="105" t="s">
        <v>55</v>
      </c>
      <c r="C199" s="100"/>
      <c r="D199" s="100"/>
      <c r="E199" s="100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/>
      <c r="AG199" s="101"/>
      <c r="AH199" s="101"/>
      <c r="AI199" s="101"/>
      <c r="AJ199" s="101"/>
      <c r="AK199" s="101"/>
      <c r="AL199" s="101"/>
      <c r="AM199" s="101"/>
      <c r="AN199" s="101"/>
      <c r="AO199" s="101"/>
      <c r="AP199" s="101"/>
      <c r="AQ199" s="101"/>
      <c r="AR199" s="101"/>
      <c r="AS199" s="101"/>
      <c r="AT199" s="101"/>
      <c r="AU199" s="101"/>
      <c r="AV199" s="101"/>
      <c r="AW199" s="101"/>
      <c r="AX199" s="101"/>
      <c r="AY199" s="101"/>
      <c r="AZ199" s="101"/>
      <c r="BA199" s="101"/>
      <c r="BB199" s="101"/>
      <c r="BC199" s="101"/>
      <c r="BD199" s="101"/>
      <c r="BE199" s="101"/>
      <c r="BF199" s="101"/>
      <c r="BG199" s="101"/>
      <c r="BH199" s="101"/>
      <c r="BI199" s="101"/>
      <c r="BJ199" s="101"/>
      <c r="BK199" s="101"/>
      <c r="BL199" s="101"/>
      <c r="BM199" s="101"/>
      <c r="BN199" s="101"/>
      <c r="BO199" s="101"/>
      <c r="BP199" s="101"/>
      <c r="BQ199" s="101"/>
      <c r="BR199" s="101"/>
      <c r="BS199" s="101"/>
      <c r="BT199" s="101"/>
      <c r="BU199" s="101"/>
      <c r="BV199" s="101"/>
      <c r="BW199" s="101"/>
      <c r="BX199" s="101"/>
      <c r="BY199" s="101"/>
      <c r="BZ199" s="101"/>
      <c r="CA199" s="101"/>
      <c r="CB199" s="101"/>
      <c r="CC199" s="101"/>
      <c r="CD199" s="101"/>
      <c r="CE199" s="101"/>
      <c r="CF199" s="101"/>
      <c r="CG199" s="101"/>
      <c r="CH199" s="101"/>
      <c r="CI199" s="101"/>
      <c r="CJ199" s="101"/>
      <c r="CK199" s="101"/>
      <c r="CL199" s="101"/>
      <c r="CM199" s="101"/>
      <c r="CN199" s="101"/>
      <c r="CO199" s="101"/>
      <c r="CP199" s="101"/>
      <c r="CQ199" s="101"/>
      <c r="CR199" s="101"/>
      <c r="CS199" s="101"/>
      <c r="CT199" s="101"/>
      <c r="CU199" s="101"/>
      <c r="CV199" s="101"/>
      <c r="CW199" s="101"/>
      <c r="CX199" s="101"/>
      <c r="CY199" s="101"/>
      <c r="CZ199" s="101"/>
      <c r="DA199" s="101"/>
      <c r="DB199" s="101"/>
      <c r="DC199" s="101"/>
      <c r="DD199" s="101"/>
      <c r="DE199" s="101"/>
      <c r="DF199" s="101"/>
      <c r="DG199" s="101"/>
      <c r="DH199" s="101"/>
      <c r="DI199" s="101"/>
      <c r="DJ199" s="101"/>
      <c r="DK199" s="101"/>
      <c r="DL199" s="101"/>
      <c r="DM199" s="101"/>
      <c r="DN199" s="101"/>
      <c r="DO199" s="101"/>
      <c r="DP199" s="101"/>
      <c r="DQ199" s="101"/>
      <c r="DR199" s="101"/>
      <c r="DS199" s="101"/>
      <c r="DT199" s="101"/>
      <c r="DU199" s="101"/>
      <c r="DV199" s="101"/>
      <c r="DW199" s="101"/>
      <c r="DX199" s="101"/>
      <c r="DY199" s="17"/>
    </row>
    <row r="200" spans="2:129" outlineLevel="1" x14ac:dyDescent="0.2">
      <c r="B200" s="121" t="s">
        <v>56</v>
      </c>
      <c r="C200" s="136">
        <f>E168</f>
        <v>1</v>
      </c>
      <c r="D200" s="100"/>
      <c r="E200" s="100"/>
      <c r="F200" s="113">
        <f>F$21</f>
        <v>0</v>
      </c>
      <c r="G200" s="113">
        <f t="shared" ref="G200:BR200" si="226">G$21</f>
        <v>1</v>
      </c>
      <c r="H200" s="113">
        <f t="shared" si="226"/>
        <v>2</v>
      </c>
      <c r="I200" s="113">
        <f t="shared" si="226"/>
        <v>3</v>
      </c>
      <c r="J200" s="113">
        <f t="shared" si="226"/>
        <v>4</v>
      </c>
      <c r="K200" s="113">
        <f t="shared" si="226"/>
        <v>5</v>
      </c>
      <c r="L200" s="113">
        <f t="shared" si="226"/>
        <v>6</v>
      </c>
      <c r="M200" s="113">
        <f t="shared" si="226"/>
        <v>7</v>
      </c>
      <c r="N200" s="113">
        <f t="shared" si="226"/>
        <v>8</v>
      </c>
      <c r="O200" s="113">
        <f t="shared" si="226"/>
        <v>9</v>
      </c>
      <c r="P200" s="113">
        <f t="shared" si="226"/>
        <v>10</v>
      </c>
      <c r="Q200" s="113">
        <f t="shared" si="226"/>
        <v>11</v>
      </c>
      <c r="R200" s="113">
        <f t="shared" si="226"/>
        <v>12</v>
      </c>
      <c r="S200" s="113">
        <f t="shared" si="226"/>
        <v>13</v>
      </c>
      <c r="T200" s="113">
        <f t="shared" si="226"/>
        <v>14</v>
      </c>
      <c r="U200" s="113">
        <f t="shared" si="226"/>
        <v>15</v>
      </c>
      <c r="V200" s="113">
        <f t="shared" si="226"/>
        <v>16</v>
      </c>
      <c r="W200" s="113">
        <f t="shared" si="226"/>
        <v>17</v>
      </c>
      <c r="X200" s="113">
        <f t="shared" si="226"/>
        <v>18</v>
      </c>
      <c r="Y200" s="113">
        <f t="shared" si="226"/>
        <v>19</v>
      </c>
      <c r="Z200" s="113">
        <f t="shared" si="226"/>
        <v>20</v>
      </c>
      <c r="AA200" s="113">
        <f t="shared" si="226"/>
        <v>21</v>
      </c>
      <c r="AB200" s="113">
        <f t="shared" si="226"/>
        <v>22</v>
      </c>
      <c r="AC200" s="113">
        <f t="shared" si="226"/>
        <v>23</v>
      </c>
      <c r="AD200" s="113">
        <f t="shared" si="226"/>
        <v>24</v>
      </c>
      <c r="AE200" s="113">
        <f t="shared" si="226"/>
        <v>25</v>
      </c>
      <c r="AF200" s="113">
        <f t="shared" si="226"/>
        <v>26</v>
      </c>
      <c r="AG200" s="113">
        <f t="shared" si="226"/>
        <v>27</v>
      </c>
      <c r="AH200" s="113">
        <f t="shared" si="226"/>
        <v>28</v>
      </c>
      <c r="AI200" s="113">
        <f t="shared" si="226"/>
        <v>29</v>
      </c>
      <c r="AJ200" s="113">
        <f t="shared" si="226"/>
        <v>30</v>
      </c>
      <c r="AK200" s="113">
        <f t="shared" si="226"/>
        <v>31</v>
      </c>
      <c r="AL200" s="113">
        <f t="shared" si="226"/>
        <v>32</v>
      </c>
      <c r="AM200" s="113">
        <f t="shared" si="226"/>
        <v>33</v>
      </c>
      <c r="AN200" s="113">
        <f t="shared" si="226"/>
        <v>34</v>
      </c>
      <c r="AO200" s="113">
        <f t="shared" si="226"/>
        <v>35</v>
      </c>
      <c r="AP200" s="113">
        <f t="shared" si="226"/>
        <v>36</v>
      </c>
      <c r="AQ200" s="113">
        <f t="shared" si="226"/>
        <v>37</v>
      </c>
      <c r="AR200" s="113">
        <f t="shared" si="226"/>
        <v>38</v>
      </c>
      <c r="AS200" s="113">
        <f t="shared" si="226"/>
        <v>39</v>
      </c>
      <c r="AT200" s="113">
        <f t="shared" si="226"/>
        <v>40</v>
      </c>
      <c r="AU200" s="113">
        <f t="shared" si="226"/>
        <v>41</v>
      </c>
      <c r="AV200" s="113">
        <f t="shared" si="226"/>
        <v>42</v>
      </c>
      <c r="AW200" s="113">
        <f t="shared" si="226"/>
        <v>43</v>
      </c>
      <c r="AX200" s="113">
        <f t="shared" si="226"/>
        <v>44</v>
      </c>
      <c r="AY200" s="113">
        <f t="shared" si="226"/>
        <v>45</v>
      </c>
      <c r="AZ200" s="113">
        <f t="shared" si="226"/>
        <v>46</v>
      </c>
      <c r="BA200" s="113">
        <f t="shared" si="226"/>
        <v>47</v>
      </c>
      <c r="BB200" s="113">
        <f t="shared" si="226"/>
        <v>48</v>
      </c>
      <c r="BC200" s="113">
        <f t="shared" si="226"/>
        <v>49</v>
      </c>
      <c r="BD200" s="113">
        <f t="shared" si="226"/>
        <v>50</v>
      </c>
      <c r="BE200" s="113">
        <f t="shared" si="226"/>
        <v>51</v>
      </c>
      <c r="BF200" s="113">
        <f t="shared" si="226"/>
        <v>52</v>
      </c>
      <c r="BG200" s="113">
        <f t="shared" si="226"/>
        <v>53</v>
      </c>
      <c r="BH200" s="113">
        <f t="shared" si="226"/>
        <v>54</v>
      </c>
      <c r="BI200" s="113">
        <f t="shared" si="226"/>
        <v>55</v>
      </c>
      <c r="BJ200" s="113">
        <f t="shared" si="226"/>
        <v>56</v>
      </c>
      <c r="BK200" s="113">
        <f t="shared" si="226"/>
        <v>57</v>
      </c>
      <c r="BL200" s="113">
        <f t="shared" si="226"/>
        <v>58</v>
      </c>
      <c r="BM200" s="113">
        <f t="shared" si="226"/>
        <v>59</v>
      </c>
      <c r="BN200" s="113">
        <f t="shared" si="226"/>
        <v>60</v>
      </c>
      <c r="BO200" s="113">
        <f t="shared" si="226"/>
        <v>61</v>
      </c>
      <c r="BP200" s="113">
        <f t="shared" si="226"/>
        <v>62</v>
      </c>
      <c r="BQ200" s="113">
        <f t="shared" si="226"/>
        <v>63</v>
      </c>
      <c r="BR200" s="113">
        <f t="shared" si="226"/>
        <v>64</v>
      </c>
      <c r="BS200" s="113">
        <f t="shared" ref="BS200:DV200" si="227">BS$21</f>
        <v>65</v>
      </c>
      <c r="BT200" s="113">
        <f t="shared" si="227"/>
        <v>66</v>
      </c>
      <c r="BU200" s="113">
        <f t="shared" si="227"/>
        <v>67</v>
      </c>
      <c r="BV200" s="113">
        <f t="shared" si="227"/>
        <v>68</v>
      </c>
      <c r="BW200" s="113">
        <f t="shared" si="227"/>
        <v>69</v>
      </c>
      <c r="BX200" s="113">
        <f t="shared" si="227"/>
        <v>70</v>
      </c>
      <c r="BY200" s="113">
        <f t="shared" si="227"/>
        <v>71</v>
      </c>
      <c r="BZ200" s="113">
        <f t="shared" si="227"/>
        <v>72</v>
      </c>
      <c r="CA200" s="113">
        <f t="shared" si="227"/>
        <v>73</v>
      </c>
      <c r="CB200" s="113">
        <f t="shared" si="227"/>
        <v>74</v>
      </c>
      <c r="CC200" s="113">
        <f t="shared" si="227"/>
        <v>75</v>
      </c>
      <c r="CD200" s="113">
        <f t="shared" si="227"/>
        <v>76</v>
      </c>
      <c r="CE200" s="113">
        <f t="shared" si="227"/>
        <v>77</v>
      </c>
      <c r="CF200" s="113">
        <f t="shared" si="227"/>
        <v>78</v>
      </c>
      <c r="CG200" s="113">
        <f t="shared" si="227"/>
        <v>79</v>
      </c>
      <c r="CH200" s="113">
        <f t="shared" si="227"/>
        <v>80</v>
      </c>
      <c r="CI200" s="113">
        <f t="shared" si="227"/>
        <v>81</v>
      </c>
      <c r="CJ200" s="113">
        <f t="shared" si="227"/>
        <v>82</v>
      </c>
      <c r="CK200" s="113">
        <f t="shared" si="227"/>
        <v>83</v>
      </c>
      <c r="CL200" s="113">
        <f t="shared" si="227"/>
        <v>84</v>
      </c>
      <c r="CM200" s="113">
        <f t="shared" si="227"/>
        <v>85</v>
      </c>
      <c r="CN200" s="113">
        <f t="shared" si="227"/>
        <v>86</v>
      </c>
      <c r="CO200" s="113">
        <f t="shared" si="227"/>
        <v>87</v>
      </c>
      <c r="CP200" s="113">
        <f t="shared" si="227"/>
        <v>88</v>
      </c>
      <c r="CQ200" s="113">
        <f t="shared" si="227"/>
        <v>89</v>
      </c>
      <c r="CR200" s="113">
        <f t="shared" si="227"/>
        <v>90</v>
      </c>
      <c r="CS200" s="113">
        <f t="shared" si="227"/>
        <v>91</v>
      </c>
      <c r="CT200" s="113">
        <f t="shared" si="227"/>
        <v>92</v>
      </c>
      <c r="CU200" s="113">
        <f t="shared" si="227"/>
        <v>93</v>
      </c>
      <c r="CV200" s="113">
        <f t="shared" si="227"/>
        <v>94</v>
      </c>
      <c r="CW200" s="113">
        <f t="shared" si="227"/>
        <v>95</v>
      </c>
      <c r="CX200" s="113" t="str">
        <f t="shared" si="227"/>
        <v/>
      </c>
      <c r="CY200" s="113" t="str">
        <f t="shared" si="227"/>
        <v/>
      </c>
      <c r="CZ200" s="113" t="str">
        <f t="shared" si="227"/>
        <v/>
      </c>
      <c r="DA200" s="113" t="str">
        <f t="shared" si="227"/>
        <v/>
      </c>
      <c r="DB200" s="113" t="str">
        <f t="shared" si="227"/>
        <v/>
      </c>
      <c r="DC200" s="113" t="str">
        <f t="shared" si="227"/>
        <v/>
      </c>
      <c r="DD200" s="113" t="str">
        <f t="shared" si="227"/>
        <v/>
      </c>
      <c r="DE200" s="113" t="str">
        <f t="shared" si="227"/>
        <v/>
      </c>
      <c r="DF200" s="113" t="str">
        <f t="shared" si="227"/>
        <v/>
      </c>
      <c r="DG200" s="113" t="str">
        <f t="shared" si="227"/>
        <v/>
      </c>
      <c r="DH200" s="113" t="str">
        <f t="shared" si="227"/>
        <v/>
      </c>
      <c r="DI200" s="113" t="str">
        <f t="shared" si="227"/>
        <v/>
      </c>
      <c r="DJ200" s="113" t="str">
        <f t="shared" si="227"/>
        <v/>
      </c>
      <c r="DK200" s="113" t="str">
        <f t="shared" si="227"/>
        <v/>
      </c>
      <c r="DL200" s="113" t="str">
        <f t="shared" si="227"/>
        <v/>
      </c>
      <c r="DM200" s="113" t="str">
        <f t="shared" si="227"/>
        <v/>
      </c>
      <c r="DN200" s="113" t="str">
        <f t="shared" si="227"/>
        <v/>
      </c>
      <c r="DO200" s="113" t="str">
        <f t="shared" si="227"/>
        <v/>
      </c>
      <c r="DP200" s="113" t="str">
        <f t="shared" si="227"/>
        <v/>
      </c>
      <c r="DQ200" s="113" t="str">
        <f t="shared" si="227"/>
        <v/>
      </c>
      <c r="DR200" s="113" t="str">
        <f t="shared" si="227"/>
        <v/>
      </c>
      <c r="DS200" s="113" t="str">
        <f t="shared" si="227"/>
        <v/>
      </c>
      <c r="DT200" s="113" t="str">
        <f t="shared" si="227"/>
        <v/>
      </c>
      <c r="DU200" s="113" t="str">
        <f t="shared" si="227"/>
        <v/>
      </c>
      <c r="DV200" s="113" t="str">
        <f t="shared" si="227"/>
        <v/>
      </c>
      <c r="DW200" s="114"/>
      <c r="DX200" s="114"/>
      <c r="DY200" s="115"/>
    </row>
    <row r="201" spans="2:129" outlineLevel="1" x14ac:dyDescent="0.2">
      <c r="B201" s="16" t="s">
        <v>57</v>
      </c>
      <c r="C201" s="16"/>
      <c r="D201" s="16"/>
      <c r="E201" s="16"/>
      <c r="F201" s="77">
        <f>IF(F200="","",E206)</f>
        <v>0</v>
      </c>
      <c r="G201" s="77">
        <f t="shared" ref="G201:BR201" si="228">IF(G200="","",F206)</f>
        <v>93624225.299999997</v>
      </c>
      <c r="H201" s="77">
        <f t="shared" si="228"/>
        <v>93648450.599999994</v>
      </c>
      <c r="I201" s="77">
        <f t="shared" si="228"/>
        <v>93672675.899999991</v>
      </c>
      <c r="J201" s="77">
        <f t="shared" si="228"/>
        <v>93696901.199999988</v>
      </c>
      <c r="K201" s="77">
        <f t="shared" si="228"/>
        <v>93721126.499999985</v>
      </c>
      <c r="L201" s="77">
        <f t="shared" si="228"/>
        <v>93745351.799999982</v>
      </c>
      <c r="M201" s="77">
        <f t="shared" si="228"/>
        <v>93769577.099999979</v>
      </c>
      <c r="N201" s="77">
        <f t="shared" si="228"/>
        <v>93793802.399999976</v>
      </c>
      <c r="O201" s="77">
        <f t="shared" si="228"/>
        <v>93818027.699999973</v>
      </c>
      <c r="P201" s="77">
        <f t="shared" si="228"/>
        <v>93842252.99999997</v>
      </c>
      <c r="Q201" s="77">
        <f t="shared" si="228"/>
        <v>93866478.299999967</v>
      </c>
      <c r="R201" s="77">
        <f t="shared" si="228"/>
        <v>93890703.599999964</v>
      </c>
      <c r="S201" s="77">
        <f t="shared" si="228"/>
        <v>93914928.899999961</v>
      </c>
      <c r="T201" s="77">
        <f t="shared" si="228"/>
        <v>93939154.199999958</v>
      </c>
      <c r="U201" s="77">
        <f t="shared" si="228"/>
        <v>93963379.499999955</v>
      </c>
      <c r="V201" s="77">
        <f t="shared" si="228"/>
        <v>93987604.799999952</v>
      </c>
      <c r="W201" s="77">
        <f t="shared" si="228"/>
        <v>94011830.099999949</v>
      </c>
      <c r="X201" s="77">
        <f t="shared" si="228"/>
        <v>94036055.399999946</v>
      </c>
      <c r="Y201" s="77">
        <f t="shared" si="228"/>
        <v>94060280.699999943</v>
      </c>
      <c r="Z201" s="77">
        <f t="shared" si="228"/>
        <v>94084505.99999994</v>
      </c>
      <c r="AA201" s="77">
        <f t="shared" si="228"/>
        <v>94108731.299999937</v>
      </c>
      <c r="AB201" s="77">
        <f t="shared" si="228"/>
        <v>94132956.599999934</v>
      </c>
      <c r="AC201" s="77">
        <f t="shared" si="228"/>
        <v>94157181.899999931</v>
      </c>
      <c r="AD201" s="77">
        <f t="shared" si="228"/>
        <v>94505125.499999925</v>
      </c>
      <c r="AE201" s="77">
        <f t="shared" si="228"/>
        <v>95347206.899999931</v>
      </c>
      <c r="AF201" s="77">
        <f t="shared" si="228"/>
        <v>69755298.299999923</v>
      </c>
      <c r="AG201" s="77">
        <f t="shared" si="228"/>
        <v>70597379.699999928</v>
      </c>
      <c r="AH201" s="77">
        <f t="shared" si="228"/>
        <v>71439461.099999934</v>
      </c>
      <c r="AI201" s="77">
        <f t="shared" si="228"/>
        <v>72281542.49999994</v>
      </c>
      <c r="AJ201" s="77">
        <f t="shared" si="228"/>
        <v>73123623.899999946</v>
      </c>
      <c r="AK201" s="77">
        <f t="shared" si="228"/>
        <v>73965705.299999952</v>
      </c>
      <c r="AL201" s="77">
        <f t="shared" si="228"/>
        <v>74807786.699999958</v>
      </c>
      <c r="AM201" s="77">
        <f t="shared" si="228"/>
        <v>75649868.099999964</v>
      </c>
      <c r="AN201" s="77">
        <f t="shared" si="228"/>
        <v>76327899.299999967</v>
      </c>
      <c r="AO201" s="77">
        <f t="shared" si="228"/>
        <v>77005930.49999997</v>
      </c>
      <c r="AP201" s="77">
        <f t="shared" si="228"/>
        <v>77890023.899999976</v>
      </c>
      <c r="AQ201" s="77">
        <f t="shared" si="228"/>
        <v>78498604.799999982</v>
      </c>
      <c r="AR201" s="77">
        <f t="shared" si="228"/>
        <v>79107185.699999988</v>
      </c>
      <c r="AS201" s="77">
        <f t="shared" si="228"/>
        <v>79715766.599999994</v>
      </c>
      <c r="AT201" s="77">
        <f t="shared" si="228"/>
        <v>80324347.5</v>
      </c>
      <c r="AU201" s="77">
        <f t="shared" si="228"/>
        <v>80932928.400000006</v>
      </c>
      <c r="AV201" s="77">
        <f t="shared" si="228"/>
        <v>43675843.500000007</v>
      </c>
      <c r="AW201" s="77">
        <f t="shared" si="228"/>
        <v>44346689.100000009</v>
      </c>
      <c r="AX201" s="77">
        <f t="shared" si="228"/>
        <v>45017534.70000001</v>
      </c>
      <c r="AY201" s="77">
        <f t="shared" si="228"/>
        <v>45688380.300000012</v>
      </c>
      <c r="AZ201" s="77">
        <f t="shared" si="228"/>
        <v>46359225.900000013</v>
      </c>
      <c r="BA201" s="77">
        <f t="shared" si="228"/>
        <v>47030071.500000015</v>
      </c>
      <c r="BB201" s="77">
        <f t="shared" si="228"/>
        <v>0</v>
      </c>
      <c r="BC201" s="77">
        <f t="shared" si="228"/>
        <v>501548.4</v>
      </c>
      <c r="BD201" s="77">
        <f t="shared" si="228"/>
        <v>1003096.8</v>
      </c>
      <c r="BE201" s="77">
        <f t="shared" si="228"/>
        <v>1504645.2000000002</v>
      </c>
      <c r="BF201" s="77">
        <f t="shared" si="228"/>
        <v>2006193.6</v>
      </c>
      <c r="BG201" s="77">
        <f t="shared" si="228"/>
        <v>2507742</v>
      </c>
      <c r="BH201" s="77">
        <f t="shared" si="228"/>
        <v>3009290.4</v>
      </c>
      <c r="BI201" s="77">
        <f t="shared" si="228"/>
        <v>3510838.8</v>
      </c>
      <c r="BJ201" s="77">
        <f t="shared" si="228"/>
        <v>4012387.1999999997</v>
      </c>
      <c r="BK201" s="77">
        <f t="shared" si="228"/>
        <v>4513935.5999999996</v>
      </c>
      <c r="BL201" s="77">
        <f t="shared" si="228"/>
        <v>5015484</v>
      </c>
      <c r="BM201" s="77">
        <f t="shared" si="228"/>
        <v>5517032.4000000004</v>
      </c>
      <c r="BN201" s="77">
        <f t="shared" si="228"/>
        <v>5885871.3000000007</v>
      </c>
      <c r="BO201" s="77">
        <f t="shared" si="228"/>
        <v>6254710.2000000011</v>
      </c>
      <c r="BP201" s="77">
        <f t="shared" si="228"/>
        <v>6623549.1000000015</v>
      </c>
      <c r="BQ201" s="77">
        <f t="shared" si="228"/>
        <v>6851323.8000000017</v>
      </c>
      <c r="BR201" s="77">
        <f t="shared" si="228"/>
        <v>7079098.5000000019</v>
      </c>
      <c r="BS201" s="77">
        <f t="shared" ref="BS201:DV201" si="229">IF(BS200="","",BR206)</f>
        <v>7306873.200000002</v>
      </c>
      <c r="BT201" s="77">
        <f t="shared" si="229"/>
        <v>7534647.9000000022</v>
      </c>
      <c r="BU201" s="77">
        <f t="shared" si="229"/>
        <v>7762422.6000000024</v>
      </c>
      <c r="BV201" s="77">
        <f t="shared" si="229"/>
        <v>7990197.3000000026</v>
      </c>
      <c r="BW201" s="77">
        <f t="shared" si="229"/>
        <v>8217972.0000000028</v>
      </c>
      <c r="BX201" s="77">
        <f t="shared" si="229"/>
        <v>8445746.700000003</v>
      </c>
      <c r="BY201" s="77">
        <f t="shared" si="229"/>
        <v>8673521.4000000022</v>
      </c>
      <c r="BZ201" s="77">
        <f t="shared" si="229"/>
        <v>3357296.1000000024</v>
      </c>
      <c r="CA201" s="77">
        <f t="shared" si="229"/>
        <v>0</v>
      </c>
      <c r="CB201" s="77">
        <f t="shared" si="229"/>
        <v>227774.7</v>
      </c>
      <c r="CC201" s="77">
        <f t="shared" si="229"/>
        <v>455549.4</v>
      </c>
      <c r="CD201" s="77">
        <f t="shared" si="229"/>
        <v>683324.10000000009</v>
      </c>
      <c r="CE201" s="77">
        <f t="shared" si="229"/>
        <v>911098.8</v>
      </c>
      <c r="CF201" s="77">
        <f t="shared" si="229"/>
        <v>0</v>
      </c>
      <c r="CG201" s="77">
        <f t="shared" si="229"/>
        <v>0</v>
      </c>
      <c r="CH201" s="77">
        <f t="shared" si="229"/>
        <v>0</v>
      </c>
      <c r="CI201" s="77">
        <f t="shared" si="229"/>
        <v>0</v>
      </c>
      <c r="CJ201" s="77">
        <f t="shared" si="229"/>
        <v>0</v>
      </c>
      <c r="CK201" s="77">
        <f t="shared" si="229"/>
        <v>0</v>
      </c>
      <c r="CL201" s="77">
        <f t="shared" si="229"/>
        <v>523424.7</v>
      </c>
      <c r="CM201" s="77">
        <f t="shared" si="229"/>
        <v>1046849.4</v>
      </c>
      <c r="CN201" s="77">
        <f t="shared" si="229"/>
        <v>1570274.1</v>
      </c>
      <c r="CO201" s="77">
        <f t="shared" si="229"/>
        <v>2093698.8</v>
      </c>
      <c r="CP201" s="77">
        <f t="shared" si="229"/>
        <v>2617123.5</v>
      </c>
      <c r="CQ201" s="77">
        <f t="shared" si="229"/>
        <v>3140548.2</v>
      </c>
      <c r="CR201" s="77">
        <f t="shared" si="229"/>
        <v>3663972.9000000004</v>
      </c>
      <c r="CS201" s="77">
        <f t="shared" si="229"/>
        <v>4187397.6000000006</v>
      </c>
      <c r="CT201" s="77">
        <f t="shared" si="229"/>
        <v>4710822.3000000007</v>
      </c>
      <c r="CU201" s="77">
        <f t="shared" si="229"/>
        <v>5234247.0000000009</v>
      </c>
      <c r="CV201" s="77">
        <f t="shared" si="229"/>
        <v>5757671.7000000011</v>
      </c>
      <c r="CW201" s="77">
        <f t="shared" si="229"/>
        <v>6281096.4000000013</v>
      </c>
      <c r="CX201" s="77" t="str">
        <f t="shared" si="229"/>
        <v/>
      </c>
      <c r="CY201" s="77" t="str">
        <f t="shared" si="229"/>
        <v/>
      </c>
      <c r="CZ201" s="77" t="str">
        <f t="shared" si="229"/>
        <v/>
      </c>
      <c r="DA201" s="77" t="str">
        <f t="shared" si="229"/>
        <v/>
      </c>
      <c r="DB201" s="77" t="str">
        <f t="shared" si="229"/>
        <v/>
      </c>
      <c r="DC201" s="77" t="str">
        <f t="shared" si="229"/>
        <v/>
      </c>
      <c r="DD201" s="77" t="str">
        <f t="shared" si="229"/>
        <v/>
      </c>
      <c r="DE201" s="77" t="str">
        <f t="shared" si="229"/>
        <v/>
      </c>
      <c r="DF201" s="77" t="str">
        <f t="shared" si="229"/>
        <v/>
      </c>
      <c r="DG201" s="77" t="str">
        <f t="shared" si="229"/>
        <v/>
      </c>
      <c r="DH201" s="77" t="str">
        <f t="shared" si="229"/>
        <v/>
      </c>
      <c r="DI201" s="77" t="str">
        <f t="shared" si="229"/>
        <v/>
      </c>
      <c r="DJ201" s="77" t="str">
        <f t="shared" si="229"/>
        <v/>
      </c>
      <c r="DK201" s="77" t="str">
        <f t="shared" si="229"/>
        <v/>
      </c>
      <c r="DL201" s="77" t="str">
        <f t="shared" si="229"/>
        <v/>
      </c>
      <c r="DM201" s="77" t="str">
        <f t="shared" si="229"/>
        <v/>
      </c>
      <c r="DN201" s="77" t="str">
        <f t="shared" si="229"/>
        <v/>
      </c>
      <c r="DO201" s="77" t="str">
        <f t="shared" si="229"/>
        <v/>
      </c>
      <c r="DP201" s="77" t="str">
        <f t="shared" si="229"/>
        <v/>
      </c>
      <c r="DQ201" s="77" t="str">
        <f t="shared" si="229"/>
        <v/>
      </c>
      <c r="DR201" s="77" t="str">
        <f t="shared" si="229"/>
        <v/>
      </c>
      <c r="DS201" s="77" t="str">
        <f t="shared" si="229"/>
        <v/>
      </c>
      <c r="DT201" s="77" t="str">
        <f t="shared" si="229"/>
        <v/>
      </c>
      <c r="DU201" s="77" t="str">
        <f t="shared" si="229"/>
        <v/>
      </c>
      <c r="DV201" s="77" t="str">
        <f t="shared" si="229"/>
        <v/>
      </c>
      <c r="DW201" s="77"/>
      <c r="DX201" s="77"/>
      <c r="DY201" s="78"/>
    </row>
    <row r="202" spans="2:129" outlineLevel="1" x14ac:dyDescent="0.2">
      <c r="B202" s="16" t="s">
        <v>58</v>
      </c>
      <c r="C202" s="16"/>
      <c r="D202" s="16"/>
      <c r="E202" s="16"/>
      <c r="F202" s="123" t="str">
        <f>IF(ROUND(SUM(G202:DY202),0)=ROUND(SUM(F204:DY204),0),"All Capital Returned","Capital Not Returned")</f>
        <v>All Capital Returned</v>
      </c>
      <c r="G202" s="77">
        <f>IF(G200="","",G208-G203)</f>
        <v>0</v>
      </c>
      <c r="H202" s="77">
        <f t="shared" ref="H202:BS202" si="230">IF(H200="","",H208-H203)</f>
        <v>0</v>
      </c>
      <c r="I202" s="77">
        <f t="shared" si="230"/>
        <v>0</v>
      </c>
      <c r="J202" s="77">
        <f t="shared" si="230"/>
        <v>0</v>
      </c>
      <c r="K202" s="77">
        <f t="shared" si="230"/>
        <v>0</v>
      </c>
      <c r="L202" s="77">
        <f t="shared" si="230"/>
        <v>0</v>
      </c>
      <c r="M202" s="77">
        <f t="shared" si="230"/>
        <v>0</v>
      </c>
      <c r="N202" s="77">
        <f t="shared" si="230"/>
        <v>0</v>
      </c>
      <c r="O202" s="77">
        <f t="shared" si="230"/>
        <v>0</v>
      </c>
      <c r="P202" s="77">
        <f t="shared" si="230"/>
        <v>0</v>
      </c>
      <c r="Q202" s="77">
        <f t="shared" si="230"/>
        <v>0</v>
      </c>
      <c r="R202" s="77">
        <f t="shared" si="230"/>
        <v>0</v>
      </c>
      <c r="S202" s="77">
        <f t="shared" si="230"/>
        <v>0</v>
      </c>
      <c r="T202" s="77">
        <f t="shared" si="230"/>
        <v>0</v>
      </c>
      <c r="U202" s="77">
        <f t="shared" si="230"/>
        <v>0</v>
      </c>
      <c r="V202" s="77">
        <f t="shared" si="230"/>
        <v>0</v>
      </c>
      <c r="W202" s="77">
        <f t="shared" si="230"/>
        <v>0</v>
      </c>
      <c r="X202" s="77">
        <f t="shared" si="230"/>
        <v>0</v>
      </c>
      <c r="Y202" s="77">
        <f t="shared" si="230"/>
        <v>0</v>
      </c>
      <c r="Z202" s="77">
        <f t="shared" si="230"/>
        <v>0</v>
      </c>
      <c r="AA202" s="77">
        <f t="shared" si="230"/>
        <v>0</v>
      </c>
      <c r="AB202" s="77">
        <f t="shared" si="230"/>
        <v>0</v>
      </c>
      <c r="AC202" s="77">
        <f t="shared" si="230"/>
        <v>0</v>
      </c>
      <c r="AD202" s="77">
        <f t="shared" si="230"/>
        <v>0</v>
      </c>
      <c r="AE202" s="77">
        <f t="shared" si="230"/>
        <v>25591908.600000001</v>
      </c>
      <c r="AF202" s="77">
        <f t="shared" si="230"/>
        <v>0</v>
      </c>
      <c r="AG202" s="77">
        <f t="shared" si="230"/>
        <v>0</v>
      </c>
      <c r="AH202" s="77">
        <f t="shared" si="230"/>
        <v>0</v>
      </c>
      <c r="AI202" s="77">
        <f t="shared" si="230"/>
        <v>0</v>
      </c>
      <c r="AJ202" s="77">
        <f t="shared" si="230"/>
        <v>0</v>
      </c>
      <c r="AK202" s="77">
        <f t="shared" si="230"/>
        <v>0</v>
      </c>
      <c r="AL202" s="77">
        <f t="shared" si="230"/>
        <v>0</v>
      </c>
      <c r="AM202" s="77">
        <f t="shared" si="230"/>
        <v>0</v>
      </c>
      <c r="AN202" s="77">
        <f t="shared" si="230"/>
        <v>0</v>
      </c>
      <c r="AO202" s="77">
        <f t="shared" si="230"/>
        <v>0</v>
      </c>
      <c r="AP202" s="77">
        <f t="shared" si="230"/>
        <v>0</v>
      </c>
      <c r="AQ202" s="77">
        <f t="shared" si="230"/>
        <v>0</v>
      </c>
      <c r="AR202" s="77">
        <f t="shared" si="230"/>
        <v>0</v>
      </c>
      <c r="AS202" s="77">
        <f t="shared" si="230"/>
        <v>0</v>
      </c>
      <c r="AT202" s="77">
        <f t="shared" si="230"/>
        <v>0</v>
      </c>
      <c r="AU202" s="77">
        <f t="shared" si="230"/>
        <v>37257084.899999999</v>
      </c>
      <c r="AV202" s="77">
        <f t="shared" si="230"/>
        <v>0</v>
      </c>
      <c r="AW202" s="77">
        <f t="shared" si="230"/>
        <v>0</v>
      </c>
      <c r="AX202" s="77">
        <f t="shared" si="230"/>
        <v>0</v>
      </c>
      <c r="AY202" s="77">
        <f t="shared" si="230"/>
        <v>0</v>
      </c>
      <c r="AZ202" s="77">
        <f t="shared" si="230"/>
        <v>0</v>
      </c>
      <c r="BA202" s="77">
        <f t="shared" si="230"/>
        <v>47030071.500000015</v>
      </c>
      <c r="BB202" s="77">
        <f t="shared" si="230"/>
        <v>0</v>
      </c>
      <c r="BC202" s="77">
        <f t="shared" si="230"/>
        <v>0</v>
      </c>
      <c r="BD202" s="77">
        <f t="shared" si="230"/>
        <v>0</v>
      </c>
      <c r="BE202" s="77">
        <f t="shared" si="230"/>
        <v>0</v>
      </c>
      <c r="BF202" s="77">
        <f t="shared" si="230"/>
        <v>0</v>
      </c>
      <c r="BG202" s="77">
        <f t="shared" si="230"/>
        <v>0</v>
      </c>
      <c r="BH202" s="77">
        <f t="shared" si="230"/>
        <v>0</v>
      </c>
      <c r="BI202" s="77">
        <f t="shared" si="230"/>
        <v>0</v>
      </c>
      <c r="BJ202" s="77">
        <f t="shared" si="230"/>
        <v>0</v>
      </c>
      <c r="BK202" s="77">
        <f t="shared" si="230"/>
        <v>0</v>
      </c>
      <c r="BL202" s="77">
        <f t="shared" si="230"/>
        <v>0</v>
      </c>
      <c r="BM202" s="77">
        <f t="shared" si="230"/>
        <v>0</v>
      </c>
      <c r="BN202" s="77">
        <f t="shared" si="230"/>
        <v>0</v>
      </c>
      <c r="BO202" s="77">
        <f t="shared" si="230"/>
        <v>0</v>
      </c>
      <c r="BP202" s="77">
        <f t="shared" si="230"/>
        <v>0</v>
      </c>
      <c r="BQ202" s="77">
        <f t="shared" si="230"/>
        <v>0</v>
      </c>
      <c r="BR202" s="77">
        <f t="shared" si="230"/>
        <v>0</v>
      </c>
      <c r="BS202" s="77">
        <f t="shared" si="230"/>
        <v>0</v>
      </c>
      <c r="BT202" s="77">
        <f t="shared" ref="BT202:DV202" si="231">IF(BT200="","",BT208-BT203)</f>
        <v>0</v>
      </c>
      <c r="BU202" s="77">
        <f t="shared" si="231"/>
        <v>0</v>
      </c>
      <c r="BV202" s="77">
        <f t="shared" si="231"/>
        <v>0</v>
      </c>
      <c r="BW202" s="77">
        <f t="shared" si="231"/>
        <v>0</v>
      </c>
      <c r="BX202" s="77">
        <f t="shared" si="231"/>
        <v>0</v>
      </c>
      <c r="BY202" s="77">
        <f t="shared" si="231"/>
        <v>5316225.3</v>
      </c>
      <c r="BZ202" s="77">
        <f t="shared" si="231"/>
        <v>3357296.1000000024</v>
      </c>
      <c r="CA202" s="77">
        <f t="shared" si="231"/>
        <v>0</v>
      </c>
      <c r="CB202" s="77">
        <f t="shared" si="231"/>
        <v>0</v>
      </c>
      <c r="CC202" s="77">
        <f t="shared" si="231"/>
        <v>0</v>
      </c>
      <c r="CD202" s="77">
        <f t="shared" si="231"/>
        <v>0</v>
      </c>
      <c r="CE202" s="77">
        <f t="shared" si="231"/>
        <v>911098.8</v>
      </c>
      <c r="CF202" s="77">
        <f t="shared" si="231"/>
        <v>0</v>
      </c>
      <c r="CG202" s="77">
        <f t="shared" si="231"/>
        <v>0</v>
      </c>
      <c r="CH202" s="77">
        <f t="shared" si="231"/>
        <v>0</v>
      </c>
      <c r="CI202" s="77">
        <f t="shared" si="231"/>
        <v>0</v>
      </c>
      <c r="CJ202" s="77">
        <f t="shared" si="231"/>
        <v>0</v>
      </c>
      <c r="CK202" s="77">
        <f t="shared" si="231"/>
        <v>0</v>
      </c>
      <c r="CL202" s="77">
        <f t="shared" si="231"/>
        <v>0</v>
      </c>
      <c r="CM202" s="77">
        <f t="shared" si="231"/>
        <v>0</v>
      </c>
      <c r="CN202" s="77">
        <f t="shared" si="231"/>
        <v>0</v>
      </c>
      <c r="CO202" s="77">
        <f t="shared" si="231"/>
        <v>0</v>
      </c>
      <c r="CP202" s="77">
        <f t="shared" si="231"/>
        <v>0</v>
      </c>
      <c r="CQ202" s="77">
        <f t="shared" si="231"/>
        <v>0</v>
      </c>
      <c r="CR202" s="77">
        <f t="shared" si="231"/>
        <v>0</v>
      </c>
      <c r="CS202" s="77">
        <f t="shared" si="231"/>
        <v>0</v>
      </c>
      <c r="CT202" s="77">
        <f t="shared" si="231"/>
        <v>0</v>
      </c>
      <c r="CU202" s="77">
        <f t="shared" si="231"/>
        <v>0</v>
      </c>
      <c r="CV202" s="77">
        <f t="shared" si="231"/>
        <v>0</v>
      </c>
      <c r="CW202" s="77">
        <f t="shared" si="231"/>
        <v>6281096.4000000013</v>
      </c>
      <c r="CX202" s="77" t="str">
        <f t="shared" si="231"/>
        <v/>
      </c>
      <c r="CY202" s="77" t="str">
        <f t="shared" si="231"/>
        <v/>
      </c>
      <c r="CZ202" s="77" t="str">
        <f t="shared" si="231"/>
        <v/>
      </c>
      <c r="DA202" s="77" t="str">
        <f t="shared" si="231"/>
        <v/>
      </c>
      <c r="DB202" s="77" t="str">
        <f t="shared" si="231"/>
        <v/>
      </c>
      <c r="DC202" s="77" t="str">
        <f t="shared" si="231"/>
        <v/>
      </c>
      <c r="DD202" s="77" t="str">
        <f t="shared" si="231"/>
        <v/>
      </c>
      <c r="DE202" s="77" t="str">
        <f t="shared" si="231"/>
        <v/>
      </c>
      <c r="DF202" s="77" t="str">
        <f t="shared" si="231"/>
        <v/>
      </c>
      <c r="DG202" s="77" t="str">
        <f t="shared" si="231"/>
        <v/>
      </c>
      <c r="DH202" s="77" t="str">
        <f t="shared" si="231"/>
        <v/>
      </c>
      <c r="DI202" s="77" t="str">
        <f t="shared" si="231"/>
        <v/>
      </c>
      <c r="DJ202" s="77" t="str">
        <f t="shared" si="231"/>
        <v/>
      </c>
      <c r="DK202" s="77" t="str">
        <f t="shared" si="231"/>
        <v/>
      </c>
      <c r="DL202" s="77" t="str">
        <f t="shared" si="231"/>
        <v/>
      </c>
      <c r="DM202" s="77" t="str">
        <f t="shared" si="231"/>
        <v/>
      </c>
      <c r="DN202" s="77" t="str">
        <f t="shared" si="231"/>
        <v/>
      </c>
      <c r="DO202" s="77" t="str">
        <f t="shared" si="231"/>
        <v/>
      </c>
      <c r="DP202" s="77" t="str">
        <f t="shared" si="231"/>
        <v/>
      </c>
      <c r="DQ202" s="77" t="str">
        <f t="shared" si="231"/>
        <v/>
      </c>
      <c r="DR202" s="77" t="str">
        <f t="shared" si="231"/>
        <v/>
      </c>
      <c r="DS202" s="77" t="str">
        <f t="shared" si="231"/>
        <v/>
      </c>
      <c r="DT202" s="77" t="str">
        <f t="shared" si="231"/>
        <v/>
      </c>
      <c r="DU202" s="77" t="str">
        <f t="shared" si="231"/>
        <v/>
      </c>
      <c r="DV202" s="77" t="str">
        <f t="shared" si="231"/>
        <v/>
      </c>
      <c r="DW202" s="77"/>
      <c r="DX202" s="77"/>
      <c r="DY202" s="78"/>
    </row>
    <row r="203" spans="2:129" outlineLevel="1" x14ac:dyDescent="0.2">
      <c r="B203" s="16" t="s">
        <v>59</v>
      </c>
      <c r="C203" s="16"/>
      <c r="D203" s="16"/>
      <c r="E203" s="16"/>
      <c r="F203" s="77">
        <f t="shared" ref="F203:AK203" si="232">IF(F200="","",IF($D$165="Equity Multiple",E204*$C200-E204,F201*Preferred_Return))</f>
        <v>0</v>
      </c>
      <c r="G203" s="77">
        <f t="shared" si="232"/>
        <v>0</v>
      </c>
      <c r="H203" s="77">
        <f t="shared" si="232"/>
        <v>0</v>
      </c>
      <c r="I203" s="77">
        <f t="shared" si="232"/>
        <v>0</v>
      </c>
      <c r="J203" s="77">
        <f t="shared" si="232"/>
        <v>0</v>
      </c>
      <c r="K203" s="77">
        <f t="shared" si="232"/>
        <v>0</v>
      </c>
      <c r="L203" s="77">
        <f t="shared" si="232"/>
        <v>0</v>
      </c>
      <c r="M203" s="77">
        <f t="shared" si="232"/>
        <v>0</v>
      </c>
      <c r="N203" s="77">
        <f t="shared" si="232"/>
        <v>0</v>
      </c>
      <c r="O203" s="77">
        <f t="shared" si="232"/>
        <v>0</v>
      </c>
      <c r="P203" s="77">
        <f t="shared" si="232"/>
        <v>0</v>
      </c>
      <c r="Q203" s="77">
        <f t="shared" si="232"/>
        <v>0</v>
      </c>
      <c r="R203" s="77">
        <f t="shared" si="232"/>
        <v>0</v>
      </c>
      <c r="S203" s="77">
        <f t="shared" si="232"/>
        <v>0</v>
      </c>
      <c r="T203" s="77">
        <f t="shared" si="232"/>
        <v>0</v>
      </c>
      <c r="U203" s="77">
        <f t="shared" si="232"/>
        <v>0</v>
      </c>
      <c r="V203" s="77">
        <f t="shared" si="232"/>
        <v>0</v>
      </c>
      <c r="W203" s="77">
        <f t="shared" si="232"/>
        <v>0</v>
      </c>
      <c r="X203" s="77">
        <f t="shared" si="232"/>
        <v>0</v>
      </c>
      <c r="Y203" s="77">
        <f t="shared" si="232"/>
        <v>0</v>
      </c>
      <c r="Z203" s="77">
        <f t="shared" si="232"/>
        <v>0</v>
      </c>
      <c r="AA203" s="77">
        <f t="shared" si="232"/>
        <v>0</v>
      </c>
      <c r="AB203" s="77">
        <f t="shared" si="232"/>
        <v>0</v>
      </c>
      <c r="AC203" s="77">
        <f t="shared" si="232"/>
        <v>0</v>
      </c>
      <c r="AD203" s="77">
        <f t="shared" si="232"/>
        <v>0</v>
      </c>
      <c r="AE203" s="77">
        <f t="shared" si="232"/>
        <v>0</v>
      </c>
      <c r="AF203" s="77">
        <f t="shared" si="232"/>
        <v>0</v>
      </c>
      <c r="AG203" s="77">
        <f t="shared" si="232"/>
        <v>0</v>
      </c>
      <c r="AH203" s="77">
        <f t="shared" si="232"/>
        <v>0</v>
      </c>
      <c r="AI203" s="77">
        <f t="shared" si="232"/>
        <v>0</v>
      </c>
      <c r="AJ203" s="77">
        <f t="shared" si="232"/>
        <v>0</v>
      </c>
      <c r="AK203" s="77">
        <f t="shared" si="232"/>
        <v>0</v>
      </c>
      <c r="AL203" s="77">
        <f t="shared" ref="AL203:BQ203" si="233">IF(AL200="","",IF($D$165="Equity Multiple",AK204*$C200-AK204,AL201*Preferred_Return))</f>
        <v>0</v>
      </c>
      <c r="AM203" s="77">
        <f t="shared" si="233"/>
        <v>0</v>
      </c>
      <c r="AN203" s="77">
        <f t="shared" si="233"/>
        <v>0</v>
      </c>
      <c r="AO203" s="77">
        <f t="shared" si="233"/>
        <v>0</v>
      </c>
      <c r="AP203" s="77">
        <f t="shared" si="233"/>
        <v>0</v>
      </c>
      <c r="AQ203" s="77">
        <f t="shared" si="233"/>
        <v>0</v>
      </c>
      <c r="AR203" s="77">
        <f t="shared" si="233"/>
        <v>0</v>
      </c>
      <c r="AS203" s="77">
        <f t="shared" si="233"/>
        <v>0</v>
      </c>
      <c r="AT203" s="77">
        <f t="shared" si="233"/>
        <v>0</v>
      </c>
      <c r="AU203" s="77">
        <f t="shared" si="233"/>
        <v>0</v>
      </c>
      <c r="AV203" s="77">
        <f t="shared" si="233"/>
        <v>0</v>
      </c>
      <c r="AW203" s="77">
        <f t="shared" si="233"/>
        <v>0</v>
      </c>
      <c r="AX203" s="77">
        <f t="shared" si="233"/>
        <v>0</v>
      </c>
      <c r="AY203" s="77">
        <f t="shared" si="233"/>
        <v>0</v>
      </c>
      <c r="AZ203" s="77">
        <f t="shared" si="233"/>
        <v>0</v>
      </c>
      <c r="BA203" s="77">
        <f t="shared" si="233"/>
        <v>0</v>
      </c>
      <c r="BB203" s="77">
        <f t="shared" si="233"/>
        <v>0</v>
      </c>
      <c r="BC203" s="77">
        <f t="shared" si="233"/>
        <v>0</v>
      </c>
      <c r="BD203" s="77">
        <f t="shared" si="233"/>
        <v>0</v>
      </c>
      <c r="BE203" s="77">
        <f t="shared" si="233"/>
        <v>0</v>
      </c>
      <c r="BF203" s="77">
        <f t="shared" si="233"/>
        <v>0</v>
      </c>
      <c r="BG203" s="77">
        <f t="shared" si="233"/>
        <v>0</v>
      </c>
      <c r="BH203" s="77">
        <f t="shared" si="233"/>
        <v>0</v>
      </c>
      <c r="BI203" s="77">
        <f t="shared" si="233"/>
        <v>0</v>
      </c>
      <c r="BJ203" s="77">
        <f t="shared" si="233"/>
        <v>0</v>
      </c>
      <c r="BK203" s="77">
        <f t="shared" si="233"/>
        <v>0</v>
      </c>
      <c r="BL203" s="77">
        <f t="shared" si="233"/>
        <v>0</v>
      </c>
      <c r="BM203" s="77">
        <f t="shared" si="233"/>
        <v>0</v>
      </c>
      <c r="BN203" s="77">
        <f t="shared" si="233"/>
        <v>0</v>
      </c>
      <c r="BO203" s="77">
        <f t="shared" si="233"/>
        <v>0</v>
      </c>
      <c r="BP203" s="77">
        <f t="shared" si="233"/>
        <v>0</v>
      </c>
      <c r="BQ203" s="77">
        <f t="shared" si="233"/>
        <v>0</v>
      </c>
      <c r="BR203" s="77">
        <f t="shared" ref="BR203:CW203" si="234">IF(BR200="","",IF($D$165="Equity Multiple",BQ204*$C200-BQ204,BR201*Preferred_Return))</f>
        <v>0</v>
      </c>
      <c r="BS203" s="77">
        <f t="shared" si="234"/>
        <v>0</v>
      </c>
      <c r="BT203" s="77">
        <f t="shared" si="234"/>
        <v>0</v>
      </c>
      <c r="BU203" s="77">
        <f t="shared" si="234"/>
        <v>0</v>
      </c>
      <c r="BV203" s="77">
        <f t="shared" si="234"/>
        <v>0</v>
      </c>
      <c r="BW203" s="77">
        <f t="shared" si="234"/>
        <v>0</v>
      </c>
      <c r="BX203" s="77">
        <f t="shared" si="234"/>
        <v>0</v>
      </c>
      <c r="BY203" s="77">
        <f t="shared" si="234"/>
        <v>0</v>
      </c>
      <c r="BZ203" s="77">
        <f t="shared" si="234"/>
        <v>0</v>
      </c>
      <c r="CA203" s="77">
        <f t="shared" si="234"/>
        <v>0</v>
      </c>
      <c r="CB203" s="77">
        <f t="shared" si="234"/>
        <v>0</v>
      </c>
      <c r="CC203" s="77">
        <f t="shared" si="234"/>
        <v>0</v>
      </c>
      <c r="CD203" s="77">
        <f t="shared" si="234"/>
        <v>0</v>
      </c>
      <c r="CE203" s="77">
        <f t="shared" si="234"/>
        <v>0</v>
      </c>
      <c r="CF203" s="77">
        <f t="shared" si="234"/>
        <v>0</v>
      </c>
      <c r="CG203" s="77">
        <f t="shared" si="234"/>
        <v>0</v>
      </c>
      <c r="CH203" s="77">
        <f t="shared" si="234"/>
        <v>0</v>
      </c>
      <c r="CI203" s="77">
        <f t="shared" si="234"/>
        <v>0</v>
      </c>
      <c r="CJ203" s="77">
        <f t="shared" si="234"/>
        <v>0</v>
      </c>
      <c r="CK203" s="77">
        <f t="shared" si="234"/>
        <v>0</v>
      </c>
      <c r="CL203" s="77">
        <f t="shared" si="234"/>
        <v>0</v>
      </c>
      <c r="CM203" s="77">
        <f t="shared" si="234"/>
        <v>0</v>
      </c>
      <c r="CN203" s="77">
        <f t="shared" si="234"/>
        <v>0</v>
      </c>
      <c r="CO203" s="77">
        <f t="shared" si="234"/>
        <v>0</v>
      </c>
      <c r="CP203" s="77">
        <f t="shared" si="234"/>
        <v>0</v>
      </c>
      <c r="CQ203" s="77">
        <f t="shared" si="234"/>
        <v>0</v>
      </c>
      <c r="CR203" s="77">
        <f t="shared" si="234"/>
        <v>0</v>
      </c>
      <c r="CS203" s="77">
        <f t="shared" si="234"/>
        <v>0</v>
      </c>
      <c r="CT203" s="77">
        <f t="shared" si="234"/>
        <v>0</v>
      </c>
      <c r="CU203" s="77">
        <f t="shared" si="234"/>
        <v>0</v>
      </c>
      <c r="CV203" s="77">
        <f t="shared" si="234"/>
        <v>0</v>
      </c>
      <c r="CW203" s="77">
        <f t="shared" si="234"/>
        <v>0</v>
      </c>
      <c r="CX203" s="77" t="str">
        <f t="shared" ref="CX203:DV203" si="235">IF(CX200="","",IF($D$165="Equity Multiple",CW204*$C200-CW204,CX201*Preferred_Return))</f>
        <v/>
      </c>
      <c r="CY203" s="77" t="str">
        <f t="shared" si="235"/>
        <v/>
      </c>
      <c r="CZ203" s="77" t="str">
        <f t="shared" si="235"/>
        <v/>
      </c>
      <c r="DA203" s="77" t="str">
        <f t="shared" si="235"/>
        <v/>
      </c>
      <c r="DB203" s="77" t="str">
        <f t="shared" si="235"/>
        <v/>
      </c>
      <c r="DC203" s="77" t="str">
        <f t="shared" si="235"/>
        <v/>
      </c>
      <c r="DD203" s="77" t="str">
        <f t="shared" si="235"/>
        <v/>
      </c>
      <c r="DE203" s="77" t="str">
        <f t="shared" si="235"/>
        <v/>
      </c>
      <c r="DF203" s="77" t="str">
        <f t="shared" si="235"/>
        <v/>
      </c>
      <c r="DG203" s="77" t="str">
        <f t="shared" si="235"/>
        <v/>
      </c>
      <c r="DH203" s="77" t="str">
        <f t="shared" si="235"/>
        <v/>
      </c>
      <c r="DI203" s="77" t="str">
        <f t="shared" si="235"/>
        <v/>
      </c>
      <c r="DJ203" s="77" t="str">
        <f t="shared" si="235"/>
        <v/>
      </c>
      <c r="DK203" s="77" t="str">
        <f t="shared" si="235"/>
        <v/>
      </c>
      <c r="DL203" s="77" t="str">
        <f t="shared" si="235"/>
        <v/>
      </c>
      <c r="DM203" s="77" t="str">
        <f t="shared" si="235"/>
        <v/>
      </c>
      <c r="DN203" s="77" t="str">
        <f t="shared" si="235"/>
        <v/>
      </c>
      <c r="DO203" s="77" t="str">
        <f t="shared" si="235"/>
        <v/>
      </c>
      <c r="DP203" s="77" t="str">
        <f t="shared" si="235"/>
        <v/>
      </c>
      <c r="DQ203" s="77" t="str">
        <f t="shared" si="235"/>
        <v/>
      </c>
      <c r="DR203" s="77" t="str">
        <f t="shared" si="235"/>
        <v/>
      </c>
      <c r="DS203" s="77" t="str">
        <f t="shared" si="235"/>
        <v/>
      </c>
      <c r="DT203" s="77" t="str">
        <f t="shared" si="235"/>
        <v/>
      </c>
      <c r="DU203" s="77" t="str">
        <f t="shared" si="235"/>
        <v/>
      </c>
      <c r="DV203" s="77" t="str">
        <f t="shared" si="235"/>
        <v/>
      </c>
      <c r="DW203" s="77"/>
      <c r="DX203" s="77"/>
      <c r="DY203" s="78"/>
    </row>
    <row r="204" spans="2:129" outlineLevel="1" x14ac:dyDescent="0.2">
      <c r="B204" s="16" t="s">
        <v>60</v>
      </c>
      <c r="C204" s="16"/>
      <c r="D204" s="16"/>
      <c r="E204" s="16"/>
      <c r="F204" s="77">
        <f t="shared" ref="F204:AK204" si="236">IF(F200="","",-MIN(0,F195*Equity_Share_LP))</f>
        <v>93624225.299999997</v>
      </c>
      <c r="G204" s="77">
        <f t="shared" si="236"/>
        <v>24225.3</v>
      </c>
      <c r="H204" s="77">
        <f t="shared" si="236"/>
        <v>24225.3</v>
      </c>
      <c r="I204" s="77">
        <f t="shared" si="236"/>
        <v>24225.3</v>
      </c>
      <c r="J204" s="77">
        <f t="shared" si="236"/>
        <v>24225.3</v>
      </c>
      <c r="K204" s="77">
        <f t="shared" si="236"/>
        <v>24225.3</v>
      </c>
      <c r="L204" s="77">
        <f t="shared" si="236"/>
        <v>24225.3</v>
      </c>
      <c r="M204" s="77">
        <f t="shared" si="236"/>
        <v>24225.3</v>
      </c>
      <c r="N204" s="77">
        <f t="shared" si="236"/>
        <v>24225.3</v>
      </c>
      <c r="O204" s="77">
        <f t="shared" si="236"/>
        <v>24225.3</v>
      </c>
      <c r="P204" s="77">
        <f t="shared" si="236"/>
        <v>24225.3</v>
      </c>
      <c r="Q204" s="77">
        <f t="shared" si="236"/>
        <v>24225.3</v>
      </c>
      <c r="R204" s="77">
        <f t="shared" si="236"/>
        <v>24225.3</v>
      </c>
      <c r="S204" s="77">
        <f t="shared" si="236"/>
        <v>24225.3</v>
      </c>
      <c r="T204" s="77">
        <f t="shared" si="236"/>
        <v>24225.3</v>
      </c>
      <c r="U204" s="77">
        <f t="shared" si="236"/>
        <v>24225.3</v>
      </c>
      <c r="V204" s="77">
        <f t="shared" si="236"/>
        <v>24225.3</v>
      </c>
      <c r="W204" s="77">
        <f t="shared" si="236"/>
        <v>24225.3</v>
      </c>
      <c r="X204" s="77">
        <f t="shared" si="236"/>
        <v>24225.3</v>
      </c>
      <c r="Y204" s="77">
        <f t="shared" si="236"/>
        <v>24225.3</v>
      </c>
      <c r="Z204" s="77">
        <f t="shared" si="236"/>
        <v>24225.3</v>
      </c>
      <c r="AA204" s="77">
        <f t="shared" si="236"/>
        <v>24225.3</v>
      </c>
      <c r="AB204" s="77">
        <f t="shared" si="236"/>
        <v>24225.3</v>
      </c>
      <c r="AC204" s="77">
        <f t="shared" si="236"/>
        <v>347943.60000000003</v>
      </c>
      <c r="AD204" s="77">
        <f t="shared" si="236"/>
        <v>842081.4</v>
      </c>
      <c r="AE204" s="77">
        <f t="shared" si="236"/>
        <v>0</v>
      </c>
      <c r="AF204" s="77">
        <f t="shared" si="236"/>
        <v>842081.4</v>
      </c>
      <c r="AG204" s="77">
        <f t="shared" si="236"/>
        <v>842081.4</v>
      </c>
      <c r="AH204" s="77">
        <f t="shared" si="236"/>
        <v>842081.4</v>
      </c>
      <c r="AI204" s="77">
        <f t="shared" si="236"/>
        <v>842081.4</v>
      </c>
      <c r="AJ204" s="77">
        <f t="shared" si="236"/>
        <v>842081.4</v>
      </c>
      <c r="AK204" s="77">
        <f t="shared" si="236"/>
        <v>842081.4</v>
      </c>
      <c r="AL204" s="77">
        <f t="shared" ref="AL204:BQ204" si="237">IF(AL200="","",-MIN(0,AL195*Equity_Share_LP))</f>
        <v>842081.4</v>
      </c>
      <c r="AM204" s="77">
        <f t="shared" si="237"/>
        <v>678031.20000000007</v>
      </c>
      <c r="AN204" s="77">
        <f t="shared" si="237"/>
        <v>678031.20000000007</v>
      </c>
      <c r="AO204" s="77">
        <f t="shared" si="237"/>
        <v>884093.4</v>
      </c>
      <c r="AP204" s="77">
        <f t="shared" si="237"/>
        <v>608580.9</v>
      </c>
      <c r="AQ204" s="77">
        <f t="shared" si="237"/>
        <v>608580.9</v>
      </c>
      <c r="AR204" s="77">
        <f t="shared" si="237"/>
        <v>608580.9</v>
      </c>
      <c r="AS204" s="77">
        <f t="shared" si="237"/>
        <v>608580.9</v>
      </c>
      <c r="AT204" s="77">
        <f t="shared" si="237"/>
        <v>608580.9</v>
      </c>
      <c r="AU204" s="77">
        <f t="shared" si="237"/>
        <v>0</v>
      </c>
      <c r="AV204" s="77">
        <f t="shared" si="237"/>
        <v>670845.6</v>
      </c>
      <c r="AW204" s="77">
        <f t="shared" si="237"/>
        <v>670845.6</v>
      </c>
      <c r="AX204" s="77">
        <f t="shared" si="237"/>
        <v>670845.6</v>
      </c>
      <c r="AY204" s="77">
        <f t="shared" si="237"/>
        <v>670845.6</v>
      </c>
      <c r="AZ204" s="77">
        <f t="shared" si="237"/>
        <v>670845.6</v>
      </c>
      <c r="BA204" s="77">
        <f t="shared" si="237"/>
        <v>0</v>
      </c>
      <c r="BB204" s="77">
        <f t="shared" si="237"/>
        <v>501548.4</v>
      </c>
      <c r="BC204" s="77">
        <f t="shared" si="237"/>
        <v>501548.4</v>
      </c>
      <c r="BD204" s="77">
        <f t="shared" si="237"/>
        <v>501548.4</v>
      </c>
      <c r="BE204" s="77">
        <f t="shared" si="237"/>
        <v>501548.4</v>
      </c>
      <c r="BF204" s="77">
        <f t="shared" si="237"/>
        <v>501548.4</v>
      </c>
      <c r="BG204" s="77">
        <f t="shared" si="237"/>
        <v>501548.4</v>
      </c>
      <c r="BH204" s="77">
        <f t="shared" si="237"/>
        <v>501548.4</v>
      </c>
      <c r="BI204" s="77">
        <f t="shared" si="237"/>
        <v>501548.4</v>
      </c>
      <c r="BJ204" s="77">
        <f t="shared" si="237"/>
        <v>501548.4</v>
      </c>
      <c r="BK204" s="77">
        <f t="shared" si="237"/>
        <v>501548.4</v>
      </c>
      <c r="BL204" s="77">
        <f t="shared" si="237"/>
        <v>501548.4</v>
      </c>
      <c r="BM204" s="77">
        <f t="shared" si="237"/>
        <v>368838.9</v>
      </c>
      <c r="BN204" s="77">
        <f t="shared" si="237"/>
        <v>368838.9</v>
      </c>
      <c r="BO204" s="77">
        <f t="shared" si="237"/>
        <v>368838.9</v>
      </c>
      <c r="BP204" s="77">
        <f t="shared" si="237"/>
        <v>227774.7</v>
      </c>
      <c r="BQ204" s="77">
        <f t="shared" si="237"/>
        <v>227774.7</v>
      </c>
      <c r="BR204" s="77">
        <f t="shared" ref="BR204:CW204" si="238">IF(BR200="","",-MIN(0,BR195*Equity_Share_LP))</f>
        <v>227774.7</v>
      </c>
      <c r="BS204" s="77">
        <f t="shared" si="238"/>
        <v>227774.7</v>
      </c>
      <c r="BT204" s="77">
        <f t="shared" si="238"/>
        <v>227774.7</v>
      </c>
      <c r="BU204" s="77">
        <f t="shared" si="238"/>
        <v>227774.7</v>
      </c>
      <c r="BV204" s="77">
        <f t="shared" si="238"/>
        <v>227774.7</v>
      </c>
      <c r="BW204" s="77">
        <f t="shared" si="238"/>
        <v>227774.7</v>
      </c>
      <c r="BX204" s="77">
        <f t="shared" si="238"/>
        <v>227774.7</v>
      </c>
      <c r="BY204" s="77">
        <f t="shared" si="238"/>
        <v>0</v>
      </c>
      <c r="BZ204" s="77">
        <f t="shared" si="238"/>
        <v>0</v>
      </c>
      <c r="CA204" s="77">
        <f t="shared" si="238"/>
        <v>227774.7</v>
      </c>
      <c r="CB204" s="77">
        <f t="shared" si="238"/>
        <v>227774.7</v>
      </c>
      <c r="CC204" s="77">
        <f t="shared" si="238"/>
        <v>227774.7</v>
      </c>
      <c r="CD204" s="77">
        <f t="shared" si="238"/>
        <v>227774.7</v>
      </c>
      <c r="CE204" s="77">
        <f t="shared" si="238"/>
        <v>0</v>
      </c>
      <c r="CF204" s="77">
        <f t="shared" si="238"/>
        <v>0</v>
      </c>
      <c r="CG204" s="77">
        <f t="shared" si="238"/>
        <v>0</v>
      </c>
      <c r="CH204" s="77">
        <f t="shared" si="238"/>
        <v>0</v>
      </c>
      <c r="CI204" s="77">
        <f t="shared" si="238"/>
        <v>0</v>
      </c>
      <c r="CJ204" s="77">
        <f t="shared" si="238"/>
        <v>0</v>
      </c>
      <c r="CK204" s="77">
        <f t="shared" si="238"/>
        <v>523424.7</v>
      </c>
      <c r="CL204" s="77">
        <f t="shared" si="238"/>
        <v>523424.7</v>
      </c>
      <c r="CM204" s="77">
        <f t="shared" si="238"/>
        <v>523424.7</v>
      </c>
      <c r="CN204" s="77">
        <f t="shared" si="238"/>
        <v>523424.7</v>
      </c>
      <c r="CO204" s="77">
        <f t="shared" si="238"/>
        <v>523424.7</v>
      </c>
      <c r="CP204" s="77">
        <f t="shared" si="238"/>
        <v>523424.7</v>
      </c>
      <c r="CQ204" s="77">
        <f t="shared" si="238"/>
        <v>523424.7</v>
      </c>
      <c r="CR204" s="77">
        <f t="shared" si="238"/>
        <v>523424.7</v>
      </c>
      <c r="CS204" s="77">
        <f t="shared" si="238"/>
        <v>523424.7</v>
      </c>
      <c r="CT204" s="77">
        <f t="shared" si="238"/>
        <v>523424.7</v>
      </c>
      <c r="CU204" s="77">
        <f t="shared" si="238"/>
        <v>523424.7</v>
      </c>
      <c r="CV204" s="77">
        <f t="shared" si="238"/>
        <v>523424.7</v>
      </c>
      <c r="CW204" s="77">
        <f t="shared" si="238"/>
        <v>0</v>
      </c>
      <c r="CX204" s="77" t="str">
        <f t="shared" ref="CX204:DV204" si="239">IF(CX200="","",-MIN(0,CX195*Equity_Share_LP))</f>
        <v/>
      </c>
      <c r="CY204" s="77" t="str">
        <f t="shared" si="239"/>
        <v/>
      </c>
      <c r="CZ204" s="77" t="str">
        <f t="shared" si="239"/>
        <v/>
      </c>
      <c r="DA204" s="77" t="str">
        <f t="shared" si="239"/>
        <v/>
      </c>
      <c r="DB204" s="77" t="str">
        <f t="shared" si="239"/>
        <v/>
      </c>
      <c r="DC204" s="77" t="str">
        <f t="shared" si="239"/>
        <v/>
      </c>
      <c r="DD204" s="77" t="str">
        <f t="shared" si="239"/>
        <v/>
      </c>
      <c r="DE204" s="77" t="str">
        <f t="shared" si="239"/>
        <v/>
      </c>
      <c r="DF204" s="77" t="str">
        <f t="shared" si="239"/>
        <v/>
      </c>
      <c r="DG204" s="77" t="str">
        <f t="shared" si="239"/>
        <v/>
      </c>
      <c r="DH204" s="77" t="str">
        <f t="shared" si="239"/>
        <v/>
      </c>
      <c r="DI204" s="77" t="str">
        <f t="shared" si="239"/>
        <v/>
      </c>
      <c r="DJ204" s="77" t="str">
        <f t="shared" si="239"/>
        <v/>
      </c>
      <c r="DK204" s="77" t="str">
        <f t="shared" si="239"/>
        <v/>
      </c>
      <c r="DL204" s="77" t="str">
        <f t="shared" si="239"/>
        <v/>
      </c>
      <c r="DM204" s="77" t="str">
        <f t="shared" si="239"/>
        <v/>
      </c>
      <c r="DN204" s="77" t="str">
        <f t="shared" si="239"/>
        <v/>
      </c>
      <c r="DO204" s="77" t="str">
        <f t="shared" si="239"/>
        <v/>
      </c>
      <c r="DP204" s="77" t="str">
        <f t="shared" si="239"/>
        <v/>
      </c>
      <c r="DQ204" s="77" t="str">
        <f t="shared" si="239"/>
        <v/>
      </c>
      <c r="DR204" s="77" t="str">
        <f t="shared" si="239"/>
        <v/>
      </c>
      <c r="DS204" s="77" t="str">
        <f t="shared" si="239"/>
        <v/>
      </c>
      <c r="DT204" s="77" t="str">
        <f t="shared" si="239"/>
        <v/>
      </c>
      <c r="DU204" s="77" t="str">
        <f t="shared" si="239"/>
        <v/>
      </c>
      <c r="DV204" s="77" t="str">
        <f t="shared" si="239"/>
        <v/>
      </c>
      <c r="DW204" s="77"/>
      <c r="DX204" s="77"/>
      <c r="DY204" s="78"/>
    </row>
    <row r="205" spans="2:129" outlineLevel="1" x14ac:dyDescent="0.2">
      <c r="B205" s="16" t="s">
        <v>61</v>
      </c>
      <c r="C205" s="16"/>
      <c r="D205" s="16"/>
      <c r="E205" s="16"/>
      <c r="F205" s="77">
        <f>IF(F200="","",MIN(F201+F203,MAX(F195,0)*$I$15))</f>
        <v>0</v>
      </c>
      <c r="G205" s="24">
        <f t="shared" ref="G205:BR205" si="240">IF(G200="","",MIN(G201+G203,MAX(G195,0)*$I$15))</f>
        <v>0</v>
      </c>
      <c r="H205" s="24">
        <f t="shared" si="240"/>
        <v>0</v>
      </c>
      <c r="I205" s="24">
        <f t="shared" si="240"/>
        <v>0</v>
      </c>
      <c r="J205" s="24">
        <f t="shared" si="240"/>
        <v>0</v>
      </c>
      <c r="K205" s="24">
        <f t="shared" si="240"/>
        <v>0</v>
      </c>
      <c r="L205" s="24">
        <f t="shared" si="240"/>
        <v>0</v>
      </c>
      <c r="M205" s="24">
        <f t="shared" si="240"/>
        <v>0</v>
      </c>
      <c r="N205" s="24">
        <f t="shared" si="240"/>
        <v>0</v>
      </c>
      <c r="O205" s="24">
        <f t="shared" si="240"/>
        <v>0</v>
      </c>
      <c r="P205" s="24">
        <f t="shared" si="240"/>
        <v>0</v>
      </c>
      <c r="Q205" s="24">
        <f t="shared" si="240"/>
        <v>0</v>
      </c>
      <c r="R205" s="24">
        <f t="shared" si="240"/>
        <v>0</v>
      </c>
      <c r="S205" s="24">
        <f t="shared" si="240"/>
        <v>0</v>
      </c>
      <c r="T205" s="24">
        <f t="shared" si="240"/>
        <v>0</v>
      </c>
      <c r="U205" s="24">
        <f t="shared" si="240"/>
        <v>0</v>
      </c>
      <c r="V205" s="24">
        <f t="shared" si="240"/>
        <v>0</v>
      </c>
      <c r="W205" s="24">
        <f t="shared" si="240"/>
        <v>0</v>
      </c>
      <c r="X205" s="24">
        <f t="shared" si="240"/>
        <v>0</v>
      </c>
      <c r="Y205" s="24">
        <f t="shared" si="240"/>
        <v>0</v>
      </c>
      <c r="Z205" s="24">
        <f t="shared" si="240"/>
        <v>0</v>
      </c>
      <c r="AA205" s="24">
        <f t="shared" si="240"/>
        <v>0</v>
      </c>
      <c r="AB205" s="24">
        <f t="shared" si="240"/>
        <v>0</v>
      </c>
      <c r="AC205" s="24">
        <f t="shared" si="240"/>
        <v>0</v>
      </c>
      <c r="AD205" s="24">
        <f t="shared" si="240"/>
        <v>0</v>
      </c>
      <c r="AE205" s="24">
        <f t="shared" si="240"/>
        <v>25591908.600000001</v>
      </c>
      <c r="AF205" s="24">
        <f t="shared" si="240"/>
        <v>0</v>
      </c>
      <c r="AG205" s="24">
        <f t="shared" si="240"/>
        <v>0</v>
      </c>
      <c r="AH205" s="24">
        <f t="shared" si="240"/>
        <v>0</v>
      </c>
      <c r="AI205" s="24">
        <f t="shared" si="240"/>
        <v>0</v>
      </c>
      <c r="AJ205" s="24">
        <f t="shared" si="240"/>
        <v>0</v>
      </c>
      <c r="AK205" s="24">
        <f t="shared" si="240"/>
        <v>0</v>
      </c>
      <c r="AL205" s="24">
        <f t="shared" si="240"/>
        <v>0</v>
      </c>
      <c r="AM205" s="24">
        <f t="shared" si="240"/>
        <v>0</v>
      </c>
      <c r="AN205" s="24">
        <f t="shared" si="240"/>
        <v>0</v>
      </c>
      <c r="AO205" s="24">
        <f t="shared" si="240"/>
        <v>0</v>
      </c>
      <c r="AP205" s="24">
        <f t="shared" si="240"/>
        <v>0</v>
      </c>
      <c r="AQ205" s="24">
        <f t="shared" si="240"/>
        <v>0</v>
      </c>
      <c r="AR205" s="24">
        <f t="shared" si="240"/>
        <v>0</v>
      </c>
      <c r="AS205" s="24">
        <f t="shared" si="240"/>
        <v>0</v>
      </c>
      <c r="AT205" s="24">
        <f t="shared" si="240"/>
        <v>0</v>
      </c>
      <c r="AU205" s="24">
        <f t="shared" si="240"/>
        <v>37257084.899999999</v>
      </c>
      <c r="AV205" s="24">
        <f t="shared" si="240"/>
        <v>0</v>
      </c>
      <c r="AW205" s="24">
        <f t="shared" si="240"/>
        <v>0</v>
      </c>
      <c r="AX205" s="24">
        <f t="shared" si="240"/>
        <v>0</v>
      </c>
      <c r="AY205" s="24">
        <f t="shared" si="240"/>
        <v>0</v>
      </c>
      <c r="AZ205" s="24">
        <f t="shared" si="240"/>
        <v>0</v>
      </c>
      <c r="BA205" s="24">
        <f t="shared" si="240"/>
        <v>47030071.500000015</v>
      </c>
      <c r="BB205" s="24">
        <f t="shared" si="240"/>
        <v>0</v>
      </c>
      <c r="BC205" s="24">
        <f t="shared" si="240"/>
        <v>0</v>
      </c>
      <c r="BD205" s="24">
        <f t="shared" si="240"/>
        <v>0</v>
      </c>
      <c r="BE205" s="24">
        <f t="shared" si="240"/>
        <v>0</v>
      </c>
      <c r="BF205" s="24">
        <f t="shared" si="240"/>
        <v>0</v>
      </c>
      <c r="BG205" s="24">
        <f t="shared" si="240"/>
        <v>0</v>
      </c>
      <c r="BH205" s="24">
        <f t="shared" si="240"/>
        <v>0</v>
      </c>
      <c r="BI205" s="24">
        <f t="shared" si="240"/>
        <v>0</v>
      </c>
      <c r="BJ205" s="24">
        <f t="shared" si="240"/>
        <v>0</v>
      </c>
      <c r="BK205" s="24">
        <f t="shared" si="240"/>
        <v>0</v>
      </c>
      <c r="BL205" s="24">
        <f t="shared" si="240"/>
        <v>0</v>
      </c>
      <c r="BM205" s="24">
        <f t="shared" si="240"/>
        <v>0</v>
      </c>
      <c r="BN205" s="24">
        <f t="shared" si="240"/>
        <v>0</v>
      </c>
      <c r="BO205" s="24">
        <f t="shared" si="240"/>
        <v>0</v>
      </c>
      <c r="BP205" s="24">
        <f t="shared" si="240"/>
        <v>0</v>
      </c>
      <c r="BQ205" s="24">
        <f t="shared" si="240"/>
        <v>0</v>
      </c>
      <c r="BR205" s="24">
        <f t="shared" si="240"/>
        <v>0</v>
      </c>
      <c r="BS205" s="24">
        <f t="shared" ref="BS205:DV205" si="241">IF(BS200="","",MIN(BS201+BS203,MAX(BS195,0)*$I$15))</f>
        <v>0</v>
      </c>
      <c r="BT205" s="24">
        <f t="shared" si="241"/>
        <v>0</v>
      </c>
      <c r="BU205" s="24">
        <f t="shared" si="241"/>
        <v>0</v>
      </c>
      <c r="BV205" s="24">
        <f t="shared" si="241"/>
        <v>0</v>
      </c>
      <c r="BW205" s="24">
        <f t="shared" si="241"/>
        <v>0</v>
      </c>
      <c r="BX205" s="24">
        <f t="shared" si="241"/>
        <v>0</v>
      </c>
      <c r="BY205" s="24">
        <f t="shared" si="241"/>
        <v>5316225.3</v>
      </c>
      <c r="BZ205" s="24">
        <f t="shared" si="241"/>
        <v>3357296.1000000024</v>
      </c>
      <c r="CA205" s="24">
        <f t="shared" si="241"/>
        <v>0</v>
      </c>
      <c r="CB205" s="24">
        <f t="shared" si="241"/>
        <v>0</v>
      </c>
      <c r="CC205" s="24">
        <f t="shared" si="241"/>
        <v>0</v>
      </c>
      <c r="CD205" s="24">
        <f t="shared" si="241"/>
        <v>0</v>
      </c>
      <c r="CE205" s="24">
        <f t="shared" si="241"/>
        <v>911098.8</v>
      </c>
      <c r="CF205" s="24">
        <f t="shared" si="241"/>
        <v>0</v>
      </c>
      <c r="CG205" s="24">
        <f t="shared" si="241"/>
        <v>0</v>
      </c>
      <c r="CH205" s="24">
        <f t="shared" si="241"/>
        <v>0</v>
      </c>
      <c r="CI205" s="24">
        <f t="shared" si="241"/>
        <v>0</v>
      </c>
      <c r="CJ205" s="24">
        <f t="shared" si="241"/>
        <v>0</v>
      </c>
      <c r="CK205" s="24">
        <f t="shared" si="241"/>
        <v>0</v>
      </c>
      <c r="CL205" s="24">
        <f t="shared" si="241"/>
        <v>0</v>
      </c>
      <c r="CM205" s="24">
        <f t="shared" si="241"/>
        <v>0</v>
      </c>
      <c r="CN205" s="24">
        <f t="shared" si="241"/>
        <v>0</v>
      </c>
      <c r="CO205" s="24">
        <f t="shared" si="241"/>
        <v>0</v>
      </c>
      <c r="CP205" s="24">
        <f t="shared" si="241"/>
        <v>0</v>
      </c>
      <c r="CQ205" s="24">
        <f t="shared" si="241"/>
        <v>0</v>
      </c>
      <c r="CR205" s="24">
        <f t="shared" si="241"/>
        <v>0</v>
      </c>
      <c r="CS205" s="24">
        <f t="shared" si="241"/>
        <v>0</v>
      </c>
      <c r="CT205" s="24">
        <f t="shared" si="241"/>
        <v>0</v>
      </c>
      <c r="CU205" s="24">
        <f t="shared" si="241"/>
        <v>0</v>
      </c>
      <c r="CV205" s="24">
        <f t="shared" si="241"/>
        <v>0</v>
      </c>
      <c r="CW205" s="24">
        <f t="shared" si="241"/>
        <v>6281096.4000000013</v>
      </c>
      <c r="CX205" s="24" t="str">
        <f t="shared" si="241"/>
        <v/>
      </c>
      <c r="CY205" s="24" t="str">
        <f t="shared" si="241"/>
        <v/>
      </c>
      <c r="CZ205" s="24" t="str">
        <f t="shared" si="241"/>
        <v/>
      </c>
      <c r="DA205" s="24" t="str">
        <f t="shared" si="241"/>
        <v/>
      </c>
      <c r="DB205" s="24" t="str">
        <f t="shared" si="241"/>
        <v/>
      </c>
      <c r="DC205" s="24" t="str">
        <f t="shared" si="241"/>
        <v/>
      </c>
      <c r="DD205" s="24" t="str">
        <f t="shared" si="241"/>
        <v/>
      </c>
      <c r="DE205" s="24" t="str">
        <f t="shared" si="241"/>
        <v/>
      </c>
      <c r="DF205" s="24" t="str">
        <f t="shared" si="241"/>
        <v/>
      </c>
      <c r="DG205" s="24" t="str">
        <f t="shared" si="241"/>
        <v/>
      </c>
      <c r="DH205" s="24" t="str">
        <f t="shared" si="241"/>
        <v/>
      </c>
      <c r="DI205" s="24" t="str">
        <f t="shared" si="241"/>
        <v/>
      </c>
      <c r="DJ205" s="24" t="str">
        <f t="shared" si="241"/>
        <v/>
      </c>
      <c r="DK205" s="24" t="str">
        <f t="shared" si="241"/>
        <v/>
      </c>
      <c r="DL205" s="24" t="str">
        <f t="shared" si="241"/>
        <v/>
      </c>
      <c r="DM205" s="24" t="str">
        <f t="shared" si="241"/>
        <v/>
      </c>
      <c r="DN205" s="24" t="str">
        <f t="shared" si="241"/>
        <v/>
      </c>
      <c r="DO205" s="24" t="str">
        <f t="shared" si="241"/>
        <v/>
      </c>
      <c r="DP205" s="24" t="str">
        <f t="shared" si="241"/>
        <v/>
      </c>
      <c r="DQ205" s="24" t="str">
        <f t="shared" si="241"/>
        <v/>
      </c>
      <c r="DR205" s="24" t="str">
        <f t="shared" si="241"/>
        <v/>
      </c>
      <c r="DS205" s="24" t="str">
        <f t="shared" si="241"/>
        <v/>
      </c>
      <c r="DT205" s="24" t="str">
        <f t="shared" si="241"/>
        <v/>
      </c>
      <c r="DU205" s="24" t="str">
        <f t="shared" si="241"/>
        <v/>
      </c>
      <c r="DV205" s="24" t="str">
        <f t="shared" si="241"/>
        <v/>
      </c>
      <c r="DW205" s="24"/>
      <c r="DX205" s="24"/>
      <c r="DY205" s="70"/>
    </row>
    <row r="206" spans="2:129" outlineLevel="1" x14ac:dyDescent="0.2">
      <c r="B206" s="16" t="s">
        <v>62</v>
      </c>
      <c r="C206" s="16"/>
      <c r="D206" s="16"/>
      <c r="E206" s="16"/>
      <c r="F206" s="77">
        <f>IF(F200="","",F201+F203+F204-F205)</f>
        <v>93624225.299999997</v>
      </c>
      <c r="G206" s="77">
        <f t="shared" ref="G206:BR206" si="242">IF(G200="","",G201+G203+G204-G205)</f>
        <v>93648450.599999994</v>
      </c>
      <c r="H206" s="77">
        <f t="shared" si="242"/>
        <v>93672675.899999991</v>
      </c>
      <c r="I206" s="77">
        <f t="shared" si="242"/>
        <v>93696901.199999988</v>
      </c>
      <c r="J206" s="77">
        <f t="shared" si="242"/>
        <v>93721126.499999985</v>
      </c>
      <c r="K206" s="77">
        <f t="shared" si="242"/>
        <v>93745351.799999982</v>
      </c>
      <c r="L206" s="77">
        <f t="shared" si="242"/>
        <v>93769577.099999979</v>
      </c>
      <c r="M206" s="77">
        <f t="shared" si="242"/>
        <v>93793802.399999976</v>
      </c>
      <c r="N206" s="77">
        <f t="shared" si="242"/>
        <v>93818027.699999973</v>
      </c>
      <c r="O206" s="77">
        <f t="shared" si="242"/>
        <v>93842252.99999997</v>
      </c>
      <c r="P206" s="77">
        <f t="shared" si="242"/>
        <v>93866478.299999967</v>
      </c>
      <c r="Q206" s="77">
        <f t="shared" si="242"/>
        <v>93890703.599999964</v>
      </c>
      <c r="R206" s="77">
        <f t="shared" si="242"/>
        <v>93914928.899999961</v>
      </c>
      <c r="S206" s="77">
        <f t="shared" si="242"/>
        <v>93939154.199999958</v>
      </c>
      <c r="T206" s="77">
        <f t="shared" si="242"/>
        <v>93963379.499999955</v>
      </c>
      <c r="U206" s="77">
        <f t="shared" si="242"/>
        <v>93987604.799999952</v>
      </c>
      <c r="V206" s="77">
        <f t="shared" si="242"/>
        <v>94011830.099999949</v>
      </c>
      <c r="W206" s="77">
        <f t="shared" si="242"/>
        <v>94036055.399999946</v>
      </c>
      <c r="X206" s="77">
        <f t="shared" si="242"/>
        <v>94060280.699999943</v>
      </c>
      <c r="Y206" s="77">
        <f t="shared" si="242"/>
        <v>94084505.99999994</v>
      </c>
      <c r="Z206" s="77">
        <f t="shared" si="242"/>
        <v>94108731.299999937</v>
      </c>
      <c r="AA206" s="77">
        <f t="shared" si="242"/>
        <v>94132956.599999934</v>
      </c>
      <c r="AB206" s="77">
        <f t="shared" si="242"/>
        <v>94157181.899999931</v>
      </c>
      <c r="AC206" s="77">
        <f t="shared" si="242"/>
        <v>94505125.499999925</v>
      </c>
      <c r="AD206" s="77">
        <f t="shared" si="242"/>
        <v>95347206.899999931</v>
      </c>
      <c r="AE206" s="77">
        <f t="shared" si="242"/>
        <v>69755298.299999923</v>
      </c>
      <c r="AF206" s="77">
        <f t="shared" si="242"/>
        <v>70597379.699999928</v>
      </c>
      <c r="AG206" s="77">
        <f t="shared" si="242"/>
        <v>71439461.099999934</v>
      </c>
      <c r="AH206" s="77">
        <f t="shared" si="242"/>
        <v>72281542.49999994</v>
      </c>
      <c r="AI206" s="77">
        <f t="shared" si="242"/>
        <v>73123623.899999946</v>
      </c>
      <c r="AJ206" s="77">
        <f t="shared" si="242"/>
        <v>73965705.299999952</v>
      </c>
      <c r="AK206" s="77">
        <f t="shared" si="242"/>
        <v>74807786.699999958</v>
      </c>
      <c r="AL206" s="77">
        <f t="shared" si="242"/>
        <v>75649868.099999964</v>
      </c>
      <c r="AM206" s="77">
        <f t="shared" si="242"/>
        <v>76327899.299999967</v>
      </c>
      <c r="AN206" s="77">
        <f t="shared" si="242"/>
        <v>77005930.49999997</v>
      </c>
      <c r="AO206" s="77">
        <f t="shared" si="242"/>
        <v>77890023.899999976</v>
      </c>
      <c r="AP206" s="77">
        <f t="shared" si="242"/>
        <v>78498604.799999982</v>
      </c>
      <c r="AQ206" s="77">
        <f t="shared" si="242"/>
        <v>79107185.699999988</v>
      </c>
      <c r="AR206" s="77">
        <f t="shared" si="242"/>
        <v>79715766.599999994</v>
      </c>
      <c r="AS206" s="77">
        <f t="shared" si="242"/>
        <v>80324347.5</v>
      </c>
      <c r="AT206" s="77">
        <f t="shared" si="242"/>
        <v>80932928.400000006</v>
      </c>
      <c r="AU206" s="77">
        <f t="shared" si="242"/>
        <v>43675843.500000007</v>
      </c>
      <c r="AV206" s="77">
        <f t="shared" si="242"/>
        <v>44346689.100000009</v>
      </c>
      <c r="AW206" s="77">
        <f t="shared" si="242"/>
        <v>45017534.70000001</v>
      </c>
      <c r="AX206" s="77">
        <f t="shared" si="242"/>
        <v>45688380.300000012</v>
      </c>
      <c r="AY206" s="77">
        <f t="shared" si="242"/>
        <v>46359225.900000013</v>
      </c>
      <c r="AZ206" s="77">
        <f t="shared" si="242"/>
        <v>47030071.500000015</v>
      </c>
      <c r="BA206" s="77">
        <f t="shared" si="242"/>
        <v>0</v>
      </c>
      <c r="BB206" s="77">
        <f t="shared" si="242"/>
        <v>501548.4</v>
      </c>
      <c r="BC206" s="77">
        <f t="shared" si="242"/>
        <v>1003096.8</v>
      </c>
      <c r="BD206" s="77">
        <f t="shared" si="242"/>
        <v>1504645.2000000002</v>
      </c>
      <c r="BE206" s="77">
        <f t="shared" si="242"/>
        <v>2006193.6</v>
      </c>
      <c r="BF206" s="77">
        <f t="shared" si="242"/>
        <v>2507742</v>
      </c>
      <c r="BG206" s="77">
        <f t="shared" si="242"/>
        <v>3009290.4</v>
      </c>
      <c r="BH206" s="77">
        <f t="shared" si="242"/>
        <v>3510838.8</v>
      </c>
      <c r="BI206" s="77">
        <f t="shared" si="242"/>
        <v>4012387.1999999997</v>
      </c>
      <c r="BJ206" s="77">
        <f t="shared" si="242"/>
        <v>4513935.5999999996</v>
      </c>
      <c r="BK206" s="77">
        <f t="shared" si="242"/>
        <v>5015484</v>
      </c>
      <c r="BL206" s="77">
        <f t="shared" si="242"/>
        <v>5517032.4000000004</v>
      </c>
      <c r="BM206" s="77">
        <f t="shared" si="242"/>
        <v>5885871.3000000007</v>
      </c>
      <c r="BN206" s="77">
        <f t="shared" si="242"/>
        <v>6254710.2000000011</v>
      </c>
      <c r="BO206" s="77">
        <f t="shared" si="242"/>
        <v>6623549.1000000015</v>
      </c>
      <c r="BP206" s="77">
        <f t="shared" si="242"/>
        <v>6851323.8000000017</v>
      </c>
      <c r="BQ206" s="77">
        <f t="shared" si="242"/>
        <v>7079098.5000000019</v>
      </c>
      <c r="BR206" s="77">
        <f t="shared" si="242"/>
        <v>7306873.200000002</v>
      </c>
      <c r="BS206" s="77">
        <f t="shared" ref="BS206:DV206" si="243">IF(BS200="","",BS201+BS203+BS204-BS205)</f>
        <v>7534647.9000000022</v>
      </c>
      <c r="BT206" s="77">
        <f t="shared" si="243"/>
        <v>7762422.6000000024</v>
      </c>
      <c r="BU206" s="77">
        <f t="shared" si="243"/>
        <v>7990197.3000000026</v>
      </c>
      <c r="BV206" s="77">
        <f t="shared" si="243"/>
        <v>8217972.0000000028</v>
      </c>
      <c r="BW206" s="77">
        <f t="shared" si="243"/>
        <v>8445746.700000003</v>
      </c>
      <c r="BX206" s="77">
        <f t="shared" si="243"/>
        <v>8673521.4000000022</v>
      </c>
      <c r="BY206" s="77">
        <f t="shared" si="243"/>
        <v>3357296.1000000024</v>
      </c>
      <c r="BZ206" s="77">
        <f t="shared" si="243"/>
        <v>0</v>
      </c>
      <c r="CA206" s="77">
        <f t="shared" si="243"/>
        <v>227774.7</v>
      </c>
      <c r="CB206" s="77">
        <f t="shared" si="243"/>
        <v>455549.4</v>
      </c>
      <c r="CC206" s="77">
        <f t="shared" si="243"/>
        <v>683324.10000000009</v>
      </c>
      <c r="CD206" s="77">
        <f t="shared" si="243"/>
        <v>911098.8</v>
      </c>
      <c r="CE206" s="77">
        <f t="shared" si="243"/>
        <v>0</v>
      </c>
      <c r="CF206" s="77">
        <f t="shared" si="243"/>
        <v>0</v>
      </c>
      <c r="CG206" s="77">
        <f t="shared" si="243"/>
        <v>0</v>
      </c>
      <c r="CH206" s="77">
        <f t="shared" si="243"/>
        <v>0</v>
      </c>
      <c r="CI206" s="77">
        <f t="shared" si="243"/>
        <v>0</v>
      </c>
      <c r="CJ206" s="77">
        <f t="shared" si="243"/>
        <v>0</v>
      </c>
      <c r="CK206" s="77">
        <f t="shared" si="243"/>
        <v>523424.7</v>
      </c>
      <c r="CL206" s="77">
        <f t="shared" si="243"/>
        <v>1046849.4</v>
      </c>
      <c r="CM206" s="77">
        <f t="shared" si="243"/>
        <v>1570274.1</v>
      </c>
      <c r="CN206" s="77">
        <f t="shared" si="243"/>
        <v>2093698.8</v>
      </c>
      <c r="CO206" s="77">
        <f t="shared" si="243"/>
        <v>2617123.5</v>
      </c>
      <c r="CP206" s="77">
        <f t="shared" si="243"/>
        <v>3140548.2</v>
      </c>
      <c r="CQ206" s="77">
        <f t="shared" si="243"/>
        <v>3663972.9000000004</v>
      </c>
      <c r="CR206" s="77">
        <f t="shared" si="243"/>
        <v>4187397.6000000006</v>
      </c>
      <c r="CS206" s="77">
        <f t="shared" si="243"/>
        <v>4710822.3000000007</v>
      </c>
      <c r="CT206" s="77">
        <f t="shared" si="243"/>
        <v>5234247.0000000009</v>
      </c>
      <c r="CU206" s="77">
        <f t="shared" si="243"/>
        <v>5757671.7000000011</v>
      </c>
      <c r="CV206" s="77">
        <f t="shared" si="243"/>
        <v>6281096.4000000013</v>
      </c>
      <c r="CW206" s="77">
        <f t="shared" si="243"/>
        <v>0</v>
      </c>
      <c r="CX206" s="77" t="str">
        <f t="shared" si="243"/>
        <v/>
      </c>
      <c r="CY206" s="77" t="str">
        <f t="shared" si="243"/>
        <v/>
      </c>
      <c r="CZ206" s="77" t="str">
        <f t="shared" si="243"/>
        <v/>
      </c>
      <c r="DA206" s="77" t="str">
        <f t="shared" si="243"/>
        <v/>
      </c>
      <c r="DB206" s="77" t="str">
        <f t="shared" si="243"/>
        <v/>
      </c>
      <c r="DC206" s="77" t="str">
        <f t="shared" si="243"/>
        <v/>
      </c>
      <c r="DD206" s="77" t="str">
        <f t="shared" si="243"/>
        <v/>
      </c>
      <c r="DE206" s="77" t="str">
        <f t="shared" si="243"/>
        <v/>
      </c>
      <c r="DF206" s="77" t="str">
        <f t="shared" si="243"/>
        <v/>
      </c>
      <c r="DG206" s="77" t="str">
        <f t="shared" si="243"/>
        <v/>
      </c>
      <c r="DH206" s="77" t="str">
        <f t="shared" si="243"/>
        <v/>
      </c>
      <c r="DI206" s="77" t="str">
        <f t="shared" si="243"/>
        <v/>
      </c>
      <c r="DJ206" s="77" t="str">
        <f t="shared" si="243"/>
        <v/>
      </c>
      <c r="DK206" s="77" t="str">
        <f t="shared" si="243"/>
        <v/>
      </c>
      <c r="DL206" s="77" t="str">
        <f t="shared" si="243"/>
        <v/>
      </c>
      <c r="DM206" s="77" t="str">
        <f t="shared" si="243"/>
        <v/>
      </c>
      <c r="DN206" s="77" t="str">
        <f t="shared" si="243"/>
        <v/>
      </c>
      <c r="DO206" s="77" t="str">
        <f t="shared" si="243"/>
        <v/>
      </c>
      <c r="DP206" s="77" t="str">
        <f t="shared" si="243"/>
        <v/>
      </c>
      <c r="DQ206" s="77" t="str">
        <f t="shared" si="243"/>
        <v/>
      </c>
      <c r="DR206" s="77" t="str">
        <f t="shared" si="243"/>
        <v/>
      </c>
      <c r="DS206" s="77" t="str">
        <f t="shared" si="243"/>
        <v/>
      </c>
      <c r="DT206" s="77" t="str">
        <f t="shared" si="243"/>
        <v/>
      </c>
      <c r="DU206" s="77" t="str">
        <f t="shared" si="243"/>
        <v/>
      </c>
      <c r="DV206" s="77" t="str">
        <f t="shared" si="243"/>
        <v/>
      </c>
      <c r="DW206" s="77"/>
      <c r="DX206" s="77"/>
      <c r="DY206" s="78"/>
    </row>
    <row r="207" spans="2:129" outlineLevel="1" x14ac:dyDescent="0.2">
      <c r="B207" s="124" t="str">
        <f>IF(D165="Equity Multiple", "LP EMx Check","LP IRR Check")</f>
        <v>LP EMx Check</v>
      </c>
      <c r="C207" s="16"/>
      <c r="D207" s="16"/>
      <c r="E207" s="137">
        <f>SUMIF(F207:DY207,"&gt;0")/-SUMIF(F207:DY207,"&lt;0")</f>
        <v>0.999999999999999</v>
      </c>
      <c r="F207" s="77">
        <f>IF(F200="","",-F204+F205)</f>
        <v>-93624225.299999997</v>
      </c>
      <c r="G207" s="77">
        <f t="shared" ref="G207:BR207" si="244">IF(G200="","",-G204+G205)</f>
        <v>-24225.3</v>
      </c>
      <c r="H207" s="77">
        <f t="shared" si="244"/>
        <v>-24225.3</v>
      </c>
      <c r="I207" s="77">
        <f t="shared" si="244"/>
        <v>-24225.3</v>
      </c>
      <c r="J207" s="77">
        <f t="shared" si="244"/>
        <v>-24225.3</v>
      </c>
      <c r="K207" s="77">
        <f t="shared" si="244"/>
        <v>-24225.3</v>
      </c>
      <c r="L207" s="77">
        <f t="shared" si="244"/>
        <v>-24225.3</v>
      </c>
      <c r="M207" s="77">
        <f t="shared" si="244"/>
        <v>-24225.3</v>
      </c>
      <c r="N207" s="77">
        <f t="shared" si="244"/>
        <v>-24225.3</v>
      </c>
      <c r="O207" s="77">
        <f t="shared" si="244"/>
        <v>-24225.3</v>
      </c>
      <c r="P207" s="77">
        <f t="shared" si="244"/>
        <v>-24225.3</v>
      </c>
      <c r="Q207" s="77">
        <f t="shared" si="244"/>
        <v>-24225.3</v>
      </c>
      <c r="R207" s="77">
        <f t="shared" si="244"/>
        <v>-24225.3</v>
      </c>
      <c r="S207" s="77">
        <f t="shared" si="244"/>
        <v>-24225.3</v>
      </c>
      <c r="T207" s="77">
        <f t="shared" si="244"/>
        <v>-24225.3</v>
      </c>
      <c r="U207" s="77">
        <f t="shared" si="244"/>
        <v>-24225.3</v>
      </c>
      <c r="V207" s="77">
        <f t="shared" si="244"/>
        <v>-24225.3</v>
      </c>
      <c r="W207" s="77">
        <f t="shared" si="244"/>
        <v>-24225.3</v>
      </c>
      <c r="X207" s="77">
        <f t="shared" si="244"/>
        <v>-24225.3</v>
      </c>
      <c r="Y207" s="77">
        <f t="shared" si="244"/>
        <v>-24225.3</v>
      </c>
      <c r="Z207" s="77">
        <f t="shared" si="244"/>
        <v>-24225.3</v>
      </c>
      <c r="AA207" s="77">
        <f t="shared" si="244"/>
        <v>-24225.3</v>
      </c>
      <c r="AB207" s="77">
        <f t="shared" si="244"/>
        <v>-24225.3</v>
      </c>
      <c r="AC207" s="77">
        <f t="shared" si="244"/>
        <v>-347943.60000000003</v>
      </c>
      <c r="AD207" s="77">
        <f t="shared" si="244"/>
        <v>-842081.4</v>
      </c>
      <c r="AE207" s="77">
        <f t="shared" si="244"/>
        <v>25591908.600000001</v>
      </c>
      <c r="AF207" s="77">
        <f t="shared" si="244"/>
        <v>-842081.4</v>
      </c>
      <c r="AG207" s="77">
        <f t="shared" si="244"/>
        <v>-842081.4</v>
      </c>
      <c r="AH207" s="77">
        <f t="shared" si="244"/>
        <v>-842081.4</v>
      </c>
      <c r="AI207" s="77">
        <f t="shared" si="244"/>
        <v>-842081.4</v>
      </c>
      <c r="AJ207" s="77">
        <f t="shared" si="244"/>
        <v>-842081.4</v>
      </c>
      <c r="AK207" s="77">
        <f t="shared" si="244"/>
        <v>-842081.4</v>
      </c>
      <c r="AL207" s="77">
        <f t="shared" si="244"/>
        <v>-842081.4</v>
      </c>
      <c r="AM207" s="77">
        <f t="shared" si="244"/>
        <v>-678031.20000000007</v>
      </c>
      <c r="AN207" s="77">
        <f t="shared" si="244"/>
        <v>-678031.20000000007</v>
      </c>
      <c r="AO207" s="77">
        <f t="shared" si="244"/>
        <v>-884093.4</v>
      </c>
      <c r="AP207" s="77">
        <f t="shared" si="244"/>
        <v>-608580.9</v>
      </c>
      <c r="AQ207" s="77">
        <f t="shared" si="244"/>
        <v>-608580.9</v>
      </c>
      <c r="AR207" s="77">
        <f t="shared" si="244"/>
        <v>-608580.9</v>
      </c>
      <c r="AS207" s="77">
        <f t="shared" si="244"/>
        <v>-608580.9</v>
      </c>
      <c r="AT207" s="77">
        <f t="shared" si="244"/>
        <v>-608580.9</v>
      </c>
      <c r="AU207" s="77">
        <f t="shared" si="244"/>
        <v>37257084.899999999</v>
      </c>
      <c r="AV207" s="77">
        <f t="shared" si="244"/>
        <v>-670845.6</v>
      </c>
      <c r="AW207" s="77">
        <f t="shared" si="244"/>
        <v>-670845.6</v>
      </c>
      <c r="AX207" s="77">
        <f t="shared" si="244"/>
        <v>-670845.6</v>
      </c>
      <c r="AY207" s="77">
        <f t="shared" si="244"/>
        <v>-670845.6</v>
      </c>
      <c r="AZ207" s="77">
        <f t="shared" si="244"/>
        <v>-670845.6</v>
      </c>
      <c r="BA207" s="77">
        <f t="shared" si="244"/>
        <v>47030071.500000015</v>
      </c>
      <c r="BB207" s="77">
        <f t="shared" si="244"/>
        <v>-501548.4</v>
      </c>
      <c r="BC207" s="77">
        <f t="shared" si="244"/>
        <v>-501548.4</v>
      </c>
      <c r="BD207" s="77">
        <f t="shared" si="244"/>
        <v>-501548.4</v>
      </c>
      <c r="BE207" s="77">
        <f t="shared" si="244"/>
        <v>-501548.4</v>
      </c>
      <c r="BF207" s="77">
        <f t="shared" si="244"/>
        <v>-501548.4</v>
      </c>
      <c r="BG207" s="77">
        <f t="shared" si="244"/>
        <v>-501548.4</v>
      </c>
      <c r="BH207" s="77">
        <f t="shared" si="244"/>
        <v>-501548.4</v>
      </c>
      <c r="BI207" s="77">
        <f t="shared" si="244"/>
        <v>-501548.4</v>
      </c>
      <c r="BJ207" s="77">
        <f t="shared" si="244"/>
        <v>-501548.4</v>
      </c>
      <c r="BK207" s="77">
        <f t="shared" si="244"/>
        <v>-501548.4</v>
      </c>
      <c r="BL207" s="77">
        <f t="shared" si="244"/>
        <v>-501548.4</v>
      </c>
      <c r="BM207" s="77">
        <f t="shared" si="244"/>
        <v>-368838.9</v>
      </c>
      <c r="BN207" s="77">
        <f t="shared" si="244"/>
        <v>-368838.9</v>
      </c>
      <c r="BO207" s="77">
        <f t="shared" si="244"/>
        <v>-368838.9</v>
      </c>
      <c r="BP207" s="77">
        <f t="shared" si="244"/>
        <v>-227774.7</v>
      </c>
      <c r="BQ207" s="77">
        <f t="shared" si="244"/>
        <v>-227774.7</v>
      </c>
      <c r="BR207" s="77">
        <f t="shared" si="244"/>
        <v>-227774.7</v>
      </c>
      <c r="BS207" s="77">
        <f t="shared" ref="BS207:DV207" si="245">IF(BS200="","",-BS204+BS205)</f>
        <v>-227774.7</v>
      </c>
      <c r="BT207" s="77">
        <f t="shared" si="245"/>
        <v>-227774.7</v>
      </c>
      <c r="BU207" s="77">
        <f t="shared" si="245"/>
        <v>-227774.7</v>
      </c>
      <c r="BV207" s="77">
        <f t="shared" si="245"/>
        <v>-227774.7</v>
      </c>
      <c r="BW207" s="77">
        <f t="shared" si="245"/>
        <v>-227774.7</v>
      </c>
      <c r="BX207" s="77">
        <f t="shared" si="245"/>
        <v>-227774.7</v>
      </c>
      <c r="BY207" s="77">
        <f t="shared" si="245"/>
        <v>5316225.3</v>
      </c>
      <c r="BZ207" s="77">
        <f t="shared" si="245"/>
        <v>3357296.1000000024</v>
      </c>
      <c r="CA207" s="77">
        <f t="shared" si="245"/>
        <v>-227774.7</v>
      </c>
      <c r="CB207" s="77">
        <f t="shared" si="245"/>
        <v>-227774.7</v>
      </c>
      <c r="CC207" s="77">
        <f t="shared" si="245"/>
        <v>-227774.7</v>
      </c>
      <c r="CD207" s="77">
        <f t="shared" si="245"/>
        <v>-227774.7</v>
      </c>
      <c r="CE207" s="77">
        <f t="shared" si="245"/>
        <v>911098.8</v>
      </c>
      <c r="CF207" s="77">
        <f t="shared" si="245"/>
        <v>0</v>
      </c>
      <c r="CG207" s="77">
        <f t="shared" si="245"/>
        <v>0</v>
      </c>
      <c r="CH207" s="77">
        <f t="shared" si="245"/>
        <v>0</v>
      </c>
      <c r="CI207" s="77">
        <f t="shared" si="245"/>
        <v>0</v>
      </c>
      <c r="CJ207" s="77">
        <f t="shared" si="245"/>
        <v>0</v>
      </c>
      <c r="CK207" s="77">
        <f t="shared" si="245"/>
        <v>-523424.7</v>
      </c>
      <c r="CL207" s="77">
        <f t="shared" si="245"/>
        <v>-523424.7</v>
      </c>
      <c r="CM207" s="77">
        <f t="shared" si="245"/>
        <v>-523424.7</v>
      </c>
      <c r="CN207" s="77">
        <f t="shared" si="245"/>
        <v>-523424.7</v>
      </c>
      <c r="CO207" s="77">
        <f t="shared" si="245"/>
        <v>-523424.7</v>
      </c>
      <c r="CP207" s="77">
        <f t="shared" si="245"/>
        <v>-523424.7</v>
      </c>
      <c r="CQ207" s="77">
        <f t="shared" si="245"/>
        <v>-523424.7</v>
      </c>
      <c r="CR207" s="77">
        <f t="shared" si="245"/>
        <v>-523424.7</v>
      </c>
      <c r="CS207" s="77">
        <f t="shared" si="245"/>
        <v>-523424.7</v>
      </c>
      <c r="CT207" s="77">
        <f t="shared" si="245"/>
        <v>-523424.7</v>
      </c>
      <c r="CU207" s="77">
        <f t="shared" si="245"/>
        <v>-523424.7</v>
      </c>
      <c r="CV207" s="77">
        <f t="shared" si="245"/>
        <v>-523424.7</v>
      </c>
      <c r="CW207" s="77">
        <f t="shared" si="245"/>
        <v>6281096.4000000013</v>
      </c>
      <c r="CX207" s="77" t="str">
        <f t="shared" si="245"/>
        <v/>
      </c>
      <c r="CY207" s="77" t="str">
        <f t="shared" si="245"/>
        <v/>
      </c>
      <c r="CZ207" s="77" t="str">
        <f t="shared" si="245"/>
        <v/>
      </c>
      <c r="DA207" s="77" t="str">
        <f t="shared" si="245"/>
        <v/>
      </c>
      <c r="DB207" s="77" t="str">
        <f t="shared" si="245"/>
        <v/>
      </c>
      <c r="DC207" s="77" t="str">
        <f t="shared" si="245"/>
        <v/>
      </c>
      <c r="DD207" s="77" t="str">
        <f t="shared" si="245"/>
        <v/>
      </c>
      <c r="DE207" s="77" t="str">
        <f t="shared" si="245"/>
        <v/>
      </c>
      <c r="DF207" s="77" t="str">
        <f t="shared" si="245"/>
        <v/>
      </c>
      <c r="DG207" s="77" t="str">
        <f t="shared" si="245"/>
        <v/>
      </c>
      <c r="DH207" s="77" t="str">
        <f t="shared" si="245"/>
        <v/>
      </c>
      <c r="DI207" s="77" t="str">
        <f t="shared" si="245"/>
        <v/>
      </c>
      <c r="DJ207" s="77" t="str">
        <f t="shared" si="245"/>
        <v/>
      </c>
      <c r="DK207" s="77" t="str">
        <f t="shared" si="245"/>
        <v/>
      </c>
      <c r="DL207" s="77" t="str">
        <f t="shared" si="245"/>
        <v/>
      </c>
      <c r="DM207" s="77" t="str">
        <f t="shared" si="245"/>
        <v/>
      </c>
      <c r="DN207" s="77" t="str">
        <f t="shared" si="245"/>
        <v/>
      </c>
      <c r="DO207" s="77" t="str">
        <f t="shared" si="245"/>
        <v/>
      </c>
      <c r="DP207" s="77" t="str">
        <f t="shared" si="245"/>
        <v/>
      </c>
      <c r="DQ207" s="77" t="str">
        <f t="shared" si="245"/>
        <v/>
      </c>
      <c r="DR207" s="77" t="str">
        <f t="shared" si="245"/>
        <v/>
      </c>
      <c r="DS207" s="77" t="str">
        <f t="shared" si="245"/>
        <v/>
      </c>
      <c r="DT207" s="77" t="str">
        <f t="shared" si="245"/>
        <v/>
      </c>
      <c r="DU207" s="77" t="str">
        <f t="shared" si="245"/>
        <v/>
      </c>
      <c r="DV207" s="77" t="str">
        <f t="shared" si="245"/>
        <v/>
      </c>
      <c r="DW207" s="77"/>
      <c r="DX207" s="77"/>
      <c r="DY207" s="78"/>
    </row>
    <row r="208" spans="2:129" outlineLevel="1" x14ac:dyDescent="0.2">
      <c r="B208" s="16" t="s">
        <v>63</v>
      </c>
      <c r="C208" s="16"/>
      <c r="D208" s="16"/>
      <c r="E208" s="16"/>
      <c r="F208" s="77">
        <f>IF(F200="","",MIN(F201+F203,MAX(F195,0)*$I$15))</f>
        <v>0</v>
      </c>
      <c r="G208" s="77">
        <f t="shared" ref="G208:BR208" si="246">IF(G200="","",MIN(G201+G203,MAX(G195,0)*$I$15))</f>
        <v>0</v>
      </c>
      <c r="H208" s="77">
        <f t="shared" si="246"/>
        <v>0</v>
      </c>
      <c r="I208" s="77">
        <f t="shared" si="246"/>
        <v>0</v>
      </c>
      <c r="J208" s="77">
        <f t="shared" si="246"/>
        <v>0</v>
      </c>
      <c r="K208" s="77">
        <f t="shared" si="246"/>
        <v>0</v>
      </c>
      <c r="L208" s="77">
        <f t="shared" si="246"/>
        <v>0</v>
      </c>
      <c r="M208" s="77">
        <f t="shared" si="246"/>
        <v>0</v>
      </c>
      <c r="N208" s="77">
        <f t="shared" si="246"/>
        <v>0</v>
      </c>
      <c r="O208" s="77">
        <f t="shared" si="246"/>
        <v>0</v>
      </c>
      <c r="P208" s="77">
        <f t="shared" si="246"/>
        <v>0</v>
      </c>
      <c r="Q208" s="77">
        <f t="shared" si="246"/>
        <v>0</v>
      </c>
      <c r="R208" s="77">
        <f t="shared" si="246"/>
        <v>0</v>
      </c>
      <c r="S208" s="77">
        <f t="shared" si="246"/>
        <v>0</v>
      </c>
      <c r="T208" s="77">
        <f t="shared" si="246"/>
        <v>0</v>
      </c>
      <c r="U208" s="77">
        <f t="shared" si="246"/>
        <v>0</v>
      </c>
      <c r="V208" s="77">
        <f t="shared" si="246"/>
        <v>0</v>
      </c>
      <c r="W208" s="77">
        <f t="shared" si="246"/>
        <v>0</v>
      </c>
      <c r="X208" s="77">
        <f t="shared" si="246"/>
        <v>0</v>
      </c>
      <c r="Y208" s="77">
        <f t="shared" si="246"/>
        <v>0</v>
      </c>
      <c r="Z208" s="77">
        <f t="shared" si="246"/>
        <v>0</v>
      </c>
      <c r="AA208" s="77">
        <f t="shared" si="246"/>
        <v>0</v>
      </c>
      <c r="AB208" s="77">
        <f t="shared" si="246"/>
        <v>0</v>
      </c>
      <c r="AC208" s="77">
        <f t="shared" si="246"/>
        <v>0</v>
      </c>
      <c r="AD208" s="77">
        <f t="shared" si="246"/>
        <v>0</v>
      </c>
      <c r="AE208" s="77">
        <f t="shared" si="246"/>
        <v>25591908.600000001</v>
      </c>
      <c r="AF208" s="77">
        <f t="shared" si="246"/>
        <v>0</v>
      </c>
      <c r="AG208" s="77">
        <f t="shared" si="246"/>
        <v>0</v>
      </c>
      <c r="AH208" s="77">
        <f t="shared" si="246"/>
        <v>0</v>
      </c>
      <c r="AI208" s="77">
        <f t="shared" si="246"/>
        <v>0</v>
      </c>
      <c r="AJ208" s="77">
        <f t="shared" si="246"/>
        <v>0</v>
      </c>
      <c r="AK208" s="77">
        <f t="shared" si="246"/>
        <v>0</v>
      </c>
      <c r="AL208" s="77">
        <f t="shared" si="246"/>
        <v>0</v>
      </c>
      <c r="AM208" s="77">
        <f t="shared" si="246"/>
        <v>0</v>
      </c>
      <c r="AN208" s="77">
        <f t="shared" si="246"/>
        <v>0</v>
      </c>
      <c r="AO208" s="77">
        <f t="shared" si="246"/>
        <v>0</v>
      </c>
      <c r="AP208" s="77">
        <f t="shared" si="246"/>
        <v>0</v>
      </c>
      <c r="AQ208" s="77">
        <f t="shared" si="246"/>
        <v>0</v>
      </c>
      <c r="AR208" s="77">
        <f t="shared" si="246"/>
        <v>0</v>
      </c>
      <c r="AS208" s="77">
        <f t="shared" si="246"/>
        <v>0</v>
      </c>
      <c r="AT208" s="77">
        <f t="shared" si="246"/>
        <v>0</v>
      </c>
      <c r="AU208" s="77">
        <f t="shared" si="246"/>
        <v>37257084.899999999</v>
      </c>
      <c r="AV208" s="77">
        <f t="shared" si="246"/>
        <v>0</v>
      </c>
      <c r="AW208" s="77">
        <f t="shared" si="246"/>
        <v>0</v>
      </c>
      <c r="AX208" s="77">
        <f t="shared" si="246"/>
        <v>0</v>
      </c>
      <c r="AY208" s="77">
        <f t="shared" si="246"/>
        <v>0</v>
      </c>
      <c r="AZ208" s="77">
        <f t="shared" si="246"/>
        <v>0</v>
      </c>
      <c r="BA208" s="77">
        <f t="shared" si="246"/>
        <v>47030071.500000015</v>
      </c>
      <c r="BB208" s="77">
        <f t="shared" si="246"/>
        <v>0</v>
      </c>
      <c r="BC208" s="77">
        <f t="shared" si="246"/>
        <v>0</v>
      </c>
      <c r="BD208" s="77">
        <f t="shared" si="246"/>
        <v>0</v>
      </c>
      <c r="BE208" s="77">
        <f t="shared" si="246"/>
        <v>0</v>
      </c>
      <c r="BF208" s="77">
        <f t="shared" si="246"/>
        <v>0</v>
      </c>
      <c r="BG208" s="77">
        <f t="shared" si="246"/>
        <v>0</v>
      </c>
      <c r="BH208" s="77">
        <f t="shared" si="246"/>
        <v>0</v>
      </c>
      <c r="BI208" s="77">
        <f t="shared" si="246"/>
        <v>0</v>
      </c>
      <c r="BJ208" s="77">
        <f t="shared" si="246"/>
        <v>0</v>
      </c>
      <c r="BK208" s="77">
        <f t="shared" si="246"/>
        <v>0</v>
      </c>
      <c r="BL208" s="77">
        <f t="shared" si="246"/>
        <v>0</v>
      </c>
      <c r="BM208" s="77">
        <f t="shared" si="246"/>
        <v>0</v>
      </c>
      <c r="BN208" s="77">
        <f t="shared" si="246"/>
        <v>0</v>
      </c>
      <c r="BO208" s="77">
        <f t="shared" si="246"/>
        <v>0</v>
      </c>
      <c r="BP208" s="77">
        <f t="shared" si="246"/>
        <v>0</v>
      </c>
      <c r="BQ208" s="77">
        <f t="shared" si="246"/>
        <v>0</v>
      </c>
      <c r="BR208" s="77">
        <f t="shared" si="246"/>
        <v>0</v>
      </c>
      <c r="BS208" s="77">
        <f t="shared" ref="BS208:DV208" si="247">IF(BS200="","",MIN(BS201+BS203,MAX(BS195,0)*$I$15))</f>
        <v>0</v>
      </c>
      <c r="BT208" s="77">
        <f t="shared" si="247"/>
        <v>0</v>
      </c>
      <c r="BU208" s="77">
        <f t="shared" si="247"/>
        <v>0</v>
      </c>
      <c r="BV208" s="77">
        <f t="shared" si="247"/>
        <v>0</v>
      </c>
      <c r="BW208" s="77">
        <f t="shared" si="247"/>
        <v>0</v>
      </c>
      <c r="BX208" s="77">
        <f t="shared" si="247"/>
        <v>0</v>
      </c>
      <c r="BY208" s="77">
        <f t="shared" si="247"/>
        <v>5316225.3</v>
      </c>
      <c r="BZ208" s="77">
        <f t="shared" si="247"/>
        <v>3357296.1000000024</v>
      </c>
      <c r="CA208" s="77">
        <f t="shared" si="247"/>
        <v>0</v>
      </c>
      <c r="CB208" s="77">
        <f t="shared" si="247"/>
        <v>0</v>
      </c>
      <c r="CC208" s="77">
        <f t="shared" si="247"/>
        <v>0</v>
      </c>
      <c r="CD208" s="77">
        <f t="shared" si="247"/>
        <v>0</v>
      </c>
      <c r="CE208" s="77">
        <f t="shared" si="247"/>
        <v>911098.8</v>
      </c>
      <c r="CF208" s="77">
        <f t="shared" si="247"/>
        <v>0</v>
      </c>
      <c r="CG208" s="77">
        <f t="shared" si="247"/>
        <v>0</v>
      </c>
      <c r="CH208" s="77">
        <f t="shared" si="247"/>
        <v>0</v>
      </c>
      <c r="CI208" s="77">
        <f t="shared" si="247"/>
        <v>0</v>
      </c>
      <c r="CJ208" s="77">
        <f t="shared" si="247"/>
        <v>0</v>
      </c>
      <c r="CK208" s="77">
        <f t="shared" si="247"/>
        <v>0</v>
      </c>
      <c r="CL208" s="77">
        <f t="shared" si="247"/>
        <v>0</v>
      </c>
      <c r="CM208" s="77">
        <f t="shared" si="247"/>
        <v>0</v>
      </c>
      <c r="CN208" s="77">
        <f t="shared" si="247"/>
        <v>0</v>
      </c>
      <c r="CO208" s="77">
        <f t="shared" si="247"/>
        <v>0</v>
      </c>
      <c r="CP208" s="77">
        <f t="shared" si="247"/>
        <v>0</v>
      </c>
      <c r="CQ208" s="77">
        <f t="shared" si="247"/>
        <v>0</v>
      </c>
      <c r="CR208" s="77">
        <f t="shared" si="247"/>
        <v>0</v>
      </c>
      <c r="CS208" s="77">
        <f t="shared" si="247"/>
        <v>0</v>
      </c>
      <c r="CT208" s="77">
        <f t="shared" si="247"/>
        <v>0</v>
      </c>
      <c r="CU208" s="77">
        <f t="shared" si="247"/>
        <v>0</v>
      </c>
      <c r="CV208" s="77">
        <f t="shared" si="247"/>
        <v>0</v>
      </c>
      <c r="CW208" s="77">
        <f t="shared" si="247"/>
        <v>6281096.4000000013</v>
      </c>
      <c r="CX208" s="77" t="str">
        <f t="shared" si="247"/>
        <v/>
      </c>
      <c r="CY208" s="77" t="str">
        <f t="shared" si="247"/>
        <v/>
      </c>
      <c r="CZ208" s="77" t="str">
        <f t="shared" si="247"/>
        <v/>
      </c>
      <c r="DA208" s="77" t="str">
        <f t="shared" si="247"/>
        <v/>
      </c>
      <c r="DB208" s="77" t="str">
        <f t="shared" si="247"/>
        <v/>
      </c>
      <c r="DC208" s="77" t="str">
        <f t="shared" si="247"/>
        <v/>
      </c>
      <c r="DD208" s="77" t="str">
        <f t="shared" si="247"/>
        <v/>
      </c>
      <c r="DE208" s="77" t="str">
        <f t="shared" si="247"/>
        <v/>
      </c>
      <c r="DF208" s="77" t="str">
        <f t="shared" si="247"/>
        <v/>
      </c>
      <c r="DG208" s="77" t="str">
        <f t="shared" si="247"/>
        <v/>
      </c>
      <c r="DH208" s="77" t="str">
        <f t="shared" si="247"/>
        <v/>
      </c>
      <c r="DI208" s="77" t="str">
        <f t="shared" si="247"/>
        <v/>
      </c>
      <c r="DJ208" s="77" t="str">
        <f t="shared" si="247"/>
        <v/>
      </c>
      <c r="DK208" s="77" t="str">
        <f t="shared" si="247"/>
        <v/>
      </c>
      <c r="DL208" s="77" t="str">
        <f t="shared" si="247"/>
        <v/>
      </c>
      <c r="DM208" s="77" t="str">
        <f t="shared" si="247"/>
        <v/>
      </c>
      <c r="DN208" s="77" t="str">
        <f t="shared" si="247"/>
        <v/>
      </c>
      <c r="DO208" s="77" t="str">
        <f t="shared" si="247"/>
        <v/>
      </c>
      <c r="DP208" s="77" t="str">
        <f t="shared" si="247"/>
        <v/>
      </c>
      <c r="DQ208" s="77" t="str">
        <f t="shared" si="247"/>
        <v/>
      </c>
      <c r="DR208" s="77" t="str">
        <f t="shared" si="247"/>
        <v/>
      </c>
      <c r="DS208" s="77" t="str">
        <f t="shared" si="247"/>
        <v/>
      </c>
      <c r="DT208" s="77" t="str">
        <f t="shared" si="247"/>
        <v/>
      </c>
      <c r="DU208" s="77" t="str">
        <f t="shared" si="247"/>
        <v/>
      </c>
      <c r="DV208" s="77" t="str">
        <f t="shared" si="247"/>
        <v/>
      </c>
      <c r="DW208" s="77"/>
      <c r="DX208" s="77"/>
      <c r="DY208" s="78"/>
    </row>
    <row r="209" spans="2:129" outlineLevel="1" x14ac:dyDescent="0.2">
      <c r="B209" s="16"/>
      <c r="C209" s="16"/>
      <c r="D209" s="16"/>
      <c r="E209" s="16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/>
      <c r="Z209" s="77"/>
      <c r="AA209" s="77"/>
      <c r="AB209" s="77"/>
      <c r="AC209" s="77"/>
      <c r="AD209" s="77"/>
      <c r="AE209" s="77"/>
      <c r="AF209" s="77"/>
      <c r="AG209" s="77"/>
      <c r="AH209" s="77"/>
      <c r="AI209" s="77"/>
      <c r="AJ209" s="77"/>
      <c r="AK209" s="77"/>
      <c r="AL209" s="77"/>
      <c r="AM209" s="77"/>
      <c r="AN209" s="77"/>
      <c r="AO209" s="77"/>
      <c r="AP209" s="77"/>
      <c r="AQ209" s="77"/>
      <c r="AR209" s="77"/>
      <c r="AS209" s="77"/>
      <c r="AT209" s="77"/>
      <c r="AU209" s="77"/>
      <c r="AV209" s="77"/>
      <c r="AW209" s="77"/>
      <c r="AX209" s="77"/>
      <c r="AY209" s="77"/>
      <c r="AZ209" s="77"/>
      <c r="BA209" s="77"/>
      <c r="BB209" s="77"/>
      <c r="BC209" s="77"/>
      <c r="BD209" s="77"/>
      <c r="BE209" s="77"/>
      <c r="BF209" s="77"/>
      <c r="BG209" s="77"/>
      <c r="BH209" s="77"/>
      <c r="BI209" s="77"/>
      <c r="BJ209" s="77"/>
      <c r="BK209" s="77"/>
      <c r="BL209" s="77"/>
      <c r="BM209" s="77"/>
      <c r="BN209" s="77"/>
      <c r="BO209" s="77"/>
      <c r="BP209" s="77"/>
      <c r="BQ209" s="77"/>
      <c r="BR209" s="77"/>
      <c r="BS209" s="77"/>
      <c r="BT209" s="77"/>
      <c r="BU209" s="77"/>
      <c r="BV209" s="77"/>
      <c r="BW209" s="77"/>
      <c r="BX209" s="77"/>
      <c r="BY209" s="77"/>
      <c r="BZ209" s="77"/>
      <c r="CA209" s="77"/>
      <c r="CB209" s="77"/>
      <c r="CC209" s="77"/>
      <c r="CD209" s="77"/>
      <c r="CE209" s="77"/>
      <c r="CF209" s="77"/>
      <c r="CG209" s="77"/>
      <c r="CH209" s="77"/>
      <c r="CI209" s="77"/>
      <c r="CJ209" s="77"/>
      <c r="CK209" s="77"/>
      <c r="CL209" s="77"/>
      <c r="CM209" s="77"/>
      <c r="CN209" s="77"/>
      <c r="CO209" s="77"/>
      <c r="CP209" s="77"/>
      <c r="CQ209" s="77"/>
      <c r="CR209" s="77"/>
      <c r="CS209" s="77"/>
      <c r="CT209" s="77"/>
      <c r="CU209" s="77"/>
      <c r="CV209" s="77"/>
      <c r="CW209" s="77"/>
      <c r="CX209" s="77"/>
      <c r="CY209" s="77"/>
      <c r="CZ209" s="77"/>
      <c r="DA209" s="77"/>
      <c r="DB209" s="77"/>
      <c r="DC209" s="77"/>
      <c r="DD209" s="77"/>
      <c r="DE209" s="77"/>
      <c r="DF209" s="77"/>
      <c r="DG209" s="77"/>
      <c r="DH209" s="77"/>
      <c r="DI209" s="77"/>
      <c r="DJ209" s="77"/>
      <c r="DK209" s="77"/>
      <c r="DL209" s="77"/>
      <c r="DM209" s="77"/>
      <c r="DN209" s="77"/>
      <c r="DO209" s="77"/>
      <c r="DP209" s="77"/>
      <c r="DQ209" s="77"/>
      <c r="DR209" s="77"/>
      <c r="DS209" s="77"/>
      <c r="DT209" s="77"/>
      <c r="DU209" s="77"/>
      <c r="DV209" s="77"/>
      <c r="DW209" s="77"/>
      <c r="DX209" s="77"/>
      <c r="DY209" s="78"/>
    </row>
    <row r="210" spans="2:129" outlineLevel="1" x14ac:dyDescent="0.2">
      <c r="B210" s="16" t="s">
        <v>64</v>
      </c>
      <c r="C210" s="16"/>
      <c r="D210" s="16"/>
      <c r="E210" s="16"/>
      <c r="F210" s="77">
        <f>IF(F200="","",E214)</f>
        <v>0</v>
      </c>
      <c r="G210" s="77">
        <f t="shared" ref="G210:BR210" si="248">IF(G200="","",F214)</f>
        <v>10402691.700000001</v>
      </c>
      <c r="H210" s="77">
        <f t="shared" si="248"/>
        <v>10405383.4</v>
      </c>
      <c r="I210" s="77">
        <f t="shared" si="248"/>
        <v>10408075.1</v>
      </c>
      <c r="J210" s="77">
        <f t="shared" si="248"/>
        <v>10410766.799999999</v>
      </c>
      <c r="K210" s="77">
        <f t="shared" si="248"/>
        <v>10413458.499999998</v>
      </c>
      <c r="L210" s="77">
        <f t="shared" si="248"/>
        <v>10416150.199999997</v>
      </c>
      <c r="M210" s="77">
        <f t="shared" si="248"/>
        <v>10418841.899999997</v>
      </c>
      <c r="N210" s="77">
        <f t="shared" si="248"/>
        <v>10421533.599999996</v>
      </c>
      <c r="O210" s="77">
        <f t="shared" si="248"/>
        <v>10424225.299999995</v>
      </c>
      <c r="P210" s="77">
        <f t="shared" si="248"/>
        <v>10426916.999999994</v>
      </c>
      <c r="Q210" s="77">
        <f t="shared" si="248"/>
        <v>10429608.699999994</v>
      </c>
      <c r="R210" s="77">
        <f t="shared" si="248"/>
        <v>10432300.399999993</v>
      </c>
      <c r="S210" s="77">
        <f t="shared" si="248"/>
        <v>10434992.099999992</v>
      </c>
      <c r="T210" s="77">
        <f t="shared" si="248"/>
        <v>10437683.799999991</v>
      </c>
      <c r="U210" s="77">
        <f t="shared" si="248"/>
        <v>10440375.499999991</v>
      </c>
      <c r="V210" s="77">
        <f t="shared" si="248"/>
        <v>10443067.19999999</v>
      </c>
      <c r="W210" s="77">
        <f t="shared" si="248"/>
        <v>10445758.899999989</v>
      </c>
      <c r="X210" s="77">
        <f t="shared" si="248"/>
        <v>10448450.599999988</v>
      </c>
      <c r="Y210" s="77">
        <f t="shared" si="248"/>
        <v>10451142.299999988</v>
      </c>
      <c r="Z210" s="77">
        <f t="shared" si="248"/>
        <v>10453833.999999987</v>
      </c>
      <c r="AA210" s="77">
        <f t="shared" si="248"/>
        <v>10456525.699999986</v>
      </c>
      <c r="AB210" s="77">
        <f t="shared" si="248"/>
        <v>10459217.399999985</v>
      </c>
      <c r="AC210" s="77">
        <f t="shared" si="248"/>
        <v>10461909.099999985</v>
      </c>
      <c r="AD210" s="77">
        <f t="shared" si="248"/>
        <v>10500569.499999985</v>
      </c>
      <c r="AE210" s="77">
        <f t="shared" si="248"/>
        <v>10594134.099999985</v>
      </c>
      <c r="AF210" s="77">
        <f t="shared" si="248"/>
        <v>7750588.6999999844</v>
      </c>
      <c r="AG210" s="77">
        <f t="shared" si="248"/>
        <v>7844153.299999984</v>
      </c>
      <c r="AH210" s="77">
        <f t="shared" si="248"/>
        <v>7937717.8999999836</v>
      </c>
      <c r="AI210" s="77">
        <f t="shared" si="248"/>
        <v>8031282.4999999832</v>
      </c>
      <c r="AJ210" s="77">
        <f t="shared" si="248"/>
        <v>8124847.0999999829</v>
      </c>
      <c r="AK210" s="77">
        <f t="shared" si="248"/>
        <v>8218411.6999999825</v>
      </c>
      <c r="AL210" s="77">
        <f t="shared" si="248"/>
        <v>8311976.2999999821</v>
      </c>
      <c r="AM210" s="77">
        <f t="shared" si="248"/>
        <v>8405540.8999999817</v>
      </c>
      <c r="AN210" s="77">
        <f t="shared" si="248"/>
        <v>8480877.6999999825</v>
      </c>
      <c r="AO210" s="77">
        <f t="shared" si="248"/>
        <v>8556214.4999999832</v>
      </c>
      <c r="AP210" s="77">
        <f t="shared" si="248"/>
        <v>8654447.0999999829</v>
      </c>
      <c r="AQ210" s="77">
        <f t="shared" si="248"/>
        <v>8722067.1999999825</v>
      </c>
      <c r="AR210" s="77">
        <f t="shared" si="248"/>
        <v>8789687.2999999821</v>
      </c>
      <c r="AS210" s="77">
        <f t="shared" si="248"/>
        <v>8857307.3999999817</v>
      </c>
      <c r="AT210" s="77">
        <f t="shared" si="248"/>
        <v>8924927.4999999814</v>
      </c>
      <c r="AU210" s="77">
        <f t="shared" si="248"/>
        <v>8992547.599999981</v>
      </c>
      <c r="AV210" s="77">
        <f t="shared" si="248"/>
        <v>4852871.4999999814</v>
      </c>
      <c r="AW210" s="77">
        <f t="shared" si="248"/>
        <v>4927409.8999999817</v>
      </c>
      <c r="AX210" s="77">
        <f t="shared" si="248"/>
        <v>5001948.2999999821</v>
      </c>
      <c r="AY210" s="77">
        <f t="shared" si="248"/>
        <v>5076486.6999999825</v>
      </c>
      <c r="AZ210" s="77">
        <f t="shared" si="248"/>
        <v>5151025.0999999829</v>
      </c>
      <c r="BA210" s="77">
        <f t="shared" si="248"/>
        <v>5225563.4999999832</v>
      </c>
      <c r="BB210" s="77">
        <f t="shared" si="248"/>
        <v>-1.862645149230957E-8</v>
      </c>
      <c r="BC210" s="77">
        <f t="shared" si="248"/>
        <v>55727.599999981379</v>
      </c>
      <c r="BD210" s="77">
        <f t="shared" si="248"/>
        <v>111455.19999998139</v>
      </c>
      <c r="BE210" s="77">
        <f t="shared" si="248"/>
        <v>167182.79999998139</v>
      </c>
      <c r="BF210" s="77">
        <f t="shared" si="248"/>
        <v>222910.3999999814</v>
      </c>
      <c r="BG210" s="77">
        <f t="shared" si="248"/>
        <v>278637.99999998137</v>
      </c>
      <c r="BH210" s="77">
        <f t="shared" si="248"/>
        <v>334365.59999998135</v>
      </c>
      <c r="BI210" s="77">
        <f t="shared" si="248"/>
        <v>390093.19999998133</v>
      </c>
      <c r="BJ210" s="77">
        <f t="shared" si="248"/>
        <v>445820.7999999813</v>
      </c>
      <c r="BK210" s="77">
        <f t="shared" si="248"/>
        <v>501548.39999998128</v>
      </c>
      <c r="BL210" s="77">
        <f t="shared" si="248"/>
        <v>557275.99999998126</v>
      </c>
      <c r="BM210" s="77">
        <f t="shared" si="248"/>
        <v>613003.59999998123</v>
      </c>
      <c r="BN210" s="77">
        <f t="shared" si="248"/>
        <v>653985.69999998121</v>
      </c>
      <c r="BO210" s="77">
        <f t="shared" si="248"/>
        <v>694967.79999998119</v>
      </c>
      <c r="BP210" s="77">
        <f t="shared" si="248"/>
        <v>735949.89999998116</v>
      </c>
      <c r="BQ210" s="77">
        <f t="shared" si="248"/>
        <v>761258.19999998121</v>
      </c>
      <c r="BR210" s="77">
        <f t="shared" si="248"/>
        <v>786566.49999998126</v>
      </c>
      <c r="BS210" s="77">
        <f t="shared" ref="BS210:DV210" si="249">IF(BS200="","",BR214)</f>
        <v>811874.7999999813</v>
      </c>
      <c r="BT210" s="77">
        <f t="shared" si="249"/>
        <v>837183.09999998135</v>
      </c>
      <c r="BU210" s="77">
        <f t="shared" si="249"/>
        <v>862491.3999999814</v>
      </c>
      <c r="BV210" s="77">
        <f t="shared" si="249"/>
        <v>887799.69999998144</v>
      </c>
      <c r="BW210" s="77">
        <f t="shared" si="249"/>
        <v>913107.99999998149</v>
      </c>
      <c r="BX210" s="77">
        <f t="shared" si="249"/>
        <v>938416.29999998154</v>
      </c>
      <c r="BY210" s="77">
        <f t="shared" si="249"/>
        <v>963724.59999998158</v>
      </c>
      <c r="BZ210" s="77">
        <f t="shared" si="249"/>
        <v>373032.89999998151</v>
      </c>
      <c r="CA210" s="77">
        <f t="shared" si="249"/>
        <v>-1.8801074475049973E-8</v>
      </c>
      <c r="CB210" s="77">
        <f t="shared" si="249"/>
        <v>25308.299999981202</v>
      </c>
      <c r="CC210" s="77">
        <f t="shared" si="249"/>
        <v>50616.599999981205</v>
      </c>
      <c r="CD210" s="77">
        <f t="shared" si="249"/>
        <v>75924.899999981208</v>
      </c>
      <c r="CE210" s="77">
        <f t="shared" si="249"/>
        <v>101233.19999998121</v>
      </c>
      <c r="CF210" s="77">
        <f t="shared" si="249"/>
        <v>-1.8801074475049973E-8</v>
      </c>
      <c r="CG210" s="77">
        <f t="shared" si="249"/>
        <v>-1.8801074475049973E-8</v>
      </c>
      <c r="CH210" s="77">
        <f t="shared" si="249"/>
        <v>-1.8801074475049973E-8</v>
      </c>
      <c r="CI210" s="77">
        <f t="shared" si="249"/>
        <v>-1.8801074475049973E-8</v>
      </c>
      <c r="CJ210" s="77">
        <f t="shared" si="249"/>
        <v>-1.8801074475049973E-8</v>
      </c>
      <c r="CK210" s="77">
        <f t="shared" si="249"/>
        <v>-1.8801074475049973E-8</v>
      </c>
      <c r="CL210" s="77">
        <f t="shared" si="249"/>
        <v>58158.299999981202</v>
      </c>
      <c r="CM210" s="77">
        <f t="shared" si="249"/>
        <v>116316.5999999812</v>
      </c>
      <c r="CN210" s="77">
        <f t="shared" si="249"/>
        <v>174474.89999998122</v>
      </c>
      <c r="CO210" s="77">
        <f t="shared" si="249"/>
        <v>232633.19999998121</v>
      </c>
      <c r="CP210" s="77">
        <f t="shared" si="249"/>
        <v>290791.4999999812</v>
      </c>
      <c r="CQ210" s="77">
        <f t="shared" si="249"/>
        <v>348949.79999998119</v>
      </c>
      <c r="CR210" s="77">
        <f t="shared" si="249"/>
        <v>407108.09999998118</v>
      </c>
      <c r="CS210" s="77">
        <f t="shared" si="249"/>
        <v>465266.39999998116</v>
      </c>
      <c r="CT210" s="77">
        <f t="shared" si="249"/>
        <v>523424.69999998115</v>
      </c>
      <c r="CU210" s="77">
        <f t="shared" si="249"/>
        <v>581582.99999998114</v>
      </c>
      <c r="CV210" s="77">
        <f t="shared" si="249"/>
        <v>639741.29999998119</v>
      </c>
      <c r="CW210" s="77">
        <f t="shared" si="249"/>
        <v>697899.59999998123</v>
      </c>
      <c r="CX210" s="77" t="str">
        <f t="shared" si="249"/>
        <v/>
      </c>
      <c r="CY210" s="77" t="str">
        <f t="shared" si="249"/>
        <v/>
      </c>
      <c r="CZ210" s="77" t="str">
        <f t="shared" si="249"/>
        <v/>
      </c>
      <c r="DA210" s="77" t="str">
        <f t="shared" si="249"/>
        <v/>
      </c>
      <c r="DB210" s="77" t="str">
        <f t="shared" si="249"/>
        <v/>
      </c>
      <c r="DC210" s="77" t="str">
        <f t="shared" si="249"/>
        <v/>
      </c>
      <c r="DD210" s="77" t="str">
        <f t="shared" si="249"/>
        <v/>
      </c>
      <c r="DE210" s="77" t="str">
        <f t="shared" si="249"/>
        <v/>
      </c>
      <c r="DF210" s="77" t="str">
        <f t="shared" si="249"/>
        <v/>
      </c>
      <c r="DG210" s="77" t="str">
        <f t="shared" si="249"/>
        <v/>
      </c>
      <c r="DH210" s="77" t="str">
        <f t="shared" si="249"/>
        <v/>
      </c>
      <c r="DI210" s="77" t="str">
        <f t="shared" si="249"/>
        <v/>
      </c>
      <c r="DJ210" s="77" t="str">
        <f t="shared" si="249"/>
        <v/>
      </c>
      <c r="DK210" s="77" t="str">
        <f t="shared" si="249"/>
        <v/>
      </c>
      <c r="DL210" s="77" t="str">
        <f t="shared" si="249"/>
        <v/>
      </c>
      <c r="DM210" s="77" t="str">
        <f t="shared" si="249"/>
        <v/>
      </c>
      <c r="DN210" s="77" t="str">
        <f t="shared" si="249"/>
        <v/>
      </c>
      <c r="DO210" s="77" t="str">
        <f t="shared" si="249"/>
        <v/>
      </c>
      <c r="DP210" s="77" t="str">
        <f t="shared" si="249"/>
        <v/>
      </c>
      <c r="DQ210" s="77" t="str">
        <f t="shared" si="249"/>
        <v/>
      </c>
      <c r="DR210" s="77" t="str">
        <f t="shared" si="249"/>
        <v/>
      </c>
      <c r="DS210" s="77" t="str">
        <f t="shared" si="249"/>
        <v/>
      </c>
      <c r="DT210" s="77" t="str">
        <f t="shared" si="249"/>
        <v/>
      </c>
      <c r="DU210" s="77" t="str">
        <f t="shared" si="249"/>
        <v/>
      </c>
      <c r="DV210" s="77" t="str">
        <f t="shared" si="249"/>
        <v/>
      </c>
      <c r="DW210" s="77"/>
      <c r="DX210" s="77"/>
      <c r="DY210" s="78"/>
    </row>
    <row r="211" spans="2:129" outlineLevel="1" x14ac:dyDescent="0.2">
      <c r="B211" s="16" t="s">
        <v>65</v>
      </c>
      <c r="C211" s="16"/>
      <c r="D211" s="16"/>
      <c r="E211" s="16"/>
      <c r="F211" s="77">
        <f t="shared" ref="F211:AK211" si="250">IF(F200="","",IF($D$165="Equity Multiple",E212*$C200-E212,F210*Preferred_Return))</f>
        <v>0</v>
      </c>
      <c r="G211" s="77">
        <f t="shared" si="250"/>
        <v>0</v>
      </c>
      <c r="H211" s="77">
        <f t="shared" si="250"/>
        <v>0</v>
      </c>
      <c r="I211" s="77">
        <f t="shared" si="250"/>
        <v>0</v>
      </c>
      <c r="J211" s="77">
        <f t="shared" si="250"/>
        <v>0</v>
      </c>
      <c r="K211" s="77">
        <f t="shared" si="250"/>
        <v>0</v>
      </c>
      <c r="L211" s="77">
        <f t="shared" si="250"/>
        <v>0</v>
      </c>
      <c r="M211" s="77">
        <f t="shared" si="250"/>
        <v>0</v>
      </c>
      <c r="N211" s="77">
        <f t="shared" si="250"/>
        <v>0</v>
      </c>
      <c r="O211" s="77">
        <f t="shared" si="250"/>
        <v>0</v>
      </c>
      <c r="P211" s="77">
        <f t="shared" si="250"/>
        <v>0</v>
      </c>
      <c r="Q211" s="77">
        <f t="shared" si="250"/>
        <v>0</v>
      </c>
      <c r="R211" s="77">
        <f t="shared" si="250"/>
        <v>0</v>
      </c>
      <c r="S211" s="77">
        <f t="shared" si="250"/>
        <v>0</v>
      </c>
      <c r="T211" s="77">
        <f t="shared" si="250"/>
        <v>0</v>
      </c>
      <c r="U211" s="77">
        <f t="shared" si="250"/>
        <v>0</v>
      </c>
      <c r="V211" s="77">
        <f t="shared" si="250"/>
        <v>0</v>
      </c>
      <c r="W211" s="77">
        <f t="shared" si="250"/>
        <v>0</v>
      </c>
      <c r="X211" s="77">
        <f t="shared" si="250"/>
        <v>0</v>
      </c>
      <c r="Y211" s="77">
        <f t="shared" si="250"/>
        <v>0</v>
      </c>
      <c r="Z211" s="77">
        <f t="shared" si="250"/>
        <v>0</v>
      </c>
      <c r="AA211" s="77">
        <f t="shared" si="250"/>
        <v>0</v>
      </c>
      <c r="AB211" s="77">
        <f t="shared" si="250"/>
        <v>0</v>
      </c>
      <c r="AC211" s="77">
        <f t="shared" si="250"/>
        <v>0</v>
      </c>
      <c r="AD211" s="77">
        <f t="shared" si="250"/>
        <v>0</v>
      </c>
      <c r="AE211" s="77">
        <f t="shared" si="250"/>
        <v>0</v>
      </c>
      <c r="AF211" s="77">
        <f t="shared" si="250"/>
        <v>0</v>
      </c>
      <c r="AG211" s="77">
        <f t="shared" si="250"/>
        <v>0</v>
      </c>
      <c r="AH211" s="77">
        <f t="shared" si="250"/>
        <v>0</v>
      </c>
      <c r="AI211" s="77">
        <f t="shared" si="250"/>
        <v>0</v>
      </c>
      <c r="AJ211" s="77">
        <f t="shared" si="250"/>
        <v>0</v>
      </c>
      <c r="AK211" s="77">
        <f t="shared" si="250"/>
        <v>0</v>
      </c>
      <c r="AL211" s="77">
        <f t="shared" ref="AL211:BQ211" si="251">IF(AL200="","",IF($D$165="Equity Multiple",AK212*$C200-AK212,AL210*Preferred_Return))</f>
        <v>0</v>
      </c>
      <c r="AM211" s="77">
        <f t="shared" si="251"/>
        <v>0</v>
      </c>
      <c r="AN211" s="77">
        <f t="shared" si="251"/>
        <v>0</v>
      </c>
      <c r="AO211" s="77">
        <f t="shared" si="251"/>
        <v>0</v>
      </c>
      <c r="AP211" s="77">
        <f t="shared" si="251"/>
        <v>0</v>
      </c>
      <c r="AQ211" s="77">
        <f t="shared" si="251"/>
        <v>0</v>
      </c>
      <c r="AR211" s="77">
        <f t="shared" si="251"/>
        <v>0</v>
      </c>
      <c r="AS211" s="77">
        <f t="shared" si="251"/>
        <v>0</v>
      </c>
      <c r="AT211" s="77">
        <f t="shared" si="251"/>
        <v>0</v>
      </c>
      <c r="AU211" s="77">
        <f t="shared" si="251"/>
        <v>0</v>
      </c>
      <c r="AV211" s="77">
        <f t="shared" si="251"/>
        <v>0</v>
      </c>
      <c r="AW211" s="77">
        <f t="shared" si="251"/>
        <v>0</v>
      </c>
      <c r="AX211" s="77">
        <f t="shared" si="251"/>
        <v>0</v>
      </c>
      <c r="AY211" s="77">
        <f t="shared" si="251"/>
        <v>0</v>
      </c>
      <c r="AZ211" s="77">
        <f t="shared" si="251"/>
        <v>0</v>
      </c>
      <c r="BA211" s="77">
        <f t="shared" si="251"/>
        <v>0</v>
      </c>
      <c r="BB211" s="77">
        <f t="shared" si="251"/>
        <v>0</v>
      </c>
      <c r="BC211" s="77">
        <f t="shared" si="251"/>
        <v>0</v>
      </c>
      <c r="BD211" s="77">
        <f t="shared" si="251"/>
        <v>0</v>
      </c>
      <c r="BE211" s="77">
        <f t="shared" si="251"/>
        <v>0</v>
      </c>
      <c r="BF211" s="77">
        <f t="shared" si="251"/>
        <v>0</v>
      </c>
      <c r="BG211" s="77">
        <f t="shared" si="251"/>
        <v>0</v>
      </c>
      <c r="BH211" s="77">
        <f t="shared" si="251"/>
        <v>0</v>
      </c>
      <c r="BI211" s="77">
        <f t="shared" si="251"/>
        <v>0</v>
      </c>
      <c r="BJ211" s="77">
        <f t="shared" si="251"/>
        <v>0</v>
      </c>
      <c r="BK211" s="77">
        <f t="shared" si="251"/>
        <v>0</v>
      </c>
      <c r="BL211" s="77">
        <f t="shared" si="251"/>
        <v>0</v>
      </c>
      <c r="BM211" s="77">
        <f t="shared" si="251"/>
        <v>0</v>
      </c>
      <c r="BN211" s="77">
        <f t="shared" si="251"/>
        <v>0</v>
      </c>
      <c r="BO211" s="77">
        <f t="shared" si="251"/>
        <v>0</v>
      </c>
      <c r="BP211" s="77">
        <f t="shared" si="251"/>
        <v>0</v>
      </c>
      <c r="BQ211" s="77">
        <f t="shared" si="251"/>
        <v>0</v>
      </c>
      <c r="BR211" s="77">
        <f t="shared" ref="BR211:CW211" si="252">IF(BR200="","",IF($D$165="Equity Multiple",BQ212*$C200-BQ212,BR210*Preferred_Return))</f>
        <v>0</v>
      </c>
      <c r="BS211" s="77">
        <f t="shared" si="252"/>
        <v>0</v>
      </c>
      <c r="BT211" s="77">
        <f t="shared" si="252"/>
        <v>0</v>
      </c>
      <c r="BU211" s="77">
        <f t="shared" si="252"/>
        <v>0</v>
      </c>
      <c r="BV211" s="77">
        <f t="shared" si="252"/>
        <v>0</v>
      </c>
      <c r="BW211" s="77">
        <f t="shared" si="252"/>
        <v>0</v>
      </c>
      <c r="BX211" s="77">
        <f t="shared" si="252"/>
        <v>0</v>
      </c>
      <c r="BY211" s="77">
        <f t="shared" si="252"/>
        <v>0</v>
      </c>
      <c r="BZ211" s="77">
        <f t="shared" si="252"/>
        <v>0</v>
      </c>
      <c r="CA211" s="77">
        <f t="shared" si="252"/>
        <v>0</v>
      </c>
      <c r="CB211" s="77">
        <f t="shared" si="252"/>
        <v>0</v>
      </c>
      <c r="CC211" s="77">
        <f t="shared" si="252"/>
        <v>0</v>
      </c>
      <c r="CD211" s="77">
        <f t="shared" si="252"/>
        <v>0</v>
      </c>
      <c r="CE211" s="77">
        <f t="shared" si="252"/>
        <v>0</v>
      </c>
      <c r="CF211" s="77">
        <f t="shared" si="252"/>
        <v>0</v>
      </c>
      <c r="CG211" s="77">
        <f t="shared" si="252"/>
        <v>0</v>
      </c>
      <c r="CH211" s="77">
        <f t="shared" si="252"/>
        <v>0</v>
      </c>
      <c r="CI211" s="77">
        <f t="shared" si="252"/>
        <v>0</v>
      </c>
      <c r="CJ211" s="77">
        <f t="shared" si="252"/>
        <v>0</v>
      </c>
      <c r="CK211" s="77">
        <f t="shared" si="252"/>
        <v>0</v>
      </c>
      <c r="CL211" s="77">
        <f t="shared" si="252"/>
        <v>0</v>
      </c>
      <c r="CM211" s="77">
        <f t="shared" si="252"/>
        <v>0</v>
      </c>
      <c r="CN211" s="77">
        <f t="shared" si="252"/>
        <v>0</v>
      </c>
      <c r="CO211" s="77">
        <f t="shared" si="252"/>
        <v>0</v>
      </c>
      <c r="CP211" s="77">
        <f t="shared" si="252"/>
        <v>0</v>
      </c>
      <c r="CQ211" s="77">
        <f t="shared" si="252"/>
        <v>0</v>
      </c>
      <c r="CR211" s="77">
        <f t="shared" si="252"/>
        <v>0</v>
      </c>
      <c r="CS211" s="77">
        <f t="shared" si="252"/>
        <v>0</v>
      </c>
      <c r="CT211" s="77">
        <f t="shared" si="252"/>
        <v>0</v>
      </c>
      <c r="CU211" s="77">
        <f t="shared" si="252"/>
        <v>0</v>
      </c>
      <c r="CV211" s="77">
        <f t="shared" si="252"/>
        <v>0</v>
      </c>
      <c r="CW211" s="77">
        <f t="shared" si="252"/>
        <v>0</v>
      </c>
      <c r="CX211" s="77" t="str">
        <f t="shared" ref="CX211:DV211" si="253">IF(CX200="","",IF($D$165="Equity Multiple",CW212*$C200-CW212,CX210*Preferred_Return))</f>
        <v/>
      </c>
      <c r="CY211" s="77" t="str">
        <f t="shared" si="253"/>
        <v/>
      </c>
      <c r="CZ211" s="77" t="str">
        <f t="shared" si="253"/>
        <v/>
      </c>
      <c r="DA211" s="77" t="str">
        <f t="shared" si="253"/>
        <v/>
      </c>
      <c r="DB211" s="77" t="str">
        <f t="shared" si="253"/>
        <v/>
      </c>
      <c r="DC211" s="77" t="str">
        <f t="shared" si="253"/>
        <v/>
      </c>
      <c r="DD211" s="77" t="str">
        <f t="shared" si="253"/>
        <v/>
      </c>
      <c r="DE211" s="77" t="str">
        <f t="shared" si="253"/>
        <v/>
      </c>
      <c r="DF211" s="77" t="str">
        <f t="shared" si="253"/>
        <v/>
      </c>
      <c r="DG211" s="77" t="str">
        <f t="shared" si="253"/>
        <v/>
      </c>
      <c r="DH211" s="77" t="str">
        <f t="shared" si="253"/>
        <v/>
      </c>
      <c r="DI211" s="77" t="str">
        <f t="shared" si="253"/>
        <v/>
      </c>
      <c r="DJ211" s="77" t="str">
        <f t="shared" si="253"/>
        <v/>
      </c>
      <c r="DK211" s="77" t="str">
        <f t="shared" si="253"/>
        <v/>
      </c>
      <c r="DL211" s="77" t="str">
        <f t="shared" si="253"/>
        <v/>
      </c>
      <c r="DM211" s="77" t="str">
        <f t="shared" si="253"/>
        <v/>
      </c>
      <c r="DN211" s="77" t="str">
        <f t="shared" si="253"/>
        <v/>
      </c>
      <c r="DO211" s="77" t="str">
        <f t="shared" si="253"/>
        <v/>
      </c>
      <c r="DP211" s="77" t="str">
        <f t="shared" si="253"/>
        <v/>
      </c>
      <c r="DQ211" s="77" t="str">
        <f t="shared" si="253"/>
        <v/>
      </c>
      <c r="DR211" s="77" t="str">
        <f t="shared" si="253"/>
        <v/>
      </c>
      <c r="DS211" s="77" t="str">
        <f t="shared" si="253"/>
        <v/>
      </c>
      <c r="DT211" s="77" t="str">
        <f t="shared" si="253"/>
        <v/>
      </c>
      <c r="DU211" s="77" t="str">
        <f t="shared" si="253"/>
        <v/>
      </c>
      <c r="DV211" s="77" t="str">
        <f t="shared" si="253"/>
        <v/>
      </c>
      <c r="DW211" s="77"/>
      <c r="DX211" s="77"/>
      <c r="DY211" s="78"/>
    </row>
    <row r="212" spans="2:129" outlineLevel="1" x14ac:dyDescent="0.2">
      <c r="B212" s="16" t="s">
        <v>66</v>
      </c>
      <c r="C212" s="16"/>
      <c r="D212" s="16"/>
      <c r="E212" s="16"/>
      <c r="F212" s="77">
        <f t="shared" ref="F212:AK212" si="254">IF(F200="","",-MIN(0,F195*Equity_Share_GP))</f>
        <v>10402691.700000001</v>
      </c>
      <c r="G212" s="77">
        <f t="shared" si="254"/>
        <v>2691.7000000000003</v>
      </c>
      <c r="H212" s="77">
        <f t="shared" si="254"/>
        <v>2691.7000000000003</v>
      </c>
      <c r="I212" s="77">
        <f t="shared" si="254"/>
        <v>2691.7000000000003</v>
      </c>
      <c r="J212" s="77">
        <f t="shared" si="254"/>
        <v>2691.7000000000003</v>
      </c>
      <c r="K212" s="77">
        <f t="shared" si="254"/>
        <v>2691.7000000000003</v>
      </c>
      <c r="L212" s="77">
        <f t="shared" si="254"/>
        <v>2691.7000000000003</v>
      </c>
      <c r="M212" s="77">
        <f t="shared" si="254"/>
        <v>2691.7000000000003</v>
      </c>
      <c r="N212" s="77">
        <f t="shared" si="254"/>
        <v>2691.7000000000003</v>
      </c>
      <c r="O212" s="77">
        <f t="shared" si="254"/>
        <v>2691.7000000000003</v>
      </c>
      <c r="P212" s="77">
        <f t="shared" si="254"/>
        <v>2691.7000000000003</v>
      </c>
      <c r="Q212" s="77">
        <f t="shared" si="254"/>
        <v>2691.7000000000003</v>
      </c>
      <c r="R212" s="77">
        <f t="shared" si="254"/>
        <v>2691.7000000000003</v>
      </c>
      <c r="S212" s="77">
        <f t="shared" si="254"/>
        <v>2691.7000000000003</v>
      </c>
      <c r="T212" s="77">
        <f t="shared" si="254"/>
        <v>2691.7000000000003</v>
      </c>
      <c r="U212" s="77">
        <f t="shared" si="254"/>
        <v>2691.7000000000003</v>
      </c>
      <c r="V212" s="77">
        <f t="shared" si="254"/>
        <v>2691.7000000000003</v>
      </c>
      <c r="W212" s="77">
        <f t="shared" si="254"/>
        <v>2691.7000000000003</v>
      </c>
      <c r="X212" s="77">
        <f t="shared" si="254"/>
        <v>2691.7000000000003</v>
      </c>
      <c r="Y212" s="77">
        <f t="shared" si="254"/>
        <v>2691.7000000000003</v>
      </c>
      <c r="Z212" s="77">
        <f t="shared" si="254"/>
        <v>2691.7000000000003</v>
      </c>
      <c r="AA212" s="77">
        <f t="shared" si="254"/>
        <v>2691.7000000000003</v>
      </c>
      <c r="AB212" s="77">
        <f t="shared" si="254"/>
        <v>2691.7000000000003</v>
      </c>
      <c r="AC212" s="77">
        <f t="shared" si="254"/>
        <v>38660.400000000001</v>
      </c>
      <c r="AD212" s="77">
        <f t="shared" si="254"/>
        <v>93564.6</v>
      </c>
      <c r="AE212" s="77">
        <f t="shared" si="254"/>
        <v>0</v>
      </c>
      <c r="AF212" s="77">
        <f t="shared" si="254"/>
        <v>93564.6</v>
      </c>
      <c r="AG212" s="77">
        <f t="shared" si="254"/>
        <v>93564.6</v>
      </c>
      <c r="AH212" s="77">
        <f t="shared" si="254"/>
        <v>93564.6</v>
      </c>
      <c r="AI212" s="77">
        <f t="shared" si="254"/>
        <v>93564.6</v>
      </c>
      <c r="AJ212" s="77">
        <f t="shared" si="254"/>
        <v>93564.6</v>
      </c>
      <c r="AK212" s="77">
        <f t="shared" si="254"/>
        <v>93564.6</v>
      </c>
      <c r="AL212" s="77">
        <f t="shared" ref="AL212:BQ212" si="255">IF(AL200="","",-MIN(0,AL195*Equity_Share_GP))</f>
        <v>93564.6</v>
      </c>
      <c r="AM212" s="77">
        <f t="shared" si="255"/>
        <v>75336.800000000003</v>
      </c>
      <c r="AN212" s="77">
        <f t="shared" si="255"/>
        <v>75336.800000000003</v>
      </c>
      <c r="AO212" s="77">
        <f t="shared" si="255"/>
        <v>98232.6</v>
      </c>
      <c r="AP212" s="77">
        <f t="shared" si="255"/>
        <v>67620.100000000006</v>
      </c>
      <c r="AQ212" s="77">
        <f t="shared" si="255"/>
        <v>67620.100000000006</v>
      </c>
      <c r="AR212" s="77">
        <f t="shared" si="255"/>
        <v>67620.100000000006</v>
      </c>
      <c r="AS212" s="77">
        <f t="shared" si="255"/>
        <v>67620.100000000006</v>
      </c>
      <c r="AT212" s="77">
        <f t="shared" si="255"/>
        <v>67620.100000000006</v>
      </c>
      <c r="AU212" s="77">
        <f t="shared" si="255"/>
        <v>0</v>
      </c>
      <c r="AV212" s="77">
        <f t="shared" si="255"/>
        <v>74538.400000000009</v>
      </c>
      <c r="AW212" s="77">
        <f t="shared" si="255"/>
        <v>74538.400000000009</v>
      </c>
      <c r="AX212" s="77">
        <f t="shared" si="255"/>
        <v>74538.400000000009</v>
      </c>
      <c r="AY212" s="77">
        <f t="shared" si="255"/>
        <v>74538.400000000009</v>
      </c>
      <c r="AZ212" s="77">
        <f t="shared" si="255"/>
        <v>74538.400000000009</v>
      </c>
      <c r="BA212" s="77">
        <f t="shared" si="255"/>
        <v>0</v>
      </c>
      <c r="BB212" s="77">
        <f t="shared" si="255"/>
        <v>55727.600000000006</v>
      </c>
      <c r="BC212" s="77">
        <f t="shared" si="255"/>
        <v>55727.600000000006</v>
      </c>
      <c r="BD212" s="77">
        <f t="shared" si="255"/>
        <v>55727.600000000006</v>
      </c>
      <c r="BE212" s="77">
        <f t="shared" si="255"/>
        <v>55727.600000000006</v>
      </c>
      <c r="BF212" s="77">
        <f t="shared" si="255"/>
        <v>55727.600000000006</v>
      </c>
      <c r="BG212" s="77">
        <f t="shared" si="255"/>
        <v>55727.600000000006</v>
      </c>
      <c r="BH212" s="77">
        <f t="shared" si="255"/>
        <v>55727.600000000006</v>
      </c>
      <c r="BI212" s="77">
        <f t="shared" si="255"/>
        <v>55727.600000000006</v>
      </c>
      <c r="BJ212" s="77">
        <f t="shared" si="255"/>
        <v>55727.600000000006</v>
      </c>
      <c r="BK212" s="77">
        <f t="shared" si="255"/>
        <v>55727.600000000006</v>
      </c>
      <c r="BL212" s="77">
        <f t="shared" si="255"/>
        <v>55727.600000000006</v>
      </c>
      <c r="BM212" s="77">
        <f t="shared" si="255"/>
        <v>40982.100000000006</v>
      </c>
      <c r="BN212" s="77">
        <f t="shared" si="255"/>
        <v>40982.100000000006</v>
      </c>
      <c r="BO212" s="77">
        <f t="shared" si="255"/>
        <v>40982.100000000006</v>
      </c>
      <c r="BP212" s="77">
        <f t="shared" si="255"/>
        <v>25308.300000000003</v>
      </c>
      <c r="BQ212" s="77">
        <f t="shared" si="255"/>
        <v>25308.300000000003</v>
      </c>
      <c r="BR212" s="77">
        <f t="shared" ref="BR212:CW212" si="256">IF(BR200="","",-MIN(0,BR195*Equity_Share_GP))</f>
        <v>25308.300000000003</v>
      </c>
      <c r="BS212" s="77">
        <f t="shared" si="256"/>
        <v>25308.300000000003</v>
      </c>
      <c r="BT212" s="77">
        <f t="shared" si="256"/>
        <v>25308.300000000003</v>
      </c>
      <c r="BU212" s="77">
        <f t="shared" si="256"/>
        <v>25308.300000000003</v>
      </c>
      <c r="BV212" s="77">
        <f t="shared" si="256"/>
        <v>25308.300000000003</v>
      </c>
      <c r="BW212" s="77">
        <f t="shared" si="256"/>
        <v>25308.300000000003</v>
      </c>
      <c r="BX212" s="77">
        <f t="shared" si="256"/>
        <v>25308.300000000003</v>
      </c>
      <c r="BY212" s="77">
        <f t="shared" si="256"/>
        <v>0</v>
      </c>
      <c r="BZ212" s="77">
        <f t="shared" si="256"/>
        <v>0</v>
      </c>
      <c r="CA212" s="77">
        <f t="shared" si="256"/>
        <v>25308.300000000003</v>
      </c>
      <c r="CB212" s="77">
        <f t="shared" si="256"/>
        <v>25308.300000000003</v>
      </c>
      <c r="CC212" s="77">
        <f t="shared" si="256"/>
        <v>25308.300000000003</v>
      </c>
      <c r="CD212" s="77">
        <f t="shared" si="256"/>
        <v>25308.300000000003</v>
      </c>
      <c r="CE212" s="77">
        <f t="shared" si="256"/>
        <v>0</v>
      </c>
      <c r="CF212" s="77">
        <f t="shared" si="256"/>
        <v>0</v>
      </c>
      <c r="CG212" s="77">
        <f t="shared" si="256"/>
        <v>0</v>
      </c>
      <c r="CH212" s="77">
        <f t="shared" si="256"/>
        <v>0</v>
      </c>
      <c r="CI212" s="77">
        <f t="shared" si="256"/>
        <v>0</v>
      </c>
      <c r="CJ212" s="77">
        <f t="shared" si="256"/>
        <v>0</v>
      </c>
      <c r="CK212" s="77">
        <f t="shared" si="256"/>
        <v>58158.3</v>
      </c>
      <c r="CL212" s="77">
        <f t="shared" si="256"/>
        <v>58158.3</v>
      </c>
      <c r="CM212" s="77">
        <f t="shared" si="256"/>
        <v>58158.3</v>
      </c>
      <c r="CN212" s="77">
        <f t="shared" si="256"/>
        <v>58158.3</v>
      </c>
      <c r="CO212" s="77">
        <f t="shared" si="256"/>
        <v>58158.3</v>
      </c>
      <c r="CP212" s="77">
        <f t="shared" si="256"/>
        <v>58158.3</v>
      </c>
      <c r="CQ212" s="77">
        <f t="shared" si="256"/>
        <v>58158.3</v>
      </c>
      <c r="CR212" s="77">
        <f t="shared" si="256"/>
        <v>58158.3</v>
      </c>
      <c r="CS212" s="77">
        <f t="shared" si="256"/>
        <v>58158.3</v>
      </c>
      <c r="CT212" s="77">
        <f t="shared" si="256"/>
        <v>58158.3</v>
      </c>
      <c r="CU212" s="77">
        <f t="shared" si="256"/>
        <v>58158.3</v>
      </c>
      <c r="CV212" s="77">
        <f t="shared" si="256"/>
        <v>58158.3</v>
      </c>
      <c r="CW212" s="77">
        <f t="shared" si="256"/>
        <v>0</v>
      </c>
      <c r="CX212" s="77" t="str">
        <f t="shared" ref="CX212:DV212" si="257">IF(CX200="","",-MIN(0,CX195*Equity_Share_GP))</f>
        <v/>
      </c>
      <c r="CY212" s="77" t="str">
        <f t="shared" si="257"/>
        <v/>
      </c>
      <c r="CZ212" s="77" t="str">
        <f t="shared" si="257"/>
        <v/>
      </c>
      <c r="DA212" s="77" t="str">
        <f t="shared" si="257"/>
        <v/>
      </c>
      <c r="DB212" s="77" t="str">
        <f t="shared" si="257"/>
        <v/>
      </c>
      <c r="DC212" s="77" t="str">
        <f t="shared" si="257"/>
        <v/>
      </c>
      <c r="DD212" s="77" t="str">
        <f t="shared" si="257"/>
        <v/>
      </c>
      <c r="DE212" s="77" t="str">
        <f t="shared" si="257"/>
        <v/>
      </c>
      <c r="DF212" s="77" t="str">
        <f t="shared" si="257"/>
        <v/>
      </c>
      <c r="DG212" s="77" t="str">
        <f t="shared" si="257"/>
        <v/>
      </c>
      <c r="DH212" s="77" t="str">
        <f t="shared" si="257"/>
        <v/>
      </c>
      <c r="DI212" s="77" t="str">
        <f t="shared" si="257"/>
        <v/>
      </c>
      <c r="DJ212" s="77" t="str">
        <f t="shared" si="257"/>
        <v/>
      </c>
      <c r="DK212" s="77" t="str">
        <f t="shared" si="257"/>
        <v/>
      </c>
      <c r="DL212" s="77" t="str">
        <f t="shared" si="257"/>
        <v/>
      </c>
      <c r="DM212" s="77" t="str">
        <f t="shared" si="257"/>
        <v/>
      </c>
      <c r="DN212" s="77" t="str">
        <f t="shared" si="257"/>
        <v/>
      </c>
      <c r="DO212" s="77" t="str">
        <f t="shared" si="257"/>
        <v/>
      </c>
      <c r="DP212" s="77" t="str">
        <f t="shared" si="257"/>
        <v/>
      </c>
      <c r="DQ212" s="77" t="str">
        <f t="shared" si="257"/>
        <v/>
      </c>
      <c r="DR212" s="77" t="str">
        <f t="shared" si="257"/>
        <v/>
      </c>
      <c r="DS212" s="77" t="str">
        <f t="shared" si="257"/>
        <v/>
      </c>
      <c r="DT212" s="77" t="str">
        <f t="shared" si="257"/>
        <v/>
      </c>
      <c r="DU212" s="77" t="str">
        <f t="shared" si="257"/>
        <v/>
      </c>
      <c r="DV212" s="77" t="str">
        <f t="shared" si="257"/>
        <v/>
      </c>
      <c r="DW212" s="77"/>
      <c r="DX212" s="77"/>
      <c r="DY212" s="78"/>
    </row>
    <row r="213" spans="2:129" outlineLevel="1" x14ac:dyDescent="0.2">
      <c r="B213" s="16" t="s">
        <v>67</v>
      </c>
      <c r="C213" s="16"/>
      <c r="D213" s="16"/>
      <c r="E213" s="16"/>
      <c r="F213" s="77">
        <f t="shared" ref="F213:AK213" si="258">IF(F200="","",IF(CU?,MAX(MIN(F195-F208,F210+F211+F212),0),F205/$I$15*$H$15))</f>
        <v>0</v>
      </c>
      <c r="G213" s="24">
        <f t="shared" si="258"/>
        <v>0</v>
      </c>
      <c r="H213" s="24">
        <f t="shared" si="258"/>
        <v>0</v>
      </c>
      <c r="I213" s="24">
        <f t="shared" si="258"/>
        <v>0</v>
      </c>
      <c r="J213" s="24">
        <f t="shared" si="258"/>
        <v>0</v>
      </c>
      <c r="K213" s="24">
        <f t="shared" si="258"/>
        <v>0</v>
      </c>
      <c r="L213" s="24">
        <f t="shared" si="258"/>
        <v>0</v>
      </c>
      <c r="M213" s="24">
        <f t="shared" si="258"/>
        <v>0</v>
      </c>
      <c r="N213" s="24">
        <f t="shared" si="258"/>
        <v>0</v>
      </c>
      <c r="O213" s="24">
        <f t="shared" si="258"/>
        <v>0</v>
      </c>
      <c r="P213" s="24">
        <f t="shared" si="258"/>
        <v>0</v>
      </c>
      <c r="Q213" s="24">
        <f t="shared" si="258"/>
        <v>0</v>
      </c>
      <c r="R213" s="24">
        <f t="shared" si="258"/>
        <v>0</v>
      </c>
      <c r="S213" s="24">
        <f t="shared" si="258"/>
        <v>0</v>
      </c>
      <c r="T213" s="24">
        <f t="shared" si="258"/>
        <v>0</v>
      </c>
      <c r="U213" s="24">
        <f t="shared" si="258"/>
        <v>0</v>
      </c>
      <c r="V213" s="24">
        <f t="shared" si="258"/>
        <v>0</v>
      </c>
      <c r="W213" s="24">
        <f t="shared" si="258"/>
        <v>0</v>
      </c>
      <c r="X213" s="24">
        <f t="shared" si="258"/>
        <v>0</v>
      </c>
      <c r="Y213" s="24">
        <f t="shared" si="258"/>
        <v>0</v>
      </c>
      <c r="Z213" s="24">
        <f t="shared" si="258"/>
        <v>0</v>
      </c>
      <c r="AA213" s="24">
        <f t="shared" si="258"/>
        <v>0</v>
      </c>
      <c r="AB213" s="24">
        <f t="shared" si="258"/>
        <v>0</v>
      </c>
      <c r="AC213" s="24">
        <f t="shared" si="258"/>
        <v>0</v>
      </c>
      <c r="AD213" s="24">
        <f t="shared" si="258"/>
        <v>0</v>
      </c>
      <c r="AE213" s="24">
        <f t="shared" si="258"/>
        <v>2843545.4000000004</v>
      </c>
      <c r="AF213" s="24">
        <f t="shared" si="258"/>
        <v>0</v>
      </c>
      <c r="AG213" s="24">
        <f t="shared" si="258"/>
        <v>0</v>
      </c>
      <c r="AH213" s="24">
        <f t="shared" si="258"/>
        <v>0</v>
      </c>
      <c r="AI213" s="24">
        <f t="shared" si="258"/>
        <v>0</v>
      </c>
      <c r="AJ213" s="24">
        <f t="shared" si="258"/>
        <v>0</v>
      </c>
      <c r="AK213" s="24">
        <f t="shared" si="258"/>
        <v>0</v>
      </c>
      <c r="AL213" s="24">
        <f t="shared" ref="AL213:BQ213" si="259">IF(AL200="","",IF(CU?,MAX(MIN(AL195-AL208,AL210+AL211+AL212),0),AL205/$I$15*$H$15))</f>
        <v>0</v>
      </c>
      <c r="AM213" s="24">
        <f t="shared" si="259"/>
        <v>0</v>
      </c>
      <c r="AN213" s="24">
        <f t="shared" si="259"/>
        <v>0</v>
      </c>
      <c r="AO213" s="24">
        <f t="shared" si="259"/>
        <v>0</v>
      </c>
      <c r="AP213" s="24">
        <f t="shared" si="259"/>
        <v>0</v>
      </c>
      <c r="AQ213" s="24">
        <f t="shared" si="259"/>
        <v>0</v>
      </c>
      <c r="AR213" s="24">
        <f t="shared" si="259"/>
        <v>0</v>
      </c>
      <c r="AS213" s="24">
        <f t="shared" si="259"/>
        <v>0</v>
      </c>
      <c r="AT213" s="24">
        <f t="shared" si="259"/>
        <v>0</v>
      </c>
      <c r="AU213" s="24">
        <f t="shared" si="259"/>
        <v>4139676.1</v>
      </c>
      <c r="AV213" s="24">
        <f t="shared" si="259"/>
        <v>0</v>
      </c>
      <c r="AW213" s="24">
        <f t="shared" si="259"/>
        <v>0</v>
      </c>
      <c r="AX213" s="24">
        <f t="shared" si="259"/>
        <v>0</v>
      </c>
      <c r="AY213" s="24">
        <f t="shared" si="259"/>
        <v>0</v>
      </c>
      <c r="AZ213" s="24">
        <f t="shared" si="259"/>
        <v>0</v>
      </c>
      <c r="BA213" s="24">
        <f t="shared" si="259"/>
        <v>5225563.5000000019</v>
      </c>
      <c r="BB213" s="24">
        <f t="shared" si="259"/>
        <v>0</v>
      </c>
      <c r="BC213" s="24">
        <f t="shared" si="259"/>
        <v>0</v>
      </c>
      <c r="BD213" s="24">
        <f t="shared" si="259"/>
        <v>0</v>
      </c>
      <c r="BE213" s="24">
        <f t="shared" si="259"/>
        <v>0</v>
      </c>
      <c r="BF213" s="24">
        <f t="shared" si="259"/>
        <v>0</v>
      </c>
      <c r="BG213" s="24">
        <f t="shared" si="259"/>
        <v>0</v>
      </c>
      <c r="BH213" s="24">
        <f t="shared" si="259"/>
        <v>0</v>
      </c>
      <c r="BI213" s="24">
        <f t="shared" si="259"/>
        <v>0</v>
      </c>
      <c r="BJ213" s="24">
        <f t="shared" si="259"/>
        <v>0</v>
      </c>
      <c r="BK213" s="24">
        <f t="shared" si="259"/>
        <v>0</v>
      </c>
      <c r="BL213" s="24">
        <f t="shared" si="259"/>
        <v>0</v>
      </c>
      <c r="BM213" s="24">
        <f t="shared" si="259"/>
        <v>0</v>
      </c>
      <c r="BN213" s="24">
        <f t="shared" si="259"/>
        <v>0</v>
      </c>
      <c r="BO213" s="24">
        <f t="shared" si="259"/>
        <v>0</v>
      </c>
      <c r="BP213" s="24">
        <f t="shared" si="259"/>
        <v>0</v>
      </c>
      <c r="BQ213" s="24">
        <f t="shared" si="259"/>
        <v>0</v>
      </c>
      <c r="BR213" s="24">
        <f t="shared" ref="BR213:CW213" si="260">IF(BR200="","",IF(CU?,MAX(MIN(BR195-BR208,BR210+BR211+BR212),0),BR205/$I$15*$H$15))</f>
        <v>0</v>
      </c>
      <c r="BS213" s="24">
        <f t="shared" si="260"/>
        <v>0</v>
      </c>
      <c r="BT213" s="24">
        <f t="shared" si="260"/>
        <v>0</v>
      </c>
      <c r="BU213" s="24">
        <f t="shared" si="260"/>
        <v>0</v>
      </c>
      <c r="BV213" s="24">
        <f t="shared" si="260"/>
        <v>0</v>
      </c>
      <c r="BW213" s="24">
        <f t="shared" si="260"/>
        <v>0</v>
      </c>
      <c r="BX213" s="24">
        <f t="shared" si="260"/>
        <v>0</v>
      </c>
      <c r="BY213" s="24">
        <f t="shared" si="260"/>
        <v>590691.70000000007</v>
      </c>
      <c r="BZ213" s="24">
        <f t="shared" si="260"/>
        <v>373032.90000000031</v>
      </c>
      <c r="CA213" s="24">
        <f t="shared" si="260"/>
        <v>0</v>
      </c>
      <c r="CB213" s="24">
        <f t="shared" si="260"/>
        <v>0</v>
      </c>
      <c r="CC213" s="24">
        <f t="shared" si="260"/>
        <v>0</v>
      </c>
      <c r="CD213" s="24">
        <f t="shared" si="260"/>
        <v>0</v>
      </c>
      <c r="CE213" s="24">
        <f t="shared" si="260"/>
        <v>101233.20000000001</v>
      </c>
      <c r="CF213" s="24">
        <f t="shared" si="260"/>
        <v>0</v>
      </c>
      <c r="CG213" s="24">
        <f t="shared" si="260"/>
        <v>0</v>
      </c>
      <c r="CH213" s="24">
        <f t="shared" si="260"/>
        <v>0</v>
      </c>
      <c r="CI213" s="24">
        <f t="shared" si="260"/>
        <v>0</v>
      </c>
      <c r="CJ213" s="24">
        <f t="shared" si="260"/>
        <v>0</v>
      </c>
      <c r="CK213" s="24">
        <f t="shared" si="260"/>
        <v>0</v>
      </c>
      <c r="CL213" s="24">
        <f t="shared" si="260"/>
        <v>0</v>
      </c>
      <c r="CM213" s="24">
        <f t="shared" si="260"/>
        <v>0</v>
      </c>
      <c r="CN213" s="24">
        <f t="shared" si="260"/>
        <v>0</v>
      </c>
      <c r="CO213" s="24">
        <f t="shared" si="260"/>
        <v>0</v>
      </c>
      <c r="CP213" s="24">
        <f t="shared" si="260"/>
        <v>0</v>
      </c>
      <c r="CQ213" s="24">
        <f t="shared" si="260"/>
        <v>0</v>
      </c>
      <c r="CR213" s="24">
        <f t="shared" si="260"/>
        <v>0</v>
      </c>
      <c r="CS213" s="24">
        <f t="shared" si="260"/>
        <v>0</v>
      </c>
      <c r="CT213" s="24">
        <f t="shared" si="260"/>
        <v>0</v>
      </c>
      <c r="CU213" s="24">
        <f t="shared" si="260"/>
        <v>0</v>
      </c>
      <c r="CV213" s="24">
        <f t="shared" si="260"/>
        <v>0</v>
      </c>
      <c r="CW213" s="24">
        <f t="shared" si="260"/>
        <v>697899.60000000009</v>
      </c>
      <c r="CX213" s="24" t="str">
        <f t="shared" ref="CX213:DV213" si="261">IF(CX200="","",IF(CU?,MAX(MIN(CX195-CX208,CX210+CX211+CX212),0),CX205/$I$15*$H$15))</f>
        <v/>
      </c>
      <c r="CY213" s="24" t="str">
        <f t="shared" si="261"/>
        <v/>
      </c>
      <c r="CZ213" s="24" t="str">
        <f t="shared" si="261"/>
        <v/>
      </c>
      <c r="DA213" s="24" t="str">
        <f t="shared" si="261"/>
        <v/>
      </c>
      <c r="DB213" s="24" t="str">
        <f t="shared" si="261"/>
        <v/>
      </c>
      <c r="DC213" s="24" t="str">
        <f t="shared" si="261"/>
        <v/>
      </c>
      <c r="DD213" s="24" t="str">
        <f t="shared" si="261"/>
        <v/>
      </c>
      <c r="DE213" s="24" t="str">
        <f t="shared" si="261"/>
        <v/>
      </c>
      <c r="DF213" s="24" t="str">
        <f t="shared" si="261"/>
        <v/>
      </c>
      <c r="DG213" s="24" t="str">
        <f t="shared" si="261"/>
        <v/>
      </c>
      <c r="DH213" s="24" t="str">
        <f t="shared" si="261"/>
        <v/>
      </c>
      <c r="DI213" s="24" t="str">
        <f t="shared" si="261"/>
        <v/>
      </c>
      <c r="DJ213" s="24" t="str">
        <f t="shared" si="261"/>
        <v/>
      </c>
      <c r="DK213" s="24" t="str">
        <f t="shared" si="261"/>
        <v/>
      </c>
      <c r="DL213" s="24" t="str">
        <f t="shared" si="261"/>
        <v/>
      </c>
      <c r="DM213" s="24" t="str">
        <f t="shared" si="261"/>
        <v/>
      </c>
      <c r="DN213" s="24" t="str">
        <f t="shared" si="261"/>
        <v/>
      </c>
      <c r="DO213" s="24" t="str">
        <f t="shared" si="261"/>
        <v/>
      </c>
      <c r="DP213" s="24" t="str">
        <f t="shared" si="261"/>
        <v/>
      </c>
      <c r="DQ213" s="24" t="str">
        <f t="shared" si="261"/>
        <v/>
      </c>
      <c r="DR213" s="24" t="str">
        <f t="shared" si="261"/>
        <v/>
      </c>
      <c r="DS213" s="24" t="str">
        <f t="shared" si="261"/>
        <v/>
      </c>
      <c r="DT213" s="24" t="str">
        <f t="shared" si="261"/>
        <v/>
      </c>
      <c r="DU213" s="24" t="str">
        <f t="shared" si="261"/>
        <v/>
      </c>
      <c r="DV213" s="24" t="str">
        <f t="shared" si="261"/>
        <v/>
      </c>
      <c r="DW213" s="24"/>
      <c r="DX213" s="24"/>
      <c r="DY213" s="70"/>
    </row>
    <row r="214" spans="2:129" outlineLevel="1" x14ac:dyDescent="0.2">
      <c r="B214" s="16" t="s">
        <v>68</v>
      </c>
      <c r="C214" s="16"/>
      <c r="D214" s="16"/>
      <c r="E214" s="16"/>
      <c r="F214" s="77">
        <f>IF(F200="","",F210+F211+F212-F213)</f>
        <v>10402691.700000001</v>
      </c>
      <c r="G214" s="24">
        <f t="shared" ref="G214:BR214" si="262">IF(G200="","",G210+G211+G212-G213)</f>
        <v>10405383.4</v>
      </c>
      <c r="H214" s="24">
        <f t="shared" si="262"/>
        <v>10408075.1</v>
      </c>
      <c r="I214" s="24">
        <f t="shared" si="262"/>
        <v>10410766.799999999</v>
      </c>
      <c r="J214" s="24">
        <f t="shared" si="262"/>
        <v>10413458.499999998</v>
      </c>
      <c r="K214" s="24">
        <f t="shared" si="262"/>
        <v>10416150.199999997</v>
      </c>
      <c r="L214" s="24">
        <f t="shared" si="262"/>
        <v>10418841.899999997</v>
      </c>
      <c r="M214" s="24">
        <f t="shared" si="262"/>
        <v>10421533.599999996</v>
      </c>
      <c r="N214" s="24">
        <f t="shared" si="262"/>
        <v>10424225.299999995</v>
      </c>
      <c r="O214" s="24">
        <f t="shared" si="262"/>
        <v>10426916.999999994</v>
      </c>
      <c r="P214" s="24">
        <f t="shared" si="262"/>
        <v>10429608.699999994</v>
      </c>
      <c r="Q214" s="24">
        <f t="shared" si="262"/>
        <v>10432300.399999993</v>
      </c>
      <c r="R214" s="24">
        <f t="shared" si="262"/>
        <v>10434992.099999992</v>
      </c>
      <c r="S214" s="24">
        <f t="shared" si="262"/>
        <v>10437683.799999991</v>
      </c>
      <c r="T214" s="24">
        <f t="shared" si="262"/>
        <v>10440375.499999991</v>
      </c>
      <c r="U214" s="24">
        <f t="shared" si="262"/>
        <v>10443067.19999999</v>
      </c>
      <c r="V214" s="24">
        <f t="shared" si="262"/>
        <v>10445758.899999989</v>
      </c>
      <c r="W214" s="24">
        <f t="shared" si="262"/>
        <v>10448450.599999988</v>
      </c>
      <c r="X214" s="24">
        <f t="shared" si="262"/>
        <v>10451142.299999988</v>
      </c>
      <c r="Y214" s="24">
        <f t="shared" si="262"/>
        <v>10453833.999999987</v>
      </c>
      <c r="Z214" s="24">
        <f t="shared" si="262"/>
        <v>10456525.699999986</v>
      </c>
      <c r="AA214" s="24">
        <f t="shared" si="262"/>
        <v>10459217.399999985</v>
      </c>
      <c r="AB214" s="24">
        <f t="shared" si="262"/>
        <v>10461909.099999985</v>
      </c>
      <c r="AC214" s="24">
        <f t="shared" si="262"/>
        <v>10500569.499999985</v>
      </c>
      <c r="AD214" s="24">
        <f t="shared" si="262"/>
        <v>10594134.099999985</v>
      </c>
      <c r="AE214" s="24">
        <f t="shared" si="262"/>
        <v>7750588.6999999844</v>
      </c>
      <c r="AF214" s="24">
        <f t="shared" si="262"/>
        <v>7844153.299999984</v>
      </c>
      <c r="AG214" s="24">
        <f t="shared" si="262"/>
        <v>7937717.8999999836</v>
      </c>
      <c r="AH214" s="24">
        <f t="shared" si="262"/>
        <v>8031282.4999999832</v>
      </c>
      <c r="AI214" s="24">
        <f t="shared" si="262"/>
        <v>8124847.0999999829</v>
      </c>
      <c r="AJ214" s="24">
        <f t="shared" si="262"/>
        <v>8218411.6999999825</v>
      </c>
      <c r="AK214" s="24">
        <f t="shared" si="262"/>
        <v>8311976.2999999821</v>
      </c>
      <c r="AL214" s="24">
        <f t="shared" si="262"/>
        <v>8405540.8999999817</v>
      </c>
      <c r="AM214" s="24">
        <f t="shared" si="262"/>
        <v>8480877.6999999825</v>
      </c>
      <c r="AN214" s="24">
        <f t="shared" si="262"/>
        <v>8556214.4999999832</v>
      </c>
      <c r="AO214" s="24">
        <f t="shared" si="262"/>
        <v>8654447.0999999829</v>
      </c>
      <c r="AP214" s="24">
        <f t="shared" si="262"/>
        <v>8722067.1999999825</v>
      </c>
      <c r="AQ214" s="24">
        <f t="shared" si="262"/>
        <v>8789687.2999999821</v>
      </c>
      <c r="AR214" s="24">
        <f t="shared" si="262"/>
        <v>8857307.3999999817</v>
      </c>
      <c r="AS214" s="24">
        <f t="shared" si="262"/>
        <v>8924927.4999999814</v>
      </c>
      <c r="AT214" s="24">
        <f t="shared" si="262"/>
        <v>8992547.599999981</v>
      </c>
      <c r="AU214" s="24">
        <f t="shared" si="262"/>
        <v>4852871.4999999814</v>
      </c>
      <c r="AV214" s="24">
        <f t="shared" si="262"/>
        <v>4927409.8999999817</v>
      </c>
      <c r="AW214" s="24">
        <f t="shared" si="262"/>
        <v>5001948.2999999821</v>
      </c>
      <c r="AX214" s="24">
        <f t="shared" si="262"/>
        <v>5076486.6999999825</v>
      </c>
      <c r="AY214" s="24">
        <f t="shared" si="262"/>
        <v>5151025.0999999829</v>
      </c>
      <c r="AZ214" s="24">
        <f t="shared" si="262"/>
        <v>5225563.4999999832</v>
      </c>
      <c r="BA214" s="24">
        <f t="shared" si="262"/>
        <v>-1.862645149230957E-8</v>
      </c>
      <c r="BB214" s="24">
        <f t="shared" si="262"/>
        <v>55727.599999981379</v>
      </c>
      <c r="BC214" s="24">
        <f t="shared" si="262"/>
        <v>111455.19999998139</v>
      </c>
      <c r="BD214" s="24">
        <f t="shared" si="262"/>
        <v>167182.79999998139</v>
      </c>
      <c r="BE214" s="24">
        <f t="shared" si="262"/>
        <v>222910.3999999814</v>
      </c>
      <c r="BF214" s="24">
        <f t="shared" si="262"/>
        <v>278637.99999998137</v>
      </c>
      <c r="BG214" s="24">
        <f t="shared" si="262"/>
        <v>334365.59999998135</v>
      </c>
      <c r="BH214" s="24">
        <f t="shared" si="262"/>
        <v>390093.19999998133</v>
      </c>
      <c r="BI214" s="24">
        <f t="shared" si="262"/>
        <v>445820.7999999813</v>
      </c>
      <c r="BJ214" s="24">
        <f t="shared" si="262"/>
        <v>501548.39999998128</v>
      </c>
      <c r="BK214" s="24">
        <f t="shared" si="262"/>
        <v>557275.99999998126</v>
      </c>
      <c r="BL214" s="24">
        <f t="shared" si="262"/>
        <v>613003.59999998123</v>
      </c>
      <c r="BM214" s="24">
        <f t="shared" si="262"/>
        <v>653985.69999998121</v>
      </c>
      <c r="BN214" s="24">
        <f t="shared" si="262"/>
        <v>694967.79999998119</v>
      </c>
      <c r="BO214" s="24">
        <f t="shared" si="262"/>
        <v>735949.89999998116</v>
      </c>
      <c r="BP214" s="24">
        <f t="shared" si="262"/>
        <v>761258.19999998121</v>
      </c>
      <c r="BQ214" s="24">
        <f t="shared" si="262"/>
        <v>786566.49999998126</v>
      </c>
      <c r="BR214" s="24">
        <f t="shared" si="262"/>
        <v>811874.7999999813</v>
      </c>
      <c r="BS214" s="24">
        <f t="shared" ref="BS214:DV214" si="263">IF(BS200="","",BS210+BS211+BS212-BS213)</f>
        <v>837183.09999998135</v>
      </c>
      <c r="BT214" s="24">
        <f t="shared" si="263"/>
        <v>862491.3999999814</v>
      </c>
      <c r="BU214" s="24">
        <f t="shared" si="263"/>
        <v>887799.69999998144</v>
      </c>
      <c r="BV214" s="24">
        <f t="shared" si="263"/>
        <v>913107.99999998149</v>
      </c>
      <c r="BW214" s="24">
        <f t="shared" si="263"/>
        <v>938416.29999998154</v>
      </c>
      <c r="BX214" s="24">
        <f t="shared" si="263"/>
        <v>963724.59999998158</v>
      </c>
      <c r="BY214" s="24">
        <f t="shared" si="263"/>
        <v>373032.89999998151</v>
      </c>
      <c r="BZ214" s="24">
        <f t="shared" si="263"/>
        <v>-1.8801074475049973E-8</v>
      </c>
      <c r="CA214" s="24">
        <f t="shared" si="263"/>
        <v>25308.299999981202</v>
      </c>
      <c r="CB214" s="24">
        <f t="shared" si="263"/>
        <v>50616.599999981205</v>
      </c>
      <c r="CC214" s="24">
        <f t="shared" si="263"/>
        <v>75924.899999981208</v>
      </c>
      <c r="CD214" s="24">
        <f t="shared" si="263"/>
        <v>101233.19999998121</v>
      </c>
      <c r="CE214" s="24">
        <f t="shared" si="263"/>
        <v>-1.8801074475049973E-8</v>
      </c>
      <c r="CF214" s="24">
        <f t="shared" si="263"/>
        <v>-1.8801074475049973E-8</v>
      </c>
      <c r="CG214" s="24">
        <f t="shared" si="263"/>
        <v>-1.8801074475049973E-8</v>
      </c>
      <c r="CH214" s="24">
        <f t="shared" si="263"/>
        <v>-1.8801074475049973E-8</v>
      </c>
      <c r="CI214" s="24">
        <f t="shared" si="263"/>
        <v>-1.8801074475049973E-8</v>
      </c>
      <c r="CJ214" s="24">
        <f t="shared" si="263"/>
        <v>-1.8801074475049973E-8</v>
      </c>
      <c r="CK214" s="24">
        <f t="shared" si="263"/>
        <v>58158.299999981202</v>
      </c>
      <c r="CL214" s="24">
        <f t="shared" si="263"/>
        <v>116316.5999999812</v>
      </c>
      <c r="CM214" s="24">
        <f t="shared" si="263"/>
        <v>174474.89999998122</v>
      </c>
      <c r="CN214" s="24">
        <f t="shared" si="263"/>
        <v>232633.19999998121</v>
      </c>
      <c r="CO214" s="24">
        <f t="shared" si="263"/>
        <v>290791.4999999812</v>
      </c>
      <c r="CP214" s="24">
        <f t="shared" si="263"/>
        <v>348949.79999998119</v>
      </c>
      <c r="CQ214" s="24">
        <f t="shared" si="263"/>
        <v>407108.09999998118</v>
      </c>
      <c r="CR214" s="24">
        <f t="shared" si="263"/>
        <v>465266.39999998116</v>
      </c>
      <c r="CS214" s="24">
        <f t="shared" si="263"/>
        <v>523424.69999998115</v>
      </c>
      <c r="CT214" s="24">
        <f t="shared" si="263"/>
        <v>581582.99999998114</v>
      </c>
      <c r="CU214" s="24">
        <f t="shared" si="263"/>
        <v>639741.29999998119</v>
      </c>
      <c r="CV214" s="24">
        <f t="shared" si="263"/>
        <v>697899.59999998123</v>
      </c>
      <c r="CW214" s="24">
        <f t="shared" si="263"/>
        <v>-1.885928213596344E-8</v>
      </c>
      <c r="CX214" s="24" t="str">
        <f t="shared" si="263"/>
        <v/>
      </c>
      <c r="CY214" s="24" t="str">
        <f t="shared" si="263"/>
        <v/>
      </c>
      <c r="CZ214" s="24" t="str">
        <f t="shared" si="263"/>
        <v/>
      </c>
      <c r="DA214" s="24" t="str">
        <f t="shared" si="263"/>
        <v/>
      </c>
      <c r="DB214" s="24" t="str">
        <f t="shared" si="263"/>
        <v/>
      </c>
      <c r="DC214" s="24" t="str">
        <f t="shared" si="263"/>
        <v/>
      </c>
      <c r="DD214" s="24" t="str">
        <f t="shared" si="263"/>
        <v/>
      </c>
      <c r="DE214" s="24" t="str">
        <f t="shared" si="263"/>
        <v/>
      </c>
      <c r="DF214" s="24" t="str">
        <f t="shared" si="263"/>
        <v/>
      </c>
      <c r="DG214" s="24" t="str">
        <f t="shared" si="263"/>
        <v/>
      </c>
      <c r="DH214" s="24" t="str">
        <f t="shared" si="263"/>
        <v/>
      </c>
      <c r="DI214" s="24" t="str">
        <f t="shared" si="263"/>
        <v/>
      </c>
      <c r="DJ214" s="24" t="str">
        <f t="shared" si="263"/>
        <v/>
      </c>
      <c r="DK214" s="24" t="str">
        <f t="shared" si="263"/>
        <v/>
      </c>
      <c r="DL214" s="24" t="str">
        <f t="shared" si="263"/>
        <v/>
      </c>
      <c r="DM214" s="24" t="str">
        <f t="shared" si="263"/>
        <v/>
      </c>
      <c r="DN214" s="24" t="str">
        <f t="shared" si="263"/>
        <v/>
      </c>
      <c r="DO214" s="24" t="str">
        <f t="shared" si="263"/>
        <v/>
      </c>
      <c r="DP214" s="24" t="str">
        <f t="shared" si="263"/>
        <v/>
      </c>
      <c r="DQ214" s="24" t="str">
        <f t="shared" si="263"/>
        <v/>
      </c>
      <c r="DR214" s="24" t="str">
        <f t="shared" si="263"/>
        <v/>
      </c>
      <c r="DS214" s="24" t="str">
        <f t="shared" si="263"/>
        <v/>
      </c>
      <c r="DT214" s="24" t="str">
        <f t="shared" si="263"/>
        <v/>
      </c>
      <c r="DU214" s="24" t="str">
        <f t="shared" si="263"/>
        <v/>
      </c>
      <c r="DV214" s="24" t="str">
        <f t="shared" si="263"/>
        <v/>
      </c>
      <c r="DW214" s="24"/>
      <c r="DX214" s="24"/>
      <c r="DY214" s="70"/>
    </row>
    <row r="215" spans="2:129" outlineLevel="1" x14ac:dyDescent="0.2">
      <c r="B215" s="124" t="str">
        <f>IF(D165="Equity Multiple", "GP EMx Check","GP IRR Check")</f>
        <v>GP EMx Check</v>
      </c>
      <c r="C215" s="16"/>
      <c r="D215" s="16"/>
      <c r="E215" s="137">
        <f>SUMIF(F215:DY215,"&gt;0")/-SUMIF(F215:DY215,"&lt;0")</f>
        <v>1.0000000000000002</v>
      </c>
      <c r="F215" s="77">
        <f>IF(F200="","",-F212+F213)</f>
        <v>-10402691.700000001</v>
      </c>
      <c r="G215" s="24">
        <f t="shared" ref="G215:BR215" si="264">IF(G200="","",-G212+G213)</f>
        <v>-2691.7000000000003</v>
      </c>
      <c r="H215" s="24">
        <f t="shared" si="264"/>
        <v>-2691.7000000000003</v>
      </c>
      <c r="I215" s="24">
        <f t="shared" si="264"/>
        <v>-2691.7000000000003</v>
      </c>
      <c r="J215" s="24">
        <f t="shared" si="264"/>
        <v>-2691.7000000000003</v>
      </c>
      <c r="K215" s="24">
        <f t="shared" si="264"/>
        <v>-2691.7000000000003</v>
      </c>
      <c r="L215" s="24">
        <f t="shared" si="264"/>
        <v>-2691.7000000000003</v>
      </c>
      <c r="M215" s="24">
        <f t="shared" si="264"/>
        <v>-2691.7000000000003</v>
      </c>
      <c r="N215" s="24">
        <f t="shared" si="264"/>
        <v>-2691.7000000000003</v>
      </c>
      <c r="O215" s="24">
        <f t="shared" si="264"/>
        <v>-2691.7000000000003</v>
      </c>
      <c r="P215" s="24">
        <f t="shared" si="264"/>
        <v>-2691.7000000000003</v>
      </c>
      <c r="Q215" s="24">
        <f t="shared" si="264"/>
        <v>-2691.7000000000003</v>
      </c>
      <c r="R215" s="24">
        <f t="shared" si="264"/>
        <v>-2691.7000000000003</v>
      </c>
      <c r="S215" s="24">
        <f t="shared" si="264"/>
        <v>-2691.7000000000003</v>
      </c>
      <c r="T215" s="24">
        <f t="shared" si="264"/>
        <v>-2691.7000000000003</v>
      </c>
      <c r="U215" s="24">
        <f t="shared" si="264"/>
        <v>-2691.7000000000003</v>
      </c>
      <c r="V215" s="24">
        <f t="shared" si="264"/>
        <v>-2691.7000000000003</v>
      </c>
      <c r="W215" s="24">
        <f t="shared" si="264"/>
        <v>-2691.7000000000003</v>
      </c>
      <c r="X215" s="24">
        <f t="shared" si="264"/>
        <v>-2691.7000000000003</v>
      </c>
      <c r="Y215" s="24">
        <f t="shared" si="264"/>
        <v>-2691.7000000000003</v>
      </c>
      <c r="Z215" s="24">
        <f t="shared" si="264"/>
        <v>-2691.7000000000003</v>
      </c>
      <c r="AA215" s="24">
        <f t="shared" si="264"/>
        <v>-2691.7000000000003</v>
      </c>
      <c r="AB215" s="24">
        <f t="shared" si="264"/>
        <v>-2691.7000000000003</v>
      </c>
      <c r="AC215" s="24">
        <f t="shared" si="264"/>
        <v>-38660.400000000001</v>
      </c>
      <c r="AD215" s="24">
        <f t="shared" si="264"/>
        <v>-93564.6</v>
      </c>
      <c r="AE215" s="24">
        <f t="shared" si="264"/>
        <v>2843545.4000000004</v>
      </c>
      <c r="AF215" s="24">
        <f t="shared" si="264"/>
        <v>-93564.6</v>
      </c>
      <c r="AG215" s="24">
        <f t="shared" si="264"/>
        <v>-93564.6</v>
      </c>
      <c r="AH215" s="24">
        <f t="shared" si="264"/>
        <v>-93564.6</v>
      </c>
      <c r="AI215" s="24">
        <f t="shared" si="264"/>
        <v>-93564.6</v>
      </c>
      <c r="AJ215" s="24">
        <f t="shared" si="264"/>
        <v>-93564.6</v>
      </c>
      <c r="AK215" s="24">
        <f t="shared" si="264"/>
        <v>-93564.6</v>
      </c>
      <c r="AL215" s="24">
        <f t="shared" si="264"/>
        <v>-93564.6</v>
      </c>
      <c r="AM215" s="24">
        <f t="shared" si="264"/>
        <v>-75336.800000000003</v>
      </c>
      <c r="AN215" s="24">
        <f t="shared" si="264"/>
        <v>-75336.800000000003</v>
      </c>
      <c r="AO215" s="24">
        <f t="shared" si="264"/>
        <v>-98232.6</v>
      </c>
      <c r="AP215" s="24">
        <f t="shared" si="264"/>
        <v>-67620.100000000006</v>
      </c>
      <c r="AQ215" s="24">
        <f t="shared" si="264"/>
        <v>-67620.100000000006</v>
      </c>
      <c r="AR215" s="24">
        <f t="shared" si="264"/>
        <v>-67620.100000000006</v>
      </c>
      <c r="AS215" s="24">
        <f t="shared" si="264"/>
        <v>-67620.100000000006</v>
      </c>
      <c r="AT215" s="24">
        <f t="shared" si="264"/>
        <v>-67620.100000000006</v>
      </c>
      <c r="AU215" s="24">
        <f t="shared" si="264"/>
        <v>4139676.1</v>
      </c>
      <c r="AV215" s="24">
        <f t="shared" si="264"/>
        <v>-74538.400000000009</v>
      </c>
      <c r="AW215" s="24">
        <f t="shared" si="264"/>
        <v>-74538.400000000009</v>
      </c>
      <c r="AX215" s="24">
        <f t="shared" si="264"/>
        <v>-74538.400000000009</v>
      </c>
      <c r="AY215" s="24">
        <f t="shared" si="264"/>
        <v>-74538.400000000009</v>
      </c>
      <c r="AZ215" s="24">
        <f t="shared" si="264"/>
        <v>-74538.400000000009</v>
      </c>
      <c r="BA215" s="24">
        <f t="shared" si="264"/>
        <v>5225563.5000000019</v>
      </c>
      <c r="BB215" s="24">
        <f t="shared" si="264"/>
        <v>-55727.600000000006</v>
      </c>
      <c r="BC215" s="24">
        <f t="shared" si="264"/>
        <v>-55727.600000000006</v>
      </c>
      <c r="BD215" s="24">
        <f t="shared" si="264"/>
        <v>-55727.600000000006</v>
      </c>
      <c r="BE215" s="24">
        <f t="shared" si="264"/>
        <v>-55727.600000000006</v>
      </c>
      <c r="BF215" s="24">
        <f t="shared" si="264"/>
        <v>-55727.600000000006</v>
      </c>
      <c r="BG215" s="24">
        <f t="shared" si="264"/>
        <v>-55727.600000000006</v>
      </c>
      <c r="BH215" s="24">
        <f t="shared" si="264"/>
        <v>-55727.600000000006</v>
      </c>
      <c r="BI215" s="24">
        <f t="shared" si="264"/>
        <v>-55727.600000000006</v>
      </c>
      <c r="BJ215" s="24">
        <f t="shared" si="264"/>
        <v>-55727.600000000006</v>
      </c>
      <c r="BK215" s="24">
        <f t="shared" si="264"/>
        <v>-55727.600000000006</v>
      </c>
      <c r="BL215" s="24">
        <f t="shared" si="264"/>
        <v>-55727.600000000006</v>
      </c>
      <c r="BM215" s="24">
        <f t="shared" si="264"/>
        <v>-40982.100000000006</v>
      </c>
      <c r="BN215" s="24">
        <f t="shared" si="264"/>
        <v>-40982.100000000006</v>
      </c>
      <c r="BO215" s="24">
        <f t="shared" si="264"/>
        <v>-40982.100000000006</v>
      </c>
      <c r="BP215" s="24">
        <f t="shared" si="264"/>
        <v>-25308.300000000003</v>
      </c>
      <c r="BQ215" s="24">
        <f t="shared" si="264"/>
        <v>-25308.300000000003</v>
      </c>
      <c r="BR215" s="24">
        <f t="shared" si="264"/>
        <v>-25308.300000000003</v>
      </c>
      <c r="BS215" s="24">
        <f t="shared" ref="BS215:DV215" si="265">IF(BS200="","",-BS212+BS213)</f>
        <v>-25308.300000000003</v>
      </c>
      <c r="BT215" s="24">
        <f t="shared" si="265"/>
        <v>-25308.300000000003</v>
      </c>
      <c r="BU215" s="24">
        <f t="shared" si="265"/>
        <v>-25308.300000000003</v>
      </c>
      <c r="BV215" s="24">
        <f t="shared" si="265"/>
        <v>-25308.300000000003</v>
      </c>
      <c r="BW215" s="24">
        <f t="shared" si="265"/>
        <v>-25308.300000000003</v>
      </c>
      <c r="BX215" s="24">
        <f t="shared" si="265"/>
        <v>-25308.300000000003</v>
      </c>
      <c r="BY215" s="24">
        <f t="shared" si="265"/>
        <v>590691.70000000007</v>
      </c>
      <c r="BZ215" s="24">
        <f t="shared" si="265"/>
        <v>373032.90000000031</v>
      </c>
      <c r="CA215" s="24">
        <f t="shared" si="265"/>
        <v>-25308.300000000003</v>
      </c>
      <c r="CB215" s="24">
        <f t="shared" si="265"/>
        <v>-25308.300000000003</v>
      </c>
      <c r="CC215" s="24">
        <f t="shared" si="265"/>
        <v>-25308.300000000003</v>
      </c>
      <c r="CD215" s="24">
        <f t="shared" si="265"/>
        <v>-25308.300000000003</v>
      </c>
      <c r="CE215" s="24">
        <f t="shared" si="265"/>
        <v>101233.20000000001</v>
      </c>
      <c r="CF215" s="24">
        <f t="shared" si="265"/>
        <v>0</v>
      </c>
      <c r="CG215" s="24">
        <f t="shared" si="265"/>
        <v>0</v>
      </c>
      <c r="CH215" s="24">
        <f t="shared" si="265"/>
        <v>0</v>
      </c>
      <c r="CI215" s="24">
        <f t="shared" si="265"/>
        <v>0</v>
      </c>
      <c r="CJ215" s="24">
        <f t="shared" si="265"/>
        <v>0</v>
      </c>
      <c r="CK215" s="24">
        <f t="shared" si="265"/>
        <v>-58158.3</v>
      </c>
      <c r="CL215" s="24">
        <f t="shared" si="265"/>
        <v>-58158.3</v>
      </c>
      <c r="CM215" s="24">
        <f t="shared" si="265"/>
        <v>-58158.3</v>
      </c>
      <c r="CN215" s="24">
        <f t="shared" si="265"/>
        <v>-58158.3</v>
      </c>
      <c r="CO215" s="24">
        <f t="shared" si="265"/>
        <v>-58158.3</v>
      </c>
      <c r="CP215" s="24">
        <f t="shared" si="265"/>
        <v>-58158.3</v>
      </c>
      <c r="CQ215" s="24">
        <f t="shared" si="265"/>
        <v>-58158.3</v>
      </c>
      <c r="CR215" s="24">
        <f t="shared" si="265"/>
        <v>-58158.3</v>
      </c>
      <c r="CS215" s="24">
        <f t="shared" si="265"/>
        <v>-58158.3</v>
      </c>
      <c r="CT215" s="24">
        <f t="shared" si="265"/>
        <v>-58158.3</v>
      </c>
      <c r="CU215" s="24">
        <f t="shared" si="265"/>
        <v>-58158.3</v>
      </c>
      <c r="CV215" s="24">
        <f t="shared" si="265"/>
        <v>-58158.3</v>
      </c>
      <c r="CW215" s="24">
        <f t="shared" si="265"/>
        <v>697899.60000000009</v>
      </c>
      <c r="CX215" s="24" t="str">
        <f t="shared" si="265"/>
        <v/>
      </c>
      <c r="CY215" s="24" t="str">
        <f t="shared" si="265"/>
        <v/>
      </c>
      <c r="CZ215" s="24" t="str">
        <f t="shared" si="265"/>
        <v/>
      </c>
      <c r="DA215" s="24" t="str">
        <f t="shared" si="265"/>
        <v/>
      </c>
      <c r="DB215" s="24" t="str">
        <f t="shared" si="265"/>
        <v/>
      </c>
      <c r="DC215" s="24" t="str">
        <f t="shared" si="265"/>
        <v/>
      </c>
      <c r="DD215" s="24" t="str">
        <f t="shared" si="265"/>
        <v/>
      </c>
      <c r="DE215" s="24" t="str">
        <f t="shared" si="265"/>
        <v/>
      </c>
      <c r="DF215" s="24" t="str">
        <f t="shared" si="265"/>
        <v/>
      </c>
      <c r="DG215" s="24" t="str">
        <f t="shared" si="265"/>
        <v/>
      </c>
      <c r="DH215" s="24" t="str">
        <f t="shared" si="265"/>
        <v/>
      </c>
      <c r="DI215" s="24" t="str">
        <f t="shared" si="265"/>
        <v/>
      </c>
      <c r="DJ215" s="24" t="str">
        <f t="shared" si="265"/>
        <v/>
      </c>
      <c r="DK215" s="24" t="str">
        <f t="shared" si="265"/>
        <v/>
      </c>
      <c r="DL215" s="24" t="str">
        <f t="shared" si="265"/>
        <v/>
      </c>
      <c r="DM215" s="24" t="str">
        <f t="shared" si="265"/>
        <v/>
      </c>
      <c r="DN215" s="24" t="str">
        <f t="shared" si="265"/>
        <v/>
      </c>
      <c r="DO215" s="24" t="str">
        <f t="shared" si="265"/>
        <v/>
      </c>
      <c r="DP215" s="24" t="str">
        <f t="shared" si="265"/>
        <v/>
      </c>
      <c r="DQ215" s="24" t="str">
        <f t="shared" si="265"/>
        <v/>
      </c>
      <c r="DR215" s="24" t="str">
        <f t="shared" si="265"/>
        <v/>
      </c>
      <c r="DS215" s="24" t="str">
        <f t="shared" si="265"/>
        <v/>
      </c>
      <c r="DT215" s="24" t="str">
        <f t="shared" si="265"/>
        <v/>
      </c>
      <c r="DU215" s="24" t="str">
        <f t="shared" si="265"/>
        <v/>
      </c>
      <c r="DV215" s="24" t="str">
        <f t="shared" si="265"/>
        <v/>
      </c>
      <c r="DW215" s="24"/>
      <c r="DX215" s="24"/>
      <c r="DY215" s="70"/>
    </row>
    <row r="216" spans="2:129" outlineLevel="1" x14ac:dyDescent="0.2">
      <c r="B216" s="16"/>
      <c r="C216" s="16"/>
      <c r="D216" s="16"/>
      <c r="E216" s="16"/>
      <c r="F216" s="77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4"/>
      <c r="BC216" s="24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4"/>
      <c r="BP216" s="24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4"/>
      <c r="CC216" s="24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  <c r="DV216" s="24"/>
      <c r="DW216" s="24"/>
      <c r="DX216" s="24"/>
      <c r="DY216" s="70"/>
    </row>
    <row r="217" spans="2:129" outlineLevel="1" x14ac:dyDescent="0.2">
      <c r="B217" s="16" t="str">
        <f>"Total Distributions ("&amp;B199&amp;")"</f>
        <v>Total Distributions (Tier 1 - Preferred Return + Return of Capital)</v>
      </c>
      <c r="C217" s="16"/>
      <c r="D217" s="16"/>
      <c r="E217" s="16"/>
      <c r="F217" s="77">
        <f>IF(F200="","",F213+F208)</f>
        <v>0</v>
      </c>
      <c r="G217" s="77">
        <f t="shared" ref="G217:BR217" si="266">IF(G200="","",G213+G208)</f>
        <v>0</v>
      </c>
      <c r="H217" s="77">
        <f t="shared" si="266"/>
        <v>0</v>
      </c>
      <c r="I217" s="77">
        <f t="shared" si="266"/>
        <v>0</v>
      </c>
      <c r="J217" s="77">
        <f t="shared" si="266"/>
        <v>0</v>
      </c>
      <c r="K217" s="77">
        <f t="shared" si="266"/>
        <v>0</v>
      </c>
      <c r="L217" s="77">
        <f t="shared" si="266"/>
        <v>0</v>
      </c>
      <c r="M217" s="77">
        <f t="shared" si="266"/>
        <v>0</v>
      </c>
      <c r="N217" s="77">
        <f t="shared" si="266"/>
        <v>0</v>
      </c>
      <c r="O217" s="77">
        <f t="shared" si="266"/>
        <v>0</v>
      </c>
      <c r="P217" s="77">
        <f t="shared" si="266"/>
        <v>0</v>
      </c>
      <c r="Q217" s="77">
        <f t="shared" si="266"/>
        <v>0</v>
      </c>
      <c r="R217" s="77">
        <f t="shared" si="266"/>
        <v>0</v>
      </c>
      <c r="S217" s="77">
        <f t="shared" si="266"/>
        <v>0</v>
      </c>
      <c r="T217" s="77">
        <f t="shared" si="266"/>
        <v>0</v>
      </c>
      <c r="U217" s="77">
        <f t="shared" si="266"/>
        <v>0</v>
      </c>
      <c r="V217" s="77">
        <f t="shared" si="266"/>
        <v>0</v>
      </c>
      <c r="W217" s="77">
        <f t="shared" si="266"/>
        <v>0</v>
      </c>
      <c r="X217" s="77">
        <f t="shared" si="266"/>
        <v>0</v>
      </c>
      <c r="Y217" s="77">
        <f t="shared" si="266"/>
        <v>0</v>
      </c>
      <c r="Z217" s="77">
        <f t="shared" si="266"/>
        <v>0</v>
      </c>
      <c r="AA217" s="77">
        <f t="shared" si="266"/>
        <v>0</v>
      </c>
      <c r="AB217" s="77">
        <f t="shared" si="266"/>
        <v>0</v>
      </c>
      <c r="AC217" s="77">
        <f t="shared" si="266"/>
        <v>0</v>
      </c>
      <c r="AD217" s="77">
        <f t="shared" si="266"/>
        <v>0</v>
      </c>
      <c r="AE217" s="77">
        <f t="shared" si="266"/>
        <v>28435454</v>
      </c>
      <c r="AF217" s="77">
        <f t="shared" si="266"/>
        <v>0</v>
      </c>
      <c r="AG217" s="77">
        <f t="shared" si="266"/>
        <v>0</v>
      </c>
      <c r="AH217" s="77">
        <f t="shared" si="266"/>
        <v>0</v>
      </c>
      <c r="AI217" s="77">
        <f t="shared" si="266"/>
        <v>0</v>
      </c>
      <c r="AJ217" s="77">
        <f t="shared" si="266"/>
        <v>0</v>
      </c>
      <c r="AK217" s="77">
        <f t="shared" si="266"/>
        <v>0</v>
      </c>
      <c r="AL217" s="77">
        <f t="shared" si="266"/>
        <v>0</v>
      </c>
      <c r="AM217" s="77">
        <f t="shared" si="266"/>
        <v>0</v>
      </c>
      <c r="AN217" s="77">
        <f t="shared" si="266"/>
        <v>0</v>
      </c>
      <c r="AO217" s="77">
        <f t="shared" si="266"/>
        <v>0</v>
      </c>
      <c r="AP217" s="77">
        <f t="shared" si="266"/>
        <v>0</v>
      </c>
      <c r="AQ217" s="77">
        <f t="shared" si="266"/>
        <v>0</v>
      </c>
      <c r="AR217" s="77">
        <f t="shared" si="266"/>
        <v>0</v>
      </c>
      <c r="AS217" s="77">
        <f t="shared" si="266"/>
        <v>0</v>
      </c>
      <c r="AT217" s="77">
        <f t="shared" si="266"/>
        <v>0</v>
      </c>
      <c r="AU217" s="77">
        <f t="shared" si="266"/>
        <v>41396761</v>
      </c>
      <c r="AV217" s="77">
        <f t="shared" si="266"/>
        <v>0</v>
      </c>
      <c r="AW217" s="77">
        <f t="shared" si="266"/>
        <v>0</v>
      </c>
      <c r="AX217" s="77">
        <f t="shared" si="266"/>
        <v>0</v>
      </c>
      <c r="AY217" s="77">
        <f t="shared" si="266"/>
        <v>0</v>
      </c>
      <c r="AZ217" s="77">
        <f t="shared" si="266"/>
        <v>0</v>
      </c>
      <c r="BA217" s="77">
        <f t="shared" si="266"/>
        <v>52255635.000000015</v>
      </c>
      <c r="BB217" s="77">
        <f t="shared" si="266"/>
        <v>0</v>
      </c>
      <c r="BC217" s="77">
        <f t="shared" si="266"/>
        <v>0</v>
      </c>
      <c r="BD217" s="77">
        <f t="shared" si="266"/>
        <v>0</v>
      </c>
      <c r="BE217" s="77">
        <f t="shared" si="266"/>
        <v>0</v>
      </c>
      <c r="BF217" s="77">
        <f t="shared" si="266"/>
        <v>0</v>
      </c>
      <c r="BG217" s="77">
        <f t="shared" si="266"/>
        <v>0</v>
      </c>
      <c r="BH217" s="77">
        <f t="shared" si="266"/>
        <v>0</v>
      </c>
      <c r="BI217" s="77">
        <f t="shared" si="266"/>
        <v>0</v>
      </c>
      <c r="BJ217" s="77">
        <f t="shared" si="266"/>
        <v>0</v>
      </c>
      <c r="BK217" s="77">
        <f t="shared" si="266"/>
        <v>0</v>
      </c>
      <c r="BL217" s="77">
        <f t="shared" si="266"/>
        <v>0</v>
      </c>
      <c r="BM217" s="77">
        <f t="shared" si="266"/>
        <v>0</v>
      </c>
      <c r="BN217" s="77">
        <f t="shared" si="266"/>
        <v>0</v>
      </c>
      <c r="BO217" s="77">
        <f t="shared" si="266"/>
        <v>0</v>
      </c>
      <c r="BP217" s="77">
        <f t="shared" si="266"/>
        <v>0</v>
      </c>
      <c r="BQ217" s="77">
        <f t="shared" si="266"/>
        <v>0</v>
      </c>
      <c r="BR217" s="77">
        <f t="shared" si="266"/>
        <v>0</v>
      </c>
      <c r="BS217" s="77">
        <f t="shared" ref="BS217:DV217" si="267">IF(BS200="","",BS213+BS208)</f>
        <v>0</v>
      </c>
      <c r="BT217" s="77">
        <f t="shared" si="267"/>
        <v>0</v>
      </c>
      <c r="BU217" s="77">
        <f t="shared" si="267"/>
        <v>0</v>
      </c>
      <c r="BV217" s="77">
        <f t="shared" si="267"/>
        <v>0</v>
      </c>
      <c r="BW217" s="77">
        <f t="shared" si="267"/>
        <v>0</v>
      </c>
      <c r="BX217" s="77">
        <f t="shared" si="267"/>
        <v>0</v>
      </c>
      <c r="BY217" s="77">
        <f t="shared" si="267"/>
        <v>5906917</v>
      </c>
      <c r="BZ217" s="77">
        <f t="shared" si="267"/>
        <v>3730329.0000000028</v>
      </c>
      <c r="CA217" s="77">
        <f t="shared" si="267"/>
        <v>0</v>
      </c>
      <c r="CB217" s="77">
        <f t="shared" si="267"/>
        <v>0</v>
      </c>
      <c r="CC217" s="77">
        <f t="shared" si="267"/>
        <v>0</v>
      </c>
      <c r="CD217" s="77">
        <f t="shared" si="267"/>
        <v>0</v>
      </c>
      <c r="CE217" s="77">
        <f t="shared" si="267"/>
        <v>1012332</v>
      </c>
      <c r="CF217" s="77">
        <f t="shared" si="267"/>
        <v>0</v>
      </c>
      <c r="CG217" s="77">
        <f t="shared" si="267"/>
        <v>0</v>
      </c>
      <c r="CH217" s="77">
        <f t="shared" si="267"/>
        <v>0</v>
      </c>
      <c r="CI217" s="77">
        <f t="shared" si="267"/>
        <v>0</v>
      </c>
      <c r="CJ217" s="77">
        <f t="shared" si="267"/>
        <v>0</v>
      </c>
      <c r="CK217" s="77">
        <f t="shared" si="267"/>
        <v>0</v>
      </c>
      <c r="CL217" s="77">
        <f t="shared" si="267"/>
        <v>0</v>
      </c>
      <c r="CM217" s="77">
        <f t="shared" si="267"/>
        <v>0</v>
      </c>
      <c r="CN217" s="77">
        <f t="shared" si="267"/>
        <v>0</v>
      </c>
      <c r="CO217" s="77">
        <f t="shared" si="267"/>
        <v>0</v>
      </c>
      <c r="CP217" s="77">
        <f t="shared" si="267"/>
        <v>0</v>
      </c>
      <c r="CQ217" s="77">
        <f t="shared" si="267"/>
        <v>0</v>
      </c>
      <c r="CR217" s="77">
        <f t="shared" si="267"/>
        <v>0</v>
      </c>
      <c r="CS217" s="77">
        <f t="shared" si="267"/>
        <v>0</v>
      </c>
      <c r="CT217" s="77">
        <f t="shared" si="267"/>
        <v>0</v>
      </c>
      <c r="CU217" s="77">
        <f t="shared" si="267"/>
        <v>0</v>
      </c>
      <c r="CV217" s="77">
        <f t="shared" si="267"/>
        <v>0</v>
      </c>
      <c r="CW217" s="77">
        <f t="shared" si="267"/>
        <v>6978996.0000000019</v>
      </c>
      <c r="CX217" s="77" t="str">
        <f t="shared" si="267"/>
        <v/>
      </c>
      <c r="CY217" s="77" t="str">
        <f t="shared" si="267"/>
        <v/>
      </c>
      <c r="CZ217" s="77" t="str">
        <f t="shared" si="267"/>
        <v/>
      </c>
      <c r="DA217" s="77" t="str">
        <f t="shared" si="267"/>
        <v/>
      </c>
      <c r="DB217" s="77" t="str">
        <f t="shared" si="267"/>
        <v/>
      </c>
      <c r="DC217" s="77" t="str">
        <f t="shared" si="267"/>
        <v/>
      </c>
      <c r="DD217" s="77" t="str">
        <f t="shared" si="267"/>
        <v/>
      </c>
      <c r="DE217" s="77" t="str">
        <f t="shared" si="267"/>
        <v/>
      </c>
      <c r="DF217" s="77" t="str">
        <f t="shared" si="267"/>
        <v/>
      </c>
      <c r="DG217" s="77" t="str">
        <f t="shared" si="267"/>
        <v/>
      </c>
      <c r="DH217" s="77" t="str">
        <f t="shared" si="267"/>
        <v/>
      </c>
      <c r="DI217" s="77" t="str">
        <f t="shared" si="267"/>
        <v/>
      </c>
      <c r="DJ217" s="77" t="str">
        <f t="shared" si="267"/>
        <v/>
      </c>
      <c r="DK217" s="77" t="str">
        <f t="shared" si="267"/>
        <v/>
      </c>
      <c r="DL217" s="77" t="str">
        <f t="shared" si="267"/>
        <v/>
      </c>
      <c r="DM217" s="77" t="str">
        <f t="shared" si="267"/>
        <v/>
      </c>
      <c r="DN217" s="77" t="str">
        <f t="shared" si="267"/>
        <v/>
      </c>
      <c r="DO217" s="77" t="str">
        <f t="shared" si="267"/>
        <v/>
      </c>
      <c r="DP217" s="77" t="str">
        <f t="shared" si="267"/>
        <v/>
      </c>
      <c r="DQ217" s="77" t="str">
        <f t="shared" si="267"/>
        <v/>
      </c>
      <c r="DR217" s="77" t="str">
        <f t="shared" si="267"/>
        <v/>
      </c>
      <c r="DS217" s="77" t="str">
        <f t="shared" si="267"/>
        <v/>
      </c>
      <c r="DT217" s="77" t="str">
        <f t="shared" si="267"/>
        <v/>
      </c>
      <c r="DU217" s="77" t="str">
        <f t="shared" si="267"/>
        <v/>
      </c>
      <c r="DV217" s="77" t="str">
        <f t="shared" si="267"/>
        <v/>
      </c>
      <c r="DW217" s="77"/>
      <c r="DX217" s="77"/>
      <c r="DY217" s="78"/>
    </row>
    <row r="218" spans="2:129" outlineLevel="1" x14ac:dyDescent="0.2">
      <c r="B218" s="16" t="s">
        <v>69</v>
      </c>
      <c r="C218" s="16"/>
      <c r="D218" s="16"/>
      <c r="E218" s="16"/>
      <c r="F218" s="77">
        <f>IF(F200="","",MAX(F195-F217,0))</f>
        <v>0</v>
      </c>
      <c r="G218" s="77">
        <f t="shared" ref="G218:BR218" si="268">IF(G200="","",MAX(G195-G217,0))</f>
        <v>0</v>
      </c>
      <c r="H218" s="77">
        <f t="shared" si="268"/>
        <v>0</v>
      </c>
      <c r="I218" s="77">
        <f t="shared" si="268"/>
        <v>0</v>
      </c>
      <c r="J218" s="77">
        <f t="shared" si="268"/>
        <v>0</v>
      </c>
      <c r="K218" s="77">
        <f t="shared" si="268"/>
        <v>0</v>
      </c>
      <c r="L218" s="77">
        <f t="shared" si="268"/>
        <v>0</v>
      </c>
      <c r="M218" s="77">
        <f t="shared" si="268"/>
        <v>0</v>
      </c>
      <c r="N218" s="77">
        <f t="shared" si="268"/>
        <v>0</v>
      </c>
      <c r="O218" s="77">
        <f t="shared" si="268"/>
        <v>0</v>
      </c>
      <c r="P218" s="77">
        <f t="shared" si="268"/>
        <v>0</v>
      </c>
      <c r="Q218" s="77">
        <f t="shared" si="268"/>
        <v>0</v>
      </c>
      <c r="R218" s="77">
        <f t="shared" si="268"/>
        <v>0</v>
      </c>
      <c r="S218" s="77">
        <f t="shared" si="268"/>
        <v>0</v>
      </c>
      <c r="T218" s="77">
        <f t="shared" si="268"/>
        <v>0</v>
      </c>
      <c r="U218" s="77">
        <f t="shared" si="268"/>
        <v>0</v>
      </c>
      <c r="V218" s="77">
        <f t="shared" si="268"/>
        <v>0</v>
      </c>
      <c r="W218" s="77">
        <f t="shared" si="268"/>
        <v>0</v>
      </c>
      <c r="X218" s="77">
        <f t="shared" si="268"/>
        <v>0</v>
      </c>
      <c r="Y218" s="77">
        <f t="shared" si="268"/>
        <v>0</v>
      </c>
      <c r="Z218" s="77">
        <f t="shared" si="268"/>
        <v>0</v>
      </c>
      <c r="AA218" s="77">
        <f t="shared" si="268"/>
        <v>0</v>
      </c>
      <c r="AB218" s="77">
        <f t="shared" si="268"/>
        <v>0</v>
      </c>
      <c r="AC218" s="77">
        <f t="shared" si="268"/>
        <v>0</v>
      </c>
      <c r="AD218" s="77">
        <f t="shared" si="268"/>
        <v>0</v>
      </c>
      <c r="AE218" s="77">
        <f t="shared" si="268"/>
        <v>0</v>
      </c>
      <c r="AF218" s="77">
        <f t="shared" si="268"/>
        <v>0</v>
      </c>
      <c r="AG218" s="77">
        <f t="shared" si="268"/>
        <v>0</v>
      </c>
      <c r="AH218" s="77">
        <f t="shared" si="268"/>
        <v>0</v>
      </c>
      <c r="AI218" s="77">
        <f t="shared" si="268"/>
        <v>0</v>
      </c>
      <c r="AJ218" s="77">
        <f t="shared" si="268"/>
        <v>0</v>
      </c>
      <c r="AK218" s="77">
        <f t="shared" si="268"/>
        <v>0</v>
      </c>
      <c r="AL218" s="77">
        <f t="shared" si="268"/>
        <v>0</v>
      </c>
      <c r="AM218" s="77">
        <f t="shared" si="268"/>
        <v>0</v>
      </c>
      <c r="AN218" s="77">
        <f t="shared" si="268"/>
        <v>0</v>
      </c>
      <c r="AO218" s="77">
        <f t="shared" si="268"/>
        <v>0</v>
      </c>
      <c r="AP218" s="77">
        <f t="shared" si="268"/>
        <v>0</v>
      </c>
      <c r="AQ218" s="77">
        <f t="shared" si="268"/>
        <v>0</v>
      </c>
      <c r="AR218" s="77">
        <f t="shared" si="268"/>
        <v>0</v>
      </c>
      <c r="AS218" s="77">
        <f t="shared" si="268"/>
        <v>0</v>
      </c>
      <c r="AT218" s="77">
        <f t="shared" si="268"/>
        <v>0</v>
      </c>
      <c r="AU218" s="77">
        <f t="shared" si="268"/>
        <v>0</v>
      </c>
      <c r="AV218" s="77">
        <f t="shared" si="268"/>
        <v>0</v>
      </c>
      <c r="AW218" s="77">
        <f t="shared" si="268"/>
        <v>0</v>
      </c>
      <c r="AX218" s="77">
        <f t="shared" si="268"/>
        <v>0</v>
      </c>
      <c r="AY218" s="77">
        <f t="shared" si="268"/>
        <v>0</v>
      </c>
      <c r="AZ218" s="77">
        <f t="shared" si="268"/>
        <v>0</v>
      </c>
      <c r="BA218" s="77">
        <f t="shared" si="268"/>
        <v>120694288.99999999</v>
      </c>
      <c r="BB218" s="77">
        <f t="shared" si="268"/>
        <v>0</v>
      </c>
      <c r="BC218" s="77">
        <f t="shared" si="268"/>
        <v>0</v>
      </c>
      <c r="BD218" s="77">
        <f t="shared" si="268"/>
        <v>0</v>
      </c>
      <c r="BE218" s="77">
        <f t="shared" si="268"/>
        <v>0</v>
      </c>
      <c r="BF218" s="77">
        <f t="shared" si="268"/>
        <v>0</v>
      </c>
      <c r="BG218" s="77">
        <f t="shared" si="268"/>
        <v>0</v>
      </c>
      <c r="BH218" s="77">
        <f t="shared" si="268"/>
        <v>0</v>
      </c>
      <c r="BI218" s="77">
        <f t="shared" si="268"/>
        <v>0</v>
      </c>
      <c r="BJ218" s="77">
        <f t="shared" si="268"/>
        <v>0</v>
      </c>
      <c r="BK218" s="77">
        <f t="shared" si="268"/>
        <v>0</v>
      </c>
      <c r="BL218" s="77">
        <f t="shared" si="268"/>
        <v>0</v>
      </c>
      <c r="BM218" s="77">
        <f t="shared" si="268"/>
        <v>0</v>
      </c>
      <c r="BN218" s="77">
        <f t="shared" si="268"/>
        <v>0</v>
      </c>
      <c r="BO218" s="77">
        <f t="shared" si="268"/>
        <v>0</v>
      </c>
      <c r="BP218" s="77">
        <f t="shared" si="268"/>
        <v>0</v>
      </c>
      <c r="BQ218" s="77">
        <f t="shared" si="268"/>
        <v>0</v>
      </c>
      <c r="BR218" s="77">
        <f t="shared" si="268"/>
        <v>0</v>
      </c>
      <c r="BS218" s="77">
        <f t="shared" ref="BS218:DV218" si="269">IF(BS200="","",MAX(BS195-BS217,0))</f>
        <v>0</v>
      </c>
      <c r="BT218" s="77">
        <f t="shared" si="269"/>
        <v>0</v>
      </c>
      <c r="BU218" s="77">
        <f t="shared" si="269"/>
        <v>0</v>
      </c>
      <c r="BV218" s="77">
        <f t="shared" si="269"/>
        <v>0</v>
      </c>
      <c r="BW218" s="77">
        <f t="shared" si="269"/>
        <v>0</v>
      </c>
      <c r="BX218" s="77">
        <f t="shared" si="269"/>
        <v>0</v>
      </c>
      <c r="BY218" s="77">
        <f t="shared" si="269"/>
        <v>0</v>
      </c>
      <c r="BZ218" s="77">
        <f t="shared" si="269"/>
        <v>554087.99999999721</v>
      </c>
      <c r="CA218" s="77">
        <f t="shared" si="269"/>
        <v>0</v>
      </c>
      <c r="CB218" s="77">
        <f t="shared" si="269"/>
        <v>0</v>
      </c>
      <c r="CC218" s="77">
        <f t="shared" si="269"/>
        <v>0</v>
      </c>
      <c r="CD218" s="77">
        <f t="shared" si="269"/>
        <v>0</v>
      </c>
      <c r="CE218" s="77">
        <f t="shared" si="269"/>
        <v>13777168</v>
      </c>
      <c r="CF218" s="77">
        <f t="shared" si="269"/>
        <v>0</v>
      </c>
      <c r="CG218" s="77">
        <f t="shared" si="269"/>
        <v>0</v>
      </c>
      <c r="CH218" s="77">
        <f t="shared" si="269"/>
        <v>0</v>
      </c>
      <c r="CI218" s="77">
        <f t="shared" si="269"/>
        <v>0</v>
      </c>
      <c r="CJ218" s="77">
        <f t="shared" si="269"/>
        <v>0</v>
      </c>
      <c r="CK218" s="77">
        <f t="shared" si="269"/>
        <v>0</v>
      </c>
      <c r="CL218" s="77">
        <f t="shared" si="269"/>
        <v>0</v>
      </c>
      <c r="CM218" s="77">
        <f t="shared" si="269"/>
        <v>0</v>
      </c>
      <c r="CN218" s="77">
        <f t="shared" si="269"/>
        <v>0</v>
      </c>
      <c r="CO218" s="77">
        <f t="shared" si="269"/>
        <v>0</v>
      </c>
      <c r="CP218" s="77">
        <f t="shared" si="269"/>
        <v>0</v>
      </c>
      <c r="CQ218" s="77">
        <f t="shared" si="269"/>
        <v>0</v>
      </c>
      <c r="CR218" s="77">
        <f t="shared" si="269"/>
        <v>0</v>
      </c>
      <c r="CS218" s="77">
        <f t="shared" si="269"/>
        <v>0</v>
      </c>
      <c r="CT218" s="77">
        <f t="shared" si="269"/>
        <v>0</v>
      </c>
      <c r="CU218" s="77">
        <f t="shared" si="269"/>
        <v>0</v>
      </c>
      <c r="CV218" s="77">
        <f t="shared" si="269"/>
        <v>0</v>
      </c>
      <c r="CW218" s="77">
        <f t="shared" si="269"/>
        <v>20076804</v>
      </c>
      <c r="CX218" s="77" t="str">
        <f t="shared" si="269"/>
        <v/>
      </c>
      <c r="CY218" s="77" t="str">
        <f t="shared" si="269"/>
        <v/>
      </c>
      <c r="CZ218" s="77" t="str">
        <f t="shared" si="269"/>
        <v/>
      </c>
      <c r="DA218" s="77" t="str">
        <f t="shared" si="269"/>
        <v/>
      </c>
      <c r="DB218" s="77" t="str">
        <f t="shared" si="269"/>
        <v/>
      </c>
      <c r="DC218" s="77" t="str">
        <f t="shared" si="269"/>
        <v/>
      </c>
      <c r="DD218" s="77" t="str">
        <f t="shared" si="269"/>
        <v/>
      </c>
      <c r="DE218" s="77" t="str">
        <f t="shared" si="269"/>
        <v/>
      </c>
      <c r="DF218" s="77" t="str">
        <f t="shared" si="269"/>
        <v/>
      </c>
      <c r="DG218" s="77" t="str">
        <f t="shared" si="269"/>
        <v/>
      </c>
      <c r="DH218" s="77" t="str">
        <f t="shared" si="269"/>
        <v/>
      </c>
      <c r="DI218" s="77" t="str">
        <f t="shared" si="269"/>
        <v/>
      </c>
      <c r="DJ218" s="77" t="str">
        <f t="shared" si="269"/>
        <v/>
      </c>
      <c r="DK218" s="77" t="str">
        <f t="shared" si="269"/>
        <v/>
      </c>
      <c r="DL218" s="77" t="str">
        <f t="shared" si="269"/>
        <v/>
      </c>
      <c r="DM218" s="77" t="str">
        <f t="shared" si="269"/>
        <v/>
      </c>
      <c r="DN218" s="77" t="str">
        <f t="shared" si="269"/>
        <v/>
      </c>
      <c r="DO218" s="77" t="str">
        <f t="shared" si="269"/>
        <v/>
      </c>
      <c r="DP218" s="77" t="str">
        <f t="shared" si="269"/>
        <v/>
      </c>
      <c r="DQ218" s="77" t="str">
        <f t="shared" si="269"/>
        <v/>
      </c>
      <c r="DR218" s="77" t="str">
        <f t="shared" si="269"/>
        <v/>
      </c>
      <c r="DS218" s="77" t="str">
        <f t="shared" si="269"/>
        <v/>
      </c>
      <c r="DT218" s="77" t="str">
        <f t="shared" si="269"/>
        <v/>
      </c>
      <c r="DU218" s="77" t="str">
        <f t="shared" si="269"/>
        <v/>
      </c>
      <c r="DV218" s="77" t="str">
        <f t="shared" si="269"/>
        <v/>
      </c>
      <c r="DW218" s="77"/>
      <c r="DX218" s="77"/>
      <c r="DY218" s="78"/>
    </row>
    <row r="219" spans="2:129" outlineLevel="1" x14ac:dyDescent="0.2">
      <c r="B219" s="16"/>
      <c r="C219" s="16"/>
      <c r="D219" s="16"/>
      <c r="E219" s="1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66"/>
      <c r="AU219" s="66"/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/>
      <c r="BJ219" s="66"/>
      <c r="BK219" s="66"/>
      <c r="BL219" s="66"/>
      <c r="BM219" s="66"/>
      <c r="BN219" s="66"/>
      <c r="BO219" s="66"/>
      <c r="BP219" s="66"/>
      <c r="BQ219" s="66"/>
      <c r="BR219" s="66"/>
      <c r="BS219" s="66"/>
      <c r="BT219" s="66"/>
      <c r="BU219" s="66"/>
      <c r="BV219" s="66"/>
      <c r="BW219" s="66"/>
      <c r="BX219" s="66"/>
      <c r="BY219" s="66"/>
      <c r="BZ219" s="66"/>
      <c r="CA219" s="66"/>
      <c r="CB219" s="66"/>
      <c r="CC219" s="66"/>
      <c r="CD219" s="66"/>
      <c r="CE219" s="66"/>
      <c r="CF219" s="66"/>
      <c r="CG219" s="66"/>
      <c r="CH219" s="66"/>
      <c r="CI219" s="66"/>
      <c r="CJ219" s="66"/>
      <c r="CK219" s="66"/>
      <c r="CL219" s="66"/>
      <c r="CM219" s="66"/>
      <c r="CN219" s="66"/>
      <c r="CO219" s="66"/>
      <c r="CP219" s="66"/>
      <c r="CQ219" s="66"/>
      <c r="CR219" s="66"/>
      <c r="CS219" s="66"/>
      <c r="CT219" s="66"/>
      <c r="CU219" s="66"/>
      <c r="CV219" s="66"/>
      <c r="CW219" s="66"/>
      <c r="CX219" s="66"/>
      <c r="CY219" s="66"/>
      <c r="CZ219" s="66"/>
      <c r="DA219" s="66"/>
      <c r="DB219" s="66"/>
      <c r="DC219" s="66"/>
      <c r="DD219" s="66"/>
      <c r="DE219" s="66"/>
      <c r="DF219" s="66"/>
      <c r="DG219" s="66"/>
      <c r="DH219" s="66"/>
      <c r="DI219" s="66"/>
      <c r="DJ219" s="66"/>
      <c r="DK219" s="66"/>
      <c r="DL219" s="66"/>
      <c r="DM219" s="66"/>
      <c r="DN219" s="66"/>
      <c r="DO219" s="66"/>
      <c r="DP219" s="66"/>
      <c r="DQ219" s="66"/>
      <c r="DR219" s="66"/>
      <c r="DS219" s="66"/>
      <c r="DT219" s="66"/>
      <c r="DU219" s="66"/>
      <c r="DV219" s="66"/>
      <c r="DW219" s="66"/>
      <c r="DX219" s="66"/>
      <c r="DY219" s="17"/>
    </row>
    <row r="220" spans="2:129" ht="16" outlineLevel="1" x14ac:dyDescent="0.2">
      <c r="B220" s="105" t="s">
        <v>70</v>
      </c>
      <c r="C220" s="100"/>
      <c r="D220" s="100"/>
      <c r="E220" s="100"/>
      <c r="F220" s="113">
        <f>F$21</f>
        <v>0</v>
      </c>
      <c r="G220" s="113">
        <f t="shared" ref="G220:BR220" si="270">G$21</f>
        <v>1</v>
      </c>
      <c r="H220" s="113">
        <f t="shared" si="270"/>
        <v>2</v>
      </c>
      <c r="I220" s="113">
        <f t="shared" si="270"/>
        <v>3</v>
      </c>
      <c r="J220" s="113">
        <f t="shared" si="270"/>
        <v>4</v>
      </c>
      <c r="K220" s="113">
        <f t="shared" si="270"/>
        <v>5</v>
      </c>
      <c r="L220" s="113">
        <f t="shared" si="270"/>
        <v>6</v>
      </c>
      <c r="M220" s="113">
        <f t="shared" si="270"/>
        <v>7</v>
      </c>
      <c r="N220" s="113">
        <f t="shared" si="270"/>
        <v>8</v>
      </c>
      <c r="O220" s="113">
        <f t="shared" si="270"/>
        <v>9</v>
      </c>
      <c r="P220" s="113">
        <f t="shared" si="270"/>
        <v>10</v>
      </c>
      <c r="Q220" s="113">
        <f t="shared" si="270"/>
        <v>11</v>
      </c>
      <c r="R220" s="113">
        <f t="shared" si="270"/>
        <v>12</v>
      </c>
      <c r="S220" s="113">
        <f t="shared" si="270"/>
        <v>13</v>
      </c>
      <c r="T220" s="113">
        <f t="shared" si="270"/>
        <v>14</v>
      </c>
      <c r="U220" s="113">
        <f t="shared" si="270"/>
        <v>15</v>
      </c>
      <c r="V220" s="113">
        <f t="shared" si="270"/>
        <v>16</v>
      </c>
      <c r="W220" s="113">
        <f t="shared" si="270"/>
        <v>17</v>
      </c>
      <c r="X220" s="113">
        <f t="shared" si="270"/>
        <v>18</v>
      </c>
      <c r="Y220" s="113">
        <f t="shared" si="270"/>
        <v>19</v>
      </c>
      <c r="Z220" s="113">
        <f t="shared" si="270"/>
        <v>20</v>
      </c>
      <c r="AA220" s="113">
        <f t="shared" si="270"/>
        <v>21</v>
      </c>
      <c r="AB220" s="113">
        <f t="shared" si="270"/>
        <v>22</v>
      </c>
      <c r="AC220" s="113">
        <f t="shared" si="270"/>
        <v>23</v>
      </c>
      <c r="AD220" s="113">
        <f t="shared" si="270"/>
        <v>24</v>
      </c>
      <c r="AE220" s="113">
        <f t="shared" si="270"/>
        <v>25</v>
      </c>
      <c r="AF220" s="113">
        <f t="shared" si="270"/>
        <v>26</v>
      </c>
      <c r="AG220" s="113">
        <f t="shared" si="270"/>
        <v>27</v>
      </c>
      <c r="AH220" s="113">
        <f t="shared" si="270"/>
        <v>28</v>
      </c>
      <c r="AI220" s="113">
        <f t="shared" si="270"/>
        <v>29</v>
      </c>
      <c r="AJ220" s="113">
        <f t="shared" si="270"/>
        <v>30</v>
      </c>
      <c r="AK220" s="113">
        <f t="shared" si="270"/>
        <v>31</v>
      </c>
      <c r="AL220" s="113">
        <f t="shared" si="270"/>
        <v>32</v>
      </c>
      <c r="AM220" s="113">
        <f t="shared" si="270"/>
        <v>33</v>
      </c>
      <c r="AN220" s="113">
        <f t="shared" si="270"/>
        <v>34</v>
      </c>
      <c r="AO220" s="113">
        <f t="shared" si="270"/>
        <v>35</v>
      </c>
      <c r="AP220" s="113">
        <f t="shared" si="270"/>
        <v>36</v>
      </c>
      <c r="AQ220" s="113">
        <f t="shared" si="270"/>
        <v>37</v>
      </c>
      <c r="AR220" s="113">
        <f t="shared" si="270"/>
        <v>38</v>
      </c>
      <c r="AS220" s="113">
        <f t="shared" si="270"/>
        <v>39</v>
      </c>
      <c r="AT220" s="113">
        <f t="shared" si="270"/>
        <v>40</v>
      </c>
      <c r="AU220" s="113">
        <f t="shared" si="270"/>
        <v>41</v>
      </c>
      <c r="AV220" s="113">
        <f t="shared" si="270"/>
        <v>42</v>
      </c>
      <c r="AW220" s="113">
        <f t="shared" si="270"/>
        <v>43</v>
      </c>
      <c r="AX220" s="113">
        <f t="shared" si="270"/>
        <v>44</v>
      </c>
      <c r="AY220" s="113">
        <f t="shared" si="270"/>
        <v>45</v>
      </c>
      <c r="AZ220" s="113">
        <f t="shared" si="270"/>
        <v>46</v>
      </c>
      <c r="BA220" s="113">
        <f t="shared" si="270"/>
        <v>47</v>
      </c>
      <c r="BB220" s="113">
        <f t="shared" si="270"/>
        <v>48</v>
      </c>
      <c r="BC220" s="113">
        <f t="shared" si="270"/>
        <v>49</v>
      </c>
      <c r="BD220" s="113">
        <f t="shared" si="270"/>
        <v>50</v>
      </c>
      <c r="BE220" s="113">
        <f t="shared" si="270"/>
        <v>51</v>
      </c>
      <c r="BF220" s="113">
        <f t="shared" si="270"/>
        <v>52</v>
      </c>
      <c r="BG220" s="113">
        <f t="shared" si="270"/>
        <v>53</v>
      </c>
      <c r="BH220" s="113">
        <f t="shared" si="270"/>
        <v>54</v>
      </c>
      <c r="BI220" s="113">
        <f t="shared" si="270"/>
        <v>55</v>
      </c>
      <c r="BJ220" s="113">
        <f t="shared" si="270"/>
        <v>56</v>
      </c>
      <c r="BK220" s="113">
        <f t="shared" si="270"/>
        <v>57</v>
      </c>
      <c r="BL220" s="113">
        <f t="shared" si="270"/>
        <v>58</v>
      </c>
      <c r="BM220" s="113">
        <f t="shared" si="270"/>
        <v>59</v>
      </c>
      <c r="BN220" s="113">
        <f t="shared" si="270"/>
        <v>60</v>
      </c>
      <c r="BO220" s="113">
        <f t="shared" si="270"/>
        <v>61</v>
      </c>
      <c r="BP220" s="113">
        <f t="shared" si="270"/>
        <v>62</v>
      </c>
      <c r="BQ220" s="113">
        <f t="shared" si="270"/>
        <v>63</v>
      </c>
      <c r="BR220" s="113">
        <f t="shared" si="270"/>
        <v>64</v>
      </c>
      <c r="BS220" s="113">
        <f t="shared" ref="BS220:DV220" si="271">BS$21</f>
        <v>65</v>
      </c>
      <c r="BT220" s="113">
        <f t="shared" si="271"/>
        <v>66</v>
      </c>
      <c r="BU220" s="113">
        <f t="shared" si="271"/>
        <v>67</v>
      </c>
      <c r="BV220" s="113">
        <f t="shared" si="271"/>
        <v>68</v>
      </c>
      <c r="BW220" s="113">
        <f t="shared" si="271"/>
        <v>69</v>
      </c>
      <c r="BX220" s="113">
        <f t="shared" si="271"/>
        <v>70</v>
      </c>
      <c r="BY220" s="113">
        <f t="shared" si="271"/>
        <v>71</v>
      </c>
      <c r="BZ220" s="113">
        <f t="shared" si="271"/>
        <v>72</v>
      </c>
      <c r="CA220" s="113">
        <f t="shared" si="271"/>
        <v>73</v>
      </c>
      <c r="CB220" s="113">
        <f t="shared" si="271"/>
        <v>74</v>
      </c>
      <c r="CC220" s="113">
        <f t="shared" si="271"/>
        <v>75</v>
      </c>
      <c r="CD220" s="113">
        <f t="shared" si="271"/>
        <v>76</v>
      </c>
      <c r="CE220" s="113">
        <f t="shared" si="271"/>
        <v>77</v>
      </c>
      <c r="CF220" s="113">
        <f t="shared" si="271"/>
        <v>78</v>
      </c>
      <c r="CG220" s="113">
        <f t="shared" si="271"/>
        <v>79</v>
      </c>
      <c r="CH220" s="113">
        <f t="shared" si="271"/>
        <v>80</v>
      </c>
      <c r="CI220" s="113">
        <f t="shared" si="271"/>
        <v>81</v>
      </c>
      <c r="CJ220" s="113">
        <f t="shared" si="271"/>
        <v>82</v>
      </c>
      <c r="CK220" s="113">
        <f t="shared" si="271"/>
        <v>83</v>
      </c>
      <c r="CL220" s="113">
        <f t="shared" si="271"/>
        <v>84</v>
      </c>
      <c r="CM220" s="113">
        <f t="shared" si="271"/>
        <v>85</v>
      </c>
      <c r="CN220" s="113">
        <f t="shared" si="271"/>
        <v>86</v>
      </c>
      <c r="CO220" s="113">
        <f t="shared" si="271"/>
        <v>87</v>
      </c>
      <c r="CP220" s="113">
        <f t="shared" si="271"/>
        <v>88</v>
      </c>
      <c r="CQ220" s="113">
        <f t="shared" si="271"/>
        <v>89</v>
      </c>
      <c r="CR220" s="113">
        <f t="shared" si="271"/>
        <v>90</v>
      </c>
      <c r="CS220" s="113">
        <f t="shared" si="271"/>
        <v>91</v>
      </c>
      <c r="CT220" s="113">
        <f t="shared" si="271"/>
        <v>92</v>
      </c>
      <c r="CU220" s="113">
        <f t="shared" si="271"/>
        <v>93</v>
      </c>
      <c r="CV220" s="113">
        <f t="shared" si="271"/>
        <v>94</v>
      </c>
      <c r="CW220" s="113">
        <f t="shared" si="271"/>
        <v>95</v>
      </c>
      <c r="CX220" s="113" t="str">
        <f t="shared" si="271"/>
        <v/>
      </c>
      <c r="CY220" s="113" t="str">
        <f t="shared" si="271"/>
        <v/>
      </c>
      <c r="CZ220" s="113" t="str">
        <f t="shared" si="271"/>
        <v/>
      </c>
      <c r="DA220" s="113" t="str">
        <f t="shared" si="271"/>
        <v/>
      </c>
      <c r="DB220" s="113" t="str">
        <f t="shared" si="271"/>
        <v/>
      </c>
      <c r="DC220" s="113" t="str">
        <f t="shared" si="271"/>
        <v/>
      </c>
      <c r="DD220" s="113" t="str">
        <f t="shared" si="271"/>
        <v/>
      </c>
      <c r="DE220" s="113" t="str">
        <f t="shared" si="271"/>
        <v/>
      </c>
      <c r="DF220" s="113" t="str">
        <f t="shared" si="271"/>
        <v/>
      </c>
      <c r="DG220" s="113" t="str">
        <f t="shared" si="271"/>
        <v/>
      </c>
      <c r="DH220" s="113" t="str">
        <f t="shared" si="271"/>
        <v/>
      </c>
      <c r="DI220" s="113" t="str">
        <f t="shared" si="271"/>
        <v/>
      </c>
      <c r="DJ220" s="113" t="str">
        <f t="shared" si="271"/>
        <v/>
      </c>
      <c r="DK220" s="113" t="str">
        <f t="shared" si="271"/>
        <v/>
      </c>
      <c r="DL220" s="113" t="str">
        <f t="shared" si="271"/>
        <v/>
      </c>
      <c r="DM220" s="113" t="str">
        <f t="shared" si="271"/>
        <v/>
      </c>
      <c r="DN220" s="113" t="str">
        <f t="shared" si="271"/>
        <v/>
      </c>
      <c r="DO220" s="113" t="str">
        <f t="shared" si="271"/>
        <v/>
      </c>
      <c r="DP220" s="113" t="str">
        <f t="shared" si="271"/>
        <v/>
      </c>
      <c r="DQ220" s="113" t="str">
        <f t="shared" si="271"/>
        <v/>
      </c>
      <c r="DR220" s="113" t="str">
        <f t="shared" si="271"/>
        <v/>
      </c>
      <c r="DS220" s="113" t="str">
        <f t="shared" si="271"/>
        <v/>
      </c>
      <c r="DT220" s="113" t="str">
        <f t="shared" si="271"/>
        <v/>
      </c>
      <c r="DU220" s="113" t="str">
        <f t="shared" si="271"/>
        <v/>
      </c>
      <c r="DV220" s="113" t="str">
        <f t="shared" si="271"/>
        <v/>
      </c>
      <c r="DW220" s="114"/>
      <c r="DX220" s="114"/>
      <c r="DY220" s="115"/>
    </row>
    <row r="221" spans="2:129" outlineLevel="1" x14ac:dyDescent="0.2">
      <c r="B221" s="125" t="s">
        <v>56</v>
      </c>
      <c r="C221" s="138">
        <f>E169</f>
        <v>1.5</v>
      </c>
      <c r="D221" s="16"/>
      <c r="E221" s="16"/>
      <c r="F221" s="66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27"/>
      <c r="Z221" s="127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127"/>
      <c r="AO221" s="127"/>
      <c r="AP221" s="127"/>
      <c r="AQ221" s="127"/>
      <c r="AR221" s="127"/>
      <c r="AS221" s="127"/>
      <c r="AT221" s="127"/>
      <c r="AU221" s="127"/>
      <c r="AV221" s="127"/>
      <c r="AW221" s="127"/>
      <c r="AX221" s="127"/>
      <c r="AY221" s="127"/>
      <c r="AZ221" s="127"/>
      <c r="BA221" s="127"/>
      <c r="BB221" s="127"/>
      <c r="BC221" s="127"/>
      <c r="BD221" s="127"/>
      <c r="BE221" s="127"/>
      <c r="BF221" s="127"/>
      <c r="BG221" s="127"/>
      <c r="BH221" s="127"/>
      <c r="BI221" s="127"/>
      <c r="BJ221" s="127"/>
      <c r="BK221" s="127"/>
      <c r="BL221" s="127"/>
      <c r="BM221" s="127"/>
      <c r="BN221" s="127"/>
      <c r="BO221" s="127"/>
      <c r="BP221" s="127"/>
      <c r="BQ221" s="127"/>
      <c r="BR221" s="127"/>
      <c r="BS221" s="127"/>
      <c r="BT221" s="127"/>
      <c r="BU221" s="127"/>
      <c r="BV221" s="127"/>
      <c r="BW221" s="127"/>
      <c r="BX221" s="127"/>
      <c r="BY221" s="127"/>
      <c r="BZ221" s="127"/>
      <c r="CA221" s="127"/>
      <c r="CB221" s="127"/>
      <c r="CC221" s="127"/>
      <c r="CD221" s="127"/>
      <c r="CE221" s="127"/>
      <c r="CF221" s="127"/>
      <c r="CG221" s="127"/>
      <c r="CH221" s="127"/>
      <c r="CI221" s="127"/>
      <c r="CJ221" s="127"/>
      <c r="CK221" s="127"/>
      <c r="CL221" s="127"/>
      <c r="CM221" s="127"/>
      <c r="CN221" s="127"/>
      <c r="CO221" s="127"/>
      <c r="CP221" s="127"/>
      <c r="CQ221" s="127"/>
      <c r="CR221" s="127"/>
      <c r="CS221" s="127"/>
      <c r="CT221" s="127"/>
      <c r="CU221" s="127"/>
      <c r="CV221" s="127"/>
      <c r="CW221" s="127"/>
      <c r="CX221" s="127"/>
      <c r="CY221" s="127"/>
      <c r="CZ221" s="127"/>
      <c r="DA221" s="127"/>
      <c r="DB221" s="127"/>
      <c r="DC221" s="127"/>
      <c r="DD221" s="127"/>
      <c r="DE221" s="127"/>
      <c r="DF221" s="127"/>
      <c r="DG221" s="127"/>
      <c r="DH221" s="127"/>
      <c r="DI221" s="127"/>
      <c r="DJ221" s="127"/>
      <c r="DK221" s="127"/>
      <c r="DL221" s="127"/>
      <c r="DM221" s="127"/>
      <c r="DN221" s="127"/>
      <c r="DO221" s="127"/>
      <c r="DP221" s="127"/>
      <c r="DQ221" s="127"/>
      <c r="DR221" s="127"/>
      <c r="DS221" s="127"/>
      <c r="DT221" s="127"/>
      <c r="DU221" s="127"/>
      <c r="DV221" s="127"/>
      <c r="DW221" s="127"/>
      <c r="DX221" s="127"/>
      <c r="DY221" s="115"/>
    </row>
    <row r="222" spans="2:129" outlineLevel="1" x14ac:dyDescent="0.2">
      <c r="B222" s="16" t="s">
        <v>57</v>
      </c>
      <c r="C222" s="16"/>
      <c r="D222" s="16"/>
      <c r="E222" s="16"/>
      <c r="F222" s="77">
        <f>IF(F220="","",E227)</f>
        <v>0</v>
      </c>
      <c r="G222" s="77">
        <f t="shared" ref="G222:BR222" si="272">IF(G220="","",F227)</f>
        <v>93624225.299999997</v>
      </c>
      <c r="H222" s="77">
        <f t="shared" si="272"/>
        <v>140460563.25</v>
      </c>
      <c r="I222" s="77">
        <f t="shared" si="272"/>
        <v>140496901.20000002</v>
      </c>
      <c r="J222" s="77">
        <f t="shared" si="272"/>
        <v>140533239.15000004</v>
      </c>
      <c r="K222" s="77">
        <f t="shared" si="272"/>
        <v>140569577.10000005</v>
      </c>
      <c r="L222" s="77">
        <f t="shared" si="272"/>
        <v>140605915.05000007</v>
      </c>
      <c r="M222" s="77">
        <f t="shared" si="272"/>
        <v>140642253.00000009</v>
      </c>
      <c r="N222" s="77">
        <f t="shared" si="272"/>
        <v>140678590.95000011</v>
      </c>
      <c r="O222" s="77">
        <f t="shared" si="272"/>
        <v>140714928.90000013</v>
      </c>
      <c r="P222" s="77">
        <f t="shared" si="272"/>
        <v>140751266.85000014</v>
      </c>
      <c r="Q222" s="77">
        <f t="shared" si="272"/>
        <v>140787604.80000016</v>
      </c>
      <c r="R222" s="77">
        <f t="shared" si="272"/>
        <v>140823942.75000018</v>
      </c>
      <c r="S222" s="77">
        <f t="shared" si="272"/>
        <v>140860280.7000002</v>
      </c>
      <c r="T222" s="77">
        <f t="shared" si="272"/>
        <v>140896618.65000021</v>
      </c>
      <c r="U222" s="77">
        <f t="shared" si="272"/>
        <v>140932956.60000023</v>
      </c>
      <c r="V222" s="77">
        <f t="shared" si="272"/>
        <v>140969294.55000025</v>
      </c>
      <c r="W222" s="77">
        <f t="shared" si="272"/>
        <v>141005632.50000027</v>
      </c>
      <c r="X222" s="77">
        <f t="shared" si="272"/>
        <v>141041970.45000029</v>
      </c>
      <c r="Y222" s="77">
        <f t="shared" si="272"/>
        <v>141078308.4000003</v>
      </c>
      <c r="Z222" s="77">
        <f t="shared" si="272"/>
        <v>141114646.35000032</v>
      </c>
      <c r="AA222" s="77">
        <f t="shared" si="272"/>
        <v>141150984.30000034</v>
      </c>
      <c r="AB222" s="77">
        <f t="shared" si="272"/>
        <v>141187322.25000036</v>
      </c>
      <c r="AC222" s="77">
        <f t="shared" si="272"/>
        <v>141223660.20000038</v>
      </c>
      <c r="AD222" s="77">
        <f t="shared" si="272"/>
        <v>141583716.45000038</v>
      </c>
      <c r="AE222" s="77">
        <f t="shared" si="272"/>
        <v>142599769.65000039</v>
      </c>
      <c r="AF222" s="77">
        <f t="shared" si="272"/>
        <v>117428901.75000039</v>
      </c>
      <c r="AG222" s="77">
        <f t="shared" si="272"/>
        <v>118270983.15000039</v>
      </c>
      <c r="AH222" s="77">
        <f t="shared" si="272"/>
        <v>119534105.2500004</v>
      </c>
      <c r="AI222" s="77">
        <f t="shared" si="272"/>
        <v>120797227.35000041</v>
      </c>
      <c r="AJ222" s="77">
        <f t="shared" si="272"/>
        <v>122060349.45000042</v>
      </c>
      <c r="AK222" s="77">
        <f t="shared" si="272"/>
        <v>123323471.55000043</v>
      </c>
      <c r="AL222" s="77">
        <f t="shared" si="272"/>
        <v>124586593.65000044</v>
      </c>
      <c r="AM222" s="77">
        <f t="shared" si="272"/>
        <v>125849715.75000045</v>
      </c>
      <c r="AN222" s="77">
        <f t="shared" si="272"/>
        <v>126948787.65000045</v>
      </c>
      <c r="AO222" s="77">
        <f t="shared" si="272"/>
        <v>127965834.45000045</v>
      </c>
      <c r="AP222" s="77">
        <f t="shared" si="272"/>
        <v>129188943.45000045</v>
      </c>
      <c r="AQ222" s="77">
        <f t="shared" si="272"/>
        <v>130239571.05000046</v>
      </c>
      <c r="AR222" s="77">
        <f t="shared" si="272"/>
        <v>131152442.40000047</v>
      </c>
      <c r="AS222" s="77">
        <f t="shared" si="272"/>
        <v>132065313.75000048</v>
      </c>
      <c r="AT222" s="77">
        <f t="shared" si="272"/>
        <v>132978185.10000049</v>
      </c>
      <c r="AU222" s="77">
        <f t="shared" si="272"/>
        <v>133891056.45000049</v>
      </c>
      <c r="AV222" s="77">
        <f t="shared" si="272"/>
        <v>96938262.000000507</v>
      </c>
      <c r="AW222" s="77">
        <f t="shared" si="272"/>
        <v>97609107.600000501</v>
      </c>
      <c r="AX222" s="77">
        <f t="shared" si="272"/>
        <v>98615376.000000492</v>
      </c>
      <c r="AY222" s="77">
        <f t="shared" si="272"/>
        <v>99621644.400000483</v>
      </c>
      <c r="AZ222" s="77">
        <f t="shared" si="272"/>
        <v>100627912.80000047</v>
      </c>
      <c r="BA222" s="77">
        <f t="shared" si="272"/>
        <v>101634181.20000046</v>
      </c>
      <c r="BB222" s="77">
        <f t="shared" si="272"/>
        <v>0</v>
      </c>
      <c r="BC222" s="77">
        <f t="shared" si="272"/>
        <v>501548.4</v>
      </c>
      <c r="BD222" s="77">
        <f t="shared" si="272"/>
        <v>1253871</v>
      </c>
      <c r="BE222" s="77">
        <f t="shared" si="272"/>
        <v>2006193.6</v>
      </c>
      <c r="BF222" s="77">
        <f t="shared" si="272"/>
        <v>2758516.2</v>
      </c>
      <c r="BG222" s="77">
        <f t="shared" si="272"/>
        <v>3510838.8000000003</v>
      </c>
      <c r="BH222" s="77">
        <f t="shared" si="272"/>
        <v>4263161.4000000004</v>
      </c>
      <c r="BI222" s="77">
        <f t="shared" si="272"/>
        <v>5015484.0000000009</v>
      </c>
      <c r="BJ222" s="77">
        <f t="shared" si="272"/>
        <v>5767806.6000000015</v>
      </c>
      <c r="BK222" s="77">
        <f t="shared" si="272"/>
        <v>6520129.200000002</v>
      </c>
      <c r="BL222" s="77">
        <f t="shared" si="272"/>
        <v>7272451.8000000026</v>
      </c>
      <c r="BM222" s="77">
        <f t="shared" si="272"/>
        <v>8024774.4000000032</v>
      </c>
      <c r="BN222" s="77">
        <f t="shared" si="272"/>
        <v>8644387.5000000037</v>
      </c>
      <c r="BO222" s="77">
        <f t="shared" si="272"/>
        <v>9197645.8500000034</v>
      </c>
      <c r="BP222" s="77">
        <f t="shared" si="272"/>
        <v>9750904.200000003</v>
      </c>
      <c r="BQ222" s="77">
        <f t="shared" si="272"/>
        <v>10163098.350000001</v>
      </c>
      <c r="BR222" s="77">
        <f t="shared" si="272"/>
        <v>10504760.4</v>
      </c>
      <c r="BS222" s="77">
        <f t="shared" ref="BS222:DV222" si="273">IF(BS220="","",BR227)</f>
        <v>10846422.449999999</v>
      </c>
      <c r="BT222" s="77">
        <f t="shared" si="273"/>
        <v>11188084.499999998</v>
      </c>
      <c r="BU222" s="77">
        <f t="shared" si="273"/>
        <v>11529746.549999997</v>
      </c>
      <c r="BV222" s="77">
        <f t="shared" si="273"/>
        <v>11871408.599999996</v>
      </c>
      <c r="BW222" s="77">
        <f t="shared" si="273"/>
        <v>12213070.649999995</v>
      </c>
      <c r="BX222" s="77">
        <f t="shared" si="273"/>
        <v>12554732.699999994</v>
      </c>
      <c r="BY222" s="77">
        <f t="shared" si="273"/>
        <v>12896394.749999993</v>
      </c>
      <c r="BZ222" s="77">
        <f t="shared" si="273"/>
        <v>7694056.7999999924</v>
      </c>
      <c r="CA222" s="77">
        <f t="shared" si="273"/>
        <v>3937817.3399999919</v>
      </c>
      <c r="CB222" s="77">
        <f t="shared" si="273"/>
        <v>4165592.0399999921</v>
      </c>
      <c r="CC222" s="77">
        <f t="shared" si="273"/>
        <v>4507254.0899999924</v>
      </c>
      <c r="CD222" s="77">
        <f t="shared" si="273"/>
        <v>4848916.1399999922</v>
      </c>
      <c r="CE222" s="77">
        <f t="shared" si="273"/>
        <v>5190578.189999992</v>
      </c>
      <c r="CF222" s="77">
        <f t="shared" si="273"/>
        <v>0</v>
      </c>
      <c r="CG222" s="77">
        <f t="shared" si="273"/>
        <v>0</v>
      </c>
      <c r="CH222" s="77">
        <f t="shared" si="273"/>
        <v>0</v>
      </c>
      <c r="CI222" s="77">
        <f t="shared" si="273"/>
        <v>0</v>
      </c>
      <c r="CJ222" s="77">
        <f t="shared" si="273"/>
        <v>0</v>
      </c>
      <c r="CK222" s="77">
        <f t="shared" si="273"/>
        <v>0</v>
      </c>
      <c r="CL222" s="77">
        <f t="shared" si="273"/>
        <v>523424.7</v>
      </c>
      <c r="CM222" s="77">
        <f t="shared" si="273"/>
        <v>1308561.75</v>
      </c>
      <c r="CN222" s="77">
        <f t="shared" si="273"/>
        <v>2093698.8</v>
      </c>
      <c r="CO222" s="77">
        <f t="shared" si="273"/>
        <v>2878835.85</v>
      </c>
      <c r="CP222" s="77">
        <f t="shared" si="273"/>
        <v>3663972.9000000004</v>
      </c>
      <c r="CQ222" s="77">
        <f t="shared" si="273"/>
        <v>4449109.95</v>
      </c>
      <c r="CR222" s="77">
        <f t="shared" si="273"/>
        <v>5234247</v>
      </c>
      <c r="CS222" s="77">
        <f t="shared" si="273"/>
        <v>6019384.0499999998</v>
      </c>
      <c r="CT222" s="77">
        <f t="shared" si="273"/>
        <v>6804521.0999999996</v>
      </c>
      <c r="CU222" s="77">
        <f t="shared" si="273"/>
        <v>7589658.1499999994</v>
      </c>
      <c r="CV222" s="77">
        <f t="shared" si="273"/>
        <v>8374795.1999999993</v>
      </c>
      <c r="CW222" s="77">
        <f t="shared" si="273"/>
        <v>9159932.2499999981</v>
      </c>
      <c r="CX222" s="77" t="str">
        <f t="shared" si="273"/>
        <v/>
      </c>
      <c r="CY222" s="77" t="str">
        <f t="shared" si="273"/>
        <v/>
      </c>
      <c r="CZ222" s="77" t="str">
        <f t="shared" si="273"/>
        <v/>
      </c>
      <c r="DA222" s="77" t="str">
        <f t="shared" si="273"/>
        <v/>
      </c>
      <c r="DB222" s="77" t="str">
        <f t="shared" si="273"/>
        <v/>
      </c>
      <c r="DC222" s="77" t="str">
        <f t="shared" si="273"/>
        <v/>
      </c>
      <c r="DD222" s="77" t="str">
        <f t="shared" si="273"/>
        <v/>
      </c>
      <c r="DE222" s="77" t="str">
        <f t="shared" si="273"/>
        <v/>
      </c>
      <c r="DF222" s="77" t="str">
        <f t="shared" si="273"/>
        <v/>
      </c>
      <c r="DG222" s="77" t="str">
        <f t="shared" si="273"/>
        <v/>
      </c>
      <c r="DH222" s="77" t="str">
        <f t="shared" si="273"/>
        <v/>
      </c>
      <c r="DI222" s="77" t="str">
        <f t="shared" si="273"/>
        <v/>
      </c>
      <c r="DJ222" s="77" t="str">
        <f t="shared" si="273"/>
        <v/>
      </c>
      <c r="DK222" s="77" t="str">
        <f t="shared" si="273"/>
        <v/>
      </c>
      <c r="DL222" s="77" t="str">
        <f t="shared" si="273"/>
        <v/>
      </c>
      <c r="DM222" s="77" t="str">
        <f t="shared" si="273"/>
        <v/>
      </c>
      <c r="DN222" s="77" t="str">
        <f t="shared" si="273"/>
        <v/>
      </c>
      <c r="DO222" s="77" t="str">
        <f t="shared" si="273"/>
        <v/>
      </c>
      <c r="DP222" s="77" t="str">
        <f t="shared" si="273"/>
        <v/>
      </c>
      <c r="DQ222" s="77" t="str">
        <f t="shared" si="273"/>
        <v/>
      </c>
      <c r="DR222" s="77" t="str">
        <f t="shared" si="273"/>
        <v/>
      </c>
      <c r="DS222" s="77" t="str">
        <f t="shared" si="273"/>
        <v/>
      </c>
      <c r="DT222" s="77" t="str">
        <f t="shared" si="273"/>
        <v/>
      </c>
      <c r="DU222" s="77" t="str">
        <f t="shared" si="273"/>
        <v/>
      </c>
      <c r="DV222" s="77" t="str">
        <f t="shared" si="273"/>
        <v/>
      </c>
      <c r="DW222" s="77"/>
      <c r="DX222" s="77"/>
      <c r="DY222" s="78"/>
    </row>
    <row r="223" spans="2:129" outlineLevel="1" x14ac:dyDescent="0.2">
      <c r="B223" s="16" t="s">
        <v>71</v>
      </c>
      <c r="C223" s="16"/>
      <c r="D223" s="16"/>
      <c r="E223" s="16"/>
      <c r="F223" s="77">
        <f>IF(F220="","",IF($D$165="Equity Multiple",E224*$C221-E224,F222*$C221))</f>
        <v>0</v>
      </c>
      <c r="G223" s="77">
        <f t="shared" ref="G223:BR223" si="274">IF(G220="","",IF($D$165="Equity Multiple",F224*$C221-F224,G222*$C221))</f>
        <v>46812112.649999991</v>
      </c>
      <c r="H223" s="77">
        <f t="shared" si="274"/>
        <v>12112.649999999998</v>
      </c>
      <c r="I223" s="77">
        <f t="shared" si="274"/>
        <v>12112.649999999998</v>
      </c>
      <c r="J223" s="77">
        <f t="shared" si="274"/>
        <v>12112.649999999998</v>
      </c>
      <c r="K223" s="77">
        <f t="shared" si="274"/>
        <v>12112.649999999998</v>
      </c>
      <c r="L223" s="77">
        <f t="shared" si="274"/>
        <v>12112.649999999998</v>
      </c>
      <c r="M223" s="77">
        <f t="shared" si="274"/>
        <v>12112.649999999998</v>
      </c>
      <c r="N223" s="77">
        <f t="shared" si="274"/>
        <v>12112.649999999998</v>
      </c>
      <c r="O223" s="77">
        <f t="shared" si="274"/>
        <v>12112.649999999998</v>
      </c>
      <c r="P223" s="77">
        <f t="shared" si="274"/>
        <v>12112.649999999998</v>
      </c>
      <c r="Q223" s="77">
        <f t="shared" si="274"/>
        <v>12112.649999999998</v>
      </c>
      <c r="R223" s="77">
        <f t="shared" si="274"/>
        <v>12112.649999999998</v>
      </c>
      <c r="S223" s="77">
        <f t="shared" si="274"/>
        <v>12112.649999999998</v>
      </c>
      <c r="T223" s="77">
        <f t="shared" si="274"/>
        <v>12112.649999999998</v>
      </c>
      <c r="U223" s="77">
        <f t="shared" si="274"/>
        <v>12112.649999999998</v>
      </c>
      <c r="V223" s="77">
        <f t="shared" si="274"/>
        <v>12112.649999999998</v>
      </c>
      <c r="W223" s="77">
        <f t="shared" si="274"/>
        <v>12112.649999999998</v>
      </c>
      <c r="X223" s="77">
        <f t="shared" si="274"/>
        <v>12112.649999999998</v>
      </c>
      <c r="Y223" s="77">
        <f t="shared" si="274"/>
        <v>12112.649999999998</v>
      </c>
      <c r="Z223" s="77">
        <f t="shared" si="274"/>
        <v>12112.649999999998</v>
      </c>
      <c r="AA223" s="77">
        <f t="shared" si="274"/>
        <v>12112.649999999998</v>
      </c>
      <c r="AB223" s="77">
        <f t="shared" si="274"/>
        <v>12112.649999999998</v>
      </c>
      <c r="AC223" s="77">
        <f t="shared" si="274"/>
        <v>12112.649999999998</v>
      </c>
      <c r="AD223" s="77">
        <f t="shared" si="274"/>
        <v>173971.8</v>
      </c>
      <c r="AE223" s="77">
        <f t="shared" si="274"/>
        <v>421040.70000000007</v>
      </c>
      <c r="AF223" s="77">
        <f t="shared" si="274"/>
        <v>0</v>
      </c>
      <c r="AG223" s="77">
        <f t="shared" si="274"/>
        <v>421040.70000000007</v>
      </c>
      <c r="AH223" s="77">
        <f t="shared" si="274"/>
        <v>421040.70000000007</v>
      </c>
      <c r="AI223" s="77">
        <f t="shared" si="274"/>
        <v>421040.70000000007</v>
      </c>
      <c r="AJ223" s="77">
        <f t="shared" si="274"/>
        <v>421040.70000000007</v>
      </c>
      <c r="AK223" s="77">
        <f t="shared" si="274"/>
        <v>421040.70000000007</v>
      </c>
      <c r="AL223" s="77">
        <f t="shared" si="274"/>
        <v>421040.70000000007</v>
      </c>
      <c r="AM223" s="77">
        <f t="shared" si="274"/>
        <v>421040.70000000007</v>
      </c>
      <c r="AN223" s="77">
        <f t="shared" si="274"/>
        <v>339015.6</v>
      </c>
      <c r="AO223" s="77">
        <f t="shared" si="274"/>
        <v>339015.6</v>
      </c>
      <c r="AP223" s="77">
        <f t="shared" si="274"/>
        <v>442046.70000000007</v>
      </c>
      <c r="AQ223" s="77">
        <f t="shared" si="274"/>
        <v>304290.45000000007</v>
      </c>
      <c r="AR223" s="77">
        <f t="shared" si="274"/>
        <v>304290.45000000007</v>
      </c>
      <c r="AS223" s="77">
        <f t="shared" si="274"/>
        <v>304290.45000000007</v>
      </c>
      <c r="AT223" s="77">
        <f t="shared" si="274"/>
        <v>304290.45000000007</v>
      </c>
      <c r="AU223" s="77">
        <f t="shared" si="274"/>
        <v>304290.45000000007</v>
      </c>
      <c r="AV223" s="77">
        <f t="shared" si="274"/>
        <v>0</v>
      </c>
      <c r="AW223" s="77">
        <f t="shared" si="274"/>
        <v>335422.79999999993</v>
      </c>
      <c r="AX223" s="77">
        <f t="shared" si="274"/>
        <v>335422.79999999993</v>
      </c>
      <c r="AY223" s="77">
        <f t="shared" si="274"/>
        <v>335422.79999999993</v>
      </c>
      <c r="AZ223" s="77">
        <f t="shared" si="274"/>
        <v>335422.79999999993</v>
      </c>
      <c r="BA223" s="77">
        <f t="shared" si="274"/>
        <v>335422.79999999993</v>
      </c>
      <c r="BB223" s="77">
        <f t="shared" si="274"/>
        <v>0</v>
      </c>
      <c r="BC223" s="77">
        <f t="shared" si="274"/>
        <v>250774.20000000007</v>
      </c>
      <c r="BD223" s="77">
        <f t="shared" si="274"/>
        <v>250774.20000000007</v>
      </c>
      <c r="BE223" s="77">
        <f t="shared" si="274"/>
        <v>250774.20000000007</v>
      </c>
      <c r="BF223" s="77">
        <f t="shared" si="274"/>
        <v>250774.20000000007</v>
      </c>
      <c r="BG223" s="77">
        <f t="shared" si="274"/>
        <v>250774.20000000007</v>
      </c>
      <c r="BH223" s="77">
        <f t="shared" si="274"/>
        <v>250774.20000000007</v>
      </c>
      <c r="BI223" s="77">
        <f t="shared" si="274"/>
        <v>250774.20000000007</v>
      </c>
      <c r="BJ223" s="77">
        <f t="shared" si="274"/>
        <v>250774.20000000007</v>
      </c>
      <c r="BK223" s="77">
        <f t="shared" si="274"/>
        <v>250774.20000000007</v>
      </c>
      <c r="BL223" s="77">
        <f t="shared" si="274"/>
        <v>250774.20000000007</v>
      </c>
      <c r="BM223" s="77">
        <f t="shared" si="274"/>
        <v>250774.20000000007</v>
      </c>
      <c r="BN223" s="77">
        <f t="shared" si="274"/>
        <v>184419.45000000007</v>
      </c>
      <c r="BO223" s="77">
        <f t="shared" si="274"/>
        <v>184419.45000000007</v>
      </c>
      <c r="BP223" s="77">
        <f t="shared" si="274"/>
        <v>184419.45000000007</v>
      </c>
      <c r="BQ223" s="77">
        <f t="shared" si="274"/>
        <v>113887.35000000003</v>
      </c>
      <c r="BR223" s="77">
        <f t="shared" si="274"/>
        <v>113887.35000000003</v>
      </c>
      <c r="BS223" s="77">
        <f t="shared" ref="BS223:DV223" si="275">IF(BS220="","",IF($D$165="Equity Multiple",BR224*$C221-BR224,BS222*$C221))</f>
        <v>113887.35000000003</v>
      </c>
      <c r="BT223" s="77">
        <f t="shared" si="275"/>
        <v>113887.35000000003</v>
      </c>
      <c r="BU223" s="77">
        <f t="shared" si="275"/>
        <v>113887.35000000003</v>
      </c>
      <c r="BV223" s="77">
        <f t="shared" si="275"/>
        <v>113887.35000000003</v>
      </c>
      <c r="BW223" s="77">
        <f t="shared" si="275"/>
        <v>113887.35000000003</v>
      </c>
      <c r="BX223" s="77">
        <f t="shared" si="275"/>
        <v>113887.35000000003</v>
      </c>
      <c r="BY223" s="77">
        <f t="shared" si="275"/>
        <v>113887.35000000003</v>
      </c>
      <c r="BZ223" s="77">
        <f t="shared" si="275"/>
        <v>0</v>
      </c>
      <c r="CA223" s="77">
        <f t="shared" si="275"/>
        <v>0</v>
      </c>
      <c r="CB223" s="77">
        <f t="shared" si="275"/>
        <v>113887.35000000003</v>
      </c>
      <c r="CC223" s="77">
        <f t="shared" si="275"/>
        <v>113887.35000000003</v>
      </c>
      <c r="CD223" s="77">
        <f t="shared" si="275"/>
        <v>113887.35000000003</v>
      </c>
      <c r="CE223" s="77">
        <f t="shared" si="275"/>
        <v>113887.35000000003</v>
      </c>
      <c r="CF223" s="77">
        <f t="shared" si="275"/>
        <v>0</v>
      </c>
      <c r="CG223" s="77">
        <f t="shared" si="275"/>
        <v>0</v>
      </c>
      <c r="CH223" s="77">
        <f t="shared" si="275"/>
        <v>0</v>
      </c>
      <c r="CI223" s="77">
        <f t="shared" si="275"/>
        <v>0</v>
      </c>
      <c r="CJ223" s="77">
        <f t="shared" si="275"/>
        <v>0</v>
      </c>
      <c r="CK223" s="77">
        <f t="shared" si="275"/>
        <v>0</v>
      </c>
      <c r="CL223" s="77">
        <f t="shared" si="275"/>
        <v>261712.35000000003</v>
      </c>
      <c r="CM223" s="77">
        <f t="shared" si="275"/>
        <v>261712.35000000003</v>
      </c>
      <c r="CN223" s="77">
        <f t="shared" si="275"/>
        <v>261712.35000000003</v>
      </c>
      <c r="CO223" s="77">
        <f t="shared" si="275"/>
        <v>261712.35000000003</v>
      </c>
      <c r="CP223" s="77">
        <f t="shared" si="275"/>
        <v>261712.35000000003</v>
      </c>
      <c r="CQ223" s="77">
        <f t="shared" si="275"/>
        <v>261712.35000000003</v>
      </c>
      <c r="CR223" s="77">
        <f t="shared" si="275"/>
        <v>261712.35000000003</v>
      </c>
      <c r="CS223" s="77">
        <f t="shared" si="275"/>
        <v>261712.35000000003</v>
      </c>
      <c r="CT223" s="77">
        <f t="shared" si="275"/>
        <v>261712.35000000003</v>
      </c>
      <c r="CU223" s="77">
        <f t="shared" si="275"/>
        <v>261712.35000000003</v>
      </c>
      <c r="CV223" s="77">
        <f t="shared" si="275"/>
        <v>261712.35000000003</v>
      </c>
      <c r="CW223" s="77">
        <f t="shared" si="275"/>
        <v>261712.35000000003</v>
      </c>
      <c r="CX223" s="77" t="str">
        <f t="shared" si="275"/>
        <v/>
      </c>
      <c r="CY223" s="77" t="str">
        <f t="shared" si="275"/>
        <v/>
      </c>
      <c r="CZ223" s="77" t="str">
        <f t="shared" si="275"/>
        <v/>
      </c>
      <c r="DA223" s="77" t="str">
        <f t="shared" si="275"/>
        <v/>
      </c>
      <c r="DB223" s="77" t="str">
        <f t="shared" si="275"/>
        <v/>
      </c>
      <c r="DC223" s="77" t="str">
        <f t="shared" si="275"/>
        <v/>
      </c>
      <c r="DD223" s="77" t="str">
        <f t="shared" si="275"/>
        <v/>
      </c>
      <c r="DE223" s="77" t="str">
        <f t="shared" si="275"/>
        <v/>
      </c>
      <c r="DF223" s="77" t="str">
        <f t="shared" si="275"/>
        <v/>
      </c>
      <c r="DG223" s="77" t="str">
        <f t="shared" si="275"/>
        <v/>
      </c>
      <c r="DH223" s="77" t="str">
        <f t="shared" si="275"/>
        <v/>
      </c>
      <c r="DI223" s="77" t="str">
        <f t="shared" si="275"/>
        <v/>
      </c>
      <c r="DJ223" s="77" t="str">
        <f t="shared" si="275"/>
        <v/>
      </c>
      <c r="DK223" s="77" t="str">
        <f t="shared" si="275"/>
        <v/>
      </c>
      <c r="DL223" s="77" t="str">
        <f t="shared" si="275"/>
        <v/>
      </c>
      <c r="DM223" s="77" t="str">
        <f t="shared" si="275"/>
        <v/>
      </c>
      <c r="DN223" s="77" t="str">
        <f t="shared" si="275"/>
        <v/>
      </c>
      <c r="DO223" s="77" t="str">
        <f t="shared" si="275"/>
        <v/>
      </c>
      <c r="DP223" s="77" t="str">
        <f t="shared" si="275"/>
        <v/>
      </c>
      <c r="DQ223" s="77" t="str">
        <f t="shared" si="275"/>
        <v/>
      </c>
      <c r="DR223" s="77" t="str">
        <f t="shared" si="275"/>
        <v/>
      </c>
      <c r="DS223" s="77" t="str">
        <f t="shared" si="275"/>
        <v/>
      </c>
      <c r="DT223" s="77" t="str">
        <f t="shared" si="275"/>
        <v/>
      </c>
      <c r="DU223" s="77" t="str">
        <f t="shared" si="275"/>
        <v/>
      </c>
      <c r="DV223" s="77" t="str">
        <f t="shared" si="275"/>
        <v/>
      </c>
      <c r="DW223" s="77"/>
      <c r="DX223" s="77"/>
      <c r="DY223" s="78"/>
    </row>
    <row r="224" spans="2:129" outlineLevel="1" x14ac:dyDescent="0.2">
      <c r="B224" s="16" t="s">
        <v>60</v>
      </c>
      <c r="C224" s="16"/>
      <c r="D224" s="16"/>
      <c r="E224" s="16"/>
      <c r="F224" s="77">
        <f t="shared" ref="F224:AK224" si="276">IF(F220="","",-MIN(0,F$51*Equity_Share_LP))</f>
        <v>93624225.299999997</v>
      </c>
      <c r="G224" s="77">
        <f t="shared" si="276"/>
        <v>24225.3</v>
      </c>
      <c r="H224" s="77">
        <f t="shared" si="276"/>
        <v>24225.3</v>
      </c>
      <c r="I224" s="77">
        <f t="shared" si="276"/>
        <v>24225.3</v>
      </c>
      <c r="J224" s="77">
        <f t="shared" si="276"/>
        <v>24225.3</v>
      </c>
      <c r="K224" s="77">
        <f t="shared" si="276"/>
        <v>24225.3</v>
      </c>
      <c r="L224" s="77">
        <f t="shared" si="276"/>
        <v>24225.3</v>
      </c>
      <c r="M224" s="77">
        <f t="shared" si="276"/>
        <v>24225.3</v>
      </c>
      <c r="N224" s="77">
        <f t="shared" si="276"/>
        <v>24225.3</v>
      </c>
      <c r="O224" s="77">
        <f t="shared" si="276"/>
        <v>24225.3</v>
      </c>
      <c r="P224" s="77">
        <f t="shared" si="276"/>
        <v>24225.3</v>
      </c>
      <c r="Q224" s="77">
        <f t="shared" si="276"/>
        <v>24225.3</v>
      </c>
      <c r="R224" s="77">
        <f t="shared" si="276"/>
        <v>24225.3</v>
      </c>
      <c r="S224" s="77">
        <f t="shared" si="276"/>
        <v>24225.3</v>
      </c>
      <c r="T224" s="77">
        <f t="shared" si="276"/>
        <v>24225.3</v>
      </c>
      <c r="U224" s="77">
        <f t="shared" si="276"/>
        <v>24225.3</v>
      </c>
      <c r="V224" s="77">
        <f t="shared" si="276"/>
        <v>24225.3</v>
      </c>
      <c r="W224" s="77">
        <f t="shared" si="276"/>
        <v>24225.3</v>
      </c>
      <c r="X224" s="77">
        <f t="shared" si="276"/>
        <v>24225.3</v>
      </c>
      <c r="Y224" s="77">
        <f t="shared" si="276"/>
        <v>24225.3</v>
      </c>
      <c r="Z224" s="77">
        <f t="shared" si="276"/>
        <v>24225.3</v>
      </c>
      <c r="AA224" s="77">
        <f t="shared" si="276"/>
        <v>24225.3</v>
      </c>
      <c r="AB224" s="77">
        <f t="shared" si="276"/>
        <v>24225.3</v>
      </c>
      <c r="AC224" s="77">
        <f t="shared" si="276"/>
        <v>347943.60000000003</v>
      </c>
      <c r="AD224" s="77">
        <f t="shared" si="276"/>
        <v>842081.4</v>
      </c>
      <c r="AE224" s="77">
        <f t="shared" si="276"/>
        <v>0</v>
      </c>
      <c r="AF224" s="77">
        <f t="shared" si="276"/>
        <v>842081.4</v>
      </c>
      <c r="AG224" s="77">
        <f t="shared" si="276"/>
        <v>842081.4</v>
      </c>
      <c r="AH224" s="77">
        <f t="shared" si="276"/>
        <v>842081.4</v>
      </c>
      <c r="AI224" s="77">
        <f t="shared" si="276"/>
        <v>842081.4</v>
      </c>
      <c r="AJ224" s="77">
        <f t="shared" si="276"/>
        <v>842081.4</v>
      </c>
      <c r="AK224" s="77">
        <f t="shared" si="276"/>
        <v>842081.4</v>
      </c>
      <c r="AL224" s="77">
        <f t="shared" ref="AL224:BQ224" si="277">IF(AL220="","",-MIN(0,AL$51*Equity_Share_LP))</f>
        <v>842081.4</v>
      </c>
      <c r="AM224" s="77">
        <f t="shared" si="277"/>
        <v>678031.20000000007</v>
      </c>
      <c r="AN224" s="77">
        <f t="shared" si="277"/>
        <v>678031.20000000007</v>
      </c>
      <c r="AO224" s="77">
        <f t="shared" si="277"/>
        <v>884093.4</v>
      </c>
      <c r="AP224" s="77">
        <f t="shared" si="277"/>
        <v>608580.9</v>
      </c>
      <c r="AQ224" s="77">
        <f t="shared" si="277"/>
        <v>608580.9</v>
      </c>
      <c r="AR224" s="77">
        <f t="shared" si="277"/>
        <v>608580.9</v>
      </c>
      <c r="AS224" s="77">
        <f t="shared" si="277"/>
        <v>608580.9</v>
      </c>
      <c r="AT224" s="77">
        <f t="shared" si="277"/>
        <v>608580.9</v>
      </c>
      <c r="AU224" s="77">
        <f t="shared" si="277"/>
        <v>0</v>
      </c>
      <c r="AV224" s="77">
        <f t="shared" si="277"/>
        <v>670845.6</v>
      </c>
      <c r="AW224" s="77">
        <f t="shared" si="277"/>
        <v>670845.6</v>
      </c>
      <c r="AX224" s="77">
        <f t="shared" si="277"/>
        <v>670845.6</v>
      </c>
      <c r="AY224" s="77">
        <f t="shared" si="277"/>
        <v>670845.6</v>
      </c>
      <c r="AZ224" s="77">
        <f t="shared" si="277"/>
        <v>670845.6</v>
      </c>
      <c r="BA224" s="77">
        <f t="shared" si="277"/>
        <v>0</v>
      </c>
      <c r="BB224" s="77">
        <f t="shared" si="277"/>
        <v>501548.4</v>
      </c>
      <c r="BC224" s="77">
        <f t="shared" si="277"/>
        <v>501548.4</v>
      </c>
      <c r="BD224" s="77">
        <f t="shared" si="277"/>
        <v>501548.4</v>
      </c>
      <c r="BE224" s="77">
        <f t="shared" si="277"/>
        <v>501548.4</v>
      </c>
      <c r="BF224" s="77">
        <f t="shared" si="277"/>
        <v>501548.4</v>
      </c>
      <c r="BG224" s="77">
        <f t="shared" si="277"/>
        <v>501548.4</v>
      </c>
      <c r="BH224" s="77">
        <f t="shared" si="277"/>
        <v>501548.4</v>
      </c>
      <c r="BI224" s="77">
        <f t="shared" si="277"/>
        <v>501548.4</v>
      </c>
      <c r="BJ224" s="77">
        <f t="shared" si="277"/>
        <v>501548.4</v>
      </c>
      <c r="BK224" s="77">
        <f t="shared" si="277"/>
        <v>501548.4</v>
      </c>
      <c r="BL224" s="77">
        <f t="shared" si="277"/>
        <v>501548.4</v>
      </c>
      <c r="BM224" s="77">
        <f t="shared" si="277"/>
        <v>368838.9</v>
      </c>
      <c r="BN224" s="77">
        <f t="shared" si="277"/>
        <v>368838.9</v>
      </c>
      <c r="BO224" s="77">
        <f t="shared" si="277"/>
        <v>368838.9</v>
      </c>
      <c r="BP224" s="77">
        <f t="shared" si="277"/>
        <v>227774.7</v>
      </c>
      <c r="BQ224" s="77">
        <f t="shared" si="277"/>
        <v>227774.7</v>
      </c>
      <c r="BR224" s="77">
        <f t="shared" ref="BR224:CW224" si="278">IF(BR220="","",-MIN(0,BR$51*Equity_Share_LP))</f>
        <v>227774.7</v>
      </c>
      <c r="BS224" s="77">
        <f t="shared" si="278"/>
        <v>227774.7</v>
      </c>
      <c r="BT224" s="77">
        <f t="shared" si="278"/>
        <v>227774.7</v>
      </c>
      <c r="BU224" s="77">
        <f t="shared" si="278"/>
        <v>227774.7</v>
      </c>
      <c r="BV224" s="77">
        <f t="shared" si="278"/>
        <v>227774.7</v>
      </c>
      <c r="BW224" s="77">
        <f t="shared" si="278"/>
        <v>227774.7</v>
      </c>
      <c r="BX224" s="77">
        <f t="shared" si="278"/>
        <v>227774.7</v>
      </c>
      <c r="BY224" s="77">
        <f t="shared" si="278"/>
        <v>0</v>
      </c>
      <c r="BZ224" s="77">
        <f t="shared" si="278"/>
        <v>0</v>
      </c>
      <c r="CA224" s="77">
        <f t="shared" si="278"/>
        <v>227774.7</v>
      </c>
      <c r="CB224" s="77">
        <f t="shared" si="278"/>
        <v>227774.7</v>
      </c>
      <c r="CC224" s="77">
        <f t="shared" si="278"/>
        <v>227774.7</v>
      </c>
      <c r="CD224" s="77">
        <f t="shared" si="278"/>
        <v>227774.7</v>
      </c>
      <c r="CE224" s="77">
        <f t="shared" si="278"/>
        <v>0</v>
      </c>
      <c r="CF224" s="77">
        <f t="shared" si="278"/>
        <v>0</v>
      </c>
      <c r="CG224" s="77">
        <f t="shared" si="278"/>
        <v>0</v>
      </c>
      <c r="CH224" s="77">
        <f t="shared" si="278"/>
        <v>0</v>
      </c>
      <c r="CI224" s="77">
        <f t="shared" si="278"/>
        <v>0</v>
      </c>
      <c r="CJ224" s="77">
        <f t="shared" si="278"/>
        <v>0</v>
      </c>
      <c r="CK224" s="77">
        <f t="shared" si="278"/>
        <v>523424.7</v>
      </c>
      <c r="CL224" s="77">
        <f t="shared" si="278"/>
        <v>523424.7</v>
      </c>
      <c r="CM224" s="77">
        <f t="shared" si="278"/>
        <v>523424.7</v>
      </c>
      <c r="CN224" s="77">
        <f t="shared" si="278"/>
        <v>523424.7</v>
      </c>
      <c r="CO224" s="77">
        <f t="shared" si="278"/>
        <v>523424.7</v>
      </c>
      <c r="CP224" s="77">
        <f t="shared" si="278"/>
        <v>523424.7</v>
      </c>
      <c r="CQ224" s="77">
        <f t="shared" si="278"/>
        <v>523424.7</v>
      </c>
      <c r="CR224" s="77">
        <f t="shared" si="278"/>
        <v>523424.7</v>
      </c>
      <c r="CS224" s="77">
        <f t="shared" si="278"/>
        <v>523424.7</v>
      </c>
      <c r="CT224" s="77">
        <f t="shared" si="278"/>
        <v>523424.7</v>
      </c>
      <c r="CU224" s="77">
        <f t="shared" si="278"/>
        <v>523424.7</v>
      </c>
      <c r="CV224" s="77">
        <f t="shared" si="278"/>
        <v>523424.7</v>
      </c>
      <c r="CW224" s="77">
        <f t="shared" si="278"/>
        <v>0</v>
      </c>
      <c r="CX224" s="77" t="str">
        <f t="shared" ref="CX224:DV224" si="279">IF(CX220="","",-MIN(0,CX$51*Equity_Share_LP))</f>
        <v/>
      </c>
      <c r="CY224" s="77" t="str">
        <f t="shared" si="279"/>
        <v/>
      </c>
      <c r="CZ224" s="77" t="str">
        <f t="shared" si="279"/>
        <v/>
      </c>
      <c r="DA224" s="77" t="str">
        <f t="shared" si="279"/>
        <v/>
      </c>
      <c r="DB224" s="77" t="str">
        <f t="shared" si="279"/>
        <v/>
      </c>
      <c r="DC224" s="77" t="str">
        <f t="shared" si="279"/>
        <v/>
      </c>
      <c r="DD224" s="77" t="str">
        <f t="shared" si="279"/>
        <v/>
      </c>
      <c r="DE224" s="77" t="str">
        <f t="shared" si="279"/>
        <v/>
      </c>
      <c r="DF224" s="77" t="str">
        <f t="shared" si="279"/>
        <v/>
      </c>
      <c r="DG224" s="77" t="str">
        <f t="shared" si="279"/>
        <v/>
      </c>
      <c r="DH224" s="77" t="str">
        <f t="shared" si="279"/>
        <v/>
      </c>
      <c r="DI224" s="77" t="str">
        <f t="shared" si="279"/>
        <v/>
      </c>
      <c r="DJ224" s="77" t="str">
        <f t="shared" si="279"/>
        <v/>
      </c>
      <c r="DK224" s="77" t="str">
        <f t="shared" si="279"/>
        <v/>
      </c>
      <c r="DL224" s="77" t="str">
        <f t="shared" si="279"/>
        <v/>
      </c>
      <c r="DM224" s="77" t="str">
        <f t="shared" si="279"/>
        <v/>
      </c>
      <c r="DN224" s="77" t="str">
        <f t="shared" si="279"/>
        <v/>
      </c>
      <c r="DO224" s="77" t="str">
        <f t="shared" si="279"/>
        <v/>
      </c>
      <c r="DP224" s="77" t="str">
        <f t="shared" si="279"/>
        <v/>
      </c>
      <c r="DQ224" s="77" t="str">
        <f t="shared" si="279"/>
        <v/>
      </c>
      <c r="DR224" s="77" t="str">
        <f t="shared" si="279"/>
        <v/>
      </c>
      <c r="DS224" s="77" t="str">
        <f t="shared" si="279"/>
        <v/>
      </c>
      <c r="DT224" s="77" t="str">
        <f t="shared" si="279"/>
        <v/>
      </c>
      <c r="DU224" s="77" t="str">
        <f t="shared" si="279"/>
        <v/>
      </c>
      <c r="DV224" s="77" t="str">
        <f t="shared" si="279"/>
        <v/>
      </c>
      <c r="DW224" s="77"/>
      <c r="DX224" s="77"/>
      <c r="DY224" s="78"/>
    </row>
    <row r="225" spans="2:129" outlineLevel="1" x14ac:dyDescent="0.2">
      <c r="B225" s="16" t="s">
        <v>72</v>
      </c>
      <c r="C225" s="16"/>
      <c r="D225" s="16"/>
      <c r="E225" s="16"/>
      <c r="F225" s="77">
        <f t="shared" ref="F225:BQ225" si="280">F208</f>
        <v>0</v>
      </c>
      <c r="G225" s="77">
        <f t="shared" si="280"/>
        <v>0</v>
      </c>
      <c r="H225" s="77">
        <f t="shared" si="280"/>
        <v>0</v>
      </c>
      <c r="I225" s="77">
        <f t="shared" si="280"/>
        <v>0</v>
      </c>
      <c r="J225" s="77">
        <f t="shared" si="280"/>
        <v>0</v>
      </c>
      <c r="K225" s="77">
        <f t="shared" si="280"/>
        <v>0</v>
      </c>
      <c r="L225" s="77">
        <f t="shared" si="280"/>
        <v>0</v>
      </c>
      <c r="M225" s="77">
        <f t="shared" si="280"/>
        <v>0</v>
      </c>
      <c r="N225" s="77">
        <f t="shared" si="280"/>
        <v>0</v>
      </c>
      <c r="O225" s="77">
        <f t="shared" si="280"/>
        <v>0</v>
      </c>
      <c r="P225" s="77">
        <f t="shared" si="280"/>
        <v>0</v>
      </c>
      <c r="Q225" s="77">
        <f t="shared" si="280"/>
        <v>0</v>
      </c>
      <c r="R225" s="77">
        <f t="shared" si="280"/>
        <v>0</v>
      </c>
      <c r="S225" s="77">
        <f t="shared" si="280"/>
        <v>0</v>
      </c>
      <c r="T225" s="77">
        <f t="shared" si="280"/>
        <v>0</v>
      </c>
      <c r="U225" s="77">
        <f t="shared" si="280"/>
        <v>0</v>
      </c>
      <c r="V225" s="77">
        <f t="shared" si="280"/>
        <v>0</v>
      </c>
      <c r="W225" s="77">
        <f t="shared" si="280"/>
        <v>0</v>
      </c>
      <c r="X225" s="77">
        <f t="shared" si="280"/>
        <v>0</v>
      </c>
      <c r="Y225" s="77">
        <f t="shared" si="280"/>
        <v>0</v>
      </c>
      <c r="Z225" s="77">
        <f t="shared" si="280"/>
        <v>0</v>
      </c>
      <c r="AA225" s="77">
        <f t="shared" si="280"/>
        <v>0</v>
      </c>
      <c r="AB225" s="77">
        <f t="shared" si="280"/>
        <v>0</v>
      </c>
      <c r="AC225" s="77">
        <f t="shared" si="280"/>
        <v>0</v>
      </c>
      <c r="AD225" s="77">
        <f t="shared" si="280"/>
        <v>0</v>
      </c>
      <c r="AE225" s="77">
        <f t="shared" si="280"/>
        <v>25591908.600000001</v>
      </c>
      <c r="AF225" s="77">
        <f t="shared" si="280"/>
        <v>0</v>
      </c>
      <c r="AG225" s="77">
        <f t="shared" si="280"/>
        <v>0</v>
      </c>
      <c r="AH225" s="77">
        <f t="shared" si="280"/>
        <v>0</v>
      </c>
      <c r="AI225" s="77">
        <f t="shared" si="280"/>
        <v>0</v>
      </c>
      <c r="AJ225" s="77">
        <f t="shared" si="280"/>
        <v>0</v>
      </c>
      <c r="AK225" s="77">
        <f t="shared" si="280"/>
        <v>0</v>
      </c>
      <c r="AL225" s="77">
        <f t="shared" si="280"/>
        <v>0</v>
      </c>
      <c r="AM225" s="77">
        <f t="shared" si="280"/>
        <v>0</v>
      </c>
      <c r="AN225" s="77">
        <f t="shared" si="280"/>
        <v>0</v>
      </c>
      <c r="AO225" s="77">
        <f t="shared" si="280"/>
        <v>0</v>
      </c>
      <c r="AP225" s="77">
        <f t="shared" si="280"/>
        <v>0</v>
      </c>
      <c r="AQ225" s="77">
        <f t="shared" si="280"/>
        <v>0</v>
      </c>
      <c r="AR225" s="77">
        <f t="shared" si="280"/>
        <v>0</v>
      </c>
      <c r="AS225" s="77">
        <f t="shared" si="280"/>
        <v>0</v>
      </c>
      <c r="AT225" s="77">
        <f t="shared" si="280"/>
        <v>0</v>
      </c>
      <c r="AU225" s="77">
        <f t="shared" si="280"/>
        <v>37257084.899999999</v>
      </c>
      <c r="AV225" s="77">
        <f t="shared" si="280"/>
        <v>0</v>
      </c>
      <c r="AW225" s="77">
        <f t="shared" si="280"/>
        <v>0</v>
      </c>
      <c r="AX225" s="77">
        <f t="shared" si="280"/>
        <v>0</v>
      </c>
      <c r="AY225" s="77">
        <f t="shared" si="280"/>
        <v>0</v>
      </c>
      <c r="AZ225" s="77">
        <f t="shared" si="280"/>
        <v>0</v>
      </c>
      <c r="BA225" s="77">
        <f t="shared" si="280"/>
        <v>47030071.500000015</v>
      </c>
      <c r="BB225" s="77">
        <f t="shared" si="280"/>
        <v>0</v>
      </c>
      <c r="BC225" s="77">
        <f t="shared" si="280"/>
        <v>0</v>
      </c>
      <c r="BD225" s="77">
        <f t="shared" si="280"/>
        <v>0</v>
      </c>
      <c r="BE225" s="77">
        <f t="shared" si="280"/>
        <v>0</v>
      </c>
      <c r="BF225" s="77">
        <f t="shared" si="280"/>
        <v>0</v>
      </c>
      <c r="BG225" s="77">
        <f t="shared" si="280"/>
        <v>0</v>
      </c>
      <c r="BH225" s="77">
        <f t="shared" si="280"/>
        <v>0</v>
      </c>
      <c r="BI225" s="77">
        <f t="shared" si="280"/>
        <v>0</v>
      </c>
      <c r="BJ225" s="77">
        <f t="shared" si="280"/>
        <v>0</v>
      </c>
      <c r="BK225" s="77">
        <f t="shared" si="280"/>
        <v>0</v>
      </c>
      <c r="BL225" s="77">
        <f t="shared" si="280"/>
        <v>0</v>
      </c>
      <c r="BM225" s="77">
        <f t="shared" si="280"/>
        <v>0</v>
      </c>
      <c r="BN225" s="77">
        <f t="shared" si="280"/>
        <v>0</v>
      </c>
      <c r="BO225" s="77">
        <f t="shared" si="280"/>
        <v>0</v>
      </c>
      <c r="BP225" s="77">
        <f t="shared" si="280"/>
        <v>0</v>
      </c>
      <c r="BQ225" s="77">
        <f t="shared" si="280"/>
        <v>0</v>
      </c>
      <c r="BR225" s="77">
        <f t="shared" ref="BR225:DV225" si="281">BR208</f>
        <v>0</v>
      </c>
      <c r="BS225" s="77">
        <f t="shared" si="281"/>
        <v>0</v>
      </c>
      <c r="BT225" s="77">
        <f t="shared" si="281"/>
        <v>0</v>
      </c>
      <c r="BU225" s="77">
        <f t="shared" si="281"/>
        <v>0</v>
      </c>
      <c r="BV225" s="77">
        <f t="shared" si="281"/>
        <v>0</v>
      </c>
      <c r="BW225" s="77">
        <f t="shared" si="281"/>
        <v>0</v>
      </c>
      <c r="BX225" s="77">
        <f t="shared" si="281"/>
        <v>0</v>
      </c>
      <c r="BY225" s="77">
        <f t="shared" si="281"/>
        <v>5316225.3</v>
      </c>
      <c r="BZ225" s="77">
        <f t="shared" si="281"/>
        <v>3357296.1000000024</v>
      </c>
      <c r="CA225" s="77">
        <f t="shared" si="281"/>
        <v>0</v>
      </c>
      <c r="CB225" s="77">
        <f t="shared" si="281"/>
        <v>0</v>
      </c>
      <c r="CC225" s="77">
        <f t="shared" si="281"/>
        <v>0</v>
      </c>
      <c r="CD225" s="77">
        <f t="shared" si="281"/>
        <v>0</v>
      </c>
      <c r="CE225" s="77">
        <f t="shared" si="281"/>
        <v>911098.8</v>
      </c>
      <c r="CF225" s="77">
        <f t="shared" si="281"/>
        <v>0</v>
      </c>
      <c r="CG225" s="77">
        <f t="shared" si="281"/>
        <v>0</v>
      </c>
      <c r="CH225" s="77">
        <f t="shared" si="281"/>
        <v>0</v>
      </c>
      <c r="CI225" s="77">
        <f t="shared" si="281"/>
        <v>0</v>
      </c>
      <c r="CJ225" s="77">
        <f t="shared" si="281"/>
        <v>0</v>
      </c>
      <c r="CK225" s="77">
        <f t="shared" si="281"/>
        <v>0</v>
      </c>
      <c r="CL225" s="77">
        <f t="shared" si="281"/>
        <v>0</v>
      </c>
      <c r="CM225" s="77">
        <f t="shared" si="281"/>
        <v>0</v>
      </c>
      <c r="CN225" s="77">
        <f t="shared" si="281"/>
        <v>0</v>
      </c>
      <c r="CO225" s="77">
        <f t="shared" si="281"/>
        <v>0</v>
      </c>
      <c r="CP225" s="77">
        <f t="shared" si="281"/>
        <v>0</v>
      </c>
      <c r="CQ225" s="77">
        <f t="shared" si="281"/>
        <v>0</v>
      </c>
      <c r="CR225" s="77">
        <f t="shared" si="281"/>
        <v>0</v>
      </c>
      <c r="CS225" s="77">
        <f t="shared" si="281"/>
        <v>0</v>
      </c>
      <c r="CT225" s="77">
        <f t="shared" si="281"/>
        <v>0</v>
      </c>
      <c r="CU225" s="77">
        <f t="shared" si="281"/>
        <v>0</v>
      </c>
      <c r="CV225" s="77">
        <f t="shared" si="281"/>
        <v>0</v>
      </c>
      <c r="CW225" s="77">
        <f t="shared" si="281"/>
        <v>6281096.4000000013</v>
      </c>
      <c r="CX225" s="77" t="str">
        <f t="shared" si="281"/>
        <v/>
      </c>
      <c r="CY225" s="77" t="str">
        <f t="shared" si="281"/>
        <v/>
      </c>
      <c r="CZ225" s="77" t="str">
        <f t="shared" si="281"/>
        <v/>
      </c>
      <c r="DA225" s="77" t="str">
        <f t="shared" si="281"/>
        <v/>
      </c>
      <c r="DB225" s="77" t="str">
        <f t="shared" si="281"/>
        <v/>
      </c>
      <c r="DC225" s="77" t="str">
        <f t="shared" si="281"/>
        <v/>
      </c>
      <c r="DD225" s="77" t="str">
        <f t="shared" si="281"/>
        <v/>
      </c>
      <c r="DE225" s="77" t="str">
        <f t="shared" si="281"/>
        <v/>
      </c>
      <c r="DF225" s="77" t="str">
        <f t="shared" si="281"/>
        <v/>
      </c>
      <c r="DG225" s="77" t="str">
        <f t="shared" si="281"/>
        <v/>
      </c>
      <c r="DH225" s="77" t="str">
        <f t="shared" si="281"/>
        <v/>
      </c>
      <c r="DI225" s="77" t="str">
        <f t="shared" si="281"/>
        <v/>
      </c>
      <c r="DJ225" s="77" t="str">
        <f t="shared" si="281"/>
        <v/>
      </c>
      <c r="DK225" s="77" t="str">
        <f t="shared" si="281"/>
        <v/>
      </c>
      <c r="DL225" s="77" t="str">
        <f t="shared" si="281"/>
        <v/>
      </c>
      <c r="DM225" s="77" t="str">
        <f t="shared" si="281"/>
        <v/>
      </c>
      <c r="DN225" s="77" t="str">
        <f t="shared" si="281"/>
        <v/>
      </c>
      <c r="DO225" s="77" t="str">
        <f t="shared" si="281"/>
        <v/>
      </c>
      <c r="DP225" s="77" t="str">
        <f t="shared" si="281"/>
        <v/>
      </c>
      <c r="DQ225" s="77" t="str">
        <f t="shared" si="281"/>
        <v/>
      </c>
      <c r="DR225" s="77" t="str">
        <f t="shared" si="281"/>
        <v/>
      </c>
      <c r="DS225" s="77" t="str">
        <f t="shared" si="281"/>
        <v/>
      </c>
      <c r="DT225" s="77" t="str">
        <f t="shared" si="281"/>
        <v/>
      </c>
      <c r="DU225" s="77" t="str">
        <f t="shared" si="281"/>
        <v/>
      </c>
      <c r="DV225" s="77" t="str">
        <f t="shared" si="281"/>
        <v/>
      </c>
      <c r="DW225" s="77"/>
      <c r="DX225" s="77"/>
      <c r="DY225" s="78"/>
    </row>
    <row r="226" spans="2:129" outlineLevel="1" x14ac:dyDescent="0.2">
      <c r="B226" s="16" t="str">
        <f>"Distributions to LP "&amp;B220</f>
        <v>Distributions to LP Tier 2</v>
      </c>
      <c r="C226" s="16"/>
      <c r="D226" s="16"/>
      <c r="E226" s="16"/>
      <c r="F226" s="77">
        <f>IF(F220="","",MIN(F222+F223-F225,F218*$I$16))</f>
        <v>0</v>
      </c>
      <c r="G226" s="77">
        <f t="shared" ref="G226:BR226" si="282">IF(G220="","",MIN(G222+G223-G225,G218*$I$16))</f>
        <v>0</v>
      </c>
      <c r="H226" s="77">
        <f t="shared" si="282"/>
        <v>0</v>
      </c>
      <c r="I226" s="77">
        <f t="shared" si="282"/>
        <v>0</v>
      </c>
      <c r="J226" s="77">
        <f t="shared" si="282"/>
        <v>0</v>
      </c>
      <c r="K226" s="77">
        <f t="shared" si="282"/>
        <v>0</v>
      </c>
      <c r="L226" s="77">
        <f t="shared" si="282"/>
        <v>0</v>
      </c>
      <c r="M226" s="77">
        <f t="shared" si="282"/>
        <v>0</v>
      </c>
      <c r="N226" s="77">
        <f t="shared" si="282"/>
        <v>0</v>
      </c>
      <c r="O226" s="77">
        <f t="shared" si="282"/>
        <v>0</v>
      </c>
      <c r="P226" s="77">
        <f t="shared" si="282"/>
        <v>0</v>
      </c>
      <c r="Q226" s="77">
        <f t="shared" si="282"/>
        <v>0</v>
      </c>
      <c r="R226" s="77">
        <f t="shared" si="282"/>
        <v>0</v>
      </c>
      <c r="S226" s="77">
        <f t="shared" si="282"/>
        <v>0</v>
      </c>
      <c r="T226" s="77">
        <f t="shared" si="282"/>
        <v>0</v>
      </c>
      <c r="U226" s="77">
        <f t="shared" si="282"/>
        <v>0</v>
      </c>
      <c r="V226" s="77">
        <f t="shared" si="282"/>
        <v>0</v>
      </c>
      <c r="W226" s="77">
        <f t="shared" si="282"/>
        <v>0</v>
      </c>
      <c r="X226" s="77">
        <f t="shared" si="282"/>
        <v>0</v>
      </c>
      <c r="Y226" s="77">
        <f t="shared" si="282"/>
        <v>0</v>
      </c>
      <c r="Z226" s="77">
        <f t="shared" si="282"/>
        <v>0</v>
      </c>
      <c r="AA226" s="77">
        <f t="shared" si="282"/>
        <v>0</v>
      </c>
      <c r="AB226" s="77">
        <f t="shared" si="282"/>
        <v>0</v>
      </c>
      <c r="AC226" s="77">
        <f t="shared" si="282"/>
        <v>0</v>
      </c>
      <c r="AD226" s="77">
        <f t="shared" si="282"/>
        <v>0</v>
      </c>
      <c r="AE226" s="77">
        <f t="shared" si="282"/>
        <v>0</v>
      </c>
      <c r="AF226" s="77">
        <f t="shared" si="282"/>
        <v>0</v>
      </c>
      <c r="AG226" s="77">
        <f t="shared" si="282"/>
        <v>0</v>
      </c>
      <c r="AH226" s="77">
        <f t="shared" si="282"/>
        <v>0</v>
      </c>
      <c r="AI226" s="77">
        <f t="shared" si="282"/>
        <v>0</v>
      </c>
      <c r="AJ226" s="77">
        <f t="shared" si="282"/>
        <v>0</v>
      </c>
      <c r="AK226" s="77">
        <f t="shared" si="282"/>
        <v>0</v>
      </c>
      <c r="AL226" s="77">
        <f t="shared" si="282"/>
        <v>0</v>
      </c>
      <c r="AM226" s="77">
        <f t="shared" si="282"/>
        <v>0</v>
      </c>
      <c r="AN226" s="77">
        <f t="shared" si="282"/>
        <v>0</v>
      </c>
      <c r="AO226" s="77">
        <f t="shared" si="282"/>
        <v>0</v>
      </c>
      <c r="AP226" s="77">
        <f t="shared" si="282"/>
        <v>0</v>
      </c>
      <c r="AQ226" s="77">
        <f t="shared" si="282"/>
        <v>0</v>
      </c>
      <c r="AR226" s="77">
        <f t="shared" si="282"/>
        <v>0</v>
      </c>
      <c r="AS226" s="77">
        <f t="shared" si="282"/>
        <v>0</v>
      </c>
      <c r="AT226" s="77">
        <f t="shared" si="282"/>
        <v>0</v>
      </c>
      <c r="AU226" s="77">
        <f t="shared" si="282"/>
        <v>0</v>
      </c>
      <c r="AV226" s="77">
        <f t="shared" si="282"/>
        <v>0</v>
      </c>
      <c r="AW226" s="77">
        <f t="shared" si="282"/>
        <v>0</v>
      </c>
      <c r="AX226" s="77">
        <f t="shared" si="282"/>
        <v>0</v>
      </c>
      <c r="AY226" s="77">
        <f t="shared" si="282"/>
        <v>0</v>
      </c>
      <c r="AZ226" s="77">
        <f t="shared" si="282"/>
        <v>0</v>
      </c>
      <c r="BA226" s="77">
        <f t="shared" si="282"/>
        <v>54939532.500000447</v>
      </c>
      <c r="BB226" s="77">
        <f t="shared" si="282"/>
        <v>0</v>
      </c>
      <c r="BC226" s="77">
        <f t="shared" si="282"/>
        <v>0</v>
      </c>
      <c r="BD226" s="77">
        <f t="shared" si="282"/>
        <v>0</v>
      </c>
      <c r="BE226" s="77">
        <f t="shared" si="282"/>
        <v>0</v>
      </c>
      <c r="BF226" s="77">
        <f t="shared" si="282"/>
        <v>0</v>
      </c>
      <c r="BG226" s="77">
        <f t="shared" si="282"/>
        <v>0</v>
      </c>
      <c r="BH226" s="77">
        <f t="shared" si="282"/>
        <v>0</v>
      </c>
      <c r="BI226" s="77">
        <f t="shared" si="282"/>
        <v>0</v>
      </c>
      <c r="BJ226" s="77">
        <f t="shared" si="282"/>
        <v>0</v>
      </c>
      <c r="BK226" s="77">
        <f t="shared" si="282"/>
        <v>0</v>
      </c>
      <c r="BL226" s="77">
        <f t="shared" si="282"/>
        <v>0</v>
      </c>
      <c r="BM226" s="77">
        <f t="shared" si="282"/>
        <v>0</v>
      </c>
      <c r="BN226" s="77">
        <f t="shared" si="282"/>
        <v>0</v>
      </c>
      <c r="BO226" s="77">
        <f t="shared" si="282"/>
        <v>0</v>
      </c>
      <c r="BP226" s="77">
        <f t="shared" si="282"/>
        <v>0</v>
      </c>
      <c r="BQ226" s="77">
        <f t="shared" si="282"/>
        <v>0</v>
      </c>
      <c r="BR226" s="77">
        <f t="shared" si="282"/>
        <v>0</v>
      </c>
      <c r="BS226" s="77">
        <f t="shared" ref="BS226:DV226" si="283">IF(BS220="","",MIN(BS222+BS223-BS225,BS218*$I$16))</f>
        <v>0</v>
      </c>
      <c r="BT226" s="77">
        <f t="shared" si="283"/>
        <v>0</v>
      </c>
      <c r="BU226" s="77">
        <f t="shared" si="283"/>
        <v>0</v>
      </c>
      <c r="BV226" s="77">
        <f t="shared" si="283"/>
        <v>0</v>
      </c>
      <c r="BW226" s="77">
        <f t="shared" si="283"/>
        <v>0</v>
      </c>
      <c r="BX226" s="77">
        <f t="shared" si="283"/>
        <v>0</v>
      </c>
      <c r="BY226" s="77">
        <f t="shared" si="283"/>
        <v>0</v>
      </c>
      <c r="BZ226" s="77">
        <f t="shared" si="283"/>
        <v>398943.35999999801</v>
      </c>
      <c r="CA226" s="77">
        <f t="shared" si="283"/>
        <v>0</v>
      </c>
      <c r="CB226" s="77">
        <f t="shared" si="283"/>
        <v>0</v>
      </c>
      <c r="CC226" s="77">
        <f t="shared" si="283"/>
        <v>0</v>
      </c>
      <c r="CD226" s="77">
        <f t="shared" si="283"/>
        <v>0</v>
      </c>
      <c r="CE226" s="77">
        <f t="shared" si="283"/>
        <v>4393366.7399999918</v>
      </c>
      <c r="CF226" s="77">
        <f t="shared" si="283"/>
        <v>0</v>
      </c>
      <c r="CG226" s="77">
        <f t="shared" si="283"/>
        <v>0</v>
      </c>
      <c r="CH226" s="77">
        <f t="shared" si="283"/>
        <v>0</v>
      </c>
      <c r="CI226" s="77">
        <f t="shared" si="283"/>
        <v>0</v>
      </c>
      <c r="CJ226" s="77">
        <f t="shared" si="283"/>
        <v>0</v>
      </c>
      <c r="CK226" s="77">
        <f t="shared" si="283"/>
        <v>0</v>
      </c>
      <c r="CL226" s="77">
        <f t="shared" si="283"/>
        <v>0</v>
      </c>
      <c r="CM226" s="77">
        <f t="shared" si="283"/>
        <v>0</v>
      </c>
      <c r="CN226" s="77">
        <f t="shared" si="283"/>
        <v>0</v>
      </c>
      <c r="CO226" s="77">
        <f t="shared" si="283"/>
        <v>0</v>
      </c>
      <c r="CP226" s="77">
        <f t="shared" si="283"/>
        <v>0</v>
      </c>
      <c r="CQ226" s="77">
        <f t="shared" si="283"/>
        <v>0</v>
      </c>
      <c r="CR226" s="77">
        <f t="shared" si="283"/>
        <v>0</v>
      </c>
      <c r="CS226" s="77">
        <f t="shared" si="283"/>
        <v>0</v>
      </c>
      <c r="CT226" s="77">
        <f t="shared" si="283"/>
        <v>0</v>
      </c>
      <c r="CU226" s="77">
        <f t="shared" si="283"/>
        <v>0</v>
      </c>
      <c r="CV226" s="77">
        <f t="shared" si="283"/>
        <v>0</v>
      </c>
      <c r="CW226" s="77">
        <f t="shared" si="283"/>
        <v>3140548.1999999965</v>
      </c>
      <c r="CX226" s="77" t="str">
        <f t="shared" si="283"/>
        <v/>
      </c>
      <c r="CY226" s="77" t="str">
        <f t="shared" si="283"/>
        <v/>
      </c>
      <c r="CZ226" s="77" t="str">
        <f t="shared" si="283"/>
        <v/>
      </c>
      <c r="DA226" s="77" t="str">
        <f t="shared" si="283"/>
        <v/>
      </c>
      <c r="DB226" s="77" t="str">
        <f t="shared" si="283"/>
        <v/>
      </c>
      <c r="DC226" s="77" t="str">
        <f t="shared" si="283"/>
        <v/>
      </c>
      <c r="DD226" s="77" t="str">
        <f t="shared" si="283"/>
        <v/>
      </c>
      <c r="DE226" s="77" t="str">
        <f t="shared" si="283"/>
        <v/>
      </c>
      <c r="DF226" s="77" t="str">
        <f t="shared" si="283"/>
        <v/>
      </c>
      <c r="DG226" s="77" t="str">
        <f t="shared" si="283"/>
        <v/>
      </c>
      <c r="DH226" s="77" t="str">
        <f t="shared" si="283"/>
        <v/>
      </c>
      <c r="DI226" s="77" t="str">
        <f t="shared" si="283"/>
        <v/>
      </c>
      <c r="DJ226" s="77" t="str">
        <f t="shared" si="283"/>
        <v/>
      </c>
      <c r="DK226" s="77" t="str">
        <f t="shared" si="283"/>
        <v/>
      </c>
      <c r="DL226" s="77" t="str">
        <f t="shared" si="283"/>
        <v/>
      </c>
      <c r="DM226" s="77" t="str">
        <f t="shared" si="283"/>
        <v/>
      </c>
      <c r="DN226" s="77" t="str">
        <f t="shared" si="283"/>
        <v/>
      </c>
      <c r="DO226" s="77" t="str">
        <f t="shared" si="283"/>
        <v/>
      </c>
      <c r="DP226" s="77" t="str">
        <f t="shared" si="283"/>
        <v/>
      </c>
      <c r="DQ226" s="77" t="str">
        <f t="shared" si="283"/>
        <v/>
      </c>
      <c r="DR226" s="77" t="str">
        <f t="shared" si="283"/>
        <v/>
      </c>
      <c r="DS226" s="77" t="str">
        <f t="shared" si="283"/>
        <v/>
      </c>
      <c r="DT226" s="77" t="str">
        <f t="shared" si="283"/>
        <v/>
      </c>
      <c r="DU226" s="77" t="str">
        <f t="shared" si="283"/>
        <v/>
      </c>
      <c r="DV226" s="77" t="str">
        <f t="shared" si="283"/>
        <v/>
      </c>
      <c r="DW226" s="77"/>
      <c r="DX226" s="77"/>
      <c r="DY226" s="78"/>
    </row>
    <row r="227" spans="2:129" outlineLevel="1" x14ac:dyDescent="0.2">
      <c r="B227" s="16" t="s">
        <v>62</v>
      </c>
      <c r="C227" s="16"/>
      <c r="D227" s="16"/>
      <c r="E227" s="16"/>
      <c r="F227" s="77">
        <f>IF(F220="","",F222+F223+F224-F225-F226)</f>
        <v>93624225.299999997</v>
      </c>
      <c r="G227" s="77">
        <f t="shared" ref="G227:BR227" si="284">IF(G220="","",G222+G223+G224-G225-G226)</f>
        <v>140460563.25</v>
      </c>
      <c r="H227" s="77">
        <f t="shared" si="284"/>
        <v>140496901.20000002</v>
      </c>
      <c r="I227" s="77">
        <f t="shared" si="284"/>
        <v>140533239.15000004</v>
      </c>
      <c r="J227" s="77">
        <f t="shared" si="284"/>
        <v>140569577.10000005</v>
      </c>
      <c r="K227" s="77">
        <f t="shared" si="284"/>
        <v>140605915.05000007</v>
      </c>
      <c r="L227" s="77">
        <f t="shared" si="284"/>
        <v>140642253.00000009</v>
      </c>
      <c r="M227" s="77">
        <f t="shared" si="284"/>
        <v>140678590.95000011</v>
      </c>
      <c r="N227" s="77">
        <f t="shared" si="284"/>
        <v>140714928.90000013</v>
      </c>
      <c r="O227" s="77">
        <f t="shared" si="284"/>
        <v>140751266.85000014</v>
      </c>
      <c r="P227" s="77">
        <f t="shared" si="284"/>
        <v>140787604.80000016</v>
      </c>
      <c r="Q227" s="77">
        <f t="shared" si="284"/>
        <v>140823942.75000018</v>
      </c>
      <c r="R227" s="77">
        <f t="shared" si="284"/>
        <v>140860280.7000002</v>
      </c>
      <c r="S227" s="77">
        <f t="shared" si="284"/>
        <v>140896618.65000021</v>
      </c>
      <c r="T227" s="77">
        <f t="shared" si="284"/>
        <v>140932956.60000023</v>
      </c>
      <c r="U227" s="77">
        <f t="shared" si="284"/>
        <v>140969294.55000025</v>
      </c>
      <c r="V227" s="77">
        <f t="shared" si="284"/>
        <v>141005632.50000027</v>
      </c>
      <c r="W227" s="77">
        <f t="shared" si="284"/>
        <v>141041970.45000029</v>
      </c>
      <c r="X227" s="77">
        <f t="shared" si="284"/>
        <v>141078308.4000003</v>
      </c>
      <c r="Y227" s="77">
        <f t="shared" si="284"/>
        <v>141114646.35000032</v>
      </c>
      <c r="Z227" s="77">
        <f t="shared" si="284"/>
        <v>141150984.30000034</v>
      </c>
      <c r="AA227" s="77">
        <f t="shared" si="284"/>
        <v>141187322.25000036</v>
      </c>
      <c r="AB227" s="77">
        <f t="shared" si="284"/>
        <v>141223660.20000038</v>
      </c>
      <c r="AC227" s="77">
        <f t="shared" si="284"/>
        <v>141583716.45000038</v>
      </c>
      <c r="AD227" s="77">
        <f t="shared" si="284"/>
        <v>142599769.65000039</v>
      </c>
      <c r="AE227" s="77">
        <f t="shared" si="284"/>
        <v>117428901.75000039</v>
      </c>
      <c r="AF227" s="77">
        <f t="shared" si="284"/>
        <v>118270983.15000039</v>
      </c>
      <c r="AG227" s="77">
        <f t="shared" si="284"/>
        <v>119534105.2500004</v>
      </c>
      <c r="AH227" s="77">
        <f t="shared" si="284"/>
        <v>120797227.35000041</v>
      </c>
      <c r="AI227" s="77">
        <f t="shared" si="284"/>
        <v>122060349.45000042</v>
      </c>
      <c r="AJ227" s="77">
        <f t="shared" si="284"/>
        <v>123323471.55000043</v>
      </c>
      <c r="AK227" s="77">
        <f t="shared" si="284"/>
        <v>124586593.65000044</v>
      </c>
      <c r="AL227" s="77">
        <f t="shared" si="284"/>
        <v>125849715.75000045</v>
      </c>
      <c r="AM227" s="77">
        <f t="shared" si="284"/>
        <v>126948787.65000045</v>
      </c>
      <c r="AN227" s="77">
        <f t="shared" si="284"/>
        <v>127965834.45000045</v>
      </c>
      <c r="AO227" s="77">
        <f t="shared" si="284"/>
        <v>129188943.45000045</v>
      </c>
      <c r="AP227" s="77">
        <f t="shared" si="284"/>
        <v>130239571.05000046</v>
      </c>
      <c r="AQ227" s="77">
        <f t="shared" si="284"/>
        <v>131152442.40000047</v>
      </c>
      <c r="AR227" s="77">
        <f t="shared" si="284"/>
        <v>132065313.75000048</v>
      </c>
      <c r="AS227" s="77">
        <f t="shared" si="284"/>
        <v>132978185.10000049</v>
      </c>
      <c r="AT227" s="77">
        <f t="shared" si="284"/>
        <v>133891056.45000049</v>
      </c>
      <c r="AU227" s="77">
        <f t="shared" si="284"/>
        <v>96938262.000000507</v>
      </c>
      <c r="AV227" s="77">
        <f t="shared" si="284"/>
        <v>97609107.600000501</v>
      </c>
      <c r="AW227" s="77">
        <f t="shared" si="284"/>
        <v>98615376.000000492</v>
      </c>
      <c r="AX227" s="77">
        <f t="shared" si="284"/>
        <v>99621644.400000483</v>
      </c>
      <c r="AY227" s="77">
        <f t="shared" si="284"/>
        <v>100627912.80000047</v>
      </c>
      <c r="AZ227" s="77">
        <f t="shared" si="284"/>
        <v>101634181.20000046</v>
      </c>
      <c r="BA227" s="77">
        <f t="shared" si="284"/>
        <v>0</v>
      </c>
      <c r="BB227" s="77">
        <f t="shared" si="284"/>
        <v>501548.4</v>
      </c>
      <c r="BC227" s="77">
        <f t="shared" si="284"/>
        <v>1253871</v>
      </c>
      <c r="BD227" s="77">
        <f t="shared" si="284"/>
        <v>2006193.6</v>
      </c>
      <c r="BE227" s="77">
        <f t="shared" si="284"/>
        <v>2758516.2</v>
      </c>
      <c r="BF227" s="77">
        <f t="shared" si="284"/>
        <v>3510838.8000000003</v>
      </c>
      <c r="BG227" s="77">
        <f t="shared" si="284"/>
        <v>4263161.4000000004</v>
      </c>
      <c r="BH227" s="77">
        <f t="shared" si="284"/>
        <v>5015484.0000000009</v>
      </c>
      <c r="BI227" s="77">
        <f t="shared" si="284"/>
        <v>5767806.6000000015</v>
      </c>
      <c r="BJ227" s="77">
        <f t="shared" si="284"/>
        <v>6520129.200000002</v>
      </c>
      <c r="BK227" s="77">
        <f t="shared" si="284"/>
        <v>7272451.8000000026</v>
      </c>
      <c r="BL227" s="77">
        <f t="shared" si="284"/>
        <v>8024774.4000000032</v>
      </c>
      <c r="BM227" s="77">
        <f t="shared" si="284"/>
        <v>8644387.5000000037</v>
      </c>
      <c r="BN227" s="77">
        <f t="shared" si="284"/>
        <v>9197645.8500000034</v>
      </c>
      <c r="BO227" s="77">
        <f t="shared" si="284"/>
        <v>9750904.200000003</v>
      </c>
      <c r="BP227" s="77">
        <f t="shared" si="284"/>
        <v>10163098.350000001</v>
      </c>
      <c r="BQ227" s="77">
        <f t="shared" si="284"/>
        <v>10504760.4</v>
      </c>
      <c r="BR227" s="77">
        <f t="shared" si="284"/>
        <v>10846422.449999999</v>
      </c>
      <c r="BS227" s="77">
        <f t="shared" ref="BS227:DV227" si="285">IF(BS220="","",BS222+BS223+BS224-BS225-BS226)</f>
        <v>11188084.499999998</v>
      </c>
      <c r="BT227" s="77">
        <f t="shared" si="285"/>
        <v>11529746.549999997</v>
      </c>
      <c r="BU227" s="77">
        <f t="shared" si="285"/>
        <v>11871408.599999996</v>
      </c>
      <c r="BV227" s="77">
        <f t="shared" si="285"/>
        <v>12213070.649999995</v>
      </c>
      <c r="BW227" s="77">
        <f t="shared" si="285"/>
        <v>12554732.699999994</v>
      </c>
      <c r="BX227" s="77">
        <f t="shared" si="285"/>
        <v>12896394.749999993</v>
      </c>
      <c r="BY227" s="77">
        <f t="shared" si="285"/>
        <v>7694056.7999999924</v>
      </c>
      <c r="BZ227" s="77">
        <f t="shared" si="285"/>
        <v>3937817.3399999919</v>
      </c>
      <c r="CA227" s="77">
        <f t="shared" si="285"/>
        <v>4165592.0399999921</v>
      </c>
      <c r="CB227" s="77">
        <f t="shared" si="285"/>
        <v>4507254.0899999924</v>
      </c>
      <c r="CC227" s="77">
        <f t="shared" si="285"/>
        <v>4848916.1399999922</v>
      </c>
      <c r="CD227" s="77">
        <f t="shared" si="285"/>
        <v>5190578.189999992</v>
      </c>
      <c r="CE227" s="77">
        <f t="shared" si="285"/>
        <v>0</v>
      </c>
      <c r="CF227" s="77">
        <f t="shared" si="285"/>
        <v>0</v>
      </c>
      <c r="CG227" s="77">
        <f t="shared" si="285"/>
        <v>0</v>
      </c>
      <c r="CH227" s="77">
        <f t="shared" si="285"/>
        <v>0</v>
      </c>
      <c r="CI227" s="77">
        <f t="shared" si="285"/>
        <v>0</v>
      </c>
      <c r="CJ227" s="77">
        <f t="shared" si="285"/>
        <v>0</v>
      </c>
      <c r="CK227" s="77">
        <f t="shared" si="285"/>
        <v>523424.7</v>
      </c>
      <c r="CL227" s="77">
        <f t="shared" si="285"/>
        <v>1308561.75</v>
      </c>
      <c r="CM227" s="77">
        <f t="shared" si="285"/>
        <v>2093698.8</v>
      </c>
      <c r="CN227" s="77">
        <f t="shared" si="285"/>
        <v>2878835.85</v>
      </c>
      <c r="CO227" s="77">
        <f t="shared" si="285"/>
        <v>3663972.9000000004</v>
      </c>
      <c r="CP227" s="77">
        <f t="shared" si="285"/>
        <v>4449109.95</v>
      </c>
      <c r="CQ227" s="77">
        <f t="shared" si="285"/>
        <v>5234247</v>
      </c>
      <c r="CR227" s="77">
        <f t="shared" si="285"/>
        <v>6019384.0499999998</v>
      </c>
      <c r="CS227" s="77">
        <f t="shared" si="285"/>
        <v>6804521.0999999996</v>
      </c>
      <c r="CT227" s="77">
        <f t="shared" si="285"/>
        <v>7589658.1499999994</v>
      </c>
      <c r="CU227" s="77">
        <f t="shared" si="285"/>
        <v>8374795.1999999993</v>
      </c>
      <c r="CV227" s="77">
        <f t="shared" si="285"/>
        <v>9159932.2499999981</v>
      </c>
      <c r="CW227" s="77">
        <f t="shared" si="285"/>
        <v>0</v>
      </c>
      <c r="CX227" s="77" t="str">
        <f t="shared" si="285"/>
        <v/>
      </c>
      <c r="CY227" s="77" t="str">
        <f t="shared" si="285"/>
        <v/>
      </c>
      <c r="CZ227" s="77" t="str">
        <f t="shared" si="285"/>
        <v/>
      </c>
      <c r="DA227" s="77" t="str">
        <f t="shared" si="285"/>
        <v/>
      </c>
      <c r="DB227" s="77" t="str">
        <f t="shared" si="285"/>
        <v/>
      </c>
      <c r="DC227" s="77" t="str">
        <f t="shared" si="285"/>
        <v/>
      </c>
      <c r="DD227" s="77" t="str">
        <f t="shared" si="285"/>
        <v/>
      </c>
      <c r="DE227" s="77" t="str">
        <f t="shared" si="285"/>
        <v/>
      </c>
      <c r="DF227" s="77" t="str">
        <f t="shared" si="285"/>
        <v/>
      </c>
      <c r="DG227" s="77" t="str">
        <f t="shared" si="285"/>
        <v/>
      </c>
      <c r="DH227" s="77" t="str">
        <f t="shared" si="285"/>
        <v/>
      </c>
      <c r="DI227" s="77" t="str">
        <f t="shared" si="285"/>
        <v/>
      </c>
      <c r="DJ227" s="77" t="str">
        <f t="shared" si="285"/>
        <v/>
      </c>
      <c r="DK227" s="77" t="str">
        <f t="shared" si="285"/>
        <v/>
      </c>
      <c r="DL227" s="77" t="str">
        <f t="shared" si="285"/>
        <v/>
      </c>
      <c r="DM227" s="77" t="str">
        <f t="shared" si="285"/>
        <v/>
      </c>
      <c r="DN227" s="77" t="str">
        <f t="shared" si="285"/>
        <v/>
      </c>
      <c r="DO227" s="77" t="str">
        <f t="shared" si="285"/>
        <v/>
      </c>
      <c r="DP227" s="77" t="str">
        <f t="shared" si="285"/>
        <v/>
      </c>
      <c r="DQ227" s="77" t="str">
        <f t="shared" si="285"/>
        <v/>
      </c>
      <c r="DR227" s="77" t="str">
        <f t="shared" si="285"/>
        <v/>
      </c>
      <c r="DS227" s="77" t="str">
        <f t="shared" si="285"/>
        <v/>
      </c>
      <c r="DT227" s="77" t="str">
        <f t="shared" si="285"/>
        <v/>
      </c>
      <c r="DU227" s="77" t="str">
        <f t="shared" si="285"/>
        <v/>
      </c>
      <c r="DV227" s="77" t="str">
        <f t="shared" si="285"/>
        <v/>
      </c>
      <c r="DW227" s="77"/>
      <c r="DX227" s="77"/>
      <c r="DY227" s="78"/>
    </row>
    <row r="228" spans="2:129" outlineLevel="1" x14ac:dyDescent="0.2">
      <c r="B228" s="128">
        <f>C221</f>
        <v>1.5</v>
      </c>
      <c r="C228" s="16"/>
      <c r="D228" s="16"/>
      <c r="E228" s="137">
        <f>SUMIF(F228:DY228,"&gt;0")/-SUMIF(F228:DY228,"&lt;0")</f>
        <v>1.5000000000000022</v>
      </c>
      <c r="F228" s="77">
        <f>IF(F220="","",-F224+F225+F226)</f>
        <v>-93624225.299999997</v>
      </c>
      <c r="G228" s="77">
        <f t="shared" ref="G228:BR228" si="286">IF(G220="","",-G224+G225+G226)</f>
        <v>-24225.3</v>
      </c>
      <c r="H228" s="77">
        <f t="shared" si="286"/>
        <v>-24225.3</v>
      </c>
      <c r="I228" s="77">
        <f t="shared" si="286"/>
        <v>-24225.3</v>
      </c>
      <c r="J228" s="77">
        <f t="shared" si="286"/>
        <v>-24225.3</v>
      </c>
      <c r="K228" s="77">
        <f t="shared" si="286"/>
        <v>-24225.3</v>
      </c>
      <c r="L228" s="77">
        <f t="shared" si="286"/>
        <v>-24225.3</v>
      </c>
      <c r="M228" s="77">
        <f t="shared" si="286"/>
        <v>-24225.3</v>
      </c>
      <c r="N228" s="77">
        <f t="shared" si="286"/>
        <v>-24225.3</v>
      </c>
      <c r="O228" s="77">
        <f t="shared" si="286"/>
        <v>-24225.3</v>
      </c>
      <c r="P228" s="77">
        <f t="shared" si="286"/>
        <v>-24225.3</v>
      </c>
      <c r="Q228" s="77">
        <f t="shared" si="286"/>
        <v>-24225.3</v>
      </c>
      <c r="R228" s="77">
        <f t="shared" si="286"/>
        <v>-24225.3</v>
      </c>
      <c r="S228" s="77">
        <f t="shared" si="286"/>
        <v>-24225.3</v>
      </c>
      <c r="T228" s="77">
        <f t="shared" si="286"/>
        <v>-24225.3</v>
      </c>
      <c r="U228" s="77">
        <f t="shared" si="286"/>
        <v>-24225.3</v>
      </c>
      <c r="V228" s="77">
        <f t="shared" si="286"/>
        <v>-24225.3</v>
      </c>
      <c r="W228" s="77">
        <f t="shared" si="286"/>
        <v>-24225.3</v>
      </c>
      <c r="X228" s="77">
        <f t="shared" si="286"/>
        <v>-24225.3</v>
      </c>
      <c r="Y228" s="77">
        <f t="shared" si="286"/>
        <v>-24225.3</v>
      </c>
      <c r="Z228" s="77">
        <f t="shared" si="286"/>
        <v>-24225.3</v>
      </c>
      <c r="AA228" s="77">
        <f t="shared" si="286"/>
        <v>-24225.3</v>
      </c>
      <c r="AB228" s="77">
        <f t="shared" si="286"/>
        <v>-24225.3</v>
      </c>
      <c r="AC228" s="77">
        <f t="shared" si="286"/>
        <v>-347943.60000000003</v>
      </c>
      <c r="AD228" s="77">
        <f t="shared" si="286"/>
        <v>-842081.4</v>
      </c>
      <c r="AE228" s="77">
        <f t="shared" si="286"/>
        <v>25591908.600000001</v>
      </c>
      <c r="AF228" s="77">
        <f t="shared" si="286"/>
        <v>-842081.4</v>
      </c>
      <c r="AG228" s="77">
        <f t="shared" si="286"/>
        <v>-842081.4</v>
      </c>
      <c r="AH228" s="77">
        <f t="shared" si="286"/>
        <v>-842081.4</v>
      </c>
      <c r="AI228" s="77">
        <f t="shared" si="286"/>
        <v>-842081.4</v>
      </c>
      <c r="AJ228" s="77">
        <f t="shared" si="286"/>
        <v>-842081.4</v>
      </c>
      <c r="AK228" s="77">
        <f t="shared" si="286"/>
        <v>-842081.4</v>
      </c>
      <c r="AL228" s="77">
        <f t="shared" si="286"/>
        <v>-842081.4</v>
      </c>
      <c r="AM228" s="77">
        <f t="shared" si="286"/>
        <v>-678031.20000000007</v>
      </c>
      <c r="AN228" s="77">
        <f t="shared" si="286"/>
        <v>-678031.20000000007</v>
      </c>
      <c r="AO228" s="77">
        <f t="shared" si="286"/>
        <v>-884093.4</v>
      </c>
      <c r="AP228" s="77">
        <f t="shared" si="286"/>
        <v>-608580.9</v>
      </c>
      <c r="AQ228" s="77">
        <f t="shared" si="286"/>
        <v>-608580.9</v>
      </c>
      <c r="AR228" s="77">
        <f t="shared" si="286"/>
        <v>-608580.9</v>
      </c>
      <c r="AS228" s="77">
        <f t="shared" si="286"/>
        <v>-608580.9</v>
      </c>
      <c r="AT228" s="77">
        <f t="shared" si="286"/>
        <v>-608580.9</v>
      </c>
      <c r="AU228" s="77">
        <f t="shared" si="286"/>
        <v>37257084.899999999</v>
      </c>
      <c r="AV228" s="77">
        <f t="shared" si="286"/>
        <v>-670845.6</v>
      </c>
      <c r="AW228" s="77">
        <f t="shared" si="286"/>
        <v>-670845.6</v>
      </c>
      <c r="AX228" s="77">
        <f t="shared" si="286"/>
        <v>-670845.6</v>
      </c>
      <c r="AY228" s="77">
        <f t="shared" si="286"/>
        <v>-670845.6</v>
      </c>
      <c r="AZ228" s="77">
        <f t="shared" si="286"/>
        <v>-670845.6</v>
      </c>
      <c r="BA228" s="77">
        <f t="shared" si="286"/>
        <v>101969604.00000046</v>
      </c>
      <c r="BB228" s="77">
        <f t="shared" si="286"/>
        <v>-501548.4</v>
      </c>
      <c r="BC228" s="77">
        <f t="shared" si="286"/>
        <v>-501548.4</v>
      </c>
      <c r="BD228" s="77">
        <f t="shared" si="286"/>
        <v>-501548.4</v>
      </c>
      <c r="BE228" s="77">
        <f t="shared" si="286"/>
        <v>-501548.4</v>
      </c>
      <c r="BF228" s="77">
        <f t="shared" si="286"/>
        <v>-501548.4</v>
      </c>
      <c r="BG228" s="77">
        <f t="shared" si="286"/>
        <v>-501548.4</v>
      </c>
      <c r="BH228" s="77">
        <f t="shared" si="286"/>
        <v>-501548.4</v>
      </c>
      <c r="BI228" s="77">
        <f t="shared" si="286"/>
        <v>-501548.4</v>
      </c>
      <c r="BJ228" s="77">
        <f t="shared" si="286"/>
        <v>-501548.4</v>
      </c>
      <c r="BK228" s="77">
        <f t="shared" si="286"/>
        <v>-501548.4</v>
      </c>
      <c r="BL228" s="77">
        <f t="shared" si="286"/>
        <v>-501548.4</v>
      </c>
      <c r="BM228" s="77">
        <f t="shared" si="286"/>
        <v>-368838.9</v>
      </c>
      <c r="BN228" s="77">
        <f t="shared" si="286"/>
        <v>-368838.9</v>
      </c>
      <c r="BO228" s="77">
        <f t="shared" si="286"/>
        <v>-368838.9</v>
      </c>
      <c r="BP228" s="77">
        <f t="shared" si="286"/>
        <v>-227774.7</v>
      </c>
      <c r="BQ228" s="77">
        <f t="shared" si="286"/>
        <v>-227774.7</v>
      </c>
      <c r="BR228" s="77">
        <f t="shared" si="286"/>
        <v>-227774.7</v>
      </c>
      <c r="BS228" s="77">
        <f t="shared" ref="BS228:DV228" si="287">IF(BS220="","",-BS224+BS225+BS226)</f>
        <v>-227774.7</v>
      </c>
      <c r="BT228" s="77">
        <f t="shared" si="287"/>
        <v>-227774.7</v>
      </c>
      <c r="BU228" s="77">
        <f t="shared" si="287"/>
        <v>-227774.7</v>
      </c>
      <c r="BV228" s="77">
        <f t="shared" si="287"/>
        <v>-227774.7</v>
      </c>
      <c r="BW228" s="77">
        <f t="shared" si="287"/>
        <v>-227774.7</v>
      </c>
      <c r="BX228" s="77">
        <f t="shared" si="287"/>
        <v>-227774.7</v>
      </c>
      <c r="BY228" s="77">
        <f t="shared" si="287"/>
        <v>5316225.3</v>
      </c>
      <c r="BZ228" s="77">
        <f t="shared" si="287"/>
        <v>3756239.4600000004</v>
      </c>
      <c r="CA228" s="77">
        <f t="shared" si="287"/>
        <v>-227774.7</v>
      </c>
      <c r="CB228" s="77">
        <f t="shared" si="287"/>
        <v>-227774.7</v>
      </c>
      <c r="CC228" s="77">
        <f t="shared" si="287"/>
        <v>-227774.7</v>
      </c>
      <c r="CD228" s="77">
        <f t="shared" si="287"/>
        <v>-227774.7</v>
      </c>
      <c r="CE228" s="77">
        <f t="shared" si="287"/>
        <v>5304465.5399999917</v>
      </c>
      <c r="CF228" s="77">
        <f t="shared" si="287"/>
        <v>0</v>
      </c>
      <c r="CG228" s="77">
        <f t="shared" si="287"/>
        <v>0</v>
      </c>
      <c r="CH228" s="77">
        <f t="shared" si="287"/>
        <v>0</v>
      </c>
      <c r="CI228" s="77">
        <f t="shared" si="287"/>
        <v>0</v>
      </c>
      <c r="CJ228" s="77">
        <f t="shared" si="287"/>
        <v>0</v>
      </c>
      <c r="CK228" s="77">
        <f t="shared" si="287"/>
        <v>-523424.7</v>
      </c>
      <c r="CL228" s="77">
        <f t="shared" si="287"/>
        <v>-523424.7</v>
      </c>
      <c r="CM228" s="77">
        <f t="shared" si="287"/>
        <v>-523424.7</v>
      </c>
      <c r="CN228" s="77">
        <f t="shared" si="287"/>
        <v>-523424.7</v>
      </c>
      <c r="CO228" s="77">
        <f t="shared" si="287"/>
        <v>-523424.7</v>
      </c>
      <c r="CP228" s="77">
        <f t="shared" si="287"/>
        <v>-523424.7</v>
      </c>
      <c r="CQ228" s="77">
        <f t="shared" si="287"/>
        <v>-523424.7</v>
      </c>
      <c r="CR228" s="77">
        <f t="shared" si="287"/>
        <v>-523424.7</v>
      </c>
      <c r="CS228" s="77">
        <f t="shared" si="287"/>
        <v>-523424.7</v>
      </c>
      <c r="CT228" s="77">
        <f t="shared" si="287"/>
        <v>-523424.7</v>
      </c>
      <c r="CU228" s="77">
        <f t="shared" si="287"/>
        <v>-523424.7</v>
      </c>
      <c r="CV228" s="77">
        <f t="shared" si="287"/>
        <v>-523424.7</v>
      </c>
      <c r="CW228" s="77">
        <f t="shared" si="287"/>
        <v>9421644.5999999978</v>
      </c>
      <c r="CX228" s="77" t="str">
        <f t="shared" si="287"/>
        <v/>
      </c>
      <c r="CY228" s="77" t="str">
        <f t="shared" si="287"/>
        <v/>
      </c>
      <c r="CZ228" s="77" t="str">
        <f t="shared" si="287"/>
        <v/>
      </c>
      <c r="DA228" s="77" t="str">
        <f t="shared" si="287"/>
        <v/>
      </c>
      <c r="DB228" s="77" t="str">
        <f t="shared" si="287"/>
        <v/>
      </c>
      <c r="DC228" s="77" t="str">
        <f t="shared" si="287"/>
        <v/>
      </c>
      <c r="DD228" s="77" t="str">
        <f t="shared" si="287"/>
        <v/>
      </c>
      <c r="DE228" s="77" t="str">
        <f t="shared" si="287"/>
        <v/>
      </c>
      <c r="DF228" s="77" t="str">
        <f t="shared" si="287"/>
        <v/>
      </c>
      <c r="DG228" s="77" t="str">
        <f t="shared" si="287"/>
        <v/>
      </c>
      <c r="DH228" s="77" t="str">
        <f t="shared" si="287"/>
        <v/>
      </c>
      <c r="DI228" s="77" t="str">
        <f t="shared" si="287"/>
        <v/>
      </c>
      <c r="DJ228" s="77" t="str">
        <f t="shared" si="287"/>
        <v/>
      </c>
      <c r="DK228" s="77" t="str">
        <f t="shared" si="287"/>
        <v/>
      </c>
      <c r="DL228" s="77" t="str">
        <f t="shared" si="287"/>
        <v/>
      </c>
      <c r="DM228" s="77" t="str">
        <f t="shared" si="287"/>
        <v/>
      </c>
      <c r="DN228" s="77" t="str">
        <f t="shared" si="287"/>
        <v/>
      </c>
      <c r="DO228" s="77" t="str">
        <f t="shared" si="287"/>
        <v/>
      </c>
      <c r="DP228" s="77" t="str">
        <f t="shared" si="287"/>
        <v/>
      </c>
      <c r="DQ228" s="77" t="str">
        <f t="shared" si="287"/>
        <v/>
      </c>
      <c r="DR228" s="77" t="str">
        <f t="shared" si="287"/>
        <v/>
      </c>
      <c r="DS228" s="77" t="str">
        <f t="shared" si="287"/>
        <v/>
      </c>
      <c r="DT228" s="77" t="str">
        <f t="shared" si="287"/>
        <v/>
      </c>
      <c r="DU228" s="77" t="str">
        <f t="shared" si="287"/>
        <v/>
      </c>
      <c r="DV228" s="77" t="str">
        <f t="shared" si="287"/>
        <v/>
      </c>
      <c r="DW228" s="77"/>
      <c r="DX228" s="77"/>
      <c r="DY228" s="78"/>
    </row>
    <row r="229" spans="2:129" outlineLevel="1" x14ac:dyDescent="0.2">
      <c r="B229" s="9"/>
      <c r="C229" s="9"/>
      <c r="D229" s="9"/>
      <c r="E229" s="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  <c r="AS229" s="129"/>
      <c r="AT229" s="129"/>
      <c r="AU229" s="129"/>
      <c r="AV229" s="129"/>
      <c r="AW229" s="129"/>
      <c r="AX229" s="129"/>
      <c r="AY229" s="129"/>
      <c r="AZ229" s="129"/>
      <c r="BA229" s="129"/>
      <c r="BB229" s="129"/>
      <c r="BC229" s="129"/>
      <c r="BD229" s="129"/>
      <c r="BE229" s="129"/>
      <c r="BF229" s="129"/>
      <c r="BG229" s="129"/>
      <c r="BH229" s="129"/>
      <c r="BI229" s="129"/>
      <c r="BJ229" s="129"/>
      <c r="BK229" s="129"/>
      <c r="BL229" s="129"/>
      <c r="BM229" s="129"/>
      <c r="BN229" s="129"/>
      <c r="BO229" s="129"/>
      <c r="BP229" s="129"/>
      <c r="BQ229" s="129"/>
      <c r="BR229" s="129"/>
      <c r="BS229" s="129"/>
      <c r="BT229" s="129"/>
      <c r="BU229" s="129"/>
      <c r="BV229" s="129"/>
      <c r="BW229" s="129"/>
      <c r="BX229" s="129"/>
      <c r="BY229" s="129"/>
      <c r="BZ229" s="129"/>
      <c r="CA229" s="129"/>
      <c r="CB229" s="129"/>
      <c r="CC229" s="129"/>
      <c r="CD229" s="129"/>
      <c r="CE229" s="129"/>
      <c r="CF229" s="129"/>
      <c r="CG229" s="129"/>
      <c r="CH229" s="129"/>
      <c r="CI229" s="129"/>
      <c r="CJ229" s="129"/>
      <c r="CK229" s="129"/>
      <c r="CL229" s="129"/>
      <c r="CM229" s="129"/>
      <c r="CN229" s="129"/>
      <c r="CO229" s="129"/>
      <c r="CP229" s="129"/>
      <c r="CQ229" s="129"/>
      <c r="CR229" s="129"/>
      <c r="CS229" s="129"/>
      <c r="CT229" s="129"/>
      <c r="CU229" s="129"/>
      <c r="CV229" s="129"/>
      <c r="CW229" s="129"/>
      <c r="CX229" s="129"/>
      <c r="CY229" s="129"/>
      <c r="CZ229" s="129"/>
      <c r="DA229" s="129"/>
      <c r="DB229" s="129"/>
      <c r="DC229" s="129"/>
      <c r="DD229" s="129"/>
      <c r="DE229" s="129"/>
      <c r="DF229" s="129"/>
      <c r="DG229" s="129"/>
      <c r="DH229" s="129"/>
      <c r="DI229" s="129"/>
      <c r="DJ229" s="129"/>
      <c r="DK229" s="129"/>
      <c r="DL229" s="129"/>
      <c r="DM229" s="129"/>
      <c r="DN229" s="129"/>
      <c r="DO229" s="129"/>
      <c r="DP229" s="129"/>
      <c r="DQ229" s="129"/>
      <c r="DR229" s="129"/>
      <c r="DS229" s="129"/>
      <c r="DT229" s="129"/>
      <c r="DU229" s="129"/>
      <c r="DV229" s="129"/>
      <c r="DW229" s="129"/>
      <c r="DX229" s="129"/>
      <c r="DY229" s="130"/>
    </row>
    <row r="230" spans="2:129" outlineLevel="1" x14ac:dyDescent="0.2">
      <c r="B230" s="16" t="s">
        <v>63</v>
      </c>
      <c r="C230" s="16"/>
      <c r="D230" s="16"/>
      <c r="E230" s="16"/>
      <c r="F230" s="77">
        <f>IF(F220="","",F226)</f>
        <v>0</v>
      </c>
      <c r="G230" s="77">
        <f t="shared" ref="G230:BR230" si="288">IF(G220="","",G226)</f>
        <v>0</v>
      </c>
      <c r="H230" s="77">
        <f t="shared" si="288"/>
        <v>0</v>
      </c>
      <c r="I230" s="77">
        <f t="shared" si="288"/>
        <v>0</v>
      </c>
      <c r="J230" s="77">
        <f t="shared" si="288"/>
        <v>0</v>
      </c>
      <c r="K230" s="77">
        <f t="shared" si="288"/>
        <v>0</v>
      </c>
      <c r="L230" s="77">
        <f t="shared" si="288"/>
        <v>0</v>
      </c>
      <c r="M230" s="77">
        <f t="shared" si="288"/>
        <v>0</v>
      </c>
      <c r="N230" s="77">
        <f t="shared" si="288"/>
        <v>0</v>
      </c>
      <c r="O230" s="77">
        <f t="shared" si="288"/>
        <v>0</v>
      </c>
      <c r="P230" s="77">
        <f t="shared" si="288"/>
        <v>0</v>
      </c>
      <c r="Q230" s="77">
        <f t="shared" si="288"/>
        <v>0</v>
      </c>
      <c r="R230" s="77">
        <f t="shared" si="288"/>
        <v>0</v>
      </c>
      <c r="S230" s="77">
        <f t="shared" si="288"/>
        <v>0</v>
      </c>
      <c r="T230" s="77">
        <f t="shared" si="288"/>
        <v>0</v>
      </c>
      <c r="U230" s="77">
        <f t="shared" si="288"/>
        <v>0</v>
      </c>
      <c r="V230" s="77">
        <f t="shared" si="288"/>
        <v>0</v>
      </c>
      <c r="W230" s="77">
        <f t="shared" si="288"/>
        <v>0</v>
      </c>
      <c r="X230" s="77">
        <f t="shared" si="288"/>
        <v>0</v>
      </c>
      <c r="Y230" s="77">
        <f t="shared" si="288"/>
        <v>0</v>
      </c>
      <c r="Z230" s="77">
        <f t="shared" si="288"/>
        <v>0</v>
      </c>
      <c r="AA230" s="77">
        <f t="shared" si="288"/>
        <v>0</v>
      </c>
      <c r="AB230" s="77">
        <f t="shared" si="288"/>
        <v>0</v>
      </c>
      <c r="AC230" s="77">
        <f t="shared" si="288"/>
        <v>0</v>
      </c>
      <c r="AD230" s="77">
        <f t="shared" si="288"/>
        <v>0</v>
      </c>
      <c r="AE230" s="77">
        <f t="shared" si="288"/>
        <v>0</v>
      </c>
      <c r="AF230" s="77">
        <f t="shared" si="288"/>
        <v>0</v>
      </c>
      <c r="AG230" s="77">
        <f t="shared" si="288"/>
        <v>0</v>
      </c>
      <c r="AH230" s="77">
        <f t="shared" si="288"/>
        <v>0</v>
      </c>
      <c r="AI230" s="77">
        <f t="shared" si="288"/>
        <v>0</v>
      </c>
      <c r="AJ230" s="77">
        <f t="shared" si="288"/>
        <v>0</v>
      </c>
      <c r="AK230" s="77">
        <f t="shared" si="288"/>
        <v>0</v>
      </c>
      <c r="AL230" s="77">
        <f t="shared" si="288"/>
        <v>0</v>
      </c>
      <c r="AM230" s="77">
        <f t="shared" si="288"/>
        <v>0</v>
      </c>
      <c r="AN230" s="77">
        <f t="shared" si="288"/>
        <v>0</v>
      </c>
      <c r="AO230" s="77">
        <f t="shared" si="288"/>
        <v>0</v>
      </c>
      <c r="AP230" s="77">
        <f t="shared" si="288"/>
        <v>0</v>
      </c>
      <c r="AQ230" s="77">
        <f t="shared" si="288"/>
        <v>0</v>
      </c>
      <c r="AR230" s="77">
        <f t="shared" si="288"/>
        <v>0</v>
      </c>
      <c r="AS230" s="77">
        <f t="shared" si="288"/>
        <v>0</v>
      </c>
      <c r="AT230" s="77">
        <f t="shared" si="288"/>
        <v>0</v>
      </c>
      <c r="AU230" s="77">
        <f t="shared" si="288"/>
        <v>0</v>
      </c>
      <c r="AV230" s="77">
        <f t="shared" si="288"/>
        <v>0</v>
      </c>
      <c r="AW230" s="77">
        <f t="shared" si="288"/>
        <v>0</v>
      </c>
      <c r="AX230" s="77">
        <f t="shared" si="288"/>
        <v>0</v>
      </c>
      <c r="AY230" s="77">
        <f t="shared" si="288"/>
        <v>0</v>
      </c>
      <c r="AZ230" s="77">
        <f t="shared" si="288"/>
        <v>0</v>
      </c>
      <c r="BA230" s="77">
        <f t="shared" si="288"/>
        <v>54939532.500000447</v>
      </c>
      <c r="BB230" s="77">
        <f t="shared" si="288"/>
        <v>0</v>
      </c>
      <c r="BC230" s="77">
        <f t="shared" si="288"/>
        <v>0</v>
      </c>
      <c r="BD230" s="77">
        <f t="shared" si="288"/>
        <v>0</v>
      </c>
      <c r="BE230" s="77">
        <f t="shared" si="288"/>
        <v>0</v>
      </c>
      <c r="BF230" s="77">
        <f t="shared" si="288"/>
        <v>0</v>
      </c>
      <c r="BG230" s="77">
        <f t="shared" si="288"/>
        <v>0</v>
      </c>
      <c r="BH230" s="77">
        <f t="shared" si="288"/>
        <v>0</v>
      </c>
      <c r="BI230" s="77">
        <f t="shared" si="288"/>
        <v>0</v>
      </c>
      <c r="BJ230" s="77">
        <f t="shared" si="288"/>
        <v>0</v>
      </c>
      <c r="BK230" s="77">
        <f t="shared" si="288"/>
        <v>0</v>
      </c>
      <c r="BL230" s="77">
        <f t="shared" si="288"/>
        <v>0</v>
      </c>
      <c r="BM230" s="77">
        <f t="shared" si="288"/>
        <v>0</v>
      </c>
      <c r="BN230" s="77">
        <f t="shared" si="288"/>
        <v>0</v>
      </c>
      <c r="BO230" s="77">
        <f t="shared" si="288"/>
        <v>0</v>
      </c>
      <c r="BP230" s="77">
        <f t="shared" si="288"/>
        <v>0</v>
      </c>
      <c r="BQ230" s="77">
        <f t="shared" si="288"/>
        <v>0</v>
      </c>
      <c r="BR230" s="77">
        <f t="shared" si="288"/>
        <v>0</v>
      </c>
      <c r="BS230" s="77">
        <f t="shared" ref="BS230:DV230" si="289">IF(BS220="","",BS226)</f>
        <v>0</v>
      </c>
      <c r="BT230" s="77">
        <f t="shared" si="289"/>
        <v>0</v>
      </c>
      <c r="BU230" s="77">
        <f t="shared" si="289"/>
        <v>0</v>
      </c>
      <c r="BV230" s="77">
        <f t="shared" si="289"/>
        <v>0</v>
      </c>
      <c r="BW230" s="77">
        <f t="shared" si="289"/>
        <v>0</v>
      </c>
      <c r="BX230" s="77">
        <f t="shared" si="289"/>
        <v>0</v>
      </c>
      <c r="BY230" s="77">
        <f t="shared" si="289"/>
        <v>0</v>
      </c>
      <c r="BZ230" s="77">
        <f t="shared" si="289"/>
        <v>398943.35999999801</v>
      </c>
      <c r="CA230" s="77">
        <f t="shared" si="289"/>
        <v>0</v>
      </c>
      <c r="CB230" s="77">
        <f t="shared" si="289"/>
        <v>0</v>
      </c>
      <c r="CC230" s="77">
        <f t="shared" si="289"/>
        <v>0</v>
      </c>
      <c r="CD230" s="77">
        <f t="shared" si="289"/>
        <v>0</v>
      </c>
      <c r="CE230" s="77">
        <f t="shared" si="289"/>
        <v>4393366.7399999918</v>
      </c>
      <c r="CF230" s="77">
        <f t="shared" si="289"/>
        <v>0</v>
      </c>
      <c r="CG230" s="77">
        <f t="shared" si="289"/>
        <v>0</v>
      </c>
      <c r="CH230" s="77">
        <f t="shared" si="289"/>
        <v>0</v>
      </c>
      <c r="CI230" s="77">
        <f t="shared" si="289"/>
        <v>0</v>
      </c>
      <c r="CJ230" s="77">
        <f t="shared" si="289"/>
        <v>0</v>
      </c>
      <c r="CK230" s="77">
        <f t="shared" si="289"/>
        <v>0</v>
      </c>
      <c r="CL230" s="77">
        <f t="shared" si="289"/>
        <v>0</v>
      </c>
      <c r="CM230" s="77">
        <f t="shared" si="289"/>
        <v>0</v>
      </c>
      <c r="CN230" s="77">
        <f t="shared" si="289"/>
        <v>0</v>
      </c>
      <c r="CO230" s="77">
        <f t="shared" si="289"/>
        <v>0</v>
      </c>
      <c r="CP230" s="77">
        <f t="shared" si="289"/>
        <v>0</v>
      </c>
      <c r="CQ230" s="77">
        <f t="shared" si="289"/>
        <v>0</v>
      </c>
      <c r="CR230" s="77">
        <f t="shared" si="289"/>
        <v>0</v>
      </c>
      <c r="CS230" s="77">
        <f t="shared" si="289"/>
        <v>0</v>
      </c>
      <c r="CT230" s="77">
        <f t="shared" si="289"/>
        <v>0</v>
      </c>
      <c r="CU230" s="77">
        <f t="shared" si="289"/>
        <v>0</v>
      </c>
      <c r="CV230" s="77">
        <f t="shared" si="289"/>
        <v>0</v>
      </c>
      <c r="CW230" s="77">
        <f t="shared" si="289"/>
        <v>3140548.1999999965</v>
      </c>
      <c r="CX230" s="77" t="str">
        <f t="shared" si="289"/>
        <v/>
      </c>
      <c r="CY230" s="77" t="str">
        <f t="shared" si="289"/>
        <v/>
      </c>
      <c r="CZ230" s="77" t="str">
        <f t="shared" si="289"/>
        <v/>
      </c>
      <c r="DA230" s="77" t="str">
        <f t="shared" si="289"/>
        <v/>
      </c>
      <c r="DB230" s="77" t="str">
        <f t="shared" si="289"/>
        <v/>
      </c>
      <c r="DC230" s="77" t="str">
        <f t="shared" si="289"/>
        <v/>
      </c>
      <c r="DD230" s="77" t="str">
        <f t="shared" si="289"/>
        <v/>
      </c>
      <c r="DE230" s="77" t="str">
        <f t="shared" si="289"/>
        <v/>
      </c>
      <c r="DF230" s="77" t="str">
        <f t="shared" si="289"/>
        <v/>
      </c>
      <c r="DG230" s="77" t="str">
        <f t="shared" si="289"/>
        <v/>
      </c>
      <c r="DH230" s="77" t="str">
        <f t="shared" si="289"/>
        <v/>
      </c>
      <c r="DI230" s="77" t="str">
        <f t="shared" si="289"/>
        <v/>
      </c>
      <c r="DJ230" s="77" t="str">
        <f t="shared" si="289"/>
        <v/>
      </c>
      <c r="DK230" s="77" t="str">
        <f t="shared" si="289"/>
        <v/>
      </c>
      <c r="DL230" s="77" t="str">
        <f t="shared" si="289"/>
        <v/>
      </c>
      <c r="DM230" s="77" t="str">
        <f t="shared" si="289"/>
        <v/>
      </c>
      <c r="DN230" s="77" t="str">
        <f t="shared" si="289"/>
        <v/>
      </c>
      <c r="DO230" s="77" t="str">
        <f t="shared" si="289"/>
        <v/>
      </c>
      <c r="DP230" s="77" t="str">
        <f t="shared" si="289"/>
        <v/>
      </c>
      <c r="DQ230" s="77" t="str">
        <f t="shared" si="289"/>
        <v/>
      </c>
      <c r="DR230" s="77" t="str">
        <f t="shared" si="289"/>
        <v/>
      </c>
      <c r="DS230" s="77" t="str">
        <f t="shared" si="289"/>
        <v/>
      </c>
      <c r="DT230" s="77" t="str">
        <f t="shared" si="289"/>
        <v/>
      </c>
      <c r="DU230" s="77" t="str">
        <f t="shared" si="289"/>
        <v/>
      </c>
      <c r="DV230" s="77" t="str">
        <f t="shared" si="289"/>
        <v/>
      </c>
      <c r="DW230" s="77"/>
      <c r="DX230" s="77"/>
      <c r="DY230" s="78"/>
    </row>
    <row r="231" spans="2:129" outlineLevel="1" x14ac:dyDescent="0.2">
      <c r="B231" s="16" t="s">
        <v>67</v>
      </c>
      <c r="C231" s="16"/>
      <c r="D231" s="16"/>
      <c r="E231" s="16"/>
      <c r="F231" s="77">
        <f>IF(F220="","",F230/$I$16*$H$16)</f>
        <v>0</v>
      </c>
      <c r="G231" s="77">
        <f t="shared" ref="G231:BR231" si="290">IF(G220="","",G230/$I$16*$H$16)</f>
        <v>0</v>
      </c>
      <c r="H231" s="77">
        <f t="shared" si="290"/>
        <v>0</v>
      </c>
      <c r="I231" s="77">
        <f t="shared" si="290"/>
        <v>0</v>
      </c>
      <c r="J231" s="77">
        <f t="shared" si="290"/>
        <v>0</v>
      </c>
      <c r="K231" s="77">
        <f t="shared" si="290"/>
        <v>0</v>
      </c>
      <c r="L231" s="77">
        <f t="shared" si="290"/>
        <v>0</v>
      </c>
      <c r="M231" s="77">
        <f t="shared" si="290"/>
        <v>0</v>
      </c>
      <c r="N231" s="77">
        <f t="shared" si="290"/>
        <v>0</v>
      </c>
      <c r="O231" s="77">
        <f t="shared" si="290"/>
        <v>0</v>
      </c>
      <c r="P231" s="77">
        <f t="shared" si="290"/>
        <v>0</v>
      </c>
      <c r="Q231" s="77">
        <f t="shared" si="290"/>
        <v>0</v>
      </c>
      <c r="R231" s="77">
        <f t="shared" si="290"/>
        <v>0</v>
      </c>
      <c r="S231" s="77">
        <f t="shared" si="290"/>
        <v>0</v>
      </c>
      <c r="T231" s="77">
        <f t="shared" si="290"/>
        <v>0</v>
      </c>
      <c r="U231" s="77">
        <f t="shared" si="290"/>
        <v>0</v>
      </c>
      <c r="V231" s="77">
        <f t="shared" si="290"/>
        <v>0</v>
      </c>
      <c r="W231" s="77">
        <f t="shared" si="290"/>
        <v>0</v>
      </c>
      <c r="X231" s="77">
        <f t="shared" si="290"/>
        <v>0</v>
      </c>
      <c r="Y231" s="77">
        <f t="shared" si="290"/>
        <v>0</v>
      </c>
      <c r="Z231" s="77">
        <f t="shared" si="290"/>
        <v>0</v>
      </c>
      <c r="AA231" s="77">
        <f t="shared" si="290"/>
        <v>0</v>
      </c>
      <c r="AB231" s="77">
        <f t="shared" si="290"/>
        <v>0</v>
      </c>
      <c r="AC231" s="77">
        <f t="shared" si="290"/>
        <v>0</v>
      </c>
      <c r="AD231" s="77">
        <f t="shared" si="290"/>
        <v>0</v>
      </c>
      <c r="AE231" s="77">
        <f t="shared" si="290"/>
        <v>0</v>
      </c>
      <c r="AF231" s="77">
        <f t="shared" si="290"/>
        <v>0</v>
      </c>
      <c r="AG231" s="77">
        <f t="shared" si="290"/>
        <v>0</v>
      </c>
      <c r="AH231" s="77">
        <f t="shared" si="290"/>
        <v>0</v>
      </c>
      <c r="AI231" s="77">
        <f t="shared" si="290"/>
        <v>0</v>
      </c>
      <c r="AJ231" s="77">
        <f t="shared" si="290"/>
        <v>0</v>
      </c>
      <c r="AK231" s="77">
        <f t="shared" si="290"/>
        <v>0</v>
      </c>
      <c r="AL231" s="77">
        <f t="shared" si="290"/>
        <v>0</v>
      </c>
      <c r="AM231" s="77">
        <f t="shared" si="290"/>
        <v>0</v>
      </c>
      <c r="AN231" s="77">
        <f t="shared" si="290"/>
        <v>0</v>
      </c>
      <c r="AO231" s="77">
        <f t="shared" si="290"/>
        <v>0</v>
      </c>
      <c r="AP231" s="77">
        <f t="shared" si="290"/>
        <v>0</v>
      </c>
      <c r="AQ231" s="77">
        <f t="shared" si="290"/>
        <v>0</v>
      </c>
      <c r="AR231" s="77">
        <f t="shared" si="290"/>
        <v>0</v>
      </c>
      <c r="AS231" s="77">
        <f t="shared" si="290"/>
        <v>0</v>
      </c>
      <c r="AT231" s="77">
        <f t="shared" si="290"/>
        <v>0</v>
      </c>
      <c r="AU231" s="77">
        <f t="shared" si="290"/>
        <v>0</v>
      </c>
      <c r="AV231" s="77">
        <f t="shared" si="290"/>
        <v>0</v>
      </c>
      <c r="AW231" s="77">
        <f t="shared" si="290"/>
        <v>0</v>
      </c>
      <c r="AX231" s="77">
        <f t="shared" si="290"/>
        <v>0</v>
      </c>
      <c r="AY231" s="77">
        <f t="shared" si="290"/>
        <v>0</v>
      </c>
      <c r="AZ231" s="77">
        <f t="shared" si="290"/>
        <v>0</v>
      </c>
      <c r="BA231" s="77">
        <f t="shared" si="290"/>
        <v>21365373.750000164</v>
      </c>
      <c r="BB231" s="77">
        <f t="shared" si="290"/>
        <v>0</v>
      </c>
      <c r="BC231" s="77">
        <f t="shared" si="290"/>
        <v>0</v>
      </c>
      <c r="BD231" s="77">
        <f t="shared" si="290"/>
        <v>0</v>
      </c>
      <c r="BE231" s="77">
        <f t="shared" si="290"/>
        <v>0</v>
      </c>
      <c r="BF231" s="77">
        <f t="shared" si="290"/>
        <v>0</v>
      </c>
      <c r="BG231" s="77">
        <f t="shared" si="290"/>
        <v>0</v>
      </c>
      <c r="BH231" s="77">
        <f t="shared" si="290"/>
        <v>0</v>
      </c>
      <c r="BI231" s="77">
        <f t="shared" si="290"/>
        <v>0</v>
      </c>
      <c r="BJ231" s="77">
        <f t="shared" si="290"/>
        <v>0</v>
      </c>
      <c r="BK231" s="77">
        <f t="shared" si="290"/>
        <v>0</v>
      </c>
      <c r="BL231" s="77">
        <f t="shared" si="290"/>
        <v>0</v>
      </c>
      <c r="BM231" s="77">
        <f t="shared" si="290"/>
        <v>0</v>
      </c>
      <c r="BN231" s="77">
        <f t="shared" si="290"/>
        <v>0</v>
      </c>
      <c r="BO231" s="77">
        <f t="shared" si="290"/>
        <v>0</v>
      </c>
      <c r="BP231" s="77">
        <f t="shared" si="290"/>
        <v>0</v>
      </c>
      <c r="BQ231" s="77">
        <f t="shared" si="290"/>
        <v>0</v>
      </c>
      <c r="BR231" s="77">
        <f t="shared" si="290"/>
        <v>0</v>
      </c>
      <c r="BS231" s="77">
        <f t="shared" ref="BS231:DV231" si="291">IF(BS220="","",BS230/$I$16*$H$16)</f>
        <v>0</v>
      </c>
      <c r="BT231" s="77">
        <f t="shared" si="291"/>
        <v>0</v>
      </c>
      <c r="BU231" s="77">
        <f t="shared" si="291"/>
        <v>0</v>
      </c>
      <c r="BV231" s="77">
        <f t="shared" si="291"/>
        <v>0</v>
      </c>
      <c r="BW231" s="77">
        <f t="shared" si="291"/>
        <v>0</v>
      </c>
      <c r="BX231" s="77">
        <f t="shared" si="291"/>
        <v>0</v>
      </c>
      <c r="BY231" s="77">
        <f t="shared" si="291"/>
        <v>0</v>
      </c>
      <c r="BZ231" s="77">
        <f t="shared" si="291"/>
        <v>155144.63999999917</v>
      </c>
      <c r="CA231" s="77">
        <f t="shared" si="291"/>
        <v>0</v>
      </c>
      <c r="CB231" s="77">
        <f t="shared" si="291"/>
        <v>0</v>
      </c>
      <c r="CC231" s="77">
        <f t="shared" si="291"/>
        <v>0</v>
      </c>
      <c r="CD231" s="77">
        <f t="shared" si="291"/>
        <v>0</v>
      </c>
      <c r="CE231" s="77">
        <f t="shared" si="291"/>
        <v>1708531.5099999961</v>
      </c>
      <c r="CF231" s="77">
        <f t="shared" si="291"/>
        <v>0</v>
      </c>
      <c r="CG231" s="77">
        <f t="shared" si="291"/>
        <v>0</v>
      </c>
      <c r="CH231" s="77">
        <f t="shared" si="291"/>
        <v>0</v>
      </c>
      <c r="CI231" s="77">
        <f t="shared" si="291"/>
        <v>0</v>
      </c>
      <c r="CJ231" s="77">
        <f t="shared" si="291"/>
        <v>0</v>
      </c>
      <c r="CK231" s="77">
        <f t="shared" si="291"/>
        <v>0</v>
      </c>
      <c r="CL231" s="77">
        <f t="shared" si="291"/>
        <v>0</v>
      </c>
      <c r="CM231" s="77">
        <f t="shared" si="291"/>
        <v>0</v>
      </c>
      <c r="CN231" s="77">
        <f t="shared" si="291"/>
        <v>0</v>
      </c>
      <c r="CO231" s="77">
        <f t="shared" si="291"/>
        <v>0</v>
      </c>
      <c r="CP231" s="77">
        <f t="shared" si="291"/>
        <v>0</v>
      </c>
      <c r="CQ231" s="77">
        <f t="shared" si="291"/>
        <v>0</v>
      </c>
      <c r="CR231" s="77">
        <f t="shared" si="291"/>
        <v>0</v>
      </c>
      <c r="CS231" s="77">
        <f t="shared" si="291"/>
        <v>0</v>
      </c>
      <c r="CT231" s="77">
        <f t="shared" si="291"/>
        <v>0</v>
      </c>
      <c r="CU231" s="77">
        <f t="shared" si="291"/>
        <v>0</v>
      </c>
      <c r="CV231" s="77">
        <f t="shared" si="291"/>
        <v>0</v>
      </c>
      <c r="CW231" s="77">
        <f t="shared" si="291"/>
        <v>1221324.299999998</v>
      </c>
      <c r="CX231" s="77" t="str">
        <f t="shared" si="291"/>
        <v/>
      </c>
      <c r="CY231" s="77" t="str">
        <f t="shared" si="291"/>
        <v/>
      </c>
      <c r="CZ231" s="77" t="str">
        <f t="shared" si="291"/>
        <v/>
      </c>
      <c r="DA231" s="77" t="str">
        <f t="shared" si="291"/>
        <v/>
      </c>
      <c r="DB231" s="77" t="str">
        <f t="shared" si="291"/>
        <v/>
      </c>
      <c r="DC231" s="77" t="str">
        <f t="shared" si="291"/>
        <v/>
      </c>
      <c r="DD231" s="77" t="str">
        <f t="shared" si="291"/>
        <v/>
      </c>
      <c r="DE231" s="77" t="str">
        <f t="shared" si="291"/>
        <v/>
      </c>
      <c r="DF231" s="77" t="str">
        <f t="shared" si="291"/>
        <v/>
      </c>
      <c r="DG231" s="77" t="str">
        <f t="shared" si="291"/>
        <v/>
      </c>
      <c r="DH231" s="77" t="str">
        <f t="shared" si="291"/>
        <v/>
      </c>
      <c r="DI231" s="77" t="str">
        <f t="shared" si="291"/>
        <v/>
      </c>
      <c r="DJ231" s="77" t="str">
        <f t="shared" si="291"/>
        <v/>
      </c>
      <c r="DK231" s="77" t="str">
        <f t="shared" si="291"/>
        <v/>
      </c>
      <c r="DL231" s="77" t="str">
        <f t="shared" si="291"/>
        <v/>
      </c>
      <c r="DM231" s="77" t="str">
        <f t="shared" si="291"/>
        <v/>
      </c>
      <c r="DN231" s="77" t="str">
        <f t="shared" si="291"/>
        <v/>
      </c>
      <c r="DO231" s="77" t="str">
        <f t="shared" si="291"/>
        <v/>
      </c>
      <c r="DP231" s="77" t="str">
        <f t="shared" si="291"/>
        <v/>
      </c>
      <c r="DQ231" s="77" t="str">
        <f t="shared" si="291"/>
        <v/>
      </c>
      <c r="DR231" s="77" t="str">
        <f t="shared" si="291"/>
        <v/>
      </c>
      <c r="DS231" s="77" t="str">
        <f t="shared" si="291"/>
        <v/>
      </c>
      <c r="DT231" s="77" t="str">
        <f t="shared" si="291"/>
        <v/>
      </c>
      <c r="DU231" s="77" t="str">
        <f t="shared" si="291"/>
        <v/>
      </c>
      <c r="DV231" s="77" t="str">
        <f t="shared" si="291"/>
        <v/>
      </c>
      <c r="DW231" s="77"/>
      <c r="DX231" s="77"/>
      <c r="DY231" s="78"/>
    </row>
    <row r="232" spans="2:129" outlineLevel="1" x14ac:dyDescent="0.2">
      <c r="B232" s="16" t="str">
        <f>"Total Distributions ("&amp;B220&amp;")"</f>
        <v>Total Distributions (Tier 2)</v>
      </c>
      <c r="C232" s="16"/>
      <c r="D232" s="16"/>
      <c r="E232" s="16"/>
      <c r="F232" s="77">
        <f>IF(F220="","",F230+F231)</f>
        <v>0</v>
      </c>
      <c r="G232" s="77">
        <f t="shared" ref="G232:BR232" si="292">IF(G220="","",G230+G231)</f>
        <v>0</v>
      </c>
      <c r="H232" s="77">
        <f t="shared" si="292"/>
        <v>0</v>
      </c>
      <c r="I232" s="77">
        <f t="shared" si="292"/>
        <v>0</v>
      </c>
      <c r="J232" s="77">
        <f t="shared" si="292"/>
        <v>0</v>
      </c>
      <c r="K232" s="77">
        <f t="shared" si="292"/>
        <v>0</v>
      </c>
      <c r="L232" s="77">
        <f t="shared" si="292"/>
        <v>0</v>
      </c>
      <c r="M232" s="77">
        <f t="shared" si="292"/>
        <v>0</v>
      </c>
      <c r="N232" s="77">
        <f t="shared" si="292"/>
        <v>0</v>
      </c>
      <c r="O232" s="77">
        <f t="shared" si="292"/>
        <v>0</v>
      </c>
      <c r="P232" s="77">
        <f t="shared" si="292"/>
        <v>0</v>
      </c>
      <c r="Q232" s="77">
        <f t="shared" si="292"/>
        <v>0</v>
      </c>
      <c r="R232" s="77">
        <f t="shared" si="292"/>
        <v>0</v>
      </c>
      <c r="S232" s="77">
        <f t="shared" si="292"/>
        <v>0</v>
      </c>
      <c r="T232" s="77">
        <f t="shared" si="292"/>
        <v>0</v>
      </c>
      <c r="U232" s="77">
        <f t="shared" si="292"/>
        <v>0</v>
      </c>
      <c r="V232" s="77">
        <f t="shared" si="292"/>
        <v>0</v>
      </c>
      <c r="W232" s="77">
        <f t="shared" si="292"/>
        <v>0</v>
      </c>
      <c r="X232" s="77">
        <f t="shared" si="292"/>
        <v>0</v>
      </c>
      <c r="Y232" s="77">
        <f t="shared" si="292"/>
        <v>0</v>
      </c>
      <c r="Z232" s="77">
        <f t="shared" si="292"/>
        <v>0</v>
      </c>
      <c r="AA232" s="77">
        <f t="shared" si="292"/>
        <v>0</v>
      </c>
      <c r="AB232" s="77">
        <f t="shared" si="292"/>
        <v>0</v>
      </c>
      <c r="AC232" s="77">
        <f t="shared" si="292"/>
        <v>0</v>
      </c>
      <c r="AD232" s="77">
        <f t="shared" si="292"/>
        <v>0</v>
      </c>
      <c r="AE232" s="77">
        <f t="shared" si="292"/>
        <v>0</v>
      </c>
      <c r="AF232" s="77">
        <f t="shared" si="292"/>
        <v>0</v>
      </c>
      <c r="AG232" s="77">
        <f t="shared" si="292"/>
        <v>0</v>
      </c>
      <c r="AH232" s="77">
        <f t="shared" si="292"/>
        <v>0</v>
      </c>
      <c r="AI232" s="77">
        <f t="shared" si="292"/>
        <v>0</v>
      </c>
      <c r="AJ232" s="77">
        <f t="shared" si="292"/>
        <v>0</v>
      </c>
      <c r="AK232" s="77">
        <f t="shared" si="292"/>
        <v>0</v>
      </c>
      <c r="AL232" s="77">
        <f t="shared" si="292"/>
        <v>0</v>
      </c>
      <c r="AM232" s="77">
        <f t="shared" si="292"/>
        <v>0</v>
      </c>
      <c r="AN232" s="77">
        <f t="shared" si="292"/>
        <v>0</v>
      </c>
      <c r="AO232" s="77">
        <f t="shared" si="292"/>
        <v>0</v>
      </c>
      <c r="AP232" s="77">
        <f t="shared" si="292"/>
        <v>0</v>
      </c>
      <c r="AQ232" s="77">
        <f t="shared" si="292"/>
        <v>0</v>
      </c>
      <c r="AR232" s="77">
        <f t="shared" si="292"/>
        <v>0</v>
      </c>
      <c r="AS232" s="77">
        <f t="shared" si="292"/>
        <v>0</v>
      </c>
      <c r="AT232" s="77">
        <f t="shared" si="292"/>
        <v>0</v>
      </c>
      <c r="AU232" s="77">
        <f t="shared" si="292"/>
        <v>0</v>
      </c>
      <c r="AV232" s="77">
        <f t="shared" si="292"/>
        <v>0</v>
      </c>
      <c r="AW232" s="77">
        <f t="shared" si="292"/>
        <v>0</v>
      </c>
      <c r="AX232" s="77">
        <f t="shared" si="292"/>
        <v>0</v>
      </c>
      <c r="AY232" s="77">
        <f t="shared" si="292"/>
        <v>0</v>
      </c>
      <c r="AZ232" s="77">
        <f t="shared" si="292"/>
        <v>0</v>
      </c>
      <c r="BA232" s="77">
        <f t="shared" si="292"/>
        <v>76304906.250000611</v>
      </c>
      <c r="BB232" s="77">
        <f t="shared" si="292"/>
        <v>0</v>
      </c>
      <c r="BC232" s="77">
        <f t="shared" si="292"/>
        <v>0</v>
      </c>
      <c r="BD232" s="77">
        <f t="shared" si="292"/>
        <v>0</v>
      </c>
      <c r="BE232" s="77">
        <f t="shared" si="292"/>
        <v>0</v>
      </c>
      <c r="BF232" s="77">
        <f t="shared" si="292"/>
        <v>0</v>
      </c>
      <c r="BG232" s="77">
        <f t="shared" si="292"/>
        <v>0</v>
      </c>
      <c r="BH232" s="77">
        <f t="shared" si="292"/>
        <v>0</v>
      </c>
      <c r="BI232" s="77">
        <f t="shared" si="292"/>
        <v>0</v>
      </c>
      <c r="BJ232" s="77">
        <f t="shared" si="292"/>
        <v>0</v>
      </c>
      <c r="BK232" s="77">
        <f t="shared" si="292"/>
        <v>0</v>
      </c>
      <c r="BL232" s="77">
        <f t="shared" si="292"/>
        <v>0</v>
      </c>
      <c r="BM232" s="77">
        <f t="shared" si="292"/>
        <v>0</v>
      </c>
      <c r="BN232" s="77">
        <f t="shared" si="292"/>
        <v>0</v>
      </c>
      <c r="BO232" s="77">
        <f t="shared" si="292"/>
        <v>0</v>
      </c>
      <c r="BP232" s="77">
        <f t="shared" si="292"/>
        <v>0</v>
      </c>
      <c r="BQ232" s="77">
        <f t="shared" si="292"/>
        <v>0</v>
      </c>
      <c r="BR232" s="77">
        <f t="shared" si="292"/>
        <v>0</v>
      </c>
      <c r="BS232" s="77">
        <f t="shared" ref="BS232:DV232" si="293">IF(BS220="","",BS230+BS231)</f>
        <v>0</v>
      </c>
      <c r="BT232" s="77">
        <f t="shared" si="293"/>
        <v>0</v>
      </c>
      <c r="BU232" s="77">
        <f t="shared" si="293"/>
        <v>0</v>
      </c>
      <c r="BV232" s="77">
        <f t="shared" si="293"/>
        <v>0</v>
      </c>
      <c r="BW232" s="77">
        <f t="shared" si="293"/>
        <v>0</v>
      </c>
      <c r="BX232" s="77">
        <f t="shared" si="293"/>
        <v>0</v>
      </c>
      <c r="BY232" s="77">
        <f t="shared" si="293"/>
        <v>0</v>
      </c>
      <c r="BZ232" s="77">
        <f t="shared" si="293"/>
        <v>554087.99999999721</v>
      </c>
      <c r="CA232" s="77">
        <f t="shared" si="293"/>
        <v>0</v>
      </c>
      <c r="CB232" s="77">
        <f t="shared" si="293"/>
        <v>0</v>
      </c>
      <c r="CC232" s="77">
        <f t="shared" si="293"/>
        <v>0</v>
      </c>
      <c r="CD232" s="77">
        <f t="shared" si="293"/>
        <v>0</v>
      </c>
      <c r="CE232" s="77">
        <f t="shared" si="293"/>
        <v>6101898.2499999879</v>
      </c>
      <c r="CF232" s="77">
        <f t="shared" si="293"/>
        <v>0</v>
      </c>
      <c r="CG232" s="77">
        <f t="shared" si="293"/>
        <v>0</v>
      </c>
      <c r="CH232" s="77">
        <f t="shared" si="293"/>
        <v>0</v>
      </c>
      <c r="CI232" s="77">
        <f t="shared" si="293"/>
        <v>0</v>
      </c>
      <c r="CJ232" s="77">
        <f t="shared" si="293"/>
        <v>0</v>
      </c>
      <c r="CK232" s="77">
        <f t="shared" si="293"/>
        <v>0</v>
      </c>
      <c r="CL232" s="77">
        <f t="shared" si="293"/>
        <v>0</v>
      </c>
      <c r="CM232" s="77">
        <f t="shared" si="293"/>
        <v>0</v>
      </c>
      <c r="CN232" s="77">
        <f t="shared" si="293"/>
        <v>0</v>
      </c>
      <c r="CO232" s="77">
        <f t="shared" si="293"/>
        <v>0</v>
      </c>
      <c r="CP232" s="77">
        <f t="shared" si="293"/>
        <v>0</v>
      </c>
      <c r="CQ232" s="77">
        <f t="shared" si="293"/>
        <v>0</v>
      </c>
      <c r="CR232" s="77">
        <f t="shared" si="293"/>
        <v>0</v>
      </c>
      <c r="CS232" s="77">
        <f t="shared" si="293"/>
        <v>0</v>
      </c>
      <c r="CT232" s="77">
        <f t="shared" si="293"/>
        <v>0</v>
      </c>
      <c r="CU232" s="77">
        <f t="shared" si="293"/>
        <v>0</v>
      </c>
      <c r="CV232" s="77">
        <f t="shared" si="293"/>
        <v>0</v>
      </c>
      <c r="CW232" s="77">
        <f t="shared" si="293"/>
        <v>4361872.4999999944</v>
      </c>
      <c r="CX232" s="77" t="str">
        <f t="shared" si="293"/>
        <v/>
      </c>
      <c r="CY232" s="77" t="str">
        <f t="shared" si="293"/>
        <v/>
      </c>
      <c r="CZ232" s="77" t="str">
        <f t="shared" si="293"/>
        <v/>
      </c>
      <c r="DA232" s="77" t="str">
        <f t="shared" si="293"/>
        <v/>
      </c>
      <c r="DB232" s="77" t="str">
        <f t="shared" si="293"/>
        <v/>
      </c>
      <c r="DC232" s="77" t="str">
        <f t="shared" si="293"/>
        <v/>
      </c>
      <c r="DD232" s="77" t="str">
        <f t="shared" si="293"/>
        <v/>
      </c>
      <c r="DE232" s="77" t="str">
        <f t="shared" si="293"/>
        <v/>
      </c>
      <c r="DF232" s="77" t="str">
        <f t="shared" si="293"/>
        <v/>
      </c>
      <c r="DG232" s="77" t="str">
        <f t="shared" si="293"/>
        <v/>
      </c>
      <c r="DH232" s="77" t="str">
        <f t="shared" si="293"/>
        <v/>
      </c>
      <c r="DI232" s="77" t="str">
        <f t="shared" si="293"/>
        <v/>
      </c>
      <c r="DJ232" s="77" t="str">
        <f t="shared" si="293"/>
        <v/>
      </c>
      <c r="DK232" s="77" t="str">
        <f t="shared" si="293"/>
        <v/>
      </c>
      <c r="DL232" s="77" t="str">
        <f t="shared" si="293"/>
        <v/>
      </c>
      <c r="DM232" s="77" t="str">
        <f t="shared" si="293"/>
        <v/>
      </c>
      <c r="DN232" s="77" t="str">
        <f t="shared" si="293"/>
        <v/>
      </c>
      <c r="DO232" s="77" t="str">
        <f t="shared" si="293"/>
        <v/>
      </c>
      <c r="DP232" s="77" t="str">
        <f t="shared" si="293"/>
        <v/>
      </c>
      <c r="DQ232" s="77" t="str">
        <f t="shared" si="293"/>
        <v/>
      </c>
      <c r="DR232" s="77" t="str">
        <f t="shared" si="293"/>
        <v/>
      </c>
      <c r="DS232" s="77" t="str">
        <f t="shared" si="293"/>
        <v/>
      </c>
      <c r="DT232" s="77" t="str">
        <f t="shared" si="293"/>
        <v/>
      </c>
      <c r="DU232" s="77" t="str">
        <f t="shared" si="293"/>
        <v/>
      </c>
      <c r="DV232" s="77" t="str">
        <f t="shared" si="293"/>
        <v/>
      </c>
      <c r="DW232" s="77"/>
      <c r="DX232" s="77"/>
      <c r="DY232" s="78"/>
    </row>
    <row r="233" spans="2:129" outlineLevel="1" x14ac:dyDescent="0.2">
      <c r="B233" s="16" t="s">
        <v>69</v>
      </c>
      <c r="C233" s="16"/>
      <c r="D233" s="16"/>
      <c r="E233" s="16"/>
      <c r="F233" s="77">
        <f>IF(F220="","",MAX(F$51-F217-F232,0))</f>
        <v>0</v>
      </c>
      <c r="G233" s="77">
        <f t="shared" ref="G233:BR233" si="294">IF(G220="","",MAX(G$51-G217-G232,0))</f>
        <v>0</v>
      </c>
      <c r="H233" s="77">
        <f t="shared" si="294"/>
        <v>0</v>
      </c>
      <c r="I233" s="77">
        <f t="shared" si="294"/>
        <v>0</v>
      </c>
      <c r="J233" s="77">
        <f t="shared" si="294"/>
        <v>0</v>
      </c>
      <c r="K233" s="77">
        <f t="shared" si="294"/>
        <v>0</v>
      </c>
      <c r="L233" s="77">
        <f t="shared" si="294"/>
        <v>0</v>
      </c>
      <c r="M233" s="77">
        <f t="shared" si="294"/>
        <v>0</v>
      </c>
      <c r="N233" s="77">
        <f t="shared" si="294"/>
        <v>0</v>
      </c>
      <c r="O233" s="77">
        <f t="shared" si="294"/>
        <v>0</v>
      </c>
      <c r="P233" s="77">
        <f t="shared" si="294"/>
        <v>0</v>
      </c>
      <c r="Q233" s="77">
        <f t="shared" si="294"/>
        <v>0</v>
      </c>
      <c r="R233" s="77">
        <f t="shared" si="294"/>
        <v>0</v>
      </c>
      <c r="S233" s="77">
        <f t="shared" si="294"/>
        <v>0</v>
      </c>
      <c r="T233" s="77">
        <f t="shared" si="294"/>
        <v>0</v>
      </c>
      <c r="U233" s="77">
        <f t="shared" si="294"/>
        <v>0</v>
      </c>
      <c r="V233" s="77">
        <f t="shared" si="294"/>
        <v>0</v>
      </c>
      <c r="W233" s="77">
        <f t="shared" si="294"/>
        <v>0</v>
      </c>
      <c r="X233" s="77">
        <f t="shared" si="294"/>
        <v>0</v>
      </c>
      <c r="Y233" s="77">
        <f t="shared" si="294"/>
        <v>0</v>
      </c>
      <c r="Z233" s="77">
        <f t="shared" si="294"/>
        <v>0</v>
      </c>
      <c r="AA233" s="77">
        <f t="shared" si="294"/>
        <v>0</v>
      </c>
      <c r="AB233" s="77">
        <f t="shared" si="294"/>
        <v>0</v>
      </c>
      <c r="AC233" s="77">
        <f t="shared" si="294"/>
        <v>0</v>
      </c>
      <c r="AD233" s="77">
        <f t="shared" si="294"/>
        <v>0</v>
      </c>
      <c r="AE233" s="77">
        <f t="shared" si="294"/>
        <v>0</v>
      </c>
      <c r="AF233" s="77">
        <f t="shared" si="294"/>
        <v>0</v>
      </c>
      <c r="AG233" s="77">
        <f t="shared" si="294"/>
        <v>0</v>
      </c>
      <c r="AH233" s="77">
        <f t="shared" si="294"/>
        <v>0</v>
      </c>
      <c r="AI233" s="77">
        <f t="shared" si="294"/>
        <v>0</v>
      </c>
      <c r="AJ233" s="77">
        <f t="shared" si="294"/>
        <v>0</v>
      </c>
      <c r="AK233" s="77">
        <f t="shared" si="294"/>
        <v>0</v>
      </c>
      <c r="AL233" s="77">
        <f t="shared" si="294"/>
        <v>0</v>
      </c>
      <c r="AM233" s="77">
        <f t="shared" si="294"/>
        <v>0</v>
      </c>
      <c r="AN233" s="77">
        <f t="shared" si="294"/>
        <v>0</v>
      </c>
      <c r="AO233" s="77">
        <f t="shared" si="294"/>
        <v>0</v>
      </c>
      <c r="AP233" s="77">
        <f t="shared" si="294"/>
        <v>0</v>
      </c>
      <c r="AQ233" s="77">
        <f t="shared" si="294"/>
        <v>0</v>
      </c>
      <c r="AR233" s="77">
        <f t="shared" si="294"/>
        <v>0</v>
      </c>
      <c r="AS233" s="77">
        <f t="shared" si="294"/>
        <v>0</v>
      </c>
      <c r="AT233" s="77">
        <f t="shared" si="294"/>
        <v>0</v>
      </c>
      <c r="AU233" s="77">
        <f t="shared" si="294"/>
        <v>0</v>
      </c>
      <c r="AV233" s="77">
        <f t="shared" si="294"/>
        <v>0</v>
      </c>
      <c r="AW233" s="77">
        <f t="shared" si="294"/>
        <v>0</v>
      </c>
      <c r="AX233" s="77">
        <f t="shared" si="294"/>
        <v>0</v>
      </c>
      <c r="AY233" s="77">
        <f t="shared" si="294"/>
        <v>0</v>
      </c>
      <c r="AZ233" s="77">
        <f t="shared" si="294"/>
        <v>0</v>
      </c>
      <c r="BA233" s="77">
        <f t="shared" si="294"/>
        <v>44389382.749999374</v>
      </c>
      <c r="BB233" s="77">
        <f t="shared" si="294"/>
        <v>0</v>
      </c>
      <c r="BC233" s="77">
        <f t="shared" si="294"/>
        <v>0</v>
      </c>
      <c r="BD233" s="77">
        <f t="shared" si="294"/>
        <v>0</v>
      </c>
      <c r="BE233" s="77">
        <f t="shared" si="294"/>
        <v>0</v>
      </c>
      <c r="BF233" s="77">
        <f t="shared" si="294"/>
        <v>0</v>
      </c>
      <c r="BG233" s="77">
        <f t="shared" si="294"/>
        <v>0</v>
      </c>
      <c r="BH233" s="77">
        <f t="shared" si="294"/>
        <v>0</v>
      </c>
      <c r="BI233" s="77">
        <f t="shared" si="294"/>
        <v>0</v>
      </c>
      <c r="BJ233" s="77">
        <f t="shared" si="294"/>
        <v>0</v>
      </c>
      <c r="BK233" s="77">
        <f t="shared" si="294"/>
        <v>0</v>
      </c>
      <c r="BL233" s="77">
        <f t="shared" si="294"/>
        <v>0</v>
      </c>
      <c r="BM233" s="77">
        <f t="shared" si="294"/>
        <v>0</v>
      </c>
      <c r="BN233" s="77">
        <f t="shared" si="294"/>
        <v>0</v>
      </c>
      <c r="BO233" s="77">
        <f t="shared" si="294"/>
        <v>0</v>
      </c>
      <c r="BP233" s="77">
        <f t="shared" si="294"/>
        <v>0</v>
      </c>
      <c r="BQ233" s="77">
        <f t="shared" si="294"/>
        <v>0</v>
      </c>
      <c r="BR233" s="77">
        <f t="shared" si="294"/>
        <v>0</v>
      </c>
      <c r="BS233" s="77">
        <f t="shared" ref="BS233:DV233" si="295">IF(BS220="","",MAX(BS$51-BS217-BS232,0))</f>
        <v>0</v>
      </c>
      <c r="BT233" s="77">
        <f t="shared" si="295"/>
        <v>0</v>
      </c>
      <c r="BU233" s="77">
        <f t="shared" si="295"/>
        <v>0</v>
      </c>
      <c r="BV233" s="77">
        <f t="shared" si="295"/>
        <v>0</v>
      </c>
      <c r="BW233" s="77">
        <f t="shared" si="295"/>
        <v>0</v>
      </c>
      <c r="BX233" s="77">
        <f t="shared" si="295"/>
        <v>0</v>
      </c>
      <c r="BY233" s="77">
        <f t="shared" si="295"/>
        <v>0</v>
      </c>
      <c r="BZ233" s="77">
        <f t="shared" si="295"/>
        <v>0</v>
      </c>
      <c r="CA233" s="77">
        <f t="shared" si="295"/>
        <v>0</v>
      </c>
      <c r="CB233" s="77">
        <f t="shared" si="295"/>
        <v>0</v>
      </c>
      <c r="CC233" s="77">
        <f t="shared" si="295"/>
        <v>0</v>
      </c>
      <c r="CD233" s="77">
        <f t="shared" si="295"/>
        <v>0</v>
      </c>
      <c r="CE233" s="77">
        <f t="shared" si="295"/>
        <v>7675269.7500000121</v>
      </c>
      <c r="CF233" s="77">
        <f t="shared" si="295"/>
        <v>0</v>
      </c>
      <c r="CG233" s="77">
        <f t="shared" si="295"/>
        <v>0</v>
      </c>
      <c r="CH233" s="77">
        <f t="shared" si="295"/>
        <v>0</v>
      </c>
      <c r="CI233" s="77">
        <f t="shared" si="295"/>
        <v>0</v>
      </c>
      <c r="CJ233" s="77">
        <f t="shared" si="295"/>
        <v>0</v>
      </c>
      <c r="CK233" s="77">
        <f t="shared" si="295"/>
        <v>0</v>
      </c>
      <c r="CL233" s="77">
        <f t="shared" si="295"/>
        <v>0</v>
      </c>
      <c r="CM233" s="77">
        <f t="shared" si="295"/>
        <v>0</v>
      </c>
      <c r="CN233" s="77">
        <f t="shared" si="295"/>
        <v>0</v>
      </c>
      <c r="CO233" s="77">
        <f t="shared" si="295"/>
        <v>0</v>
      </c>
      <c r="CP233" s="77">
        <f t="shared" si="295"/>
        <v>0</v>
      </c>
      <c r="CQ233" s="77">
        <f t="shared" si="295"/>
        <v>0</v>
      </c>
      <c r="CR233" s="77">
        <f t="shared" si="295"/>
        <v>0</v>
      </c>
      <c r="CS233" s="77">
        <f t="shared" si="295"/>
        <v>0</v>
      </c>
      <c r="CT233" s="77">
        <f t="shared" si="295"/>
        <v>0</v>
      </c>
      <c r="CU233" s="77">
        <f t="shared" si="295"/>
        <v>0</v>
      </c>
      <c r="CV233" s="77">
        <f t="shared" si="295"/>
        <v>0</v>
      </c>
      <c r="CW233" s="77">
        <f t="shared" si="295"/>
        <v>15714931.500000006</v>
      </c>
      <c r="CX233" s="77" t="str">
        <f t="shared" si="295"/>
        <v/>
      </c>
      <c r="CY233" s="77" t="str">
        <f t="shared" si="295"/>
        <v/>
      </c>
      <c r="CZ233" s="77" t="str">
        <f t="shared" si="295"/>
        <v/>
      </c>
      <c r="DA233" s="77" t="str">
        <f t="shared" si="295"/>
        <v/>
      </c>
      <c r="DB233" s="77" t="str">
        <f t="shared" si="295"/>
        <v/>
      </c>
      <c r="DC233" s="77" t="str">
        <f t="shared" si="295"/>
        <v/>
      </c>
      <c r="DD233" s="77" t="str">
        <f t="shared" si="295"/>
        <v/>
      </c>
      <c r="DE233" s="77" t="str">
        <f t="shared" si="295"/>
        <v/>
      </c>
      <c r="DF233" s="77" t="str">
        <f t="shared" si="295"/>
        <v/>
      </c>
      <c r="DG233" s="77" t="str">
        <f t="shared" si="295"/>
        <v/>
      </c>
      <c r="DH233" s="77" t="str">
        <f t="shared" si="295"/>
        <v/>
      </c>
      <c r="DI233" s="77" t="str">
        <f t="shared" si="295"/>
        <v/>
      </c>
      <c r="DJ233" s="77" t="str">
        <f t="shared" si="295"/>
        <v/>
      </c>
      <c r="DK233" s="77" t="str">
        <f t="shared" si="295"/>
        <v/>
      </c>
      <c r="DL233" s="77" t="str">
        <f t="shared" si="295"/>
        <v/>
      </c>
      <c r="DM233" s="77" t="str">
        <f t="shared" si="295"/>
        <v/>
      </c>
      <c r="DN233" s="77" t="str">
        <f t="shared" si="295"/>
        <v/>
      </c>
      <c r="DO233" s="77" t="str">
        <f t="shared" si="295"/>
        <v/>
      </c>
      <c r="DP233" s="77" t="str">
        <f t="shared" si="295"/>
        <v/>
      </c>
      <c r="DQ233" s="77" t="str">
        <f t="shared" si="295"/>
        <v/>
      </c>
      <c r="DR233" s="77" t="str">
        <f t="shared" si="295"/>
        <v/>
      </c>
      <c r="DS233" s="77" t="str">
        <f t="shared" si="295"/>
        <v/>
      </c>
      <c r="DT233" s="77" t="str">
        <f t="shared" si="295"/>
        <v/>
      </c>
      <c r="DU233" s="77" t="str">
        <f t="shared" si="295"/>
        <v/>
      </c>
      <c r="DV233" s="77" t="str">
        <f t="shared" si="295"/>
        <v/>
      </c>
      <c r="DW233" s="77"/>
      <c r="DX233" s="77"/>
      <c r="DY233" s="78"/>
    </row>
    <row r="234" spans="2:129" outlineLevel="1" x14ac:dyDescent="0.2">
      <c r="B234" s="16"/>
      <c r="C234" s="16"/>
      <c r="D234" s="16"/>
      <c r="E234" s="1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66"/>
      <c r="AU234" s="66"/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/>
      <c r="BJ234" s="66"/>
      <c r="BK234" s="66"/>
      <c r="BL234" s="66"/>
      <c r="BM234" s="66"/>
      <c r="BN234" s="66"/>
      <c r="BO234" s="66"/>
      <c r="BP234" s="66"/>
      <c r="BQ234" s="66"/>
      <c r="BR234" s="66"/>
      <c r="BS234" s="66"/>
      <c r="BT234" s="66"/>
      <c r="BU234" s="66"/>
      <c r="BV234" s="66"/>
      <c r="BW234" s="66"/>
      <c r="BX234" s="66"/>
      <c r="BY234" s="66"/>
      <c r="BZ234" s="66"/>
      <c r="CA234" s="66"/>
      <c r="CB234" s="66"/>
      <c r="CC234" s="66"/>
      <c r="CD234" s="66"/>
      <c r="CE234" s="66"/>
      <c r="CF234" s="66"/>
      <c r="CG234" s="66"/>
      <c r="CH234" s="66"/>
      <c r="CI234" s="66"/>
      <c r="CJ234" s="66"/>
      <c r="CK234" s="66"/>
      <c r="CL234" s="66"/>
      <c r="CM234" s="66"/>
      <c r="CN234" s="66"/>
      <c r="CO234" s="66"/>
      <c r="CP234" s="66"/>
      <c r="CQ234" s="66"/>
      <c r="CR234" s="66"/>
      <c r="CS234" s="66"/>
      <c r="CT234" s="66"/>
      <c r="CU234" s="66"/>
      <c r="CV234" s="66"/>
      <c r="CW234" s="66"/>
      <c r="CX234" s="66"/>
      <c r="CY234" s="66"/>
      <c r="CZ234" s="66"/>
      <c r="DA234" s="66"/>
      <c r="DB234" s="66"/>
      <c r="DC234" s="66"/>
      <c r="DD234" s="66"/>
      <c r="DE234" s="66"/>
      <c r="DF234" s="66"/>
      <c r="DG234" s="66"/>
      <c r="DH234" s="66"/>
      <c r="DI234" s="66"/>
      <c r="DJ234" s="66"/>
      <c r="DK234" s="66"/>
      <c r="DL234" s="66"/>
      <c r="DM234" s="66"/>
      <c r="DN234" s="66"/>
      <c r="DO234" s="66"/>
      <c r="DP234" s="66"/>
      <c r="DQ234" s="66"/>
      <c r="DR234" s="66"/>
      <c r="DS234" s="66"/>
      <c r="DT234" s="66"/>
      <c r="DU234" s="66"/>
      <c r="DV234" s="66"/>
      <c r="DW234" s="66"/>
      <c r="DX234" s="66"/>
      <c r="DY234" s="17"/>
    </row>
    <row r="235" spans="2:129" ht="16" outlineLevel="1" x14ac:dyDescent="0.2">
      <c r="B235" s="105" t="s">
        <v>73</v>
      </c>
      <c r="C235" s="100"/>
      <c r="D235" s="100"/>
      <c r="E235" s="100"/>
      <c r="F235" s="113">
        <f>F$21</f>
        <v>0</v>
      </c>
      <c r="G235" s="113">
        <f t="shared" ref="G235:BR235" si="296">G$21</f>
        <v>1</v>
      </c>
      <c r="H235" s="113">
        <f t="shared" si="296"/>
        <v>2</v>
      </c>
      <c r="I235" s="113">
        <f t="shared" si="296"/>
        <v>3</v>
      </c>
      <c r="J235" s="113">
        <f t="shared" si="296"/>
        <v>4</v>
      </c>
      <c r="K235" s="113">
        <f t="shared" si="296"/>
        <v>5</v>
      </c>
      <c r="L235" s="113">
        <f t="shared" si="296"/>
        <v>6</v>
      </c>
      <c r="M235" s="113">
        <f t="shared" si="296"/>
        <v>7</v>
      </c>
      <c r="N235" s="113">
        <f t="shared" si="296"/>
        <v>8</v>
      </c>
      <c r="O235" s="113">
        <f t="shared" si="296"/>
        <v>9</v>
      </c>
      <c r="P235" s="113">
        <f t="shared" si="296"/>
        <v>10</v>
      </c>
      <c r="Q235" s="113">
        <f t="shared" si="296"/>
        <v>11</v>
      </c>
      <c r="R235" s="113">
        <f t="shared" si="296"/>
        <v>12</v>
      </c>
      <c r="S235" s="113">
        <f t="shared" si="296"/>
        <v>13</v>
      </c>
      <c r="T235" s="113">
        <f t="shared" si="296"/>
        <v>14</v>
      </c>
      <c r="U235" s="113">
        <f t="shared" si="296"/>
        <v>15</v>
      </c>
      <c r="V235" s="113">
        <f t="shared" si="296"/>
        <v>16</v>
      </c>
      <c r="W235" s="113">
        <f t="shared" si="296"/>
        <v>17</v>
      </c>
      <c r="X235" s="113">
        <f t="shared" si="296"/>
        <v>18</v>
      </c>
      <c r="Y235" s="113">
        <f t="shared" si="296"/>
        <v>19</v>
      </c>
      <c r="Z235" s="113">
        <f t="shared" si="296"/>
        <v>20</v>
      </c>
      <c r="AA235" s="113">
        <f t="shared" si="296"/>
        <v>21</v>
      </c>
      <c r="AB235" s="113">
        <f t="shared" si="296"/>
        <v>22</v>
      </c>
      <c r="AC235" s="113">
        <f t="shared" si="296"/>
        <v>23</v>
      </c>
      <c r="AD235" s="113">
        <f t="shared" si="296"/>
        <v>24</v>
      </c>
      <c r="AE235" s="113">
        <f t="shared" si="296"/>
        <v>25</v>
      </c>
      <c r="AF235" s="113">
        <f t="shared" si="296"/>
        <v>26</v>
      </c>
      <c r="AG235" s="113">
        <f t="shared" si="296"/>
        <v>27</v>
      </c>
      <c r="AH235" s="113">
        <f t="shared" si="296"/>
        <v>28</v>
      </c>
      <c r="AI235" s="113">
        <f t="shared" si="296"/>
        <v>29</v>
      </c>
      <c r="AJ235" s="113">
        <f t="shared" si="296"/>
        <v>30</v>
      </c>
      <c r="AK235" s="113">
        <f t="shared" si="296"/>
        <v>31</v>
      </c>
      <c r="AL235" s="113">
        <f t="shared" si="296"/>
        <v>32</v>
      </c>
      <c r="AM235" s="113">
        <f t="shared" si="296"/>
        <v>33</v>
      </c>
      <c r="AN235" s="113">
        <f t="shared" si="296"/>
        <v>34</v>
      </c>
      <c r="AO235" s="113">
        <f t="shared" si="296"/>
        <v>35</v>
      </c>
      <c r="AP235" s="113">
        <f t="shared" si="296"/>
        <v>36</v>
      </c>
      <c r="AQ235" s="113">
        <f t="shared" si="296"/>
        <v>37</v>
      </c>
      <c r="AR235" s="113">
        <f t="shared" si="296"/>
        <v>38</v>
      </c>
      <c r="AS235" s="113">
        <f t="shared" si="296"/>
        <v>39</v>
      </c>
      <c r="AT235" s="113">
        <f t="shared" si="296"/>
        <v>40</v>
      </c>
      <c r="AU235" s="113">
        <f t="shared" si="296"/>
        <v>41</v>
      </c>
      <c r="AV235" s="113">
        <f t="shared" si="296"/>
        <v>42</v>
      </c>
      <c r="AW235" s="113">
        <f t="shared" si="296"/>
        <v>43</v>
      </c>
      <c r="AX235" s="113">
        <f t="shared" si="296"/>
        <v>44</v>
      </c>
      <c r="AY235" s="113">
        <f t="shared" si="296"/>
        <v>45</v>
      </c>
      <c r="AZ235" s="113">
        <f t="shared" si="296"/>
        <v>46</v>
      </c>
      <c r="BA235" s="113">
        <f t="shared" si="296"/>
        <v>47</v>
      </c>
      <c r="BB235" s="113">
        <f t="shared" si="296"/>
        <v>48</v>
      </c>
      <c r="BC235" s="113">
        <f t="shared" si="296"/>
        <v>49</v>
      </c>
      <c r="BD235" s="113">
        <f t="shared" si="296"/>
        <v>50</v>
      </c>
      <c r="BE235" s="113">
        <f t="shared" si="296"/>
        <v>51</v>
      </c>
      <c r="BF235" s="113">
        <f t="shared" si="296"/>
        <v>52</v>
      </c>
      <c r="BG235" s="113">
        <f t="shared" si="296"/>
        <v>53</v>
      </c>
      <c r="BH235" s="113">
        <f t="shared" si="296"/>
        <v>54</v>
      </c>
      <c r="BI235" s="113">
        <f t="shared" si="296"/>
        <v>55</v>
      </c>
      <c r="BJ235" s="113">
        <f t="shared" si="296"/>
        <v>56</v>
      </c>
      <c r="BK235" s="113">
        <f t="shared" si="296"/>
        <v>57</v>
      </c>
      <c r="BL235" s="113">
        <f t="shared" si="296"/>
        <v>58</v>
      </c>
      <c r="BM235" s="113">
        <f t="shared" si="296"/>
        <v>59</v>
      </c>
      <c r="BN235" s="113">
        <f t="shared" si="296"/>
        <v>60</v>
      </c>
      <c r="BO235" s="113">
        <f t="shared" si="296"/>
        <v>61</v>
      </c>
      <c r="BP235" s="113">
        <f t="shared" si="296"/>
        <v>62</v>
      </c>
      <c r="BQ235" s="113">
        <f t="shared" si="296"/>
        <v>63</v>
      </c>
      <c r="BR235" s="113">
        <f t="shared" si="296"/>
        <v>64</v>
      </c>
      <c r="BS235" s="113">
        <f t="shared" ref="BS235:DV235" si="297">BS$21</f>
        <v>65</v>
      </c>
      <c r="BT235" s="113">
        <f t="shared" si="297"/>
        <v>66</v>
      </c>
      <c r="BU235" s="113">
        <f t="shared" si="297"/>
        <v>67</v>
      </c>
      <c r="BV235" s="113">
        <f t="shared" si="297"/>
        <v>68</v>
      </c>
      <c r="BW235" s="113">
        <f t="shared" si="297"/>
        <v>69</v>
      </c>
      <c r="BX235" s="113">
        <f t="shared" si="297"/>
        <v>70</v>
      </c>
      <c r="BY235" s="113">
        <f t="shared" si="297"/>
        <v>71</v>
      </c>
      <c r="BZ235" s="113">
        <f t="shared" si="297"/>
        <v>72</v>
      </c>
      <c r="CA235" s="113">
        <f t="shared" si="297"/>
        <v>73</v>
      </c>
      <c r="CB235" s="113">
        <f t="shared" si="297"/>
        <v>74</v>
      </c>
      <c r="CC235" s="113">
        <f t="shared" si="297"/>
        <v>75</v>
      </c>
      <c r="CD235" s="113">
        <f t="shared" si="297"/>
        <v>76</v>
      </c>
      <c r="CE235" s="113">
        <f t="shared" si="297"/>
        <v>77</v>
      </c>
      <c r="CF235" s="113">
        <f t="shared" si="297"/>
        <v>78</v>
      </c>
      <c r="CG235" s="113">
        <f t="shared" si="297"/>
        <v>79</v>
      </c>
      <c r="CH235" s="113">
        <f t="shared" si="297"/>
        <v>80</v>
      </c>
      <c r="CI235" s="113">
        <f t="shared" si="297"/>
        <v>81</v>
      </c>
      <c r="CJ235" s="113">
        <f t="shared" si="297"/>
        <v>82</v>
      </c>
      <c r="CK235" s="113">
        <f t="shared" si="297"/>
        <v>83</v>
      </c>
      <c r="CL235" s="113">
        <f t="shared" si="297"/>
        <v>84</v>
      </c>
      <c r="CM235" s="113">
        <f t="shared" si="297"/>
        <v>85</v>
      </c>
      <c r="CN235" s="113">
        <f t="shared" si="297"/>
        <v>86</v>
      </c>
      <c r="CO235" s="113">
        <f t="shared" si="297"/>
        <v>87</v>
      </c>
      <c r="CP235" s="113">
        <f t="shared" si="297"/>
        <v>88</v>
      </c>
      <c r="CQ235" s="113">
        <f t="shared" si="297"/>
        <v>89</v>
      </c>
      <c r="CR235" s="113">
        <f t="shared" si="297"/>
        <v>90</v>
      </c>
      <c r="CS235" s="113">
        <f t="shared" si="297"/>
        <v>91</v>
      </c>
      <c r="CT235" s="113">
        <f t="shared" si="297"/>
        <v>92</v>
      </c>
      <c r="CU235" s="113">
        <f t="shared" si="297"/>
        <v>93</v>
      </c>
      <c r="CV235" s="113">
        <f t="shared" si="297"/>
        <v>94</v>
      </c>
      <c r="CW235" s="113">
        <f t="shared" si="297"/>
        <v>95</v>
      </c>
      <c r="CX235" s="113" t="str">
        <f t="shared" si="297"/>
        <v/>
      </c>
      <c r="CY235" s="113" t="str">
        <f t="shared" si="297"/>
        <v/>
      </c>
      <c r="CZ235" s="113" t="str">
        <f t="shared" si="297"/>
        <v/>
      </c>
      <c r="DA235" s="113" t="str">
        <f t="shared" si="297"/>
        <v/>
      </c>
      <c r="DB235" s="113" t="str">
        <f t="shared" si="297"/>
        <v/>
      </c>
      <c r="DC235" s="113" t="str">
        <f t="shared" si="297"/>
        <v/>
      </c>
      <c r="DD235" s="113" t="str">
        <f t="shared" si="297"/>
        <v/>
      </c>
      <c r="DE235" s="113" t="str">
        <f t="shared" si="297"/>
        <v/>
      </c>
      <c r="DF235" s="113" t="str">
        <f t="shared" si="297"/>
        <v/>
      </c>
      <c r="DG235" s="113" t="str">
        <f t="shared" si="297"/>
        <v/>
      </c>
      <c r="DH235" s="113" t="str">
        <f t="shared" si="297"/>
        <v/>
      </c>
      <c r="DI235" s="113" t="str">
        <f t="shared" si="297"/>
        <v/>
      </c>
      <c r="DJ235" s="113" t="str">
        <f t="shared" si="297"/>
        <v/>
      </c>
      <c r="DK235" s="113" t="str">
        <f t="shared" si="297"/>
        <v/>
      </c>
      <c r="DL235" s="113" t="str">
        <f t="shared" si="297"/>
        <v/>
      </c>
      <c r="DM235" s="113" t="str">
        <f t="shared" si="297"/>
        <v/>
      </c>
      <c r="DN235" s="113" t="str">
        <f t="shared" si="297"/>
        <v/>
      </c>
      <c r="DO235" s="113" t="str">
        <f t="shared" si="297"/>
        <v/>
      </c>
      <c r="DP235" s="113" t="str">
        <f t="shared" si="297"/>
        <v/>
      </c>
      <c r="DQ235" s="113" t="str">
        <f t="shared" si="297"/>
        <v/>
      </c>
      <c r="DR235" s="113" t="str">
        <f t="shared" si="297"/>
        <v/>
      </c>
      <c r="DS235" s="113" t="str">
        <f t="shared" si="297"/>
        <v/>
      </c>
      <c r="DT235" s="113" t="str">
        <f t="shared" si="297"/>
        <v/>
      </c>
      <c r="DU235" s="113" t="str">
        <f t="shared" si="297"/>
        <v/>
      </c>
      <c r="DV235" s="113" t="str">
        <f t="shared" si="297"/>
        <v/>
      </c>
      <c r="DW235" s="114"/>
      <c r="DX235" s="114"/>
      <c r="DY235" s="115"/>
    </row>
    <row r="236" spans="2:129" outlineLevel="1" x14ac:dyDescent="0.2">
      <c r="B236" s="125" t="s">
        <v>56</v>
      </c>
      <c r="C236" s="138">
        <f>E170</f>
        <v>99</v>
      </c>
      <c r="D236" s="16"/>
      <c r="E236" s="16"/>
      <c r="F236" s="66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27"/>
      <c r="Z236" s="127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127"/>
      <c r="AO236" s="127"/>
      <c r="AP236" s="127"/>
      <c r="AQ236" s="127"/>
      <c r="AR236" s="127"/>
      <c r="AS236" s="127"/>
      <c r="AT236" s="127"/>
      <c r="AU236" s="127"/>
      <c r="AV236" s="127"/>
      <c r="AW236" s="127"/>
      <c r="AX236" s="127"/>
      <c r="AY236" s="127"/>
      <c r="AZ236" s="127"/>
      <c r="BA236" s="127"/>
      <c r="BB236" s="127"/>
      <c r="BC236" s="127"/>
      <c r="BD236" s="127"/>
      <c r="BE236" s="127"/>
      <c r="BF236" s="127"/>
      <c r="BG236" s="127"/>
      <c r="BH236" s="127"/>
      <c r="BI236" s="127"/>
      <c r="BJ236" s="127"/>
      <c r="BK236" s="127"/>
      <c r="BL236" s="127"/>
      <c r="BM236" s="127"/>
      <c r="BN236" s="127"/>
      <c r="BO236" s="127"/>
      <c r="BP236" s="127"/>
      <c r="BQ236" s="127"/>
      <c r="BR236" s="127"/>
      <c r="BS236" s="127"/>
      <c r="BT236" s="127"/>
      <c r="BU236" s="127"/>
      <c r="BV236" s="127"/>
      <c r="BW236" s="127"/>
      <c r="BX236" s="127"/>
      <c r="BY236" s="127"/>
      <c r="BZ236" s="127"/>
      <c r="CA236" s="127"/>
      <c r="CB236" s="127"/>
      <c r="CC236" s="127"/>
      <c r="CD236" s="127"/>
      <c r="CE236" s="127"/>
      <c r="CF236" s="127"/>
      <c r="CG236" s="127"/>
      <c r="CH236" s="127"/>
      <c r="CI236" s="127"/>
      <c r="CJ236" s="127"/>
      <c r="CK236" s="127"/>
      <c r="CL236" s="127"/>
      <c r="CM236" s="127"/>
      <c r="CN236" s="127"/>
      <c r="CO236" s="127"/>
      <c r="CP236" s="127"/>
      <c r="CQ236" s="127"/>
      <c r="CR236" s="127"/>
      <c r="CS236" s="127"/>
      <c r="CT236" s="127"/>
      <c r="CU236" s="127"/>
      <c r="CV236" s="127"/>
      <c r="CW236" s="127"/>
      <c r="CX236" s="127"/>
      <c r="CY236" s="127"/>
      <c r="CZ236" s="127"/>
      <c r="DA236" s="127"/>
      <c r="DB236" s="127"/>
      <c r="DC236" s="127"/>
      <c r="DD236" s="127"/>
      <c r="DE236" s="127"/>
      <c r="DF236" s="127"/>
      <c r="DG236" s="127"/>
      <c r="DH236" s="127"/>
      <c r="DI236" s="127"/>
      <c r="DJ236" s="127"/>
      <c r="DK236" s="127"/>
      <c r="DL236" s="127"/>
      <c r="DM236" s="127"/>
      <c r="DN236" s="127"/>
      <c r="DO236" s="127"/>
      <c r="DP236" s="127"/>
      <c r="DQ236" s="127"/>
      <c r="DR236" s="127"/>
      <c r="DS236" s="127"/>
      <c r="DT236" s="127"/>
      <c r="DU236" s="127"/>
      <c r="DV236" s="127"/>
      <c r="DW236" s="127"/>
      <c r="DX236" s="127"/>
      <c r="DY236" s="115"/>
    </row>
    <row r="237" spans="2:129" outlineLevel="1" x14ac:dyDescent="0.2">
      <c r="B237" s="16" t="s">
        <v>57</v>
      </c>
      <c r="C237" s="16"/>
      <c r="D237" s="16"/>
      <c r="E237" s="16"/>
      <c r="F237" s="77">
        <f>IF(F235="","",E242)</f>
        <v>0</v>
      </c>
      <c r="G237" s="77">
        <f t="shared" ref="G237:BR237" si="298">IF(G235="","",F242)</f>
        <v>93624225.299999997</v>
      </c>
      <c r="H237" s="77">
        <f t="shared" si="298"/>
        <v>9268822529.9999981</v>
      </c>
      <c r="I237" s="77">
        <f t="shared" si="298"/>
        <v>9271220834.6999969</v>
      </c>
      <c r="J237" s="77">
        <f t="shared" si="298"/>
        <v>9273619139.3999958</v>
      </c>
      <c r="K237" s="77">
        <f t="shared" si="298"/>
        <v>9276017444.0999947</v>
      </c>
      <c r="L237" s="77">
        <f t="shared" si="298"/>
        <v>9278415748.7999935</v>
      </c>
      <c r="M237" s="77">
        <f t="shared" si="298"/>
        <v>9280814053.4999924</v>
      </c>
      <c r="N237" s="77">
        <f t="shared" si="298"/>
        <v>9283212358.1999912</v>
      </c>
      <c r="O237" s="77">
        <f t="shared" si="298"/>
        <v>9285610662.8999901</v>
      </c>
      <c r="P237" s="77">
        <f t="shared" si="298"/>
        <v>9288008967.5999889</v>
      </c>
      <c r="Q237" s="77">
        <f t="shared" si="298"/>
        <v>9290407272.2999878</v>
      </c>
      <c r="R237" s="77">
        <f t="shared" si="298"/>
        <v>9292805576.9999866</v>
      </c>
      <c r="S237" s="77">
        <f t="shared" si="298"/>
        <v>9295203881.6999855</v>
      </c>
      <c r="T237" s="77">
        <f t="shared" si="298"/>
        <v>9297602186.3999844</v>
      </c>
      <c r="U237" s="77">
        <f t="shared" si="298"/>
        <v>9300000491.0999832</v>
      </c>
      <c r="V237" s="77">
        <f t="shared" si="298"/>
        <v>9302398795.7999821</v>
      </c>
      <c r="W237" s="77">
        <f t="shared" si="298"/>
        <v>9304797100.4999809</v>
      </c>
      <c r="X237" s="77">
        <f t="shared" si="298"/>
        <v>9307195405.1999798</v>
      </c>
      <c r="Y237" s="77">
        <f t="shared" si="298"/>
        <v>9309593709.8999786</v>
      </c>
      <c r="Z237" s="77">
        <f t="shared" si="298"/>
        <v>9311992014.5999775</v>
      </c>
      <c r="AA237" s="77">
        <f t="shared" si="298"/>
        <v>9314390319.2999763</v>
      </c>
      <c r="AB237" s="77">
        <f t="shared" si="298"/>
        <v>9316788623.9999752</v>
      </c>
      <c r="AC237" s="77">
        <f t="shared" si="298"/>
        <v>9319186928.6999741</v>
      </c>
      <c r="AD237" s="77">
        <f t="shared" si="298"/>
        <v>9321908951.6999741</v>
      </c>
      <c r="AE237" s="77">
        <f t="shared" si="298"/>
        <v>9356849505.8999729</v>
      </c>
      <c r="AF237" s="77">
        <f t="shared" si="298"/>
        <v>9413781574.4999733</v>
      </c>
      <c r="AG237" s="77">
        <f t="shared" si="298"/>
        <v>9414623655.8999729</v>
      </c>
      <c r="AH237" s="77">
        <f t="shared" si="298"/>
        <v>9497989714.4999733</v>
      </c>
      <c r="AI237" s="77">
        <f t="shared" si="298"/>
        <v>9581355773.0999737</v>
      </c>
      <c r="AJ237" s="77">
        <f t="shared" si="298"/>
        <v>9664721831.6999741</v>
      </c>
      <c r="AK237" s="77">
        <f t="shared" si="298"/>
        <v>9748087890.2999744</v>
      </c>
      <c r="AL237" s="77">
        <f t="shared" si="298"/>
        <v>9831453948.8999748</v>
      </c>
      <c r="AM237" s="77">
        <f t="shared" si="298"/>
        <v>9914820007.4999752</v>
      </c>
      <c r="AN237" s="77">
        <f t="shared" si="298"/>
        <v>9998022015.8999767</v>
      </c>
      <c r="AO237" s="77">
        <f t="shared" si="298"/>
        <v>10065147104.699978</v>
      </c>
      <c r="AP237" s="77">
        <f t="shared" si="298"/>
        <v>10132478255.699978</v>
      </c>
      <c r="AQ237" s="77">
        <f t="shared" si="298"/>
        <v>10219727989.799978</v>
      </c>
      <c r="AR237" s="77">
        <f t="shared" si="298"/>
        <v>10279977498.899979</v>
      </c>
      <c r="AS237" s="77">
        <f t="shared" si="298"/>
        <v>10340227007.999979</v>
      </c>
      <c r="AT237" s="77">
        <f t="shared" si="298"/>
        <v>10400476517.099979</v>
      </c>
      <c r="AU237" s="77">
        <f t="shared" si="298"/>
        <v>10460726026.19998</v>
      </c>
      <c r="AV237" s="77">
        <f t="shared" si="298"/>
        <v>10483109869.499981</v>
      </c>
      <c r="AW237" s="77">
        <f t="shared" si="298"/>
        <v>10483780715.099981</v>
      </c>
      <c r="AX237" s="77">
        <f t="shared" si="298"/>
        <v>10550194429.499981</v>
      </c>
      <c r="AY237" s="77">
        <f t="shared" si="298"/>
        <v>10616608143.899981</v>
      </c>
      <c r="AZ237" s="77">
        <f t="shared" si="298"/>
        <v>10683021858.29998</v>
      </c>
      <c r="BA237" s="77">
        <f t="shared" si="298"/>
        <v>10749435572.69998</v>
      </c>
      <c r="BB237" s="77">
        <f t="shared" si="298"/>
        <v>10693233615.26248</v>
      </c>
      <c r="BC237" s="77">
        <f t="shared" si="298"/>
        <v>10693735163.662479</v>
      </c>
      <c r="BD237" s="77">
        <f t="shared" si="298"/>
        <v>10743388455.26248</v>
      </c>
      <c r="BE237" s="77">
        <f t="shared" si="298"/>
        <v>10793041746.86248</v>
      </c>
      <c r="BF237" s="77">
        <f t="shared" si="298"/>
        <v>10842695038.462481</v>
      </c>
      <c r="BG237" s="77">
        <f t="shared" si="298"/>
        <v>10892348330.062481</v>
      </c>
      <c r="BH237" s="77">
        <f t="shared" si="298"/>
        <v>10942001621.662481</v>
      </c>
      <c r="BI237" s="77">
        <f t="shared" si="298"/>
        <v>10991654913.262482</v>
      </c>
      <c r="BJ237" s="77">
        <f t="shared" si="298"/>
        <v>11041308204.862482</v>
      </c>
      <c r="BK237" s="77">
        <f t="shared" si="298"/>
        <v>11090961496.462482</v>
      </c>
      <c r="BL237" s="77">
        <f t="shared" si="298"/>
        <v>11140614788.062483</v>
      </c>
      <c r="BM237" s="77">
        <f t="shared" si="298"/>
        <v>11190268079.662483</v>
      </c>
      <c r="BN237" s="77">
        <f t="shared" si="298"/>
        <v>11239788661.762484</v>
      </c>
      <c r="BO237" s="77">
        <f t="shared" si="298"/>
        <v>11276303712.862484</v>
      </c>
      <c r="BP237" s="77">
        <f t="shared" si="298"/>
        <v>11312818763.962484</v>
      </c>
      <c r="BQ237" s="77">
        <f t="shared" si="298"/>
        <v>11349192750.862486</v>
      </c>
      <c r="BR237" s="77">
        <f t="shared" si="298"/>
        <v>11371742446.162487</v>
      </c>
      <c r="BS237" s="77">
        <f t="shared" ref="BS237:DV237" si="299">IF(BS235="","",BR242)</f>
        <v>11394292141.462488</v>
      </c>
      <c r="BT237" s="77">
        <f t="shared" si="299"/>
        <v>11416841836.762489</v>
      </c>
      <c r="BU237" s="77">
        <f t="shared" si="299"/>
        <v>11439391532.06249</v>
      </c>
      <c r="BV237" s="77">
        <f t="shared" si="299"/>
        <v>11461941227.362492</v>
      </c>
      <c r="BW237" s="77">
        <f t="shared" si="299"/>
        <v>11484490922.662493</v>
      </c>
      <c r="BX237" s="77">
        <f t="shared" si="299"/>
        <v>11507040617.962494</v>
      </c>
      <c r="BY237" s="77">
        <f t="shared" si="299"/>
        <v>11529590313.262495</v>
      </c>
      <c r="BZ237" s="77">
        <f t="shared" si="299"/>
        <v>11546596008.562496</v>
      </c>
      <c r="CA237" s="77">
        <f t="shared" si="299"/>
        <v>11542839769.102497</v>
      </c>
      <c r="CB237" s="77">
        <f t="shared" si="299"/>
        <v>11543067543.802498</v>
      </c>
      <c r="CC237" s="77">
        <f t="shared" si="299"/>
        <v>11565617239.102499</v>
      </c>
      <c r="CD237" s="77">
        <f t="shared" si="299"/>
        <v>11588166934.4025</v>
      </c>
      <c r="CE237" s="77">
        <f t="shared" si="299"/>
        <v>11610716629.702501</v>
      </c>
      <c r="CF237" s="77">
        <f t="shared" si="299"/>
        <v>11624280213.375</v>
      </c>
      <c r="CG237" s="77">
        <f t="shared" si="299"/>
        <v>11624280213.375</v>
      </c>
      <c r="CH237" s="77">
        <f t="shared" si="299"/>
        <v>11624280213.375</v>
      </c>
      <c r="CI237" s="77">
        <f t="shared" si="299"/>
        <v>11624280213.375</v>
      </c>
      <c r="CJ237" s="77">
        <f t="shared" si="299"/>
        <v>11624280213.375</v>
      </c>
      <c r="CK237" s="77">
        <f t="shared" si="299"/>
        <v>11624280213.375</v>
      </c>
      <c r="CL237" s="77">
        <f t="shared" si="299"/>
        <v>11624803638.075001</v>
      </c>
      <c r="CM237" s="77">
        <f t="shared" si="299"/>
        <v>11676622683.375002</v>
      </c>
      <c r="CN237" s="77">
        <f t="shared" si="299"/>
        <v>11728441728.675003</v>
      </c>
      <c r="CO237" s="77">
        <f t="shared" si="299"/>
        <v>11780260773.975004</v>
      </c>
      <c r="CP237" s="77">
        <f t="shared" si="299"/>
        <v>11832079819.275005</v>
      </c>
      <c r="CQ237" s="77">
        <f t="shared" si="299"/>
        <v>11883898864.575006</v>
      </c>
      <c r="CR237" s="77">
        <f t="shared" si="299"/>
        <v>11935717909.875008</v>
      </c>
      <c r="CS237" s="77">
        <f t="shared" si="299"/>
        <v>11987536955.175009</v>
      </c>
      <c r="CT237" s="77">
        <f t="shared" si="299"/>
        <v>12039356000.47501</v>
      </c>
      <c r="CU237" s="77">
        <f t="shared" si="299"/>
        <v>12091175045.775011</v>
      </c>
      <c r="CV237" s="77">
        <f t="shared" si="299"/>
        <v>12142994091.075012</v>
      </c>
      <c r="CW237" s="77">
        <f t="shared" si="299"/>
        <v>12194813136.375013</v>
      </c>
      <c r="CX237" s="77" t="str">
        <f t="shared" si="299"/>
        <v/>
      </c>
      <c r="CY237" s="77" t="str">
        <f t="shared" si="299"/>
        <v/>
      </c>
      <c r="CZ237" s="77" t="str">
        <f t="shared" si="299"/>
        <v/>
      </c>
      <c r="DA237" s="77" t="str">
        <f t="shared" si="299"/>
        <v/>
      </c>
      <c r="DB237" s="77" t="str">
        <f t="shared" si="299"/>
        <v/>
      </c>
      <c r="DC237" s="77" t="str">
        <f t="shared" si="299"/>
        <v/>
      </c>
      <c r="DD237" s="77" t="str">
        <f t="shared" si="299"/>
        <v/>
      </c>
      <c r="DE237" s="77" t="str">
        <f t="shared" si="299"/>
        <v/>
      </c>
      <c r="DF237" s="77" t="str">
        <f t="shared" si="299"/>
        <v/>
      </c>
      <c r="DG237" s="77" t="str">
        <f t="shared" si="299"/>
        <v/>
      </c>
      <c r="DH237" s="77" t="str">
        <f t="shared" si="299"/>
        <v/>
      </c>
      <c r="DI237" s="77" t="str">
        <f t="shared" si="299"/>
        <v/>
      </c>
      <c r="DJ237" s="77" t="str">
        <f t="shared" si="299"/>
        <v/>
      </c>
      <c r="DK237" s="77" t="str">
        <f t="shared" si="299"/>
        <v/>
      </c>
      <c r="DL237" s="77" t="str">
        <f t="shared" si="299"/>
        <v/>
      </c>
      <c r="DM237" s="77" t="str">
        <f t="shared" si="299"/>
        <v/>
      </c>
      <c r="DN237" s="77" t="str">
        <f t="shared" si="299"/>
        <v/>
      </c>
      <c r="DO237" s="77" t="str">
        <f t="shared" si="299"/>
        <v/>
      </c>
      <c r="DP237" s="77" t="str">
        <f t="shared" si="299"/>
        <v/>
      </c>
      <c r="DQ237" s="77" t="str">
        <f t="shared" si="299"/>
        <v/>
      </c>
      <c r="DR237" s="77" t="str">
        <f t="shared" si="299"/>
        <v/>
      </c>
      <c r="DS237" s="77" t="str">
        <f t="shared" si="299"/>
        <v/>
      </c>
      <c r="DT237" s="77" t="str">
        <f t="shared" si="299"/>
        <v/>
      </c>
      <c r="DU237" s="77" t="str">
        <f t="shared" si="299"/>
        <v/>
      </c>
      <c r="DV237" s="77" t="str">
        <f t="shared" si="299"/>
        <v/>
      </c>
      <c r="DW237" s="77"/>
      <c r="DX237" s="77"/>
      <c r="DY237" s="78"/>
    </row>
    <row r="238" spans="2:129" outlineLevel="1" x14ac:dyDescent="0.2">
      <c r="B238" s="16" t="s">
        <v>74</v>
      </c>
      <c r="C238" s="16"/>
      <c r="D238" s="16"/>
      <c r="E238" s="16"/>
      <c r="F238" s="77">
        <f>IF(F235="","",IF($D$165="Equity Multiple",E239*$C236-E239,F237*$C236))</f>
        <v>0</v>
      </c>
      <c r="G238" s="77">
        <f t="shared" ref="G238:BR238" si="300">IF(G235="","",IF($D$165="Equity Multiple",F239*$C236-F239,G237*$C236))</f>
        <v>9175174079.3999996</v>
      </c>
      <c r="H238" s="77">
        <f t="shared" si="300"/>
        <v>2374079.4</v>
      </c>
      <c r="I238" s="77">
        <f t="shared" si="300"/>
        <v>2374079.4</v>
      </c>
      <c r="J238" s="77">
        <f t="shared" si="300"/>
        <v>2374079.4</v>
      </c>
      <c r="K238" s="77">
        <f t="shared" si="300"/>
        <v>2374079.4</v>
      </c>
      <c r="L238" s="77">
        <f t="shared" si="300"/>
        <v>2374079.4</v>
      </c>
      <c r="M238" s="77">
        <f t="shared" si="300"/>
        <v>2374079.4</v>
      </c>
      <c r="N238" s="77">
        <f t="shared" si="300"/>
        <v>2374079.4</v>
      </c>
      <c r="O238" s="77">
        <f t="shared" si="300"/>
        <v>2374079.4</v>
      </c>
      <c r="P238" s="77">
        <f t="shared" si="300"/>
        <v>2374079.4</v>
      </c>
      <c r="Q238" s="77">
        <f t="shared" si="300"/>
        <v>2374079.4</v>
      </c>
      <c r="R238" s="77">
        <f t="shared" si="300"/>
        <v>2374079.4</v>
      </c>
      <c r="S238" s="77">
        <f t="shared" si="300"/>
        <v>2374079.4</v>
      </c>
      <c r="T238" s="77">
        <f t="shared" si="300"/>
        <v>2374079.4</v>
      </c>
      <c r="U238" s="77">
        <f t="shared" si="300"/>
        <v>2374079.4</v>
      </c>
      <c r="V238" s="77">
        <f t="shared" si="300"/>
        <v>2374079.4</v>
      </c>
      <c r="W238" s="77">
        <f t="shared" si="300"/>
        <v>2374079.4</v>
      </c>
      <c r="X238" s="77">
        <f t="shared" si="300"/>
        <v>2374079.4</v>
      </c>
      <c r="Y238" s="77">
        <f t="shared" si="300"/>
        <v>2374079.4</v>
      </c>
      <c r="Z238" s="77">
        <f t="shared" si="300"/>
        <v>2374079.4</v>
      </c>
      <c r="AA238" s="77">
        <f t="shared" si="300"/>
        <v>2374079.4</v>
      </c>
      <c r="AB238" s="77">
        <f t="shared" si="300"/>
        <v>2374079.4</v>
      </c>
      <c r="AC238" s="77">
        <f t="shared" si="300"/>
        <v>2374079.4</v>
      </c>
      <c r="AD238" s="77">
        <f t="shared" si="300"/>
        <v>34098472.800000004</v>
      </c>
      <c r="AE238" s="77">
        <f t="shared" si="300"/>
        <v>82523977.200000003</v>
      </c>
      <c r="AF238" s="77">
        <f t="shared" si="300"/>
        <v>0</v>
      </c>
      <c r="AG238" s="77">
        <f t="shared" si="300"/>
        <v>82523977.200000003</v>
      </c>
      <c r="AH238" s="77">
        <f t="shared" si="300"/>
        <v>82523977.200000003</v>
      </c>
      <c r="AI238" s="77">
        <f t="shared" si="300"/>
        <v>82523977.200000003</v>
      </c>
      <c r="AJ238" s="77">
        <f t="shared" si="300"/>
        <v>82523977.200000003</v>
      </c>
      <c r="AK238" s="77">
        <f t="shared" si="300"/>
        <v>82523977.200000003</v>
      </c>
      <c r="AL238" s="77">
        <f t="shared" si="300"/>
        <v>82523977.200000003</v>
      </c>
      <c r="AM238" s="77">
        <f t="shared" si="300"/>
        <v>82523977.200000003</v>
      </c>
      <c r="AN238" s="77">
        <f t="shared" si="300"/>
        <v>66447057.600000009</v>
      </c>
      <c r="AO238" s="77">
        <f t="shared" si="300"/>
        <v>66447057.600000009</v>
      </c>
      <c r="AP238" s="77">
        <f t="shared" si="300"/>
        <v>86641153.200000003</v>
      </c>
      <c r="AQ238" s="77">
        <f t="shared" si="300"/>
        <v>59640928.200000003</v>
      </c>
      <c r="AR238" s="77">
        <f t="shared" si="300"/>
        <v>59640928.200000003</v>
      </c>
      <c r="AS238" s="77">
        <f t="shared" si="300"/>
        <v>59640928.200000003</v>
      </c>
      <c r="AT238" s="77">
        <f t="shared" si="300"/>
        <v>59640928.200000003</v>
      </c>
      <c r="AU238" s="77">
        <f t="shared" si="300"/>
        <v>59640928.200000003</v>
      </c>
      <c r="AV238" s="77">
        <f t="shared" si="300"/>
        <v>0</v>
      </c>
      <c r="AW238" s="77">
        <f t="shared" si="300"/>
        <v>65742868.799999997</v>
      </c>
      <c r="AX238" s="77">
        <f t="shared" si="300"/>
        <v>65742868.799999997</v>
      </c>
      <c r="AY238" s="77">
        <f t="shared" si="300"/>
        <v>65742868.799999997</v>
      </c>
      <c r="AZ238" s="77">
        <f t="shared" si="300"/>
        <v>65742868.799999997</v>
      </c>
      <c r="BA238" s="77">
        <f t="shared" si="300"/>
        <v>65742868.799999997</v>
      </c>
      <c r="BB238" s="77">
        <f t="shared" si="300"/>
        <v>0</v>
      </c>
      <c r="BC238" s="77">
        <f t="shared" si="300"/>
        <v>49151743.200000003</v>
      </c>
      <c r="BD238" s="77">
        <f t="shared" si="300"/>
        <v>49151743.200000003</v>
      </c>
      <c r="BE238" s="77">
        <f t="shared" si="300"/>
        <v>49151743.200000003</v>
      </c>
      <c r="BF238" s="77">
        <f t="shared" si="300"/>
        <v>49151743.200000003</v>
      </c>
      <c r="BG238" s="77">
        <f t="shared" si="300"/>
        <v>49151743.200000003</v>
      </c>
      <c r="BH238" s="77">
        <f t="shared" si="300"/>
        <v>49151743.200000003</v>
      </c>
      <c r="BI238" s="77">
        <f t="shared" si="300"/>
        <v>49151743.200000003</v>
      </c>
      <c r="BJ238" s="77">
        <f t="shared" si="300"/>
        <v>49151743.200000003</v>
      </c>
      <c r="BK238" s="77">
        <f t="shared" si="300"/>
        <v>49151743.200000003</v>
      </c>
      <c r="BL238" s="77">
        <f t="shared" si="300"/>
        <v>49151743.200000003</v>
      </c>
      <c r="BM238" s="77">
        <f t="shared" si="300"/>
        <v>49151743.200000003</v>
      </c>
      <c r="BN238" s="77">
        <f t="shared" si="300"/>
        <v>36146212.200000003</v>
      </c>
      <c r="BO238" s="77">
        <f t="shared" si="300"/>
        <v>36146212.200000003</v>
      </c>
      <c r="BP238" s="77">
        <f t="shared" si="300"/>
        <v>36146212.200000003</v>
      </c>
      <c r="BQ238" s="77">
        <f t="shared" si="300"/>
        <v>22321920.600000001</v>
      </c>
      <c r="BR238" s="77">
        <f t="shared" si="300"/>
        <v>22321920.600000001</v>
      </c>
      <c r="BS238" s="77">
        <f t="shared" ref="BS238:DV238" si="301">IF(BS235="","",IF($D$165="Equity Multiple",BR239*$C236-BR239,BS237*$C236))</f>
        <v>22321920.600000001</v>
      </c>
      <c r="BT238" s="77">
        <f t="shared" si="301"/>
        <v>22321920.600000001</v>
      </c>
      <c r="BU238" s="77">
        <f t="shared" si="301"/>
        <v>22321920.600000001</v>
      </c>
      <c r="BV238" s="77">
        <f t="shared" si="301"/>
        <v>22321920.600000001</v>
      </c>
      <c r="BW238" s="77">
        <f t="shared" si="301"/>
        <v>22321920.600000001</v>
      </c>
      <c r="BX238" s="77">
        <f t="shared" si="301"/>
        <v>22321920.600000001</v>
      </c>
      <c r="BY238" s="77">
        <f t="shared" si="301"/>
        <v>22321920.600000001</v>
      </c>
      <c r="BZ238" s="77">
        <f t="shared" si="301"/>
        <v>0</v>
      </c>
      <c r="CA238" s="77">
        <f t="shared" si="301"/>
        <v>0</v>
      </c>
      <c r="CB238" s="77">
        <f t="shared" si="301"/>
        <v>22321920.600000001</v>
      </c>
      <c r="CC238" s="77">
        <f t="shared" si="301"/>
        <v>22321920.600000001</v>
      </c>
      <c r="CD238" s="77">
        <f t="shared" si="301"/>
        <v>22321920.600000001</v>
      </c>
      <c r="CE238" s="77">
        <f t="shared" si="301"/>
        <v>22321920.600000001</v>
      </c>
      <c r="CF238" s="77">
        <f t="shared" si="301"/>
        <v>0</v>
      </c>
      <c r="CG238" s="77">
        <f t="shared" si="301"/>
        <v>0</v>
      </c>
      <c r="CH238" s="77">
        <f t="shared" si="301"/>
        <v>0</v>
      </c>
      <c r="CI238" s="77">
        <f t="shared" si="301"/>
        <v>0</v>
      </c>
      <c r="CJ238" s="77">
        <f t="shared" si="301"/>
        <v>0</v>
      </c>
      <c r="CK238" s="77">
        <f t="shared" si="301"/>
        <v>0</v>
      </c>
      <c r="CL238" s="77">
        <f t="shared" si="301"/>
        <v>51295620.600000001</v>
      </c>
      <c r="CM238" s="77">
        <f t="shared" si="301"/>
        <v>51295620.600000001</v>
      </c>
      <c r="CN238" s="77">
        <f t="shared" si="301"/>
        <v>51295620.600000001</v>
      </c>
      <c r="CO238" s="77">
        <f t="shared" si="301"/>
        <v>51295620.600000001</v>
      </c>
      <c r="CP238" s="77">
        <f t="shared" si="301"/>
        <v>51295620.600000001</v>
      </c>
      <c r="CQ238" s="77">
        <f t="shared" si="301"/>
        <v>51295620.600000001</v>
      </c>
      <c r="CR238" s="77">
        <f t="shared" si="301"/>
        <v>51295620.600000001</v>
      </c>
      <c r="CS238" s="77">
        <f t="shared" si="301"/>
        <v>51295620.600000001</v>
      </c>
      <c r="CT238" s="77">
        <f t="shared" si="301"/>
        <v>51295620.600000001</v>
      </c>
      <c r="CU238" s="77">
        <f t="shared" si="301"/>
        <v>51295620.600000001</v>
      </c>
      <c r="CV238" s="77">
        <f t="shared" si="301"/>
        <v>51295620.600000001</v>
      </c>
      <c r="CW238" s="77">
        <f t="shared" si="301"/>
        <v>51295620.600000001</v>
      </c>
      <c r="CX238" s="77" t="str">
        <f t="shared" si="301"/>
        <v/>
      </c>
      <c r="CY238" s="77" t="str">
        <f t="shared" si="301"/>
        <v/>
      </c>
      <c r="CZ238" s="77" t="str">
        <f t="shared" si="301"/>
        <v/>
      </c>
      <c r="DA238" s="77" t="str">
        <f t="shared" si="301"/>
        <v/>
      </c>
      <c r="DB238" s="77" t="str">
        <f t="shared" si="301"/>
        <v/>
      </c>
      <c r="DC238" s="77" t="str">
        <f t="shared" si="301"/>
        <v/>
      </c>
      <c r="DD238" s="77" t="str">
        <f t="shared" si="301"/>
        <v/>
      </c>
      <c r="DE238" s="77" t="str">
        <f t="shared" si="301"/>
        <v/>
      </c>
      <c r="DF238" s="77" t="str">
        <f t="shared" si="301"/>
        <v/>
      </c>
      <c r="DG238" s="77" t="str">
        <f t="shared" si="301"/>
        <v/>
      </c>
      <c r="DH238" s="77" t="str">
        <f t="shared" si="301"/>
        <v/>
      </c>
      <c r="DI238" s="77" t="str">
        <f t="shared" si="301"/>
        <v/>
      </c>
      <c r="DJ238" s="77" t="str">
        <f t="shared" si="301"/>
        <v/>
      </c>
      <c r="DK238" s="77" t="str">
        <f t="shared" si="301"/>
        <v/>
      </c>
      <c r="DL238" s="77" t="str">
        <f t="shared" si="301"/>
        <v/>
      </c>
      <c r="DM238" s="77" t="str">
        <f t="shared" si="301"/>
        <v/>
      </c>
      <c r="DN238" s="77" t="str">
        <f t="shared" si="301"/>
        <v/>
      </c>
      <c r="DO238" s="77" t="str">
        <f t="shared" si="301"/>
        <v/>
      </c>
      <c r="DP238" s="77" t="str">
        <f t="shared" si="301"/>
        <v/>
      </c>
      <c r="DQ238" s="77" t="str">
        <f t="shared" si="301"/>
        <v/>
      </c>
      <c r="DR238" s="77" t="str">
        <f t="shared" si="301"/>
        <v/>
      </c>
      <c r="DS238" s="77" t="str">
        <f t="shared" si="301"/>
        <v/>
      </c>
      <c r="DT238" s="77" t="str">
        <f t="shared" si="301"/>
        <v/>
      </c>
      <c r="DU238" s="77" t="str">
        <f t="shared" si="301"/>
        <v/>
      </c>
      <c r="DV238" s="77" t="str">
        <f t="shared" si="301"/>
        <v/>
      </c>
      <c r="DW238" s="77"/>
      <c r="DX238" s="77"/>
      <c r="DY238" s="78"/>
    </row>
    <row r="239" spans="2:129" outlineLevel="1" x14ac:dyDescent="0.2">
      <c r="B239" s="16" t="s">
        <v>60</v>
      </c>
      <c r="C239" s="16"/>
      <c r="D239" s="16"/>
      <c r="E239" s="16"/>
      <c r="F239" s="77">
        <f t="shared" ref="F239:AK239" si="302">IF(F235="","",-MIN(0,F$51*Equity_Share_LP))</f>
        <v>93624225.299999997</v>
      </c>
      <c r="G239" s="77">
        <f t="shared" si="302"/>
        <v>24225.3</v>
      </c>
      <c r="H239" s="77">
        <f t="shared" si="302"/>
        <v>24225.3</v>
      </c>
      <c r="I239" s="77">
        <f t="shared" si="302"/>
        <v>24225.3</v>
      </c>
      <c r="J239" s="77">
        <f t="shared" si="302"/>
        <v>24225.3</v>
      </c>
      <c r="K239" s="77">
        <f t="shared" si="302"/>
        <v>24225.3</v>
      </c>
      <c r="L239" s="77">
        <f t="shared" si="302"/>
        <v>24225.3</v>
      </c>
      <c r="M239" s="77">
        <f t="shared" si="302"/>
        <v>24225.3</v>
      </c>
      <c r="N239" s="77">
        <f t="shared" si="302"/>
        <v>24225.3</v>
      </c>
      <c r="O239" s="77">
        <f t="shared" si="302"/>
        <v>24225.3</v>
      </c>
      <c r="P239" s="77">
        <f t="shared" si="302"/>
        <v>24225.3</v>
      </c>
      <c r="Q239" s="77">
        <f t="shared" si="302"/>
        <v>24225.3</v>
      </c>
      <c r="R239" s="77">
        <f t="shared" si="302"/>
        <v>24225.3</v>
      </c>
      <c r="S239" s="77">
        <f t="shared" si="302"/>
        <v>24225.3</v>
      </c>
      <c r="T239" s="77">
        <f t="shared" si="302"/>
        <v>24225.3</v>
      </c>
      <c r="U239" s="77">
        <f t="shared" si="302"/>
        <v>24225.3</v>
      </c>
      <c r="V239" s="77">
        <f t="shared" si="302"/>
        <v>24225.3</v>
      </c>
      <c r="W239" s="77">
        <f t="shared" si="302"/>
        <v>24225.3</v>
      </c>
      <c r="X239" s="77">
        <f t="shared" si="302"/>
        <v>24225.3</v>
      </c>
      <c r="Y239" s="77">
        <f t="shared" si="302"/>
        <v>24225.3</v>
      </c>
      <c r="Z239" s="77">
        <f t="shared" si="302"/>
        <v>24225.3</v>
      </c>
      <c r="AA239" s="77">
        <f t="shared" si="302"/>
        <v>24225.3</v>
      </c>
      <c r="AB239" s="77">
        <f t="shared" si="302"/>
        <v>24225.3</v>
      </c>
      <c r="AC239" s="77">
        <f t="shared" si="302"/>
        <v>347943.60000000003</v>
      </c>
      <c r="AD239" s="77">
        <f t="shared" si="302"/>
        <v>842081.4</v>
      </c>
      <c r="AE239" s="77">
        <f t="shared" si="302"/>
        <v>0</v>
      </c>
      <c r="AF239" s="77">
        <f t="shared" si="302"/>
        <v>842081.4</v>
      </c>
      <c r="AG239" s="77">
        <f t="shared" si="302"/>
        <v>842081.4</v>
      </c>
      <c r="AH239" s="77">
        <f t="shared" si="302"/>
        <v>842081.4</v>
      </c>
      <c r="AI239" s="77">
        <f t="shared" si="302"/>
        <v>842081.4</v>
      </c>
      <c r="AJ239" s="77">
        <f t="shared" si="302"/>
        <v>842081.4</v>
      </c>
      <c r="AK239" s="77">
        <f t="shared" si="302"/>
        <v>842081.4</v>
      </c>
      <c r="AL239" s="77">
        <f t="shared" ref="AL239:BQ239" si="303">IF(AL235="","",-MIN(0,AL$51*Equity_Share_LP))</f>
        <v>842081.4</v>
      </c>
      <c r="AM239" s="77">
        <f t="shared" si="303"/>
        <v>678031.20000000007</v>
      </c>
      <c r="AN239" s="77">
        <f t="shared" si="303"/>
        <v>678031.20000000007</v>
      </c>
      <c r="AO239" s="77">
        <f t="shared" si="303"/>
        <v>884093.4</v>
      </c>
      <c r="AP239" s="77">
        <f t="shared" si="303"/>
        <v>608580.9</v>
      </c>
      <c r="AQ239" s="77">
        <f t="shared" si="303"/>
        <v>608580.9</v>
      </c>
      <c r="AR239" s="77">
        <f t="shared" si="303"/>
        <v>608580.9</v>
      </c>
      <c r="AS239" s="77">
        <f t="shared" si="303"/>
        <v>608580.9</v>
      </c>
      <c r="AT239" s="77">
        <f t="shared" si="303"/>
        <v>608580.9</v>
      </c>
      <c r="AU239" s="77">
        <f t="shared" si="303"/>
        <v>0</v>
      </c>
      <c r="AV239" s="77">
        <f t="shared" si="303"/>
        <v>670845.6</v>
      </c>
      <c r="AW239" s="77">
        <f t="shared" si="303"/>
        <v>670845.6</v>
      </c>
      <c r="AX239" s="77">
        <f t="shared" si="303"/>
        <v>670845.6</v>
      </c>
      <c r="AY239" s="77">
        <f t="shared" si="303"/>
        <v>670845.6</v>
      </c>
      <c r="AZ239" s="77">
        <f t="shared" si="303"/>
        <v>670845.6</v>
      </c>
      <c r="BA239" s="77">
        <f t="shared" si="303"/>
        <v>0</v>
      </c>
      <c r="BB239" s="77">
        <f t="shared" si="303"/>
        <v>501548.4</v>
      </c>
      <c r="BC239" s="77">
        <f t="shared" si="303"/>
        <v>501548.4</v>
      </c>
      <c r="BD239" s="77">
        <f t="shared" si="303"/>
        <v>501548.4</v>
      </c>
      <c r="BE239" s="77">
        <f t="shared" si="303"/>
        <v>501548.4</v>
      </c>
      <c r="BF239" s="77">
        <f t="shared" si="303"/>
        <v>501548.4</v>
      </c>
      <c r="BG239" s="77">
        <f t="shared" si="303"/>
        <v>501548.4</v>
      </c>
      <c r="BH239" s="77">
        <f t="shared" si="303"/>
        <v>501548.4</v>
      </c>
      <c r="BI239" s="77">
        <f t="shared" si="303"/>
        <v>501548.4</v>
      </c>
      <c r="BJ239" s="77">
        <f t="shared" si="303"/>
        <v>501548.4</v>
      </c>
      <c r="BK239" s="77">
        <f t="shared" si="303"/>
        <v>501548.4</v>
      </c>
      <c r="BL239" s="77">
        <f t="shared" si="303"/>
        <v>501548.4</v>
      </c>
      <c r="BM239" s="77">
        <f t="shared" si="303"/>
        <v>368838.9</v>
      </c>
      <c r="BN239" s="77">
        <f t="shared" si="303"/>
        <v>368838.9</v>
      </c>
      <c r="BO239" s="77">
        <f t="shared" si="303"/>
        <v>368838.9</v>
      </c>
      <c r="BP239" s="77">
        <f t="shared" si="303"/>
        <v>227774.7</v>
      </c>
      <c r="BQ239" s="77">
        <f t="shared" si="303"/>
        <v>227774.7</v>
      </c>
      <c r="BR239" s="77">
        <f t="shared" ref="BR239:CW239" si="304">IF(BR235="","",-MIN(0,BR$51*Equity_Share_LP))</f>
        <v>227774.7</v>
      </c>
      <c r="BS239" s="77">
        <f t="shared" si="304"/>
        <v>227774.7</v>
      </c>
      <c r="BT239" s="77">
        <f t="shared" si="304"/>
        <v>227774.7</v>
      </c>
      <c r="BU239" s="77">
        <f t="shared" si="304"/>
        <v>227774.7</v>
      </c>
      <c r="BV239" s="77">
        <f t="shared" si="304"/>
        <v>227774.7</v>
      </c>
      <c r="BW239" s="77">
        <f t="shared" si="304"/>
        <v>227774.7</v>
      </c>
      <c r="BX239" s="77">
        <f t="shared" si="304"/>
        <v>227774.7</v>
      </c>
      <c r="BY239" s="77">
        <f t="shared" si="304"/>
        <v>0</v>
      </c>
      <c r="BZ239" s="77">
        <f t="shared" si="304"/>
        <v>0</v>
      </c>
      <c r="CA239" s="77">
        <f t="shared" si="304"/>
        <v>227774.7</v>
      </c>
      <c r="CB239" s="77">
        <f t="shared" si="304"/>
        <v>227774.7</v>
      </c>
      <c r="CC239" s="77">
        <f t="shared" si="304"/>
        <v>227774.7</v>
      </c>
      <c r="CD239" s="77">
        <f t="shared" si="304"/>
        <v>227774.7</v>
      </c>
      <c r="CE239" s="77">
        <f t="shared" si="304"/>
        <v>0</v>
      </c>
      <c r="CF239" s="77">
        <f t="shared" si="304"/>
        <v>0</v>
      </c>
      <c r="CG239" s="77">
        <f t="shared" si="304"/>
        <v>0</v>
      </c>
      <c r="CH239" s="77">
        <f t="shared" si="304"/>
        <v>0</v>
      </c>
      <c r="CI239" s="77">
        <f t="shared" si="304"/>
        <v>0</v>
      </c>
      <c r="CJ239" s="77">
        <f t="shared" si="304"/>
        <v>0</v>
      </c>
      <c r="CK239" s="77">
        <f t="shared" si="304"/>
        <v>523424.7</v>
      </c>
      <c r="CL239" s="77">
        <f t="shared" si="304"/>
        <v>523424.7</v>
      </c>
      <c r="CM239" s="77">
        <f t="shared" si="304"/>
        <v>523424.7</v>
      </c>
      <c r="CN239" s="77">
        <f t="shared" si="304"/>
        <v>523424.7</v>
      </c>
      <c r="CO239" s="77">
        <f t="shared" si="304"/>
        <v>523424.7</v>
      </c>
      <c r="CP239" s="77">
        <f t="shared" si="304"/>
        <v>523424.7</v>
      </c>
      <c r="CQ239" s="77">
        <f t="shared" si="304"/>
        <v>523424.7</v>
      </c>
      <c r="CR239" s="77">
        <f t="shared" si="304"/>
        <v>523424.7</v>
      </c>
      <c r="CS239" s="77">
        <f t="shared" si="304"/>
        <v>523424.7</v>
      </c>
      <c r="CT239" s="77">
        <f t="shared" si="304"/>
        <v>523424.7</v>
      </c>
      <c r="CU239" s="77">
        <f t="shared" si="304"/>
        <v>523424.7</v>
      </c>
      <c r="CV239" s="77">
        <f t="shared" si="304"/>
        <v>523424.7</v>
      </c>
      <c r="CW239" s="77">
        <f t="shared" si="304"/>
        <v>0</v>
      </c>
      <c r="CX239" s="77" t="str">
        <f t="shared" ref="CX239:DV239" si="305">IF(CX235="","",-MIN(0,CX$51*Equity_Share_LP))</f>
        <v/>
      </c>
      <c r="CY239" s="77" t="str">
        <f t="shared" si="305"/>
        <v/>
      </c>
      <c r="CZ239" s="77" t="str">
        <f t="shared" si="305"/>
        <v/>
      </c>
      <c r="DA239" s="77" t="str">
        <f t="shared" si="305"/>
        <v/>
      </c>
      <c r="DB239" s="77" t="str">
        <f t="shared" si="305"/>
        <v/>
      </c>
      <c r="DC239" s="77" t="str">
        <f t="shared" si="305"/>
        <v/>
      </c>
      <c r="DD239" s="77" t="str">
        <f t="shared" si="305"/>
        <v/>
      </c>
      <c r="DE239" s="77" t="str">
        <f t="shared" si="305"/>
        <v/>
      </c>
      <c r="DF239" s="77" t="str">
        <f t="shared" si="305"/>
        <v/>
      </c>
      <c r="DG239" s="77" t="str">
        <f t="shared" si="305"/>
        <v/>
      </c>
      <c r="DH239" s="77" t="str">
        <f t="shared" si="305"/>
        <v/>
      </c>
      <c r="DI239" s="77" t="str">
        <f t="shared" si="305"/>
        <v/>
      </c>
      <c r="DJ239" s="77" t="str">
        <f t="shared" si="305"/>
        <v/>
      </c>
      <c r="DK239" s="77" t="str">
        <f t="shared" si="305"/>
        <v/>
      </c>
      <c r="DL239" s="77" t="str">
        <f t="shared" si="305"/>
        <v/>
      </c>
      <c r="DM239" s="77" t="str">
        <f t="shared" si="305"/>
        <v/>
      </c>
      <c r="DN239" s="77" t="str">
        <f t="shared" si="305"/>
        <v/>
      </c>
      <c r="DO239" s="77" t="str">
        <f t="shared" si="305"/>
        <v/>
      </c>
      <c r="DP239" s="77" t="str">
        <f t="shared" si="305"/>
        <v/>
      </c>
      <c r="DQ239" s="77" t="str">
        <f t="shared" si="305"/>
        <v/>
      </c>
      <c r="DR239" s="77" t="str">
        <f t="shared" si="305"/>
        <v/>
      </c>
      <c r="DS239" s="77" t="str">
        <f t="shared" si="305"/>
        <v/>
      </c>
      <c r="DT239" s="77" t="str">
        <f t="shared" si="305"/>
        <v/>
      </c>
      <c r="DU239" s="77" t="str">
        <f t="shared" si="305"/>
        <v/>
      </c>
      <c r="DV239" s="77" t="str">
        <f t="shared" si="305"/>
        <v/>
      </c>
      <c r="DW239" s="77"/>
      <c r="DX239" s="77"/>
      <c r="DY239" s="78"/>
    </row>
    <row r="240" spans="2:129" outlineLevel="1" x14ac:dyDescent="0.2">
      <c r="B240" s="16" t="s">
        <v>72</v>
      </c>
      <c r="C240" s="16"/>
      <c r="D240" s="16"/>
      <c r="E240" s="16"/>
      <c r="F240" s="77">
        <f>IF(F235="","",F230+F208)</f>
        <v>0</v>
      </c>
      <c r="G240" s="77">
        <f t="shared" ref="G240:BR240" si="306">IF(G235="","",G230+G208)</f>
        <v>0</v>
      </c>
      <c r="H240" s="77">
        <f t="shared" si="306"/>
        <v>0</v>
      </c>
      <c r="I240" s="77">
        <f t="shared" si="306"/>
        <v>0</v>
      </c>
      <c r="J240" s="77">
        <f t="shared" si="306"/>
        <v>0</v>
      </c>
      <c r="K240" s="77">
        <f t="shared" si="306"/>
        <v>0</v>
      </c>
      <c r="L240" s="77">
        <f t="shared" si="306"/>
        <v>0</v>
      </c>
      <c r="M240" s="77">
        <f t="shared" si="306"/>
        <v>0</v>
      </c>
      <c r="N240" s="77">
        <f t="shared" si="306"/>
        <v>0</v>
      </c>
      <c r="O240" s="77">
        <f t="shared" si="306"/>
        <v>0</v>
      </c>
      <c r="P240" s="77">
        <f t="shared" si="306"/>
        <v>0</v>
      </c>
      <c r="Q240" s="77">
        <f t="shared" si="306"/>
        <v>0</v>
      </c>
      <c r="R240" s="77">
        <f t="shared" si="306"/>
        <v>0</v>
      </c>
      <c r="S240" s="77">
        <f t="shared" si="306"/>
        <v>0</v>
      </c>
      <c r="T240" s="77">
        <f t="shared" si="306"/>
        <v>0</v>
      </c>
      <c r="U240" s="77">
        <f t="shared" si="306"/>
        <v>0</v>
      </c>
      <c r="V240" s="77">
        <f t="shared" si="306"/>
        <v>0</v>
      </c>
      <c r="W240" s="77">
        <f t="shared" si="306"/>
        <v>0</v>
      </c>
      <c r="X240" s="77">
        <f t="shared" si="306"/>
        <v>0</v>
      </c>
      <c r="Y240" s="77">
        <f t="shared" si="306"/>
        <v>0</v>
      </c>
      <c r="Z240" s="77">
        <f t="shared" si="306"/>
        <v>0</v>
      </c>
      <c r="AA240" s="77">
        <f t="shared" si="306"/>
        <v>0</v>
      </c>
      <c r="AB240" s="77">
        <f t="shared" si="306"/>
        <v>0</v>
      </c>
      <c r="AC240" s="77">
        <f t="shared" si="306"/>
        <v>0</v>
      </c>
      <c r="AD240" s="77">
        <f t="shared" si="306"/>
        <v>0</v>
      </c>
      <c r="AE240" s="77">
        <f t="shared" si="306"/>
        <v>25591908.600000001</v>
      </c>
      <c r="AF240" s="77">
        <f t="shared" si="306"/>
        <v>0</v>
      </c>
      <c r="AG240" s="77">
        <f t="shared" si="306"/>
        <v>0</v>
      </c>
      <c r="AH240" s="77">
        <f t="shared" si="306"/>
        <v>0</v>
      </c>
      <c r="AI240" s="77">
        <f t="shared" si="306"/>
        <v>0</v>
      </c>
      <c r="AJ240" s="77">
        <f t="shared" si="306"/>
        <v>0</v>
      </c>
      <c r="AK240" s="77">
        <f t="shared" si="306"/>
        <v>0</v>
      </c>
      <c r="AL240" s="77">
        <f t="shared" si="306"/>
        <v>0</v>
      </c>
      <c r="AM240" s="77">
        <f t="shared" si="306"/>
        <v>0</v>
      </c>
      <c r="AN240" s="77">
        <f t="shared" si="306"/>
        <v>0</v>
      </c>
      <c r="AO240" s="77">
        <f t="shared" si="306"/>
        <v>0</v>
      </c>
      <c r="AP240" s="77">
        <f t="shared" si="306"/>
        <v>0</v>
      </c>
      <c r="AQ240" s="77">
        <f t="shared" si="306"/>
        <v>0</v>
      </c>
      <c r="AR240" s="77">
        <f t="shared" si="306"/>
        <v>0</v>
      </c>
      <c r="AS240" s="77">
        <f t="shared" si="306"/>
        <v>0</v>
      </c>
      <c r="AT240" s="77">
        <f t="shared" si="306"/>
        <v>0</v>
      </c>
      <c r="AU240" s="77">
        <f t="shared" si="306"/>
        <v>37257084.899999999</v>
      </c>
      <c r="AV240" s="77">
        <f t="shared" si="306"/>
        <v>0</v>
      </c>
      <c r="AW240" s="77">
        <f t="shared" si="306"/>
        <v>0</v>
      </c>
      <c r="AX240" s="77">
        <f t="shared" si="306"/>
        <v>0</v>
      </c>
      <c r="AY240" s="77">
        <f t="shared" si="306"/>
        <v>0</v>
      </c>
      <c r="AZ240" s="77">
        <f t="shared" si="306"/>
        <v>0</v>
      </c>
      <c r="BA240" s="77">
        <f t="shared" si="306"/>
        <v>101969604.00000046</v>
      </c>
      <c r="BB240" s="77">
        <f t="shared" si="306"/>
        <v>0</v>
      </c>
      <c r="BC240" s="77">
        <f t="shared" si="306"/>
        <v>0</v>
      </c>
      <c r="BD240" s="77">
        <f t="shared" si="306"/>
        <v>0</v>
      </c>
      <c r="BE240" s="77">
        <f t="shared" si="306"/>
        <v>0</v>
      </c>
      <c r="BF240" s="77">
        <f t="shared" si="306"/>
        <v>0</v>
      </c>
      <c r="BG240" s="77">
        <f t="shared" si="306"/>
        <v>0</v>
      </c>
      <c r="BH240" s="77">
        <f t="shared" si="306"/>
        <v>0</v>
      </c>
      <c r="BI240" s="77">
        <f t="shared" si="306"/>
        <v>0</v>
      </c>
      <c r="BJ240" s="77">
        <f t="shared" si="306"/>
        <v>0</v>
      </c>
      <c r="BK240" s="77">
        <f t="shared" si="306"/>
        <v>0</v>
      </c>
      <c r="BL240" s="77">
        <f t="shared" si="306"/>
        <v>0</v>
      </c>
      <c r="BM240" s="77">
        <f t="shared" si="306"/>
        <v>0</v>
      </c>
      <c r="BN240" s="77">
        <f t="shared" si="306"/>
        <v>0</v>
      </c>
      <c r="BO240" s="77">
        <f t="shared" si="306"/>
        <v>0</v>
      </c>
      <c r="BP240" s="77">
        <f t="shared" si="306"/>
        <v>0</v>
      </c>
      <c r="BQ240" s="77">
        <f t="shared" si="306"/>
        <v>0</v>
      </c>
      <c r="BR240" s="77">
        <f t="shared" si="306"/>
        <v>0</v>
      </c>
      <c r="BS240" s="77">
        <f t="shared" ref="BS240:DV240" si="307">IF(BS235="","",BS230+BS208)</f>
        <v>0</v>
      </c>
      <c r="BT240" s="77">
        <f t="shared" si="307"/>
        <v>0</v>
      </c>
      <c r="BU240" s="77">
        <f t="shared" si="307"/>
        <v>0</v>
      </c>
      <c r="BV240" s="77">
        <f t="shared" si="307"/>
        <v>0</v>
      </c>
      <c r="BW240" s="77">
        <f t="shared" si="307"/>
        <v>0</v>
      </c>
      <c r="BX240" s="77">
        <f t="shared" si="307"/>
        <v>0</v>
      </c>
      <c r="BY240" s="77">
        <f t="shared" si="307"/>
        <v>5316225.3</v>
      </c>
      <c r="BZ240" s="77">
        <f t="shared" si="307"/>
        <v>3756239.4600000004</v>
      </c>
      <c r="CA240" s="77">
        <f t="shared" si="307"/>
        <v>0</v>
      </c>
      <c r="CB240" s="77">
        <f t="shared" si="307"/>
        <v>0</v>
      </c>
      <c r="CC240" s="77">
        <f t="shared" si="307"/>
        <v>0</v>
      </c>
      <c r="CD240" s="77">
        <f t="shared" si="307"/>
        <v>0</v>
      </c>
      <c r="CE240" s="77">
        <f t="shared" si="307"/>
        <v>5304465.5399999917</v>
      </c>
      <c r="CF240" s="77">
        <f t="shared" si="307"/>
        <v>0</v>
      </c>
      <c r="CG240" s="77">
        <f t="shared" si="307"/>
        <v>0</v>
      </c>
      <c r="CH240" s="77">
        <f t="shared" si="307"/>
        <v>0</v>
      </c>
      <c r="CI240" s="77">
        <f t="shared" si="307"/>
        <v>0</v>
      </c>
      <c r="CJ240" s="77">
        <f t="shared" si="307"/>
        <v>0</v>
      </c>
      <c r="CK240" s="77">
        <f t="shared" si="307"/>
        <v>0</v>
      </c>
      <c r="CL240" s="77">
        <f t="shared" si="307"/>
        <v>0</v>
      </c>
      <c r="CM240" s="77">
        <f t="shared" si="307"/>
        <v>0</v>
      </c>
      <c r="CN240" s="77">
        <f t="shared" si="307"/>
        <v>0</v>
      </c>
      <c r="CO240" s="77">
        <f t="shared" si="307"/>
        <v>0</v>
      </c>
      <c r="CP240" s="77">
        <f t="shared" si="307"/>
        <v>0</v>
      </c>
      <c r="CQ240" s="77">
        <f t="shared" si="307"/>
        <v>0</v>
      </c>
      <c r="CR240" s="77">
        <f t="shared" si="307"/>
        <v>0</v>
      </c>
      <c r="CS240" s="77">
        <f t="shared" si="307"/>
        <v>0</v>
      </c>
      <c r="CT240" s="77">
        <f t="shared" si="307"/>
        <v>0</v>
      </c>
      <c r="CU240" s="77">
        <f t="shared" si="307"/>
        <v>0</v>
      </c>
      <c r="CV240" s="77">
        <f t="shared" si="307"/>
        <v>0</v>
      </c>
      <c r="CW240" s="77">
        <f t="shared" si="307"/>
        <v>9421644.5999999978</v>
      </c>
      <c r="CX240" s="77" t="str">
        <f t="shared" si="307"/>
        <v/>
      </c>
      <c r="CY240" s="77" t="str">
        <f t="shared" si="307"/>
        <v/>
      </c>
      <c r="CZ240" s="77" t="str">
        <f t="shared" si="307"/>
        <v/>
      </c>
      <c r="DA240" s="77" t="str">
        <f t="shared" si="307"/>
        <v/>
      </c>
      <c r="DB240" s="77" t="str">
        <f t="shared" si="307"/>
        <v/>
      </c>
      <c r="DC240" s="77" t="str">
        <f t="shared" si="307"/>
        <v/>
      </c>
      <c r="DD240" s="77" t="str">
        <f t="shared" si="307"/>
        <v/>
      </c>
      <c r="DE240" s="77" t="str">
        <f t="shared" si="307"/>
        <v/>
      </c>
      <c r="DF240" s="77" t="str">
        <f t="shared" si="307"/>
        <v/>
      </c>
      <c r="DG240" s="77" t="str">
        <f t="shared" si="307"/>
        <v/>
      </c>
      <c r="DH240" s="77" t="str">
        <f t="shared" si="307"/>
        <v/>
      </c>
      <c r="DI240" s="77" t="str">
        <f t="shared" si="307"/>
        <v/>
      </c>
      <c r="DJ240" s="77" t="str">
        <f t="shared" si="307"/>
        <v/>
      </c>
      <c r="DK240" s="77" t="str">
        <f t="shared" si="307"/>
        <v/>
      </c>
      <c r="DL240" s="77" t="str">
        <f t="shared" si="307"/>
        <v/>
      </c>
      <c r="DM240" s="77" t="str">
        <f t="shared" si="307"/>
        <v/>
      </c>
      <c r="DN240" s="77" t="str">
        <f t="shared" si="307"/>
        <v/>
      </c>
      <c r="DO240" s="77" t="str">
        <f t="shared" si="307"/>
        <v/>
      </c>
      <c r="DP240" s="77" t="str">
        <f t="shared" si="307"/>
        <v/>
      </c>
      <c r="DQ240" s="77" t="str">
        <f t="shared" si="307"/>
        <v/>
      </c>
      <c r="DR240" s="77" t="str">
        <f t="shared" si="307"/>
        <v/>
      </c>
      <c r="DS240" s="77" t="str">
        <f t="shared" si="307"/>
        <v/>
      </c>
      <c r="DT240" s="77" t="str">
        <f t="shared" si="307"/>
        <v/>
      </c>
      <c r="DU240" s="77" t="str">
        <f t="shared" si="307"/>
        <v/>
      </c>
      <c r="DV240" s="77" t="str">
        <f t="shared" si="307"/>
        <v/>
      </c>
      <c r="DW240" s="77"/>
      <c r="DX240" s="77"/>
      <c r="DY240" s="78"/>
    </row>
    <row r="241" spans="2:129" outlineLevel="1" x14ac:dyDescent="0.2">
      <c r="B241" s="16" t="str">
        <f>"Distributions to LP "&amp;B235</f>
        <v>Distributions to LP Tier 3</v>
      </c>
      <c r="C241" s="16"/>
      <c r="D241" s="16"/>
      <c r="E241" s="16"/>
      <c r="F241" s="77">
        <f>IF(F235="","",MIN(F237+F238-F240,F233*$I$17))</f>
        <v>0</v>
      </c>
      <c r="G241" s="77">
        <f t="shared" ref="G241:BR241" si="308">IF(G235="","",MIN(G237+G238-G240,G233*$I$17))</f>
        <v>0</v>
      </c>
      <c r="H241" s="77">
        <f t="shared" si="308"/>
        <v>0</v>
      </c>
      <c r="I241" s="77">
        <f t="shared" si="308"/>
        <v>0</v>
      </c>
      <c r="J241" s="77">
        <f t="shared" si="308"/>
        <v>0</v>
      </c>
      <c r="K241" s="77">
        <f t="shared" si="308"/>
        <v>0</v>
      </c>
      <c r="L241" s="77">
        <f t="shared" si="308"/>
        <v>0</v>
      </c>
      <c r="M241" s="77">
        <f t="shared" si="308"/>
        <v>0</v>
      </c>
      <c r="N241" s="77">
        <f t="shared" si="308"/>
        <v>0</v>
      </c>
      <c r="O241" s="77">
        <f t="shared" si="308"/>
        <v>0</v>
      </c>
      <c r="P241" s="77">
        <f t="shared" si="308"/>
        <v>0</v>
      </c>
      <c r="Q241" s="77">
        <f t="shared" si="308"/>
        <v>0</v>
      </c>
      <c r="R241" s="77">
        <f t="shared" si="308"/>
        <v>0</v>
      </c>
      <c r="S241" s="77">
        <f t="shared" si="308"/>
        <v>0</v>
      </c>
      <c r="T241" s="77">
        <f t="shared" si="308"/>
        <v>0</v>
      </c>
      <c r="U241" s="77">
        <f t="shared" si="308"/>
        <v>0</v>
      </c>
      <c r="V241" s="77">
        <f t="shared" si="308"/>
        <v>0</v>
      </c>
      <c r="W241" s="77">
        <f t="shared" si="308"/>
        <v>0</v>
      </c>
      <c r="X241" s="77">
        <f t="shared" si="308"/>
        <v>0</v>
      </c>
      <c r="Y241" s="77">
        <f t="shared" si="308"/>
        <v>0</v>
      </c>
      <c r="Z241" s="77">
        <f t="shared" si="308"/>
        <v>0</v>
      </c>
      <c r="AA241" s="77">
        <f t="shared" si="308"/>
        <v>0</v>
      </c>
      <c r="AB241" s="77">
        <f t="shared" si="308"/>
        <v>0</v>
      </c>
      <c r="AC241" s="77">
        <f t="shared" si="308"/>
        <v>0</v>
      </c>
      <c r="AD241" s="77">
        <f t="shared" si="308"/>
        <v>0</v>
      </c>
      <c r="AE241" s="77">
        <f t="shared" si="308"/>
        <v>0</v>
      </c>
      <c r="AF241" s="77">
        <f t="shared" si="308"/>
        <v>0</v>
      </c>
      <c r="AG241" s="77">
        <f t="shared" si="308"/>
        <v>0</v>
      </c>
      <c r="AH241" s="77">
        <f t="shared" si="308"/>
        <v>0</v>
      </c>
      <c r="AI241" s="77">
        <f t="shared" si="308"/>
        <v>0</v>
      </c>
      <c r="AJ241" s="77">
        <f t="shared" si="308"/>
        <v>0</v>
      </c>
      <c r="AK241" s="77">
        <f t="shared" si="308"/>
        <v>0</v>
      </c>
      <c r="AL241" s="77">
        <f t="shared" si="308"/>
        <v>0</v>
      </c>
      <c r="AM241" s="77">
        <f t="shared" si="308"/>
        <v>0</v>
      </c>
      <c r="AN241" s="77">
        <f t="shared" si="308"/>
        <v>0</v>
      </c>
      <c r="AO241" s="77">
        <f t="shared" si="308"/>
        <v>0</v>
      </c>
      <c r="AP241" s="77">
        <f t="shared" si="308"/>
        <v>0</v>
      </c>
      <c r="AQ241" s="77">
        <f t="shared" si="308"/>
        <v>0</v>
      </c>
      <c r="AR241" s="77">
        <f t="shared" si="308"/>
        <v>0</v>
      </c>
      <c r="AS241" s="77">
        <f t="shared" si="308"/>
        <v>0</v>
      </c>
      <c r="AT241" s="77">
        <f t="shared" si="308"/>
        <v>0</v>
      </c>
      <c r="AU241" s="77">
        <f t="shared" si="308"/>
        <v>0</v>
      </c>
      <c r="AV241" s="77">
        <f t="shared" si="308"/>
        <v>0</v>
      </c>
      <c r="AW241" s="77">
        <f t="shared" si="308"/>
        <v>0</v>
      </c>
      <c r="AX241" s="77">
        <f t="shared" si="308"/>
        <v>0</v>
      </c>
      <c r="AY241" s="77">
        <f t="shared" si="308"/>
        <v>0</v>
      </c>
      <c r="AZ241" s="77">
        <f t="shared" si="308"/>
        <v>0</v>
      </c>
      <c r="BA241" s="77">
        <f t="shared" si="308"/>
        <v>19975222.237499718</v>
      </c>
      <c r="BB241" s="77">
        <f t="shared" si="308"/>
        <v>0</v>
      </c>
      <c r="BC241" s="77">
        <f t="shared" si="308"/>
        <v>0</v>
      </c>
      <c r="BD241" s="77">
        <f t="shared" si="308"/>
        <v>0</v>
      </c>
      <c r="BE241" s="77">
        <f t="shared" si="308"/>
        <v>0</v>
      </c>
      <c r="BF241" s="77">
        <f t="shared" si="308"/>
        <v>0</v>
      </c>
      <c r="BG241" s="77">
        <f t="shared" si="308"/>
        <v>0</v>
      </c>
      <c r="BH241" s="77">
        <f t="shared" si="308"/>
        <v>0</v>
      </c>
      <c r="BI241" s="77">
        <f t="shared" si="308"/>
        <v>0</v>
      </c>
      <c r="BJ241" s="77">
        <f t="shared" si="308"/>
        <v>0</v>
      </c>
      <c r="BK241" s="77">
        <f t="shared" si="308"/>
        <v>0</v>
      </c>
      <c r="BL241" s="77">
        <f t="shared" si="308"/>
        <v>0</v>
      </c>
      <c r="BM241" s="77">
        <f t="shared" si="308"/>
        <v>0</v>
      </c>
      <c r="BN241" s="77">
        <f t="shared" si="308"/>
        <v>0</v>
      </c>
      <c r="BO241" s="77">
        <f t="shared" si="308"/>
        <v>0</v>
      </c>
      <c r="BP241" s="77">
        <f t="shared" si="308"/>
        <v>0</v>
      </c>
      <c r="BQ241" s="77">
        <f t="shared" si="308"/>
        <v>0</v>
      </c>
      <c r="BR241" s="77">
        <f t="shared" si="308"/>
        <v>0</v>
      </c>
      <c r="BS241" s="77">
        <f t="shared" ref="BS241:DV241" si="309">IF(BS235="","",MIN(BS237+BS238-BS240,BS233*$I$17))</f>
        <v>0</v>
      </c>
      <c r="BT241" s="77">
        <f t="shared" si="309"/>
        <v>0</v>
      </c>
      <c r="BU241" s="77">
        <f t="shared" si="309"/>
        <v>0</v>
      </c>
      <c r="BV241" s="77">
        <f t="shared" si="309"/>
        <v>0</v>
      </c>
      <c r="BW241" s="77">
        <f t="shared" si="309"/>
        <v>0</v>
      </c>
      <c r="BX241" s="77">
        <f t="shared" si="309"/>
        <v>0</v>
      </c>
      <c r="BY241" s="77">
        <f t="shared" si="309"/>
        <v>0</v>
      </c>
      <c r="BZ241" s="77">
        <f t="shared" si="309"/>
        <v>0</v>
      </c>
      <c r="CA241" s="77">
        <f t="shared" si="309"/>
        <v>0</v>
      </c>
      <c r="CB241" s="77">
        <f t="shared" si="309"/>
        <v>0</v>
      </c>
      <c r="CC241" s="77">
        <f t="shared" si="309"/>
        <v>0</v>
      </c>
      <c r="CD241" s="77">
        <f t="shared" si="309"/>
        <v>0</v>
      </c>
      <c r="CE241" s="77">
        <f t="shared" si="309"/>
        <v>3453871.3875000053</v>
      </c>
      <c r="CF241" s="77">
        <f t="shared" si="309"/>
        <v>0</v>
      </c>
      <c r="CG241" s="77">
        <f t="shared" si="309"/>
        <v>0</v>
      </c>
      <c r="CH241" s="77">
        <f t="shared" si="309"/>
        <v>0</v>
      </c>
      <c r="CI241" s="77">
        <f t="shared" si="309"/>
        <v>0</v>
      </c>
      <c r="CJ241" s="77">
        <f t="shared" si="309"/>
        <v>0</v>
      </c>
      <c r="CK241" s="77">
        <f t="shared" si="309"/>
        <v>0</v>
      </c>
      <c r="CL241" s="77">
        <f t="shared" si="309"/>
        <v>0</v>
      </c>
      <c r="CM241" s="77">
        <f t="shared" si="309"/>
        <v>0</v>
      </c>
      <c r="CN241" s="77">
        <f t="shared" si="309"/>
        <v>0</v>
      </c>
      <c r="CO241" s="77">
        <f t="shared" si="309"/>
        <v>0</v>
      </c>
      <c r="CP241" s="77">
        <f t="shared" si="309"/>
        <v>0</v>
      </c>
      <c r="CQ241" s="77">
        <f t="shared" si="309"/>
        <v>0</v>
      </c>
      <c r="CR241" s="77">
        <f t="shared" si="309"/>
        <v>0</v>
      </c>
      <c r="CS241" s="77">
        <f t="shared" si="309"/>
        <v>0</v>
      </c>
      <c r="CT241" s="77">
        <f t="shared" si="309"/>
        <v>0</v>
      </c>
      <c r="CU241" s="77">
        <f t="shared" si="309"/>
        <v>0</v>
      </c>
      <c r="CV241" s="77">
        <f t="shared" si="309"/>
        <v>0</v>
      </c>
      <c r="CW241" s="77">
        <f t="shared" si="309"/>
        <v>7071719.1750000017</v>
      </c>
      <c r="CX241" s="77" t="str">
        <f t="shared" si="309"/>
        <v/>
      </c>
      <c r="CY241" s="77" t="str">
        <f t="shared" si="309"/>
        <v/>
      </c>
      <c r="CZ241" s="77" t="str">
        <f t="shared" si="309"/>
        <v/>
      </c>
      <c r="DA241" s="77" t="str">
        <f t="shared" si="309"/>
        <v/>
      </c>
      <c r="DB241" s="77" t="str">
        <f t="shared" si="309"/>
        <v/>
      </c>
      <c r="DC241" s="77" t="str">
        <f t="shared" si="309"/>
        <v/>
      </c>
      <c r="DD241" s="77" t="str">
        <f t="shared" si="309"/>
        <v/>
      </c>
      <c r="DE241" s="77" t="str">
        <f t="shared" si="309"/>
        <v/>
      </c>
      <c r="DF241" s="77" t="str">
        <f t="shared" si="309"/>
        <v/>
      </c>
      <c r="DG241" s="77" t="str">
        <f t="shared" si="309"/>
        <v/>
      </c>
      <c r="DH241" s="77" t="str">
        <f t="shared" si="309"/>
        <v/>
      </c>
      <c r="DI241" s="77" t="str">
        <f t="shared" si="309"/>
        <v/>
      </c>
      <c r="DJ241" s="77" t="str">
        <f t="shared" si="309"/>
        <v/>
      </c>
      <c r="DK241" s="77" t="str">
        <f t="shared" si="309"/>
        <v/>
      </c>
      <c r="DL241" s="77" t="str">
        <f t="shared" si="309"/>
        <v/>
      </c>
      <c r="DM241" s="77" t="str">
        <f t="shared" si="309"/>
        <v/>
      </c>
      <c r="DN241" s="77" t="str">
        <f t="shared" si="309"/>
        <v/>
      </c>
      <c r="DO241" s="77" t="str">
        <f t="shared" si="309"/>
        <v/>
      </c>
      <c r="DP241" s="77" t="str">
        <f t="shared" si="309"/>
        <v/>
      </c>
      <c r="DQ241" s="77" t="str">
        <f t="shared" si="309"/>
        <v/>
      </c>
      <c r="DR241" s="77" t="str">
        <f t="shared" si="309"/>
        <v/>
      </c>
      <c r="DS241" s="77" t="str">
        <f t="shared" si="309"/>
        <v/>
      </c>
      <c r="DT241" s="77" t="str">
        <f t="shared" si="309"/>
        <v/>
      </c>
      <c r="DU241" s="77" t="str">
        <f t="shared" si="309"/>
        <v/>
      </c>
      <c r="DV241" s="77" t="str">
        <f t="shared" si="309"/>
        <v/>
      </c>
      <c r="DW241" s="77"/>
      <c r="DX241" s="77"/>
      <c r="DY241" s="78"/>
    </row>
    <row r="242" spans="2:129" outlineLevel="1" x14ac:dyDescent="0.2">
      <c r="B242" s="16" t="s">
        <v>62</v>
      </c>
      <c r="C242" s="16"/>
      <c r="D242" s="16"/>
      <c r="E242" s="16"/>
      <c r="F242" s="77">
        <f>IF(F235="","",F237+F238+F239-F240-F241)</f>
        <v>93624225.299999997</v>
      </c>
      <c r="G242" s="77">
        <f t="shared" ref="G242:BR242" si="310">IF(G235="","",G237+G238+G239-G240-G241)</f>
        <v>9268822529.9999981</v>
      </c>
      <c r="H242" s="77">
        <f t="shared" si="310"/>
        <v>9271220834.6999969</v>
      </c>
      <c r="I242" s="77">
        <f t="shared" si="310"/>
        <v>9273619139.3999958</v>
      </c>
      <c r="J242" s="77">
        <f t="shared" si="310"/>
        <v>9276017444.0999947</v>
      </c>
      <c r="K242" s="77">
        <f t="shared" si="310"/>
        <v>9278415748.7999935</v>
      </c>
      <c r="L242" s="77">
        <f t="shared" si="310"/>
        <v>9280814053.4999924</v>
      </c>
      <c r="M242" s="77">
        <f t="shared" si="310"/>
        <v>9283212358.1999912</v>
      </c>
      <c r="N242" s="77">
        <f t="shared" si="310"/>
        <v>9285610662.8999901</v>
      </c>
      <c r="O242" s="77">
        <f t="shared" si="310"/>
        <v>9288008967.5999889</v>
      </c>
      <c r="P242" s="77">
        <f t="shared" si="310"/>
        <v>9290407272.2999878</v>
      </c>
      <c r="Q242" s="77">
        <f t="shared" si="310"/>
        <v>9292805576.9999866</v>
      </c>
      <c r="R242" s="77">
        <f t="shared" si="310"/>
        <v>9295203881.6999855</v>
      </c>
      <c r="S242" s="77">
        <f t="shared" si="310"/>
        <v>9297602186.3999844</v>
      </c>
      <c r="T242" s="77">
        <f t="shared" si="310"/>
        <v>9300000491.0999832</v>
      </c>
      <c r="U242" s="77">
        <f t="shared" si="310"/>
        <v>9302398795.7999821</v>
      </c>
      <c r="V242" s="77">
        <f t="shared" si="310"/>
        <v>9304797100.4999809</v>
      </c>
      <c r="W242" s="77">
        <f t="shared" si="310"/>
        <v>9307195405.1999798</v>
      </c>
      <c r="X242" s="77">
        <f t="shared" si="310"/>
        <v>9309593709.8999786</v>
      </c>
      <c r="Y242" s="77">
        <f t="shared" si="310"/>
        <v>9311992014.5999775</v>
      </c>
      <c r="Z242" s="77">
        <f t="shared" si="310"/>
        <v>9314390319.2999763</v>
      </c>
      <c r="AA242" s="77">
        <f t="shared" si="310"/>
        <v>9316788623.9999752</v>
      </c>
      <c r="AB242" s="77">
        <f t="shared" si="310"/>
        <v>9319186928.6999741</v>
      </c>
      <c r="AC242" s="77">
        <f t="shared" si="310"/>
        <v>9321908951.6999741</v>
      </c>
      <c r="AD242" s="77">
        <f t="shared" si="310"/>
        <v>9356849505.8999729</v>
      </c>
      <c r="AE242" s="77">
        <f t="shared" si="310"/>
        <v>9413781574.4999733</v>
      </c>
      <c r="AF242" s="77">
        <f t="shared" si="310"/>
        <v>9414623655.8999729</v>
      </c>
      <c r="AG242" s="77">
        <f t="shared" si="310"/>
        <v>9497989714.4999733</v>
      </c>
      <c r="AH242" s="77">
        <f t="shared" si="310"/>
        <v>9581355773.0999737</v>
      </c>
      <c r="AI242" s="77">
        <f t="shared" si="310"/>
        <v>9664721831.6999741</v>
      </c>
      <c r="AJ242" s="77">
        <f t="shared" si="310"/>
        <v>9748087890.2999744</v>
      </c>
      <c r="AK242" s="77">
        <f t="shared" si="310"/>
        <v>9831453948.8999748</v>
      </c>
      <c r="AL242" s="77">
        <f t="shared" si="310"/>
        <v>9914820007.4999752</v>
      </c>
      <c r="AM242" s="77">
        <f t="shared" si="310"/>
        <v>9998022015.8999767</v>
      </c>
      <c r="AN242" s="77">
        <f t="shared" si="310"/>
        <v>10065147104.699978</v>
      </c>
      <c r="AO242" s="77">
        <f t="shared" si="310"/>
        <v>10132478255.699978</v>
      </c>
      <c r="AP242" s="77">
        <f t="shared" si="310"/>
        <v>10219727989.799978</v>
      </c>
      <c r="AQ242" s="77">
        <f t="shared" si="310"/>
        <v>10279977498.899979</v>
      </c>
      <c r="AR242" s="77">
        <f t="shared" si="310"/>
        <v>10340227007.999979</v>
      </c>
      <c r="AS242" s="77">
        <f t="shared" si="310"/>
        <v>10400476517.099979</v>
      </c>
      <c r="AT242" s="77">
        <f t="shared" si="310"/>
        <v>10460726026.19998</v>
      </c>
      <c r="AU242" s="77">
        <f t="shared" si="310"/>
        <v>10483109869.499981</v>
      </c>
      <c r="AV242" s="77">
        <f t="shared" si="310"/>
        <v>10483780715.099981</v>
      </c>
      <c r="AW242" s="77">
        <f t="shared" si="310"/>
        <v>10550194429.499981</v>
      </c>
      <c r="AX242" s="77">
        <f t="shared" si="310"/>
        <v>10616608143.899981</v>
      </c>
      <c r="AY242" s="77">
        <f t="shared" si="310"/>
        <v>10683021858.29998</v>
      </c>
      <c r="AZ242" s="77">
        <f t="shared" si="310"/>
        <v>10749435572.69998</v>
      </c>
      <c r="BA242" s="77">
        <f t="shared" si="310"/>
        <v>10693233615.26248</v>
      </c>
      <c r="BB242" s="77">
        <f t="shared" si="310"/>
        <v>10693735163.662479</v>
      </c>
      <c r="BC242" s="77">
        <f t="shared" si="310"/>
        <v>10743388455.26248</v>
      </c>
      <c r="BD242" s="77">
        <f t="shared" si="310"/>
        <v>10793041746.86248</v>
      </c>
      <c r="BE242" s="77">
        <f t="shared" si="310"/>
        <v>10842695038.462481</v>
      </c>
      <c r="BF242" s="77">
        <f t="shared" si="310"/>
        <v>10892348330.062481</v>
      </c>
      <c r="BG242" s="77">
        <f t="shared" si="310"/>
        <v>10942001621.662481</v>
      </c>
      <c r="BH242" s="77">
        <f t="shared" si="310"/>
        <v>10991654913.262482</v>
      </c>
      <c r="BI242" s="77">
        <f t="shared" si="310"/>
        <v>11041308204.862482</v>
      </c>
      <c r="BJ242" s="77">
        <f t="shared" si="310"/>
        <v>11090961496.462482</v>
      </c>
      <c r="BK242" s="77">
        <f t="shared" si="310"/>
        <v>11140614788.062483</v>
      </c>
      <c r="BL242" s="77">
        <f t="shared" si="310"/>
        <v>11190268079.662483</v>
      </c>
      <c r="BM242" s="77">
        <f t="shared" si="310"/>
        <v>11239788661.762484</v>
      </c>
      <c r="BN242" s="77">
        <f t="shared" si="310"/>
        <v>11276303712.862484</v>
      </c>
      <c r="BO242" s="77">
        <f t="shared" si="310"/>
        <v>11312818763.962484</v>
      </c>
      <c r="BP242" s="77">
        <f t="shared" si="310"/>
        <v>11349192750.862486</v>
      </c>
      <c r="BQ242" s="77">
        <f t="shared" si="310"/>
        <v>11371742446.162487</v>
      </c>
      <c r="BR242" s="77">
        <f t="shared" si="310"/>
        <v>11394292141.462488</v>
      </c>
      <c r="BS242" s="77">
        <f t="shared" ref="BS242:DV242" si="311">IF(BS235="","",BS237+BS238+BS239-BS240-BS241)</f>
        <v>11416841836.762489</v>
      </c>
      <c r="BT242" s="77">
        <f t="shared" si="311"/>
        <v>11439391532.06249</v>
      </c>
      <c r="BU242" s="77">
        <f t="shared" si="311"/>
        <v>11461941227.362492</v>
      </c>
      <c r="BV242" s="77">
        <f t="shared" si="311"/>
        <v>11484490922.662493</v>
      </c>
      <c r="BW242" s="77">
        <f t="shared" si="311"/>
        <v>11507040617.962494</v>
      </c>
      <c r="BX242" s="77">
        <f t="shared" si="311"/>
        <v>11529590313.262495</v>
      </c>
      <c r="BY242" s="77">
        <f t="shared" si="311"/>
        <v>11546596008.562496</v>
      </c>
      <c r="BZ242" s="77">
        <f t="shared" si="311"/>
        <v>11542839769.102497</v>
      </c>
      <c r="CA242" s="77">
        <f t="shared" si="311"/>
        <v>11543067543.802498</v>
      </c>
      <c r="CB242" s="77">
        <f t="shared" si="311"/>
        <v>11565617239.102499</v>
      </c>
      <c r="CC242" s="77">
        <f t="shared" si="311"/>
        <v>11588166934.4025</v>
      </c>
      <c r="CD242" s="77">
        <f t="shared" si="311"/>
        <v>11610716629.702501</v>
      </c>
      <c r="CE242" s="77">
        <f t="shared" si="311"/>
        <v>11624280213.375</v>
      </c>
      <c r="CF242" s="77">
        <f t="shared" si="311"/>
        <v>11624280213.375</v>
      </c>
      <c r="CG242" s="77">
        <f t="shared" si="311"/>
        <v>11624280213.375</v>
      </c>
      <c r="CH242" s="77">
        <f t="shared" si="311"/>
        <v>11624280213.375</v>
      </c>
      <c r="CI242" s="77">
        <f t="shared" si="311"/>
        <v>11624280213.375</v>
      </c>
      <c r="CJ242" s="77">
        <f t="shared" si="311"/>
        <v>11624280213.375</v>
      </c>
      <c r="CK242" s="77">
        <f t="shared" si="311"/>
        <v>11624803638.075001</v>
      </c>
      <c r="CL242" s="77">
        <f t="shared" si="311"/>
        <v>11676622683.375002</v>
      </c>
      <c r="CM242" s="77">
        <f t="shared" si="311"/>
        <v>11728441728.675003</v>
      </c>
      <c r="CN242" s="77">
        <f t="shared" si="311"/>
        <v>11780260773.975004</v>
      </c>
      <c r="CO242" s="77">
        <f t="shared" si="311"/>
        <v>11832079819.275005</v>
      </c>
      <c r="CP242" s="77">
        <f t="shared" si="311"/>
        <v>11883898864.575006</v>
      </c>
      <c r="CQ242" s="77">
        <f t="shared" si="311"/>
        <v>11935717909.875008</v>
      </c>
      <c r="CR242" s="77">
        <f t="shared" si="311"/>
        <v>11987536955.175009</v>
      </c>
      <c r="CS242" s="77">
        <f t="shared" si="311"/>
        <v>12039356000.47501</v>
      </c>
      <c r="CT242" s="77">
        <f t="shared" si="311"/>
        <v>12091175045.775011</v>
      </c>
      <c r="CU242" s="77">
        <f t="shared" si="311"/>
        <v>12142994091.075012</v>
      </c>
      <c r="CV242" s="77">
        <f t="shared" si="311"/>
        <v>12194813136.375013</v>
      </c>
      <c r="CW242" s="77">
        <f t="shared" si="311"/>
        <v>12229615393.200014</v>
      </c>
      <c r="CX242" s="77" t="str">
        <f t="shared" si="311"/>
        <v/>
      </c>
      <c r="CY242" s="77" t="str">
        <f t="shared" si="311"/>
        <v/>
      </c>
      <c r="CZ242" s="77" t="str">
        <f t="shared" si="311"/>
        <v/>
      </c>
      <c r="DA242" s="77" t="str">
        <f t="shared" si="311"/>
        <v/>
      </c>
      <c r="DB242" s="77" t="str">
        <f t="shared" si="311"/>
        <v/>
      </c>
      <c r="DC242" s="77" t="str">
        <f t="shared" si="311"/>
        <v/>
      </c>
      <c r="DD242" s="77" t="str">
        <f t="shared" si="311"/>
        <v/>
      </c>
      <c r="DE242" s="77" t="str">
        <f t="shared" si="311"/>
        <v/>
      </c>
      <c r="DF242" s="77" t="str">
        <f t="shared" si="311"/>
        <v/>
      </c>
      <c r="DG242" s="77" t="str">
        <f t="shared" si="311"/>
        <v/>
      </c>
      <c r="DH242" s="77" t="str">
        <f t="shared" si="311"/>
        <v/>
      </c>
      <c r="DI242" s="77" t="str">
        <f t="shared" si="311"/>
        <v/>
      </c>
      <c r="DJ242" s="77" t="str">
        <f t="shared" si="311"/>
        <v/>
      </c>
      <c r="DK242" s="77" t="str">
        <f t="shared" si="311"/>
        <v/>
      </c>
      <c r="DL242" s="77" t="str">
        <f t="shared" si="311"/>
        <v/>
      </c>
      <c r="DM242" s="77" t="str">
        <f t="shared" si="311"/>
        <v/>
      </c>
      <c r="DN242" s="77" t="str">
        <f t="shared" si="311"/>
        <v/>
      </c>
      <c r="DO242" s="77" t="str">
        <f t="shared" si="311"/>
        <v/>
      </c>
      <c r="DP242" s="77" t="str">
        <f t="shared" si="311"/>
        <v/>
      </c>
      <c r="DQ242" s="77" t="str">
        <f t="shared" si="311"/>
        <v/>
      </c>
      <c r="DR242" s="77" t="str">
        <f t="shared" si="311"/>
        <v/>
      </c>
      <c r="DS242" s="77" t="str">
        <f t="shared" si="311"/>
        <v/>
      </c>
      <c r="DT242" s="77" t="str">
        <f t="shared" si="311"/>
        <v/>
      </c>
      <c r="DU242" s="77" t="str">
        <f t="shared" si="311"/>
        <v/>
      </c>
      <c r="DV242" s="77" t="str">
        <f t="shared" si="311"/>
        <v/>
      </c>
      <c r="DW242" s="77"/>
      <c r="DX242" s="77"/>
      <c r="DY242" s="78"/>
    </row>
    <row r="243" spans="2:129" outlineLevel="1" x14ac:dyDescent="0.2">
      <c r="B243" s="128">
        <f>C236</f>
        <v>99</v>
      </c>
      <c r="C243" s="16"/>
      <c r="D243" s="16"/>
      <c r="E243" s="137">
        <f>SUMIF(F243:DY243,"&gt;0")/-SUMIF(F243:DY243,"&lt;0")</f>
        <v>1.742561261086957</v>
      </c>
      <c r="F243" s="77">
        <f>IF(F235="","",-F239+F240+F241)</f>
        <v>-93624225.299999997</v>
      </c>
      <c r="G243" s="77">
        <f t="shared" ref="G243:BR243" si="312">IF(G235="","",-G239+G240+G241)</f>
        <v>-24225.3</v>
      </c>
      <c r="H243" s="77">
        <f t="shared" si="312"/>
        <v>-24225.3</v>
      </c>
      <c r="I243" s="77">
        <f t="shared" si="312"/>
        <v>-24225.3</v>
      </c>
      <c r="J243" s="77">
        <f t="shared" si="312"/>
        <v>-24225.3</v>
      </c>
      <c r="K243" s="77">
        <f t="shared" si="312"/>
        <v>-24225.3</v>
      </c>
      <c r="L243" s="77">
        <f t="shared" si="312"/>
        <v>-24225.3</v>
      </c>
      <c r="M243" s="77">
        <f t="shared" si="312"/>
        <v>-24225.3</v>
      </c>
      <c r="N243" s="77">
        <f t="shared" si="312"/>
        <v>-24225.3</v>
      </c>
      <c r="O243" s="77">
        <f t="shared" si="312"/>
        <v>-24225.3</v>
      </c>
      <c r="P243" s="77">
        <f t="shared" si="312"/>
        <v>-24225.3</v>
      </c>
      <c r="Q243" s="77">
        <f t="shared" si="312"/>
        <v>-24225.3</v>
      </c>
      <c r="R243" s="77">
        <f t="shared" si="312"/>
        <v>-24225.3</v>
      </c>
      <c r="S243" s="77">
        <f t="shared" si="312"/>
        <v>-24225.3</v>
      </c>
      <c r="T243" s="77">
        <f t="shared" si="312"/>
        <v>-24225.3</v>
      </c>
      <c r="U243" s="77">
        <f t="shared" si="312"/>
        <v>-24225.3</v>
      </c>
      <c r="V243" s="77">
        <f t="shared" si="312"/>
        <v>-24225.3</v>
      </c>
      <c r="W243" s="77">
        <f t="shared" si="312"/>
        <v>-24225.3</v>
      </c>
      <c r="X243" s="77">
        <f t="shared" si="312"/>
        <v>-24225.3</v>
      </c>
      <c r="Y243" s="77">
        <f t="shared" si="312"/>
        <v>-24225.3</v>
      </c>
      <c r="Z243" s="77">
        <f t="shared" si="312"/>
        <v>-24225.3</v>
      </c>
      <c r="AA243" s="77">
        <f t="shared" si="312"/>
        <v>-24225.3</v>
      </c>
      <c r="AB243" s="77">
        <f t="shared" si="312"/>
        <v>-24225.3</v>
      </c>
      <c r="AC243" s="77">
        <f t="shared" si="312"/>
        <v>-347943.60000000003</v>
      </c>
      <c r="AD243" s="77">
        <f t="shared" si="312"/>
        <v>-842081.4</v>
      </c>
      <c r="AE243" s="77">
        <f t="shared" si="312"/>
        <v>25591908.600000001</v>
      </c>
      <c r="AF243" s="77">
        <f t="shared" si="312"/>
        <v>-842081.4</v>
      </c>
      <c r="AG243" s="77">
        <f t="shared" si="312"/>
        <v>-842081.4</v>
      </c>
      <c r="AH243" s="77">
        <f t="shared" si="312"/>
        <v>-842081.4</v>
      </c>
      <c r="AI243" s="77">
        <f t="shared" si="312"/>
        <v>-842081.4</v>
      </c>
      <c r="AJ243" s="77">
        <f t="shared" si="312"/>
        <v>-842081.4</v>
      </c>
      <c r="AK243" s="77">
        <f t="shared" si="312"/>
        <v>-842081.4</v>
      </c>
      <c r="AL243" s="77">
        <f t="shared" si="312"/>
        <v>-842081.4</v>
      </c>
      <c r="AM243" s="77">
        <f t="shared" si="312"/>
        <v>-678031.20000000007</v>
      </c>
      <c r="AN243" s="77">
        <f t="shared" si="312"/>
        <v>-678031.20000000007</v>
      </c>
      <c r="AO243" s="77">
        <f t="shared" si="312"/>
        <v>-884093.4</v>
      </c>
      <c r="AP243" s="77">
        <f t="shared" si="312"/>
        <v>-608580.9</v>
      </c>
      <c r="AQ243" s="77">
        <f t="shared" si="312"/>
        <v>-608580.9</v>
      </c>
      <c r="AR243" s="77">
        <f t="shared" si="312"/>
        <v>-608580.9</v>
      </c>
      <c r="AS243" s="77">
        <f t="shared" si="312"/>
        <v>-608580.9</v>
      </c>
      <c r="AT243" s="77">
        <f t="shared" si="312"/>
        <v>-608580.9</v>
      </c>
      <c r="AU243" s="77">
        <f t="shared" si="312"/>
        <v>37257084.899999999</v>
      </c>
      <c r="AV243" s="77">
        <f t="shared" si="312"/>
        <v>-670845.6</v>
      </c>
      <c r="AW243" s="77">
        <f t="shared" si="312"/>
        <v>-670845.6</v>
      </c>
      <c r="AX243" s="77">
        <f t="shared" si="312"/>
        <v>-670845.6</v>
      </c>
      <c r="AY243" s="77">
        <f t="shared" si="312"/>
        <v>-670845.6</v>
      </c>
      <c r="AZ243" s="77">
        <f t="shared" si="312"/>
        <v>-670845.6</v>
      </c>
      <c r="BA243" s="77">
        <f t="shared" si="312"/>
        <v>121944826.23750018</v>
      </c>
      <c r="BB243" s="77">
        <f t="shared" si="312"/>
        <v>-501548.4</v>
      </c>
      <c r="BC243" s="77">
        <f t="shared" si="312"/>
        <v>-501548.4</v>
      </c>
      <c r="BD243" s="77">
        <f t="shared" si="312"/>
        <v>-501548.4</v>
      </c>
      <c r="BE243" s="77">
        <f t="shared" si="312"/>
        <v>-501548.4</v>
      </c>
      <c r="BF243" s="77">
        <f t="shared" si="312"/>
        <v>-501548.4</v>
      </c>
      <c r="BG243" s="77">
        <f t="shared" si="312"/>
        <v>-501548.4</v>
      </c>
      <c r="BH243" s="77">
        <f t="shared" si="312"/>
        <v>-501548.4</v>
      </c>
      <c r="BI243" s="77">
        <f t="shared" si="312"/>
        <v>-501548.4</v>
      </c>
      <c r="BJ243" s="77">
        <f t="shared" si="312"/>
        <v>-501548.4</v>
      </c>
      <c r="BK243" s="77">
        <f t="shared" si="312"/>
        <v>-501548.4</v>
      </c>
      <c r="BL243" s="77">
        <f t="shared" si="312"/>
        <v>-501548.4</v>
      </c>
      <c r="BM243" s="77">
        <f t="shared" si="312"/>
        <v>-368838.9</v>
      </c>
      <c r="BN243" s="77">
        <f t="shared" si="312"/>
        <v>-368838.9</v>
      </c>
      <c r="BO243" s="77">
        <f t="shared" si="312"/>
        <v>-368838.9</v>
      </c>
      <c r="BP243" s="77">
        <f t="shared" si="312"/>
        <v>-227774.7</v>
      </c>
      <c r="BQ243" s="77">
        <f t="shared" si="312"/>
        <v>-227774.7</v>
      </c>
      <c r="BR243" s="77">
        <f t="shared" si="312"/>
        <v>-227774.7</v>
      </c>
      <c r="BS243" s="77">
        <f t="shared" ref="BS243:DV243" si="313">IF(BS235="","",-BS239+BS240+BS241)</f>
        <v>-227774.7</v>
      </c>
      <c r="BT243" s="77">
        <f t="shared" si="313"/>
        <v>-227774.7</v>
      </c>
      <c r="BU243" s="77">
        <f t="shared" si="313"/>
        <v>-227774.7</v>
      </c>
      <c r="BV243" s="77">
        <f t="shared" si="313"/>
        <v>-227774.7</v>
      </c>
      <c r="BW243" s="77">
        <f t="shared" si="313"/>
        <v>-227774.7</v>
      </c>
      <c r="BX243" s="77">
        <f t="shared" si="313"/>
        <v>-227774.7</v>
      </c>
      <c r="BY243" s="77">
        <f t="shared" si="313"/>
        <v>5316225.3</v>
      </c>
      <c r="BZ243" s="77">
        <f t="shared" si="313"/>
        <v>3756239.4600000004</v>
      </c>
      <c r="CA243" s="77">
        <f t="shared" si="313"/>
        <v>-227774.7</v>
      </c>
      <c r="CB243" s="77">
        <f t="shared" si="313"/>
        <v>-227774.7</v>
      </c>
      <c r="CC243" s="77">
        <f t="shared" si="313"/>
        <v>-227774.7</v>
      </c>
      <c r="CD243" s="77">
        <f t="shared" si="313"/>
        <v>-227774.7</v>
      </c>
      <c r="CE243" s="77">
        <f t="shared" si="313"/>
        <v>8758336.9274999965</v>
      </c>
      <c r="CF243" s="77">
        <f t="shared" si="313"/>
        <v>0</v>
      </c>
      <c r="CG243" s="77">
        <f t="shared" si="313"/>
        <v>0</v>
      </c>
      <c r="CH243" s="77">
        <f t="shared" si="313"/>
        <v>0</v>
      </c>
      <c r="CI243" s="77">
        <f t="shared" si="313"/>
        <v>0</v>
      </c>
      <c r="CJ243" s="77">
        <f t="shared" si="313"/>
        <v>0</v>
      </c>
      <c r="CK243" s="77">
        <f t="shared" si="313"/>
        <v>-523424.7</v>
      </c>
      <c r="CL243" s="77">
        <f t="shared" si="313"/>
        <v>-523424.7</v>
      </c>
      <c r="CM243" s="77">
        <f t="shared" si="313"/>
        <v>-523424.7</v>
      </c>
      <c r="CN243" s="77">
        <f t="shared" si="313"/>
        <v>-523424.7</v>
      </c>
      <c r="CO243" s="77">
        <f t="shared" si="313"/>
        <v>-523424.7</v>
      </c>
      <c r="CP243" s="77">
        <f t="shared" si="313"/>
        <v>-523424.7</v>
      </c>
      <c r="CQ243" s="77">
        <f t="shared" si="313"/>
        <v>-523424.7</v>
      </c>
      <c r="CR243" s="77">
        <f t="shared" si="313"/>
        <v>-523424.7</v>
      </c>
      <c r="CS243" s="77">
        <f t="shared" si="313"/>
        <v>-523424.7</v>
      </c>
      <c r="CT243" s="77">
        <f t="shared" si="313"/>
        <v>-523424.7</v>
      </c>
      <c r="CU243" s="77">
        <f t="shared" si="313"/>
        <v>-523424.7</v>
      </c>
      <c r="CV243" s="77">
        <f t="shared" si="313"/>
        <v>-523424.7</v>
      </c>
      <c r="CW243" s="77">
        <f t="shared" si="313"/>
        <v>16493363.774999999</v>
      </c>
      <c r="CX243" s="77" t="str">
        <f t="shared" si="313"/>
        <v/>
      </c>
      <c r="CY243" s="77" t="str">
        <f t="shared" si="313"/>
        <v/>
      </c>
      <c r="CZ243" s="77" t="str">
        <f t="shared" si="313"/>
        <v/>
      </c>
      <c r="DA243" s="77" t="str">
        <f t="shared" si="313"/>
        <v/>
      </c>
      <c r="DB243" s="77" t="str">
        <f t="shared" si="313"/>
        <v/>
      </c>
      <c r="DC243" s="77" t="str">
        <f t="shared" si="313"/>
        <v/>
      </c>
      <c r="DD243" s="77" t="str">
        <f t="shared" si="313"/>
        <v/>
      </c>
      <c r="DE243" s="77" t="str">
        <f t="shared" si="313"/>
        <v/>
      </c>
      <c r="DF243" s="77" t="str">
        <f t="shared" si="313"/>
        <v/>
      </c>
      <c r="DG243" s="77" t="str">
        <f t="shared" si="313"/>
        <v/>
      </c>
      <c r="DH243" s="77" t="str">
        <f t="shared" si="313"/>
        <v/>
      </c>
      <c r="DI243" s="77" t="str">
        <f t="shared" si="313"/>
        <v/>
      </c>
      <c r="DJ243" s="77" t="str">
        <f t="shared" si="313"/>
        <v/>
      </c>
      <c r="DK243" s="77" t="str">
        <f t="shared" si="313"/>
        <v/>
      </c>
      <c r="DL243" s="77" t="str">
        <f t="shared" si="313"/>
        <v/>
      </c>
      <c r="DM243" s="77" t="str">
        <f t="shared" si="313"/>
        <v/>
      </c>
      <c r="DN243" s="77" t="str">
        <f t="shared" si="313"/>
        <v/>
      </c>
      <c r="DO243" s="77" t="str">
        <f t="shared" si="313"/>
        <v/>
      </c>
      <c r="DP243" s="77" t="str">
        <f t="shared" si="313"/>
        <v/>
      </c>
      <c r="DQ243" s="77" t="str">
        <f t="shared" si="313"/>
        <v/>
      </c>
      <c r="DR243" s="77" t="str">
        <f t="shared" si="313"/>
        <v/>
      </c>
      <c r="DS243" s="77" t="str">
        <f t="shared" si="313"/>
        <v/>
      </c>
      <c r="DT243" s="77" t="str">
        <f t="shared" si="313"/>
        <v/>
      </c>
      <c r="DU243" s="77" t="str">
        <f t="shared" si="313"/>
        <v/>
      </c>
      <c r="DV243" s="77" t="str">
        <f t="shared" si="313"/>
        <v/>
      </c>
      <c r="DW243" s="77"/>
      <c r="DX243" s="77"/>
      <c r="DY243" s="78"/>
    </row>
    <row r="244" spans="2:129" outlineLevel="1" x14ac:dyDescent="0.2">
      <c r="B244" s="9"/>
      <c r="C244" s="9"/>
      <c r="D244" s="9"/>
      <c r="E244" s="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  <c r="AS244" s="129"/>
      <c r="AT244" s="129"/>
      <c r="AU244" s="129"/>
      <c r="AV244" s="129"/>
      <c r="AW244" s="129"/>
      <c r="AX244" s="129"/>
      <c r="AY244" s="129"/>
      <c r="AZ244" s="129"/>
      <c r="BA244" s="129"/>
      <c r="BB244" s="129"/>
      <c r="BC244" s="129"/>
      <c r="BD244" s="129"/>
      <c r="BE244" s="129"/>
      <c r="BF244" s="129"/>
      <c r="BG244" s="129"/>
      <c r="BH244" s="129"/>
      <c r="BI244" s="129"/>
      <c r="BJ244" s="129"/>
      <c r="BK244" s="129"/>
      <c r="BL244" s="129"/>
      <c r="BM244" s="129"/>
      <c r="BN244" s="129"/>
      <c r="BO244" s="129"/>
      <c r="BP244" s="129"/>
      <c r="BQ244" s="129"/>
      <c r="BR244" s="129"/>
      <c r="BS244" s="129"/>
      <c r="BT244" s="129"/>
      <c r="BU244" s="129"/>
      <c r="BV244" s="129"/>
      <c r="BW244" s="129"/>
      <c r="BX244" s="129"/>
      <c r="BY244" s="129"/>
      <c r="BZ244" s="129"/>
      <c r="CA244" s="129"/>
      <c r="CB244" s="129"/>
      <c r="CC244" s="129"/>
      <c r="CD244" s="129"/>
      <c r="CE244" s="129"/>
      <c r="CF244" s="129"/>
      <c r="CG244" s="129"/>
      <c r="CH244" s="129"/>
      <c r="CI244" s="129"/>
      <c r="CJ244" s="129"/>
      <c r="CK244" s="129"/>
      <c r="CL244" s="129"/>
      <c r="CM244" s="129"/>
      <c r="CN244" s="129"/>
      <c r="CO244" s="129"/>
      <c r="CP244" s="129"/>
      <c r="CQ244" s="129"/>
      <c r="CR244" s="129"/>
      <c r="CS244" s="129"/>
      <c r="CT244" s="129"/>
      <c r="CU244" s="129"/>
      <c r="CV244" s="129"/>
      <c r="CW244" s="129"/>
      <c r="CX244" s="129"/>
      <c r="CY244" s="129"/>
      <c r="CZ244" s="129"/>
      <c r="DA244" s="129"/>
      <c r="DB244" s="129"/>
      <c r="DC244" s="129"/>
      <c r="DD244" s="129"/>
      <c r="DE244" s="129"/>
      <c r="DF244" s="129"/>
      <c r="DG244" s="129"/>
      <c r="DH244" s="129"/>
      <c r="DI244" s="129"/>
      <c r="DJ244" s="129"/>
      <c r="DK244" s="129"/>
      <c r="DL244" s="129"/>
      <c r="DM244" s="129"/>
      <c r="DN244" s="129"/>
      <c r="DO244" s="129"/>
      <c r="DP244" s="129"/>
      <c r="DQ244" s="129"/>
      <c r="DR244" s="129"/>
      <c r="DS244" s="129"/>
      <c r="DT244" s="129"/>
      <c r="DU244" s="129"/>
      <c r="DV244" s="129"/>
      <c r="DW244" s="129"/>
      <c r="DX244" s="129"/>
      <c r="DY244" s="130"/>
    </row>
    <row r="245" spans="2:129" outlineLevel="1" x14ac:dyDescent="0.2">
      <c r="B245" s="16" t="s">
        <v>63</v>
      </c>
      <c r="C245" s="16"/>
      <c r="D245" s="16"/>
      <c r="E245" s="16"/>
      <c r="F245" s="77">
        <f>IF(F235="","",F241)</f>
        <v>0</v>
      </c>
      <c r="G245" s="77">
        <f t="shared" ref="G245:BR245" si="314">IF(G235="","",G241)</f>
        <v>0</v>
      </c>
      <c r="H245" s="77">
        <f t="shared" si="314"/>
        <v>0</v>
      </c>
      <c r="I245" s="77">
        <f t="shared" si="314"/>
        <v>0</v>
      </c>
      <c r="J245" s="77">
        <f t="shared" si="314"/>
        <v>0</v>
      </c>
      <c r="K245" s="77">
        <f t="shared" si="314"/>
        <v>0</v>
      </c>
      <c r="L245" s="77">
        <f t="shared" si="314"/>
        <v>0</v>
      </c>
      <c r="M245" s="77">
        <f t="shared" si="314"/>
        <v>0</v>
      </c>
      <c r="N245" s="77">
        <f t="shared" si="314"/>
        <v>0</v>
      </c>
      <c r="O245" s="77">
        <f t="shared" si="314"/>
        <v>0</v>
      </c>
      <c r="P245" s="77">
        <f t="shared" si="314"/>
        <v>0</v>
      </c>
      <c r="Q245" s="77">
        <f t="shared" si="314"/>
        <v>0</v>
      </c>
      <c r="R245" s="77">
        <f t="shared" si="314"/>
        <v>0</v>
      </c>
      <c r="S245" s="77">
        <f t="shared" si="314"/>
        <v>0</v>
      </c>
      <c r="T245" s="77">
        <f t="shared" si="314"/>
        <v>0</v>
      </c>
      <c r="U245" s="77">
        <f t="shared" si="314"/>
        <v>0</v>
      </c>
      <c r="V245" s="77">
        <f t="shared" si="314"/>
        <v>0</v>
      </c>
      <c r="W245" s="77">
        <f t="shared" si="314"/>
        <v>0</v>
      </c>
      <c r="X245" s="77">
        <f t="shared" si="314"/>
        <v>0</v>
      </c>
      <c r="Y245" s="77">
        <f t="shared" si="314"/>
        <v>0</v>
      </c>
      <c r="Z245" s="77">
        <f t="shared" si="314"/>
        <v>0</v>
      </c>
      <c r="AA245" s="77">
        <f t="shared" si="314"/>
        <v>0</v>
      </c>
      <c r="AB245" s="77">
        <f t="shared" si="314"/>
        <v>0</v>
      </c>
      <c r="AC245" s="77">
        <f t="shared" si="314"/>
        <v>0</v>
      </c>
      <c r="AD245" s="77">
        <f t="shared" si="314"/>
        <v>0</v>
      </c>
      <c r="AE245" s="77">
        <f t="shared" si="314"/>
        <v>0</v>
      </c>
      <c r="AF245" s="77">
        <f t="shared" si="314"/>
        <v>0</v>
      </c>
      <c r="AG245" s="77">
        <f t="shared" si="314"/>
        <v>0</v>
      </c>
      <c r="AH245" s="77">
        <f t="shared" si="314"/>
        <v>0</v>
      </c>
      <c r="AI245" s="77">
        <f t="shared" si="314"/>
        <v>0</v>
      </c>
      <c r="AJ245" s="77">
        <f t="shared" si="314"/>
        <v>0</v>
      </c>
      <c r="AK245" s="77">
        <f t="shared" si="314"/>
        <v>0</v>
      </c>
      <c r="AL245" s="77">
        <f t="shared" si="314"/>
        <v>0</v>
      </c>
      <c r="AM245" s="77">
        <f t="shared" si="314"/>
        <v>0</v>
      </c>
      <c r="AN245" s="77">
        <f t="shared" si="314"/>
        <v>0</v>
      </c>
      <c r="AO245" s="77">
        <f t="shared" si="314"/>
        <v>0</v>
      </c>
      <c r="AP245" s="77">
        <f t="shared" si="314"/>
        <v>0</v>
      </c>
      <c r="AQ245" s="77">
        <f t="shared" si="314"/>
        <v>0</v>
      </c>
      <c r="AR245" s="77">
        <f t="shared" si="314"/>
        <v>0</v>
      </c>
      <c r="AS245" s="77">
        <f t="shared" si="314"/>
        <v>0</v>
      </c>
      <c r="AT245" s="77">
        <f t="shared" si="314"/>
        <v>0</v>
      </c>
      <c r="AU245" s="77">
        <f t="shared" si="314"/>
        <v>0</v>
      </c>
      <c r="AV245" s="77">
        <f t="shared" si="314"/>
        <v>0</v>
      </c>
      <c r="AW245" s="77">
        <f t="shared" si="314"/>
        <v>0</v>
      </c>
      <c r="AX245" s="77">
        <f t="shared" si="314"/>
        <v>0</v>
      </c>
      <c r="AY245" s="77">
        <f t="shared" si="314"/>
        <v>0</v>
      </c>
      <c r="AZ245" s="77">
        <f t="shared" si="314"/>
        <v>0</v>
      </c>
      <c r="BA245" s="77">
        <f t="shared" si="314"/>
        <v>19975222.237499718</v>
      </c>
      <c r="BB245" s="77">
        <f t="shared" si="314"/>
        <v>0</v>
      </c>
      <c r="BC245" s="77">
        <f t="shared" si="314"/>
        <v>0</v>
      </c>
      <c r="BD245" s="77">
        <f t="shared" si="314"/>
        <v>0</v>
      </c>
      <c r="BE245" s="77">
        <f t="shared" si="314"/>
        <v>0</v>
      </c>
      <c r="BF245" s="77">
        <f t="shared" si="314"/>
        <v>0</v>
      </c>
      <c r="BG245" s="77">
        <f t="shared" si="314"/>
        <v>0</v>
      </c>
      <c r="BH245" s="77">
        <f t="shared" si="314"/>
        <v>0</v>
      </c>
      <c r="BI245" s="77">
        <f t="shared" si="314"/>
        <v>0</v>
      </c>
      <c r="BJ245" s="77">
        <f t="shared" si="314"/>
        <v>0</v>
      </c>
      <c r="BK245" s="77">
        <f t="shared" si="314"/>
        <v>0</v>
      </c>
      <c r="BL245" s="77">
        <f t="shared" si="314"/>
        <v>0</v>
      </c>
      <c r="BM245" s="77">
        <f t="shared" si="314"/>
        <v>0</v>
      </c>
      <c r="BN245" s="77">
        <f t="shared" si="314"/>
        <v>0</v>
      </c>
      <c r="BO245" s="77">
        <f t="shared" si="314"/>
        <v>0</v>
      </c>
      <c r="BP245" s="77">
        <f t="shared" si="314"/>
        <v>0</v>
      </c>
      <c r="BQ245" s="77">
        <f t="shared" si="314"/>
        <v>0</v>
      </c>
      <c r="BR245" s="77">
        <f t="shared" si="314"/>
        <v>0</v>
      </c>
      <c r="BS245" s="77">
        <f t="shared" ref="BS245:DV245" si="315">IF(BS235="","",BS241)</f>
        <v>0</v>
      </c>
      <c r="BT245" s="77">
        <f t="shared" si="315"/>
        <v>0</v>
      </c>
      <c r="BU245" s="77">
        <f t="shared" si="315"/>
        <v>0</v>
      </c>
      <c r="BV245" s="77">
        <f t="shared" si="315"/>
        <v>0</v>
      </c>
      <c r="BW245" s="77">
        <f t="shared" si="315"/>
        <v>0</v>
      </c>
      <c r="BX245" s="77">
        <f t="shared" si="315"/>
        <v>0</v>
      </c>
      <c r="BY245" s="77">
        <f t="shared" si="315"/>
        <v>0</v>
      </c>
      <c r="BZ245" s="77">
        <f t="shared" si="315"/>
        <v>0</v>
      </c>
      <c r="CA245" s="77">
        <f t="shared" si="315"/>
        <v>0</v>
      </c>
      <c r="CB245" s="77">
        <f t="shared" si="315"/>
        <v>0</v>
      </c>
      <c r="CC245" s="77">
        <f t="shared" si="315"/>
        <v>0</v>
      </c>
      <c r="CD245" s="77">
        <f t="shared" si="315"/>
        <v>0</v>
      </c>
      <c r="CE245" s="77">
        <f t="shared" si="315"/>
        <v>3453871.3875000053</v>
      </c>
      <c r="CF245" s="77">
        <f t="shared" si="315"/>
        <v>0</v>
      </c>
      <c r="CG245" s="77">
        <f t="shared" si="315"/>
        <v>0</v>
      </c>
      <c r="CH245" s="77">
        <f t="shared" si="315"/>
        <v>0</v>
      </c>
      <c r="CI245" s="77">
        <f t="shared" si="315"/>
        <v>0</v>
      </c>
      <c r="CJ245" s="77">
        <f t="shared" si="315"/>
        <v>0</v>
      </c>
      <c r="CK245" s="77">
        <f t="shared" si="315"/>
        <v>0</v>
      </c>
      <c r="CL245" s="77">
        <f t="shared" si="315"/>
        <v>0</v>
      </c>
      <c r="CM245" s="77">
        <f t="shared" si="315"/>
        <v>0</v>
      </c>
      <c r="CN245" s="77">
        <f t="shared" si="315"/>
        <v>0</v>
      </c>
      <c r="CO245" s="77">
        <f t="shared" si="315"/>
        <v>0</v>
      </c>
      <c r="CP245" s="77">
        <f t="shared" si="315"/>
        <v>0</v>
      </c>
      <c r="CQ245" s="77">
        <f t="shared" si="315"/>
        <v>0</v>
      </c>
      <c r="CR245" s="77">
        <f t="shared" si="315"/>
        <v>0</v>
      </c>
      <c r="CS245" s="77">
        <f t="shared" si="315"/>
        <v>0</v>
      </c>
      <c r="CT245" s="77">
        <f t="shared" si="315"/>
        <v>0</v>
      </c>
      <c r="CU245" s="77">
        <f t="shared" si="315"/>
        <v>0</v>
      </c>
      <c r="CV245" s="77">
        <f t="shared" si="315"/>
        <v>0</v>
      </c>
      <c r="CW245" s="77">
        <f t="shared" si="315"/>
        <v>7071719.1750000017</v>
      </c>
      <c r="CX245" s="77" t="str">
        <f t="shared" si="315"/>
        <v/>
      </c>
      <c r="CY245" s="77" t="str">
        <f t="shared" si="315"/>
        <v/>
      </c>
      <c r="CZ245" s="77" t="str">
        <f t="shared" si="315"/>
        <v/>
      </c>
      <c r="DA245" s="77" t="str">
        <f t="shared" si="315"/>
        <v/>
      </c>
      <c r="DB245" s="77" t="str">
        <f t="shared" si="315"/>
        <v/>
      </c>
      <c r="DC245" s="77" t="str">
        <f t="shared" si="315"/>
        <v/>
      </c>
      <c r="DD245" s="77" t="str">
        <f t="shared" si="315"/>
        <v/>
      </c>
      <c r="DE245" s="77" t="str">
        <f t="shared" si="315"/>
        <v/>
      </c>
      <c r="DF245" s="77" t="str">
        <f t="shared" si="315"/>
        <v/>
      </c>
      <c r="DG245" s="77" t="str">
        <f t="shared" si="315"/>
        <v/>
      </c>
      <c r="DH245" s="77" t="str">
        <f t="shared" si="315"/>
        <v/>
      </c>
      <c r="DI245" s="77" t="str">
        <f t="shared" si="315"/>
        <v/>
      </c>
      <c r="DJ245" s="77" t="str">
        <f t="shared" si="315"/>
        <v/>
      </c>
      <c r="DK245" s="77" t="str">
        <f t="shared" si="315"/>
        <v/>
      </c>
      <c r="DL245" s="77" t="str">
        <f t="shared" si="315"/>
        <v/>
      </c>
      <c r="DM245" s="77" t="str">
        <f t="shared" si="315"/>
        <v/>
      </c>
      <c r="DN245" s="77" t="str">
        <f t="shared" si="315"/>
        <v/>
      </c>
      <c r="DO245" s="77" t="str">
        <f t="shared" si="315"/>
        <v/>
      </c>
      <c r="DP245" s="77" t="str">
        <f t="shared" si="315"/>
        <v/>
      </c>
      <c r="DQ245" s="77" t="str">
        <f t="shared" si="315"/>
        <v/>
      </c>
      <c r="DR245" s="77" t="str">
        <f t="shared" si="315"/>
        <v/>
      </c>
      <c r="DS245" s="77" t="str">
        <f t="shared" si="315"/>
        <v/>
      </c>
      <c r="DT245" s="77" t="str">
        <f t="shared" si="315"/>
        <v/>
      </c>
      <c r="DU245" s="77" t="str">
        <f t="shared" si="315"/>
        <v/>
      </c>
      <c r="DV245" s="77" t="str">
        <f t="shared" si="315"/>
        <v/>
      </c>
      <c r="DW245" s="77"/>
      <c r="DX245" s="77"/>
      <c r="DY245" s="78"/>
    </row>
    <row r="246" spans="2:129" outlineLevel="1" x14ac:dyDescent="0.2">
      <c r="B246" s="16" t="s">
        <v>67</v>
      </c>
      <c r="C246" s="16"/>
      <c r="D246" s="16"/>
      <c r="E246" s="16"/>
      <c r="F246" s="77">
        <f>IF(F235="","",F245/$I$17*$H$17)</f>
        <v>0</v>
      </c>
      <c r="G246" s="77">
        <f t="shared" ref="G246:BR246" si="316">IF(G235="","",G245/$I$17*$H$17)</f>
        <v>0</v>
      </c>
      <c r="H246" s="77">
        <f t="shared" si="316"/>
        <v>0</v>
      </c>
      <c r="I246" s="77">
        <f t="shared" si="316"/>
        <v>0</v>
      </c>
      <c r="J246" s="77">
        <f t="shared" si="316"/>
        <v>0</v>
      </c>
      <c r="K246" s="77">
        <f t="shared" si="316"/>
        <v>0</v>
      </c>
      <c r="L246" s="77">
        <f t="shared" si="316"/>
        <v>0</v>
      </c>
      <c r="M246" s="77">
        <f t="shared" si="316"/>
        <v>0</v>
      </c>
      <c r="N246" s="77">
        <f t="shared" si="316"/>
        <v>0</v>
      </c>
      <c r="O246" s="77">
        <f t="shared" si="316"/>
        <v>0</v>
      </c>
      <c r="P246" s="77">
        <f t="shared" si="316"/>
        <v>0</v>
      </c>
      <c r="Q246" s="77">
        <f t="shared" si="316"/>
        <v>0</v>
      </c>
      <c r="R246" s="77">
        <f t="shared" si="316"/>
        <v>0</v>
      </c>
      <c r="S246" s="77">
        <f t="shared" si="316"/>
        <v>0</v>
      </c>
      <c r="T246" s="77">
        <f t="shared" si="316"/>
        <v>0</v>
      </c>
      <c r="U246" s="77">
        <f t="shared" si="316"/>
        <v>0</v>
      </c>
      <c r="V246" s="77">
        <f t="shared" si="316"/>
        <v>0</v>
      </c>
      <c r="W246" s="77">
        <f t="shared" si="316"/>
        <v>0</v>
      </c>
      <c r="X246" s="77">
        <f t="shared" si="316"/>
        <v>0</v>
      </c>
      <c r="Y246" s="77">
        <f t="shared" si="316"/>
        <v>0</v>
      </c>
      <c r="Z246" s="77">
        <f t="shared" si="316"/>
        <v>0</v>
      </c>
      <c r="AA246" s="77">
        <f t="shared" si="316"/>
        <v>0</v>
      </c>
      <c r="AB246" s="77">
        <f t="shared" si="316"/>
        <v>0</v>
      </c>
      <c r="AC246" s="77">
        <f t="shared" si="316"/>
        <v>0</v>
      </c>
      <c r="AD246" s="77">
        <f t="shared" si="316"/>
        <v>0</v>
      </c>
      <c r="AE246" s="77">
        <f t="shared" si="316"/>
        <v>0</v>
      </c>
      <c r="AF246" s="77">
        <f t="shared" si="316"/>
        <v>0</v>
      </c>
      <c r="AG246" s="77">
        <f t="shared" si="316"/>
        <v>0</v>
      </c>
      <c r="AH246" s="77">
        <f t="shared" si="316"/>
        <v>0</v>
      </c>
      <c r="AI246" s="77">
        <f t="shared" si="316"/>
        <v>0</v>
      </c>
      <c r="AJ246" s="77">
        <f t="shared" si="316"/>
        <v>0</v>
      </c>
      <c r="AK246" s="77">
        <f t="shared" si="316"/>
        <v>0</v>
      </c>
      <c r="AL246" s="77">
        <f t="shared" si="316"/>
        <v>0</v>
      </c>
      <c r="AM246" s="77">
        <f t="shared" si="316"/>
        <v>0</v>
      </c>
      <c r="AN246" s="77">
        <f t="shared" si="316"/>
        <v>0</v>
      </c>
      <c r="AO246" s="77">
        <f t="shared" si="316"/>
        <v>0</v>
      </c>
      <c r="AP246" s="77">
        <f t="shared" si="316"/>
        <v>0</v>
      </c>
      <c r="AQ246" s="77">
        <f t="shared" si="316"/>
        <v>0</v>
      </c>
      <c r="AR246" s="77">
        <f t="shared" si="316"/>
        <v>0</v>
      </c>
      <c r="AS246" s="77">
        <f t="shared" si="316"/>
        <v>0</v>
      </c>
      <c r="AT246" s="77">
        <f t="shared" si="316"/>
        <v>0</v>
      </c>
      <c r="AU246" s="77">
        <f t="shared" si="316"/>
        <v>0</v>
      </c>
      <c r="AV246" s="77">
        <f t="shared" si="316"/>
        <v>0</v>
      </c>
      <c r="AW246" s="77">
        <f t="shared" si="316"/>
        <v>0</v>
      </c>
      <c r="AX246" s="77">
        <f t="shared" si="316"/>
        <v>0</v>
      </c>
      <c r="AY246" s="77">
        <f t="shared" si="316"/>
        <v>0</v>
      </c>
      <c r="AZ246" s="77">
        <f t="shared" si="316"/>
        <v>0</v>
      </c>
      <c r="BA246" s="77">
        <f t="shared" si="316"/>
        <v>24414160.512499657</v>
      </c>
      <c r="BB246" s="77">
        <f t="shared" si="316"/>
        <v>0</v>
      </c>
      <c r="BC246" s="77">
        <f t="shared" si="316"/>
        <v>0</v>
      </c>
      <c r="BD246" s="77">
        <f t="shared" si="316"/>
        <v>0</v>
      </c>
      <c r="BE246" s="77">
        <f t="shared" si="316"/>
        <v>0</v>
      </c>
      <c r="BF246" s="77">
        <f t="shared" si="316"/>
        <v>0</v>
      </c>
      <c r="BG246" s="77">
        <f t="shared" si="316"/>
        <v>0</v>
      </c>
      <c r="BH246" s="77">
        <f t="shared" si="316"/>
        <v>0</v>
      </c>
      <c r="BI246" s="77">
        <f t="shared" si="316"/>
        <v>0</v>
      </c>
      <c r="BJ246" s="77">
        <f t="shared" si="316"/>
        <v>0</v>
      </c>
      <c r="BK246" s="77">
        <f t="shared" si="316"/>
        <v>0</v>
      </c>
      <c r="BL246" s="77">
        <f t="shared" si="316"/>
        <v>0</v>
      </c>
      <c r="BM246" s="77">
        <f t="shared" si="316"/>
        <v>0</v>
      </c>
      <c r="BN246" s="77">
        <f t="shared" si="316"/>
        <v>0</v>
      </c>
      <c r="BO246" s="77">
        <f t="shared" si="316"/>
        <v>0</v>
      </c>
      <c r="BP246" s="77">
        <f t="shared" si="316"/>
        <v>0</v>
      </c>
      <c r="BQ246" s="77">
        <f t="shared" si="316"/>
        <v>0</v>
      </c>
      <c r="BR246" s="77">
        <f t="shared" si="316"/>
        <v>0</v>
      </c>
      <c r="BS246" s="77">
        <f t="shared" ref="BS246:DV246" si="317">IF(BS235="","",BS245/$I$17*$H$17)</f>
        <v>0</v>
      </c>
      <c r="BT246" s="77">
        <f t="shared" si="317"/>
        <v>0</v>
      </c>
      <c r="BU246" s="77">
        <f t="shared" si="317"/>
        <v>0</v>
      </c>
      <c r="BV246" s="77">
        <f t="shared" si="317"/>
        <v>0</v>
      </c>
      <c r="BW246" s="77">
        <f t="shared" si="317"/>
        <v>0</v>
      </c>
      <c r="BX246" s="77">
        <f t="shared" si="317"/>
        <v>0</v>
      </c>
      <c r="BY246" s="77">
        <f t="shared" si="317"/>
        <v>0</v>
      </c>
      <c r="BZ246" s="77">
        <f t="shared" si="317"/>
        <v>0</v>
      </c>
      <c r="CA246" s="77">
        <f t="shared" si="317"/>
        <v>0</v>
      </c>
      <c r="CB246" s="77">
        <f t="shared" si="317"/>
        <v>0</v>
      </c>
      <c r="CC246" s="77">
        <f t="shared" si="317"/>
        <v>0</v>
      </c>
      <c r="CD246" s="77">
        <f t="shared" si="317"/>
        <v>0</v>
      </c>
      <c r="CE246" s="77">
        <f t="shared" si="317"/>
        <v>4221398.3625000073</v>
      </c>
      <c r="CF246" s="77">
        <f t="shared" si="317"/>
        <v>0</v>
      </c>
      <c r="CG246" s="77">
        <f t="shared" si="317"/>
        <v>0</v>
      </c>
      <c r="CH246" s="77">
        <f t="shared" si="317"/>
        <v>0</v>
      </c>
      <c r="CI246" s="77">
        <f t="shared" si="317"/>
        <v>0</v>
      </c>
      <c r="CJ246" s="77">
        <f t="shared" si="317"/>
        <v>0</v>
      </c>
      <c r="CK246" s="77">
        <f t="shared" si="317"/>
        <v>0</v>
      </c>
      <c r="CL246" s="77">
        <f t="shared" si="317"/>
        <v>0</v>
      </c>
      <c r="CM246" s="77">
        <f t="shared" si="317"/>
        <v>0</v>
      </c>
      <c r="CN246" s="77">
        <f t="shared" si="317"/>
        <v>0</v>
      </c>
      <c r="CO246" s="77">
        <f t="shared" si="317"/>
        <v>0</v>
      </c>
      <c r="CP246" s="77">
        <f t="shared" si="317"/>
        <v>0</v>
      </c>
      <c r="CQ246" s="77">
        <f t="shared" si="317"/>
        <v>0</v>
      </c>
      <c r="CR246" s="77">
        <f t="shared" si="317"/>
        <v>0</v>
      </c>
      <c r="CS246" s="77">
        <f t="shared" si="317"/>
        <v>0</v>
      </c>
      <c r="CT246" s="77">
        <f t="shared" si="317"/>
        <v>0</v>
      </c>
      <c r="CU246" s="77">
        <f t="shared" si="317"/>
        <v>0</v>
      </c>
      <c r="CV246" s="77">
        <f t="shared" si="317"/>
        <v>0</v>
      </c>
      <c r="CW246" s="77">
        <f t="shared" si="317"/>
        <v>8643212.325000003</v>
      </c>
      <c r="CX246" s="77" t="str">
        <f t="shared" si="317"/>
        <v/>
      </c>
      <c r="CY246" s="77" t="str">
        <f t="shared" si="317"/>
        <v/>
      </c>
      <c r="CZ246" s="77" t="str">
        <f t="shared" si="317"/>
        <v/>
      </c>
      <c r="DA246" s="77" t="str">
        <f t="shared" si="317"/>
        <v/>
      </c>
      <c r="DB246" s="77" t="str">
        <f t="shared" si="317"/>
        <v/>
      </c>
      <c r="DC246" s="77" t="str">
        <f t="shared" si="317"/>
        <v/>
      </c>
      <c r="DD246" s="77" t="str">
        <f t="shared" si="317"/>
        <v/>
      </c>
      <c r="DE246" s="77" t="str">
        <f t="shared" si="317"/>
        <v/>
      </c>
      <c r="DF246" s="77" t="str">
        <f t="shared" si="317"/>
        <v/>
      </c>
      <c r="DG246" s="77" t="str">
        <f t="shared" si="317"/>
        <v/>
      </c>
      <c r="DH246" s="77" t="str">
        <f t="shared" si="317"/>
        <v/>
      </c>
      <c r="DI246" s="77" t="str">
        <f t="shared" si="317"/>
        <v/>
      </c>
      <c r="DJ246" s="77" t="str">
        <f t="shared" si="317"/>
        <v/>
      </c>
      <c r="DK246" s="77" t="str">
        <f t="shared" si="317"/>
        <v/>
      </c>
      <c r="DL246" s="77" t="str">
        <f t="shared" si="317"/>
        <v/>
      </c>
      <c r="DM246" s="77" t="str">
        <f t="shared" si="317"/>
        <v/>
      </c>
      <c r="DN246" s="77" t="str">
        <f t="shared" si="317"/>
        <v/>
      </c>
      <c r="DO246" s="77" t="str">
        <f t="shared" si="317"/>
        <v/>
      </c>
      <c r="DP246" s="77" t="str">
        <f t="shared" si="317"/>
        <v/>
      </c>
      <c r="DQ246" s="77" t="str">
        <f t="shared" si="317"/>
        <v/>
      </c>
      <c r="DR246" s="77" t="str">
        <f t="shared" si="317"/>
        <v/>
      </c>
      <c r="DS246" s="77" t="str">
        <f t="shared" si="317"/>
        <v/>
      </c>
      <c r="DT246" s="77" t="str">
        <f t="shared" si="317"/>
        <v/>
      </c>
      <c r="DU246" s="77" t="str">
        <f t="shared" si="317"/>
        <v/>
      </c>
      <c r="DV246" s="77" t="str">
        <f t="shared" si="317"/>
        <v/>
      </c>
      <c r="DW246" s="77"/>
      <c r="DX246" s="77"/>
      <c r="DY246" s="78"/>
    </row>
    <row r="247" spans="2:129" outlineLevel="1" x14ac:dyDescent="0.2">
      <c r="B247" s="16" t="str">
        <f>"Total Distributions ("&amp;B235&amp;")"</f>
        <v>Total Distributions (Tier 3)</v>
      </c>
      <c r="C247" s="16"/>
      <c r="D247" s="16"/>
      <c r="E247" s="16"/>
      <c r="F247" s="77">
        <f>IF(F235="","",F245+F246)</f>
        <v>0</v>
      </c>
      <c r="G247" s="77">
        <f t="shared" ref="G247:BR247" si="318">IF(G235="","",G245+G246)</f>
        <v>0</v>
      </c>
      <c r="H247" s="77">
        <f t="shared" si="318"/>
        <v>0</v>
      </c>
      <c r="I247" s="77">
        <f t="shared" si="318"/>
        <v>0</v>
      </c>
      <c r="J247" s="77">
        <f t="shared" si="318"/>
        <v>0</v>
      </c>
      <c r="K247" s="77">
        <f t="shared" si="318"/>
        <v>0</v>
      </c>
      <c r="L247" s="77">
        <f t="shared" si="318"/>
        <v>0</v>
      </c>
      <c r="M247" s="77">
        <f t="shared" si="318"/>
        <v>0</v>
      </c>
      <c r="N247" s="77">
        <f t="shared" si="318"/>
        <v>0</v>
      </c>
      <c r="O247" s="77">
        <f t="shared" si="318"/>
        <v>0</v>
      </c>
      <c r="P247" s="77">
        <f t="shared" si="318"/>
        <v>0</v>
      </c>
      <c r="Q247" s="77">
        <f t="shared" si="318"/>
        <v>0</v>
      </c>
      <c r="R247" s="77">
        <f t="shared" si="318"/>
        <v>0</v>
      </c>
      <c r="S247" s="77">
        <f t="shared" si="318"/>
        <v>0</v>
      </c>
      <c r="T247" s="77">
        <f t="shared" si="318"/>
        <v>0</v>
      </c>
      <c r="U247" s="77">
        <f t="shared" si="318"/>
        <v>0</v>
      </c>
      <c r="V247" s="77">
        <f t="shared" si="318"/>
        <v>0</v>
      </c>
      <c r="W247" s="77">
        <f t="shared" si="318"/>
        <v>0</v>
      </c>
      <c r="X247" s="77">
        <f t="shared" si="318"/>
        <v>0</v>
      </c>
      <c r="Y247" s="77">
        <f t="shared" si="318"/>
        <v>0</v>
      </c>
      <c r="Z247" s="77">
        <f t="shared" si="318"/>
        <v>0</v>
      </c>
      <c r="AA247" s="77">
        <f t="shared" si="318"/>
        <v>0</v>
      </c>
      <c r="AB247" s="77">
        <f t="shared" si="318"/>
        <v>0</v>
      </c>
      <c r="AC247" s="77">
        <f t="shared" si="318"/>
        <v>0</v>
      </c>
      <c r="AD247" s="77">
        <f t="shared" si="318"/>
        <v>0</v>
      </c>
      <c r="AE247" s="77">
        <f t="shared" si="318"/>
        <v>0</v>
      </c>
      <c r="AF247" s="77">
        <f t="shared" si="318"/>
        <v>0</v>
      </c>
      <c r="AG247" s="77">
        <f t="shared" si="318"/>
        <v>0</v>
      </c>
      <c r="AH247" s="77">
        <f t="shared" si="318"/>
        <v>0</v>
      </c>
      <c r="AI247" s="77">
        <f t="shared" si="318"/>
        <v>0</v>
      </c>
      <c r="AJ247" s="77">
        <f t="shared" si="318"/>
        <v>0</v>
      </c>
      <c r="AK247" s="77">
        <f t="shared" si="318"/>
        <v>0</v>
      </c>
      <c r="AL247" s="77">
        <f t="shared" si="318"/>
        <v>0</v>
      </c>
      <c r="AM247" s="77">
        <f t="shared" si="318"/>
        <v>0</v>
      </c>
      <c r="AN247" s="77">
        <f t="shared" si="318"/>
        <v>0</v>
      </c>
      <c r="AO247" s="77">
        <f t="shared" si="318"/>
        <v>0</v>
      </c>
      <c r="AP247" s="77">
        <f t="shared" si="318"/>
        <v>0</v>
      </c>
      <c r="AQ247" s="77">
        <f t="shared" si="318"/>
        <v>0</v>
      </c>
      <c r="AR247" s="77">
        <f t="shared" si="318"/>
        <v>0</v>
      </c>
      <c r="AS247" s="77">
        <f t="shared" si="318"/>
        <v>0</v>
      </c>
      <c r="AT247" s="77">
        <f t="shared" si="318"/>
        <v>0</v>
      </c>
      <c r="AU247" s="77">
        <f t="shared" si="318"/>
        <v>0</v>
      </c>
      <c r="AV247" s="77">
        <f t="shared" si="318"/>
        <v>0</v>
      </c>
      <c r="AW247" s="77">
        <f t="shared" si="318"/>
        <v>0</v>
      </c>
      <c r="AX247" s="77">
        <f t="shared" si="318"/>
        <v>0</v>
      </c>
      <c r="AY247" s="77">
        <f t="shared" si="318"/>
        <v>0</v>
      </c>
      <c r="AZ247" s="77">
        <f t="shared" si="318"/>
        <v>0</v>
      </c>
      <c r="BA247" s="77">
        <f t="shared" si="318"/>
        <v>44389382.749999374</v>
      </c>
      <c r="BB247" s="77">
        <f t="shared" si="318"/>
        <v>0</v>
      </c>
      <c r="BC247" s="77">
        <f t="shared" si="318"/>
        <v>0</v>
      </c>
      <c r="BD247" s="77">
        <f t="shared" si="318"/>
        <v>0</v>
      </c>
      <c r="BE247" s="77">
        <f t="shared" si="318"/>
        <v>0</v>
      </c>
      <c r="BF247" s="77">
        <f t="shared" si="318"/>
        <v>0</v>
      </c>
      <c r="BG247" s="77">
        <f t="shared" si="318"/>
        <v>0</v>
      </c>
      <c r="BH247" s="77">
        <f t="shared" si="318"/>
        <v>0</v>
      </c>
      <c r="BI247" s="77">
        <f t="shared" si="318"/>
        <v>0</v>
      </c>
      <c r="BJ247" s="77">
        <f t="shared" si="318"/>
        <v>0</v>
      </c>
      <c r="BK247" s="77">
        <f t="shared" si="318"/>
        <v>0</v>
      </c>
      <c r="BL247" s="77">
        <f t="shared" si="318"/>
        <v>0</v>
      </c>
      <c r="BM247" s="77">
        <f t="shared" si="318"/>
        <v>0</v>
      </c>
      <c r="BN247" s="77">
        <f t="shared" si="318"/>
        <v>0</v>
      </c>
      <c r="BO247" s="77">
        <f t="shared" si="318"/>
        <v>0</v>
      </c>
      <c r="BP247" s="77">
        <f t="shared" si="318"/>
        <v>0</v>
      </c>
      <c r="BQ247" s="77">
        <f t="shared" si="318"/>
        <v>0</v>
      </c>
      <c r="BR247" s="77">
        <f t="shared" si="318"/>
        <v>0</v>
      </c>
      <c r="BS247" s="77">
        <f t="shared" ref="BS247:DV247" si="319">IF(BS235="","",BS245+BS246)</f>
        <v>0</v>
      </c>
      <c r="BT247" s="77">
        <f t="shared" si="319"/>
        <v>0</v>
      </c>
      <c r="BU247" s="77">
        <f t="shared" si="319"/>
        <v>0</v>
      </c>
      <c r="BV247" s="77">
        <f t="shared" si="319"/>
        <v>0</v>
      </c>
      <c r="BW247" s="77">
        <f t="shared" si="319"/>
        <v>0</v>
      </c>
      <c r="BX247" s="77">
        <f t="shared" si="319"/>
        <v>0</v>
      </c>
      <c r="BY247" s="77">
        <f t="shared" si="319"/>
        <v>0</v>
      </c>
      <c r="BZ247" s="77">
        <f t="shared" si="319"/>
        <v>0</v>
      </c>
      <c r="CA247" s="77">
        <f t="shared" si="319"/>
        <v>0</v>
      </c>
      <c r="CB247" s="77">
        <f t="shared" si="319"/>
        <v>0</v>
      </c>
      <c r="CC247" s="77">
        <f t="shared" si="319"/>
        <v>0</v>
      </c>
      <c r="CD247" s="77">
        <f t="shared" si="319"/>
        <v>0</v>
      </c>
      <c r="CE247" s="77">
        <f t="shared" si="319"/>
        <v>7675269.750000013</v>
      </c>
      <c r="CF247" s="77">
        <f t="shared" si="319"/>
        <v>0</v>
      </c>
      <c r="CG247" s="77">
        <f t="shared" si="319"/>
        <v>0</v>
      </c>
      <c r="CH247" s="77">
        <f t="shared" si="319"/>
        <v>0</v>
      </c>
      <c r="CI247" s="77">
        <f t="shared" si="319"/>
        <v>0</v>
      </c>
      <c r="CJ247" s="77">
        <f t="shared" si="319"/>
        <v>0</v>
      </c>
      <c r="CK247" s="77">
        <f t="shared" si="319"/>
        <v>0</v>
      </c>
      <c r="CL247" s="77">
        <f t="shared" si="319"/>
        <v>0</v>
      </c>
      <c r="CM247" s="77">
        <f t="shared" si="319"/>
        <v>0</v>
      </c>
      <c r="CN247" s="77">
        <f t="shared" si="319"/>
        <v>0</v>
      </c>
      <c r="CO247" s="77">
        <f t="shared" si="319"/>
        <v>0</v>
      </c>
      <c r="CP247" s="77">
        <f t="shared" si="319"/>
        <v>0</v>
      </c>
      <c r="CQ247" s="77">
        <f t="shared" si="319"/>
        <v>0</v>
      </c>
      <c r="CR247" s="77">
        <f t="shared" si="319"/>
        <v>0</v>
      </c>
      <c r="CS247" s="77">
        <f t="shared" si="319"/>
        <v>0</v>
      </c>
      <c r="CT247" s="77">
        <f t="shared" si="319"/>
        <v>0</v>
      </c>
      <c r="CU247" s="77">
        <f t="shared" si="319"/>
        <v>0</v>
      </c>
      <c r="CV247" s="77">
        <f t="shared" si="319"/>
        <v>0</v>
      </c>
      <c r="CW247" s="77">
        <f t="shared" si="319"/>
        <v>15714931.500000004</v>
      </c>
      <c r="CX247" s="77" t="str">
        <f t="shared" si="319"/>
        <v/>
      </c>
      <c r="CY247" s="77" t="str">
        <f t="shared" si="319"/>
        <v/>
      </c>
      <c r="CZ247" s="77" t="str">
        <f t="shared" si="319"/>
        <v/>
      </c>
      <c r="DA247" s="77" t="str">
        <f t="shared" si="319"/>
        <v/>
      </c>
      <c r="DB247" s="77" t="str">
        <f t="shared" si="319"/>
        <v/>
      </c>
      <c r="DC247" s="77" t="str">
        <f t="shared" si="319"/>
        <v/>
      </c>
      <c r="DD247" s="77" t="str">
        <f t="shared" si="319"/>
        <v/>
      </c>
      <c r="DE247" s="77" t="str">
        <f t="shared" si="319"/>
        <v/>
      </c>
      <c r="DF247" s="77" t="str">
        <f t="shared" si="319"/>
        <v/>
      </c>
      <c r="DG247" s="77" t="str">
        <f t="shared" si="319"/>
        <v/>
      </c>
      <c r="DH247" s="77" t="str">
        <f t="shared" si="319"/>
        <v/>
      </c>
      <c r="DI247" s="77" t="str">
        <f t="shared" si="319"/>
        <v/>
      </c>
      <c r="DJ247" s="77" t="str">
        <f t="shared" si="319"/>
        <v/>
      </c>
      <c r="DK247" s="77" t="str">
        <f t="shared" si="319"/>
        <v/>
      </c>
      <c r="DL247" s="77" t="str">
        <f t="shared" si="319"/>
        <v/>
      </c>
      <c r="DM247" s="77" t="str">
        <f t="shared" si="319"/>
        <v/>
      </c>
      <c r="DN247" s="77" t="str">
        <f t="shared" si="319"/>
        <v/>
      </c>
      <c r="DO247" s="77" t="str">
        <f t="shared" si="319"/>
        <v/>
      </c>
      <c r="DP247" s="77" t="str">
        <f t="shared" si="319"/>
        <v/>
      </c>
      <c r="DQ247" s="77" t="str">
        <f t="shared" si="319"/>
        <v/>
      </c>
      <c r="DR247" s="77" t="str">
        <f t="shared" si="319"/>
        <v/>
      </c>
      <c r="DS247" s="77" t="str">
        <f t="shared" si="319"/>
        <v/>
      </c>
      <c r="DT247" s="77" t="str">
        <f t="shared" si="319"/>
        <v/>
      </c>
      <c r="DU247" s="77" t="str">
        <f t="shared" si="319"/>
        <v/>
      </c>
      <c r="DV247" s="77" t="str">
        <f t="shared" si="319"/>
        <v/>
      </c>
      <c r="DW247" s="77"/>
      <c r="DX247" s="77"/>
      <c r="DY247" s="78"/>
    </row>
    <row r="248" spans="2:129" outlineLevel="1" x14ac:dyDescent="0.2">
      <c r="B248" s="16" t="s">
        <v>69</v>
      </c>
      <c r="C248" s="16"/>
      <c r="D248" s="16"/>
      <c r="E248" s="16"/>
      <c r="F248" s="77">
        <f>IF(F235="","",MAX(F$51-F217-F232-F247,0))</f>
        <v>0</v>
      </c>
      <c r="G248" s="77">
        <f t="shared" ref="G248:BR248" si="320">IF(G235="","",MAX(G$51-G217-G232-G247,0))</f>
        <v>0</v>
      </c>
      <c r="H248" s="77">
        <f t="shared" si="320"/>
        <v>0</v>
      </c>
      <c r="I248" s="77">
        <f t="shared" si="320"/>
        <v>0</v>
      </c>
      <c r="J248" s="77">
        <f t="shared" si="320"/>
        <v>0</v>
      </c>
      <c r="K248" s="77">
        <f t="shared" si="320"/>
        <v>0</v>
      </c>
      <c r="L248" s="77">
        <f t="shared" si="320"/>
        <v>0</v>
      </c>
      <c r="M248" s="77">
        <f t="shared" si="320"/>
        <v>0</v>
      </c>
      <c r="N248" s="77">
        <f t="shared" si="320"/>
        <v>0</v>
      </c>
      <c r="O248" s="77">
        <f t="shared" si="320"/>
        <v>0</v>
      </c>
      <c r="P248" s="77">
        <f t="shared" si="320"/>
        <v>0</v>
      </c>
      <c r="Q248" s="77">
        <f t="shared" si="320"/>
        <v>0</v>
      </c>
      <c r="R248" s="77">
        <f t="shared" si="320"/>
        <v>0</v>
      </c>
      <c r="S248" s="77">
        <f t="shared" si="320"/>
        <v>0</v>
      </c>
      <c r="T248" s="77">
        <f t="shared" si="320"/>
        <v>0</v>
      </c>
      <c r="U248" s="77">
        <f t="shared" si="320"/>
        <v>0</v>
      </c>
      <c r="V248" s="77">
        <f t="shared" si="320"/>
        <v>0</v>
      </c>
      <c r="W248" s="77">
        <f t="shared" si="320"/>
        <v>0</v>
      </c>
      <c r="X248" s="77">
        <f t="shared" si="320"/>
        <v>0</v>
      </c>
      <c r="Y248" s="77">
        <f t="shared" si="320"/>
        <v>0</v>
      </c>
      <c r="Z248" s="77">
        <f t="shared" si="320"/>
        <v>0</v>
      </c>
      <c r="AA248" s="77">
        <f t="shared" si="320"/>
        <v>0</v>
      </c>
      <c r="AB248" s="77">
        <f t="shared" si="320"/>
        <v>0</v>
      </c>
      <c r="AC248" s="77">
        <f t="shared" si="320"/>
        <v>0</v>
      </c>
      <c r="AD248" s="77">
        <f t="shared" si="320"/>
        <v>0</v>
      </c>
      <c r="AE248" s="77">
        <f t="shared" si="320"/>
        <v>0</v>
      </c>
      <c r="AF248" s="77">
        <f t="shared" si="320"/>
        <v>0</v>
      </c>
      <c r="AG248" s="77">
        <f t="shared" si="320"/>
        <v>0</v>
      </c>
      <c r="AH248" s="77">
        <f t="shared" si="320"/>
        <v>0</v>
      </c>
      <c r="AI248" s="77">
        <f t="shared" si="320"/>
        <v>0</v>
      </c>
      <c r="AJ248" s="77">
        <f t="shared" si="320"/>
        <v>0</v>
      </c>
      <c r="AK248" s="77">
        <f t="shared" si="320"/>
        <v>0</v>
      </c>
      <c r="AL248" s="77">
        <f t="shared" si="320"/>
        <v>0</v>
      </c>
      <c r="AM248" s="77">
        <f t="shared" si="320"/>
        <v>0</v>
      </c>
      <c r="AN248" s="77">
        <f t="shared" si="320"/>
        <v>0</v>
      </c>
      <c r="AO248" s="77">
        <f t="shared" si="320"/>
        <v>0</v>
      </c>
      <c r="AP248" s="77">
        <f t="shared" si="320"/>
        <v>0</v>
      </c>
      <c r="AQ248" s="77">
        <f t="shared" si="320"/>
        <v>0</v>
      </c>
      <c r="AR248" s="77">
        <f t="shared" si="320"/>
        <v>0</v>
      </c>
      <c r="AS248" s="77">
        <f t="shared" si="320"/>
        <v>0</v>
      </c>
      <c r="AT248" s="77">
        <f t="shared" si="320"/>
        <v>0</v>
      </c>
      <c r="AU248" s="77">
        <f t="shared" si="320"/>
        <v>0</v>
      </c>
      <c r="AV248" s="77">
        <f t="shared" si="320"/>
        <v>0</v>
      </c>
      <c r="AW248" s="77">
        <f t="shared" si="320"/>
        <v>0</v>
      </c>
      <c r="AX248" s="77">
        <f t="shared" si="320"/>
        <v>0</v>
      </c>
      <c r="AY248" s="77">
        <f t="shared" si="320"/>
        <v>0</v>
      </c>
      <c r="AZ248" s="77">
        <f t="shared" si="320"/>
        <v>0</v>
      </c>
      <c r="BA248" s="77">
        <f t="shared" si="320"/>
        <v>0</v>
      </c>
      <c r="BB248" s="77">
        <f t="shared" si="320"/>
        <v>0</v>
      </c>
      <c r="BC248" s="77">
        <f t="shared" si="320"/>
        <v>0</v>
      </c>
      <c r="BD248" s="77">
        <f t="shared" si="320"/>
        <v>0</v>
      </c>
      <c r="BE248" s="77">
        <f t="shared" si="320"/>
        <v>0</v>
      </c>
      <c r="BF248" s="77">
        <f t="shared" si="320"/>
        <v>0</v>
      </c>
      <c r="BG248" s="77">
        <f t="shared" si="320"/>
        <v>0</v>
      </c>
      <c r="BH248" s="77">
        <f t="shared" si="320"/>
        <v>0</v>
      </c>
      <c r="BI248" s="77">
        <f t="shared" si="320"/>
        <v>0</v>
      </c>
      <c r="BJ248" s="77">
        <f t="shared" si="320"/>
        <v>0</v>
      </c>
      <c r="BK248" s="77">
        <f t="shared" si="320"/>
        <v>0</v>
      </c>
      <c r="BL248" s="77">
        <f t="shared" si="320"/>
        <v>0</v>
      </c>
      <c r="BM248" s="77">
        <f t="shared" si="320"/>
        <v>0</v>
      </c>
      <c r="BN248" s="77">
        <f t="shared" si="320"/>
        <v>0</v>
      </c>
      <c r="BO248" s="77">
        <f t="shared" si="320"/>
        <v>0</v>
      </c>
      <c r="BP248" s="77">
        <f t="shared" si="320"/>
        <v>0</v>
      </c>
      <c r="BQ248" s="77">
        <f t="shared" si="320"/>
        <v>0</v>
      </c>
      <c r="BR248" s="77">
        <f t="shared" si="320"/>
        <v>0</v>
      </c>
      <c r="BS248" s="77">
        <f t="shared" ref="BS248:DV248" si="321">IF(BS235="","",MAX(BS$51-BS217-BS232-BS247,0))</f>
        <v>0</v>
      </c>
      <c r="BT248" s="77">
        <f t="shared" si="321"/>
        <v>0</v>
      </c>
      <c r="BU248" s="77">
        <f t="shared" si="321"/>
        <v>0</v>
      </c>
      <c r="BV248" s="77">
        <f t="shared" si="321"/>
        <v>0</v>
      </c>
      <c r="BW248" s="77">
        <f t="shared" si="321"/>
        <v>0</v>
      </c>
      <c r="BX248" s="77">
        <f t="shared" si="321"/>
        <v>0</v>
      </c>
      <c r="BY248" s="77">
        <f t="shared" si="321"/>
        <v>0</v>
      </c>
      <c r="BZ248" s="77">
        <f t="shared" si="321"/>
        <v>0</v>
      </c>
      <c r="CA248" s="77">
        <f t="shared" si="321"/>
        <v>0</v>
      </c>
      <c r="CB248" s="77">
        <f t="shared" si="321"/>
        <v>0</v>
      </c>
      <c r="CC248" s="77">
        <f t="shared" si="321"/>
        <v>0</v>
      </c>
      <c r="CD248" s="77">
        <f t="shared" si="321"/>
        <v>0</v>
      </c>
      <c r="CE248" s="77">
        <f t="shared" si="321"/>
        <v>0</v>
      </c>
      <c r="CF248" s="77">
        <f t="shared" si="321"/>
        <v>0</v>
      </c>
      <c r="CG248" s="77">
        <f t="shared" si="321"/>
        <v>0</v>
      </c>
      <c r="CH248" s="77">
        <f t="shared" si="321"/>
        <v>0</v>
      </c>
      <c r="CI248" s="77">
        <f t="shared" si="321"/>
        <v>0</v>
      </c>
      <c r="CJ248" s="77">
        <f t="shared" si="321"/>
        <v>0</v>
      </c>
      <c r="CK248" s="77">
        <f t="shared" si="321"/>
        <v>0</v>
      </c>
      <c r="CL248" s="77">
        <f t="shared" si="321"/>
        <v>0</v>
      </c>
      <c r="CM248" s="77">
        <f t="shared" si="321"/>
        <v>0</v>
      </c>
      <c r="CN248" s="77">
        <f t="shared" si="321"/>
        <v>0</v>
      </c>
      <c r="CO248" s="77">
        <f t="shared" si="321"/>
        <v>0</v>
      </c>
      <c r="CP248" s="77">
        <f t="shared" si="321"/>
        <v>0</v>
      </c>
      <c r="CQ248" s="77">
        <f t="shared" si="321"/>
        <v>0</v>
      </c>
      <c r="CR248" s="77">
        <f t="shared" si="321"/>
        <v>0</v>
      </c>
      <c r="CS248" s="77">
        <f t="shared" si="321"/>
        <v>0</v>
      </c>
      <c r="CT248" s="77">
        <f t="shared" si="321"/>
        <v>0</v>
      </c>
      <c r="CU248" s="77">
        <f t="shared" si="321"/>
        <v>0</v>
      </c>
      <c r="CV248" s="77">
        <f t="shared" si="321"/>
        <v>0</v>
      </c>
      <c r="CW248" s="77">
        <f t="shared" si="321"/>
        <v>1.862645149230957E-9</v>
      </c>
      <c r="CX248" s="77" t="str">
        <f t="shared" si="321"/>
        <v/>
      </c>
      <c r="CY248" s="77" t="str">
        <f t="shared" si="321"/>
        <v/>
      </c>
      <c r="CZ248" s="77" t="str">
        <f t="shared" si="321"/>
        <v/>
      </c>
      <c r="DA248" s="77" t="str">
        <f t="shared" si="321"/>
        <v/>
      </c>
      <c r="DB248" s="77" t="str">
        <f t="shared" si="321"/>
        <v/>
      </c>
      <c r="DC248" s="77" t="str">
        <f t="shared" si="321"/>
        <v/>
      </c>
      <c r="DD248" s="77" t="str">
        <f t="shared" si="321"/>
        <v/>
      </c>
      <c r="DE248" s="77" t="str">
        <f t="shared" si="321"/>
        <v/>
      </c>
      <c r="DF248" s="77" t="str">
        <f t="shared" si="321"/>
        <v/>
      </c>
      <c r="DG248" s="77" t="str">
        <f t="shared" si="321"/>
        <v/>
      </c>
      <c r="DH248" s="77" t="str">
        <f t="shared" si="321"/>
        <v/>
      </c>
      <c r="DI248" s="77" t="str">
        <f t="shared" si="321"/>
        <v/>
      </c>
      <c r="DJ248" s="77" t="str">
        <f t="shared" si="321"/>
        <v/>
      </c>
      <c r="DK248" s="77" t="str">
        <f t="shared" si="321"/>
        <v/>
      </c>
      <c r="DL248" s="77" t="str">
        <f t="shared" si="321"/>
        <v/>
      </c>
      <c r="DM248" s="77" t="str">
        <f t="shared" si="321"/>
        <v/>
      </c>
      <c r="DN248" s="77" t="str">
        <f t="shared" si="321"/>
        <v/>
      </c>
      <c r="DO248" s="77" t="str">
        <f t="shared" si="321"/>
        <v/>
      </c>
      <c r="DP248" s="77" t="str">
        <f t="shared" si="321"/>
        <v/>
      </c>
      <c r="DQ248" s="77" t="str">
        <f t="shared" si="321"/>
        <v/>
      </c>
      <c r="DR248" s="77" t="str">
        <f t="shared" si="321"/>
        <v/>
      </c>
      <c r="DS248" s="77" t="str">
        <f t="shared" si="321"/>
        <v/>
      </c>
      <c r="DT248" s="77" t="str">
        <f t="shared" si="321"/>
        <v/>
      </c>
      <c r="DU248" s="77" t="str">
        <f t="shared" si="321"/>
        <v/>
      </c>
      <c r="DV248" s="77" t="str">
        <f t="shared" si="321"/>
        <v/>
      </c>
      <c r="DW248" s="77"/>
      <c r="DX248" s="77"/>
      <c r="DY248" s="78"/>
    </row>
    <row r="249" spans="2:129" outlineLevel="1" x14ac:dyDescent="0.2">
      <c r="B249" s="16"/>
      <c r="C249" s="16"/>
      <c r="D249" s="16"/>
      <c r="E249" s="1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66"/>
      <c r="AU249" s="66"/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/>
      <c r="BJ249" s="66"/>
      <c r="BK249" s="66"/>
      <c r="BL249" s="66"/>
      <c r="BM249" s="66"/>
      <c r="BN249" s="66"/>
      <c r="BO249" s="66"/>
      <c r="BP249" s="66"/>
      <c r="BQ249" s="66"/>
      <c r="BR249" s="66"/>
      <c r="BS249" s="66"/>
      <c r="BT249" s="66"/>
      <c r="BU249" s="66"/>
      <c r="BV249" s="66"/>
      <c r="BW249" s="66"/>
      <c r="BX249" s="66"/>
      <c r="BY249" s="66"/>
      <c r="BZ249" s="66"/>
      <c r="CA249" s="66"/>
      <c r="CB249" s="66"/>
      <c r="CC249" s="66"/>
      <c r="CD249" s="66"/>
      <c r="CE249" s="66"/>
      <c r="CF249" s="66"/>
      <c r="CG249" s="66"/>
      <c r="CH249" s="66"/>
      <c r="CI249" s="66"/>
      <c r="CJ249" s="66"/>
      <c r="CK249" s="66"/>
      <c r="CL249" s="66"/>
      <c r="CM249" s="66"/>
      <c r="CN249" s="66"/>
      <c r="CO249" s="66"/>
      <c r="CP249" s="66"/>
      <c r="CQ249" s="66"/>
      <c r="CR249" s="66"/>
      <c r="CS249" s="66"/>
      <c r="CT249" s="66"/>
      <c r="CU249" s="66"/>
      <c r="CV249" s="66"/>
      <c r="CW249" s="66"/>
      <c r="CX249" s="66"/>
      <c r="CY249" s="66"/>
      <c r="CZ249" s="66"/>
      <c r="DA249" s="66"/>
      <c r="DB249" s="66"/>
      <c r="DC249" s="66"/>
      <c r="DD249" s="66"/>
      <c r="DE249" s="66"/>
      <c r="DF249" s="66"/>
      <c r="DG249" s="66"/>
      <c r="DH249" s="66"/>
      <c r="DI249" s="66"/>
      <c r="DJ249" s="66"/>
      <c r="DK249" s="66"/>
      <c r="DL249" s="66"/>
      <c r="DM249" s="66"/>
      <c r="DN249" s="66"/>
      <c r="DO249" s="66"/>
      <c r="DP249" s="66"/>
      <c r="DQ249" s="66"/>
      <c r="DR249" s="66"/>
      <c r="DS249" s="66"/>
      <c r="DT249" s="66"/>
      <c r="DU249" s="66"/>
      <c r="DV249" s="66"/>
      <c r="DW249" s="66"/>
      <c r="DX249" s="66"/>
      <c r="DY249" s="17"/>
    </row>
    <row r="250" spans="2:129" ht="16" outlineLevel="1" x14ac:dyDescent="0.2">
      <c r="B250" s="105" t="s">
        <v>75</v>
      </c>
      <c r="C250" s="100"/>
      <c r="D250" s="100"/>
      <c r="E250" s="100"/>
      <c r="F250" s="113">
        <f>F$21</f>
        <v>0</v>
      </c>
      <c r="G250" s="113">
        <f t="shared" ref="G250:BR250" si="322">G$21</f>
        <v>1</v>
      </c>
      <c r="H250" s="113">
        <f t="shared" si="322"/>
        <v>2</v>
      </c>
      <c r="I250" s="113">
        <f t="shared" si="322"/>
        <v>3</v>
      </c>
      <c r="J250" s="113">
        <f t="shared" si="322"/>
        <v>4</v>
      </c>
      <c r="K250" s="113">
        <f t="shared" si="322"/>
        <v>5</v>
      </c>
      <c r="L250" s="113">
        <f t="shared" si="322"/>
        <v>6</v>
      </c>
      <c r="M250" s="113">
        <f t="shared" si="322"/>
        <v>7</v>
      </c>
      <c r="N250" s="113">
        <f t="shared" si="322"/>
        <v>8</v>
      </c>
      <c r="O250" s="113">
        <f t="shared" si="322"/>
        <v>9</v>
      </c>
      <c r="P250" s="113">
        <f t="shared" si="322"/>
        <v>10</v>
      </c>
      <c r="Q250" s="113">
        <f t="shared" si="322"/>
        <v>11</v>
      </c>
      <c r="R250" s="113">
        <f t="shared" si="322"/>
        <v>12</v>
      </c>
      <c r="S250" s="113">
        <f t="shared" si="322"/>
        <v>13</v>
      </c>
      <c r="T250" s="113">
        <f t="shared" si="322"/>
        <v>14</v>
      </c>
      <c r="U250" s="113">
        <f t="shared" si="322"/>
        <v>15</v>
      </c>
      <c r="V250" s="113">
        <f t="shared" si="322"/>
        <v>16</v>
      </c>
      <c r="W250" s="113">
        <f t="shared" si="322"/>
        <v>17</v>
      </c>
      <c r="X250" s="113">
        <f t="shared" si="322"/>
        <v>18</v>
      </c>
      <c r="Y250" s="113">
        <f t="shared" si="322"/>
        <v>19</v>
      </c>
      <c r="Z250" s="113">
        <f t="shared" si="322"/>
        <v>20</v>
      </c>
      <c r="AA250" s="113">
        <f t="shared" si="322"/>
        <v>21</v>
      </c>
      <c r="AB250" s="113">
        <f t="shared" si="322"/>
        <v>22</v>
      </c>
      <c r="AC250" s="113">
        <f t="shared" si="322"/>
        <v>23</v>
      </c>
      <c r="AD250" s="113">
        <f t="shared" si="322"/>
        <v>24</v>
      </c>
      <c r="AE250" s="113">
        <f t="shared" si="322"/>
        <v>25</v>
      </c>
      <c r="AF250" s="113">
        <f t="shared" si="322"/>
        <v>26</v>
      </c>
      <c r="AG250" s="113">
        <f t="shared" si="322"/>
        <v>27</v>
      </c>
      <c r="AH250" s="113">
        <f t="shared" si="322"/>
        <v>28</v>
      </c>
      <c r="AI250" s="113">
        <f t="shared" si="322"/>
        <v>29</v>
      </c>
      <c r="AJ250" s="113">
        <f t="shared" si="322"/>
        <v>30</v>
      </c>
      <c r="AK250" s="113">
        <f t="shared" si="322"/>
        <v>31</v>
      </c>
      <c r="AL250" s="113">
        <f t="shared" si="322"/>
        <v>32</v>
      </c>
      <c r="AM250" s="113">
        <f t="shared" si="322"/>
        <v>33</v>
      </c>
      <c r="AN250" s="113">
        <f t="shared" si="322"/>
        <v>34</v>
      </c>
      <c r="AO250" s="113">
        <f t="shared" si="322"/>
        <v>35</v>
      </c>
      <c r="AP250" s="113">
        <f t="shared" si="322"/>
        <v>36</v>
      </c>
      <c r="AQ250" s="113">
        <f t="shared" si="322"/>
        <v>37</v>
      </c>
      <c r="AR250" s="113">
        <f t="shared" si="322"/>
        <v>38</v>
      </c>
      <c r="AS250" s="113">
        <f t="shared" si="322"/>
        <v>39</v>
      </c>
      <c r="AT250" s="113">
        <f t="shared" si="322"/>
        <v>40</v>
      </c>
      <c r="AU250" s="113">
        <f t="shared" si="322"/>
        <v>41</v>
      </c>
      <c r="AV250" s="113">
        <f t="shared" si="322"/>
        <v>42</v>
      </c>
      <c r="AW250" s="113">
        <f t="shared" si="322"/>
        <v>43</v>
      </c>
      <c r="AX250" s="113">
        <f t="shared" si="322"/>
        <v>44</v>
      </c>
      <c r="AY250" s="113">
        <f t="shared" si="322"/>
        <v>45</v>
      </c>
      <c r="AZ250" s="113">
        <f t="shared" si="322"/>
        <v>46</v>
      </c>
      <c r="BA250" s="113">
        <f t="shared" si="322"/>
        <v>47</v>
      </c>
      <c r="BB250" s="113">
        <f t="shared" si="322"/>
        <v>48</v>
      </c>
      <c r="BC250" s="113">
        <f t="shared" si="322"/>
        <v>49</v>
      </c>
      <c r="BD250" s="113">
        <f t="shared" si="322"/>
        <v>50</v>
      </c>
      <c r="BE250" s="113">
        <f t="shared" si="322"/>
        <v>51</v>
      </c>
      <c r="BF250" s="113">
        <f t="shared" si="322"/>
        <v>52</v>
      </c>
      <c r="BG250" s="113">
        <f t="shared" si="322"/>
        <v>53</v>
      </c>
      <c r="BH250" s="113">
        <f t="shared" si="322"/>
        <v>54</v>
      </c>
      <c r="BI250" s="113">
        <f t="shared" si="322"/>
        <v>55</v>
      </c>
      <c r="BJ250" s="113">
        <f t="shared" si="322"/>
        <v>56</v>
      </c>
      <c r="BK250" s="113">
        <f t="shared" si="322"/>
        <v>57</v>
      </c>
      <c r="BL250" s="113">
        <f t="shared" si="322"/>
        <v>58</v>
      </c>
      <c r="BM250" s="113">
        <f t="shared" si="322"/>
        <v>59</v>
      </c>
      <c r="BN250" s="113">
        <f t="shared" si="322"/>
        <v>60</v>
      </c>
      <c r="BO250" s="113">
        <f t="shared" si="322"/>
        <v>61</v>
      </c>
      <c r="BP250" s="113">
        <f t="shared" si="322"/>
        <v>62</v>
      </c>
      <c r="BQ250" s="113">
        <f t="shared" si="322"/>
        <v>63</v>
      </c>
      <c r="BR250" s="113">
        <f t="shared" si="322"/>
        <v>64</v>
      </c>
      <c r="BS250" s="113">
        <f t="shared" ref="BS250:DV250" si="323">BS$21</f>
        <v>65</v>
      </c>
      <c r="BT250" s="113">
        <f t="shared" si="323"/>
        <v>66</v>
      </c>
      <c r="BU250" s="113">
        <f t="shared" si="323"/>
        <v>67</v>
      </c>
      <c r="BV250" s="113">
        <f t="shared" si="323"/>
        <v>68</v>
      </c>
      <c r="BW250" s="113">
        <f t="shared" si="323"/>
        <v>69</v>
      </c>
      <c r="BX250" s="113">
        <f t="shared" si="323"/>
        <v>70</v>
      </c>
      <c r="BY250" s="113">
        <f t="shared" si="323"/>
        <v>71</v>
      </c>
      <c r="BZ250" s="113">
        <f t="shared" si="323"/>
        <v>72</v>
      </c>
      <c r="CA250" s="113">
        <f t="shared" si="323"/>
        <v>73</v>
      </c>
      <c r="CB250" s="113">
        <f t="shared" si="323"/>
        <v>74</v>
      </c>
      <c r="CC250" s="113">
        <f t="shared" si="323"/>
        <v>75</v>
      </c>
      <c r="CD250" s="113">
        <f t="shared" si="323"/>
        <v>76</v>
      </c>
      <c r="CE250" s="113">
        <f t="shared" si="323"/>
        <v>77</v>
      </c>
      <c r="CF250" s="113">
        <f t="shared" si="323"/>
        <v>78</v>
      </c>
      <c r="CG250" s="113">
        <f t="shared" si="323"/>
        <v>79</v>
      </c>
      <c r="CH250" s="113">
        <f t="shared" si="323"/>
        <v>80</v>
      </c>
      <c r="CI250" s="113">
        <f t="shared" si="323"/>
        <v>81</v>
      </c>
      <c r="CJ250" s="113">
        <f t="shared" si="323"/>
        <v>82</v>
      </c>
      <c r="CK250" s="113">
        <f t="shared" si="323"/>
        <v>83</v>
      </c>
      <c r="CL250" s="113">
        <f t="shared" si="323"/>
        <v>84</v>
      </c>
      <c r="CM250" s="113">
        <f t="shared" si="323"/>
        <v>85</v>
      </c>
      <c r="CN250" s="113">
        <f t="shared" si="323"/>
        <v>86</v>
      </c>
      <c r="CO250" s="113">
        <f t="shared" si="323"/>
        <v>87</v>
      </c>
      <c r="CP250" s="113">
        <f t="shared" si="323"/>
        <v>88</v>
      </c>
      <c r="CQ250" s="113">
        <f t="shared" si="323"/>
        <v>89</v>
      </c>
      <c r="CR250" s="113">
        <f t="shared" si="323"/>
        <v>90</v>
      </c>
      <c r="CS250" s="113">
        <f t="shared" si="323"/>
        <v>91</v>
      </c>
      <c r="CT250" s="113">
        <f t="shared" si="323"/>
        <v>92</v>
      </c>
      <c r="CU250" s="113">
        <f t="shared" si="323"/>
        <v>93</v>
      </c>
      <c r="CV250" s="113">
        <f t="shared" si="323"/>
        <v>94</v>
      </c>
      <c r="CW250" s="113">
        <f t="shared" si="323"/>
        <v>95</v>
      </c>
      <c r="CX250" s="113" t="str">
        <f t="shared" si="323"/>
        <v/>
      </c>
      <c r="CY250" s="113" t="str">
        <f t="shared" si="323"/>
        <v/>
      </c>
      <c r="CZ250" s="113" t="str">
        <f t="shared" si="323"/>
        <v/>
      </c>
      <c r="DA250" s="113" t="str">
        <f t="shared" si="323"/>
        <v/>
      </c>
      <c r="DB250" s="113" t="str">
        <f t="shared" si="323"/>
        <v/>
      </c>
      <c r="DC250" s="113" t="str">
        <f t="shared" si="323"/>
        <v/>
      </c>
      <c r="DD250" s="113" t="str">
        <f t="shared" si="323"/>
        <v/>
      </c>
      <c r="DE250" s="113" t="str">
        <f t="shared" si="323"/>
        <v/>
      </c>
      <c r="DF250" s="113" t="str">
        <f t="shared" si="323"/>
        <v/>
      </c>
      <c r="DG250" s="113" t="str">
        <f t="shared" si="323"/>
        <v/>
      </c>
      <c r="DH250" s="113" t="str">
        <f t="shared" si="323"/>
        <v/>
      </c>
      <c r="DI250" s="113" t="str">
        <f t="shared" si="323"/>
        <v/>
      </c>
      <c r="DJ250" s="113" t="str">
        <f t="shared" si="323"/>
        <v/>
      </c>
      <c r="DK250" s="113" t="str">
        <f t="shared" si="323"/>
        <v/>
      </c>
      <c r="DL250" s="113" t="str">
        <f t="shared" si="323"/>
        <v/>
      </c>
      <c r="DM250" s="113" t="str">
        <f t="shared" si="323"/>
        <v/>
      </c>
      <c r="DN250" s="113" t="str">
        <f t="shared" si="323"/>
        <v/>
      </c>
      <c r="DO250" s="113" t="str">
        <f t="shared" si="323"/>
        <v/>
      </c>
      <c r="DP250" s="113" t="str">
        <f t="shared" si="323"/>
        <v/>
      </c>
      <c r="DQ250" s="113" t="str">
        <f t="shared" si="323"/>
        <v/>
      </c>
      <c r="DR250" s="113" t="str">
        <f t="shared" si="323"/>
        <v/>
      </c>
      <c r="DS250" s="113" t="str">
        <f t="shared" si="323"/>
        <v/>
      </c>
      <c r="DT250" s="113" t="str">
        <f t="shared" si="323"/>
        <v/>
      </c>
      <c r="DU250" s="113" t="str">
        <f t="shared" si="323"/>
        <v/>
      </c>
      <c r="DV250" s="113" t="str">
        <f t="shared" si="323"/>
        <v/>
      </c>
      <c r="DW250" s="114"/>
      <c r="DX250" s="114"/>
      <c r="DY250" s="115"/>
    </row>
    <row r="251" spans="2:129" outlineLevel="1" x14ac:dyDescent="0.2">
      <c r="B251" s="125" t="s">
        <v>56</v>
      </c>
      <c r="C251" s="138">
        <f>E171</f>
        <v>99</v>
      </c>
      <c r="D251" s="16"/>
      <c r="E251" s="16"/>
      <c r="F251" s="66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27"/>
      <c r="Z251" s="127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127"/>
      <c r="AO251" s="127"/>
      <c r="AP251" s="127"/>
      <c r="AQ251" s="127"/>
      <c r="AR251" s="127"/>
      <c r="AS251" s="127"/>
      <c r="AT251" s="127"/>
      <c r="AU251" s="127"/>
      <c r="AV251" s="127"/>
      <c r="AW251" s="127"/>
      <c r="AX251" s="127"/>
      <c r="AY251" s="127"/>
      <c r="AZ251" s="127"/>
      <c r="BA251" s="127"/>
      <c r="BB251" s="127"/>
      <c r="BC251" s="127"/>
      <c r="BD251" s="127"/>
      <c r="BE251" s="127"/>
      <c r="BF251" s="127"/>
      <c r="BG251" s="127"/>
      <c r="BH251" s="127"/>
      <c r="BI251" s="127"/>
      <c r="BJ251" s="127"/>
      <c r="BK251" s="127"/>
      <c r="BL251" s="127"/>
      <c r="BM251" s="127"/>
      <c r="BN251" s="127"/>
      <c r="BO251" s="127"/>
      <c r="BP251" s="127"/>
      <c r="BQ251" s="127"/>
      <c r="BR251" s="127"/>
      <c r="BS251" s="127"/>
      <c r="BT251" s="127"/>
      <c r="BU251" s="127"/>
      <c r="BV251" s="127"/>
      <c r="BW251" s="127"/>
      <c r="BX251" s="127"/>
      <c r="BY251" s="127"/>
      <c r="BZ251" s="127"/>
      <c r="CA251" s="127"/>
      <c r="CB251" s="127"/>
      <c r="CC251" s="127"/>
      <c r="CD251" s="127"/>
      <c r="CE251" s="127"/>
      <c r="CF251" s="127"/>
      <c r="CG251" s="127"/>
      <c r="CH251" s="127"/>
      <c r="CI251" s="127"/>
      <c r="CJ251" s="127"/>
      <c r="CK251" s="127"/>
      <c r="CL251" s="127"/>
      <c r="CM251" s="127"/>
      <c r="CN251" s="127"/>
      <c r="CO251" s="127"/>
      <c r="CP251" s="127"/>
      <c r="CQ251" s="127"/>
      <c r="CR251" s="127"/>
      <c r="CS251" s="127"/>
      <c r="CT251" s="127"/>
      <c r="CU251" s="127"/>
      <c r="CV251" s="127"/>
      <c r="CW251" s="127"/>
      <c r="CX251" s="127"/>
      <c r="CY251" s="127"/>
      <c r="CZ251" s="127"/>
      <c r="DA251" s="127"/>
      <c r="DB251" s="127"/>
      <c r="DC251" s="127"/>
      <c r="DD251" s="127"/>
      <c r="DE251" s="127"/>
      <c r="DF251" s="127"/>
      <c r="DG251" s="127"/>
      <c r="DH251" s="127"/>
      <c r="DI251" s="127"/>
      <c r="DJ251" s="127"/>
      <c r="DK251" s="127"/>
      <c r="DL251" s="127"/>
      <c r="DM251" s="127"/>
      <c r="DN251" s="127"/>
      <c r="DO251" s="127"/>
      <c r="DP251" s="127"/>
      <c r="DQ251" s="127"/>
      <c r="DR251" s="127"/>
      <c r="DS251" s="127"/>
      <c r="DT251" s="127"/>
      <c r="DU251" s="127"/>
      <c r="DV251" s="127"/>
      <c r="DW251" s="127"/>
      <c r="DX251" s="127"/>
      <c r="DY251" s="115"/>
    </row>
    <row r="252" spans="2:129" outlineLevel="1" x14ac:dyDescent="0.2">
      <c r="B252" s="16" t="s">
        <v>57</v>
      </c>
      <c r="C252" s="16"/>
      <c r="D252" s="16"/>
      <c r="E252" s="16"/>
      <c r="F252" s="77">
        <f>IF(F250="","",E257)</f>
        <v>0</v>
      </c>
      <c r="G252" s="77">
        <f t="shared" ref="G252:BR252" si="324">IF(G250="","",F257)</f>
        <v>93624225.299999997</v>
      </c>
      <c r="H252" s="77">
        <f t="shared" si="324"/>
        <v>9268822529.9999981</v>
      </c>
      <c r="I252" s="77">
        <f t="shared" si="324"/>
        <v>9271220834.6999969</v>
      </c>
      <c r="J252" s="77">
        <f t="shared" si="324"/>
        <v>9273619139.3999958</v>
      </c>
      <c r="K252" s="77">
        <f t="shared" si="324"/>
        <v>9276017444.0999947</v>
      </c>
      <c r="L252" s="77">
        <f t="shared" si="324"/>
        <v>9278415748.7999935</v>
      </c>
      <c r="M252" s="77">
        <f t="shared" si="324"/>
        <v>9280814053.4999924</v>
      </c>
      <c r="N252" s="77">
        <f t="shared" si="324"/>
        <v>9283212358.1999912</v>
      </c>
      <c r="O252" s="77">
        <f t="shared" si="324"/>
        <v>9285610662.8999901</v>
      </c>
      <c r="P252" s="77">
        <f t="shared" si="324"/>
        <v>9288008967.5999889</v>
      </c>
      <c r="Q252" s="77">
        <f t="shared" si="324"/>
        <v>9290407272.2999878</v>
      </c>
      <c r="R252" s="77">
        <f t="shared" si="324"/>
        <v>9292805576.9999866</v>
      </c>
      <c r="S252" s="77">
        <f t="shared" si="324"/>
        <v>9295203881.6999855</v>
      </c>
      <c r="T252" s="77">
        <f t="shared" si="324"/>
        <v>9297602186.3999844</v>
      </c>
      <c r="U252" s="77">
        <f t="shared" si="324"/>
        <v>9300000491.0999832</v>
      </c>
      <c r="V252" s="77">
        <f t="shared" si="324"/>
        <v>9302398795.7999821</v>
      </c>
      <c r="W252" s="77">
        <f t="shared" si="324"/>
        <v>9304797100.4999809</v>
      </c>
      <c r="X252" s="77">
        <f t="shared" si="324"/>
        <v>9307195405.1999798</v>
      </c>
      <c r="Y252" s="77">
        <f t="shared" si="324"/>
        <v>9309593709.8999786</v>
      </c>
      <c r="Z252" s="77">
        <f t="shared" si="324"/>
        <v>9311992014.5999775</v>
      </c>
      <c r="AA252" s="77">
        <f t="shared" si="324"/>
        <v>9314390319.2999763</v>
      </c>
      <c r="AB252" s="77">
        <f t="shared" si="324"/>
        <v>9316788623.9999752</v>
      </c>
      <c r="AC252" s="77">
        <f t="shared" si="324"/>
        <v>9319186928.6999741</v>
      </c>
      <c r="AD252" s="77">
        <f t="shared" si="324"/>
        <v>9321908951.6999741</v>
      </c>
      <c r="AE252" s="77">
        <f t="shared" si="324"/>
        <v>9356849505.8999729</v>
      </c>
      <c r="AF252" s="77">
        <f t="shared" si="324"/>
        <v>9413781574.4999733</v>
      </c>
      <c r="AG252" s="77">
        <f t="shared" si="324"/>
        <v>9414623655.8999729</v>
      </c>
      <c r="AH252" s="77">
        <f t="shared" si="324"/>
        <v>9497989714.4999733</v>
      </c>
      <c r="AI252" s="77">
        <f t="shared" si="324"/>
        <v>9581355773.0999737</v>
      </c>
      <c r="AJ252" s="77">
        <f t="shared" si="324"/>
        <v>9664721831.6999741</v>
      </c>
      <c r="AK252" s="77">
        <f t="shared" si="324"/>
        <v>9748087890.2999744</v>
      </c>
      <c r="AL252" s="77">
        <f t="shared" si="324"/>
        <v>9831453948.8999748</v>
      </c>
      <c r="AM252" s="77">
        <f t="shared" si="324"/>
        <v>9914820007.4999752</v>
      </c>
      <c r="AN252" s="77">
        <f t="shared" si="324"/>
        <v>9998022015.8999767</v>
      </c>
      <c r="AO252" s="77">
        <f t="shared" si="324"/>
        <v>10065147104.699978</v>
      </c>
      <c r="AP252" s="77">
        <f t="shared" si="324"/>
        <v>10132478255.699978</v>
      </c>
      <c r="AQ252" s="77">
        <f t="shared" si="324"/>
        <v>10219727989.799978</v>
      </c>
      <c r="AR252" s="77">
        <f t="shared" si="324"/>
        <v>10279977498.899979</v>
      </c>
      <c r="AS252" s="77">
        <f t="shared" si="324"/>
        <v>10340227007.999979</v>
      </c>
      <c r="AT252" s="77">
        <f t="shared" si="324"/>
        <v>10400476517.099979</v>
      </c>
      <c r="AU252" s="77">
        <f t="shared" si="324"/>
        <v>10460726026.19998</v>
      </c>
      <c r="AV252" s="77">
        <f t="shared" si="324"/>
        <v>10483109869.499981</v>
      </c>
      <c r="AW252" s="77">
        <f t="shared" si="324"/>
        <v>10483780715.099981</v>
      </c>
      <c r="AX252" s="77">
        <f t="shared" si="324"/>
        <v>10550194429.499981</v>
      </c>
      <c r="AY252" s="77">
        <f t="shared" si="324"/>
        <v>10616608143.899981</v>
      </c>
      <c r="AZ252" s="77">
        <f t="shared" si="324"/>
        <v>10683021858.29998</v>
      </c>
      <c r="BA252" s="77">
        <f t="shared" si="324"/>
        <v>10749435572.69998</v>
      </c>
      <c r="BB252" s="77">
        <f t="shared" si="324"/>
        <v>10693233615.26248</v>
      </c>
      <c r="BC252" s="77">
        <f t="shared" si="324"/>
        <v>10693735163.662479</v>
      </c>
      <c r="BD252" s="77">
        <f t="shared" si="324"/>
        <v>10743388455.26248</v>
      </c>
      <c r="BE252" s="77">
        <f t="shared" si="324"/>
        <v>10793041746.86248</v>
      </c>
      <c r="BF252" s="77">
        <f t="shared" si="324"/>
        <v>10842695038.462481</v>
      </c>
      <c r="BG252" s="77">
        <f t="shared" si="324"/>
        <v>10892348330.062481</v>
      </c>
      <c r="BH252" s="77">
        <f t="shared" si="324"/>
        <v>10942001621.662481</v>
      </c>
      <c r="BI252" s="77">
        <f t="shared" si="324"/>
        <v>10991654913.262482</v>
      </c>
      <c r="BJ252" s="77">
        <f t="shared" si="324"/>
        <v>11041308204.862482</v>
      </c>
      <c r="BK252" s="77">
        <f t="shared" si="324"/>
        <v>11090961496.462482</v>
      </c>
      <c r="BL252" s="77">
        <f t="shared" si="324"/>
        <v>11140614788.062483</v>
      </c>
      <c r="BM252" s="77">
        <f t="shared" si="324"/>
        <v>11190268079.662483</v>
      </c>
      <c r="BN252" s="77">
        <f t="shared" si="324"/>
        <v>11239788661.762484</v>
      </c>
      <c r="BO252" s="77">
        <f t="shared" si="324"/>
        <v>11276303712.862484</v>
      </c>
      <c r="BP252" s="77">
        <f t="shared" si="324"/>
        <v>11312818763.962484</v>
      </c>
      <c r="BQ252" s="77">
        <f t="shared" si="324"/>
        <v>11349192750.862486</v>
      </c>
      <c r="BR252" s="77">
        <f t="shared" si="324"/>
        <v>11371742446.162487</v>
      </c>
      <c r="BS252" s="77">
        <f t="shared" ref="BS252:DV252" si="325">IF(BS250="","",BR257)</f>
        <v>11394292141.462488</v>
      </c>
      <c r="BT252" s="77">
        <f t="shared" si="325"/>
        <v>11416841836.762489</v>
      </c>
      <c r="BU252" s="77">
        <f t="shared" si="325"/>
        <v>11439391532.06249</v>
      </c>
      <c r="BV252" s="77">
        <f t="shared" si="325"/>
        <v>11461941227.362492</v>
      </c>
      <c r="BW252" s="77">
        <f t="shared" si="325"/>
        <v>11484490922.662493</v>
      </c>
      <c r="BX252" s="77">
        <f t="shared" si="325"/>
        <v>11507040617.962494</v>
      </c>
      <c r="BY252" s="77">
        <f t="shared" si="325"/>
        <v>11529590313.262495</v>
      </c>
      <c r="BZ252" s="77">
        <f t="shared" si="325"/>
        <v>11546596008.562496</v>
      </c>
      <c r="CA252" s="77">
        <f t="shared" si="325"/>
        <v>11542839769.102497</v>
      </c>
      <c r="CB252" s="77">
        <f t="shared" si="325"/>
        <v>11543067543.802498</v>
      </c>
      <c r="CC252" s="77">
        <f t="shared" si="325"/>
        <v>11565617239.102499</v>
      </c>
      <c r="CD252" s="77">
        <f t="shared" si="325"/>
        <v>11588166934.4025</v>
      </c>
      <c r="CE252" s="77">
        <f t="shared" si="325"/>
        <v>11610716629.702501</v>
      </c>
      <c r="CF252" s="77">
        <f t="shared" si="325"/>
        <v>11624280213.375002</v>
      </c>
      <c r="CG252" s="77">
        <f t="shared" si="325"/>
        <v>11624280213.375002</v>
      </c>
      <c r="CH252" s="77">
        <f t="shared" si="325"/>
        <v>11624280213.375002</v>
      </c>
      <c r="CI252" s="77">
        <f t="shared" si="325"/>
        <v>11624280213.375002</v>
      </c>
      <c r="CJ252" s="77">
        <f t="shared" si="325"/>
        <v>11624280213.375002</v>
      </c>
      <c r="CK252" s="77">
        <f t="shared" si="325"/>
        <v>11624280213.375002</v>
      </c>
      <c r="CL252" s="77">
        <f t="shared" si="325"/>
        <v>11624803638.075003</v>
      </c>
      <c r="CM252" s="77">
        <f t="shared" si="325"/>
        <v>11676622683.375004</v>
      </c>
      <c r="CN252" s="77">
        <f t="shared" si="325"/>
        <v>11728441728.675005</v>
      </c>
      <c r="CO252" s="77">
        <f t="shared" si="325"/>
        <v>11780260773.975006</v>
      </c>
      <c r="CP252" s="77">
        <f t="shared" si="325"/>
        <v>11832079819.275007</v>
      </c>
      <c r="CQ252" s="77">
        <f t="shared" si="325"/>
        <v>11883898864.575008</v>
      </c>
      <c r="CR252" s="77">
        <f t="shared" si="325"/>
        <v>11935717909.87501</v>
      </c>
      <c r="CS252" s="77">
        <f t="shared" si="325"/>
        <v>11987536955.175011</v>
      </c>
      <c r="CT252" s="77">
        <f t="shared" si="325"/>
        <v>12039356000.475012</v>
      </c>
      <c r="CU252" s="77">
        <f t="shared" si="325"/>
        <v>12091175045.775013</v>
      </c>
      <c r="CV252" s="77">
        <f t="shared" si="325"/>
        <v>12142994091.075014</v>
      </c>
      <c r="CW252" s="77">
        <f t="shared" si="325"/>
        <v>12194813136.375015</v>
      </c>
      <c r="CX252" s="77" t="str">
        <f t="shared" si="325"/>
        <v/>
      </c>
      <c r="CY252" s="77" t="str">
        <f t="shared" si="325"/>
        <v/>
      </c>
      <c r="CZ252" s="77" t="str">
        <f t="shared" si="325"/>
        <v/>
      </c>
      <c r="DA252" s="77" t="str">
        <f t="shared" si="325"/>
        <v/>
      </c>
      <c r="DB252" s="77" t="str">
        <f t="shared" si="325"/>
        <v/>
      </c>
      <c r="DC252" s="77" t="str">
        <f t="shared" si="325"/>
        <v/>
      </c>
      <c r="DD252" s="77" t="str">
        <f t="shared" si="325"/>
        <v/>
      </c>
      <c r="DE252" s="77" t="str">
        <f t="shared" si="325"/>
        <v/>
      </c>
      <c r="DF252" s="77" t="str">
        <f t="shared" si="325"/>
        <v/>
      </c>
      <c r="DG252" s="77" t="str">
        <f t="shared" si="325"/>
        <v/>
      </c>
      <c r="DH252" s="77" t="str">
        <f t="shared" si="325"/>
        <v/>
      </c>
      <c r="DI252" s="77" t="str">
        <f t="shared" si="325"/>
        <v/>
      </c>
      <c r="DJ252" s="77" t="str">
        <f t="shared" si="325"/>
        <v/>
      </c>
      <c r="DK252" s="77" t="str">
        <f t="shared" si="325"/>
        <v/>
      </c>
      <c r="DL252" s="77" t="str">
        <f t="shared" si="325"/>
        <v/>
      </c>
      <c r="DM252" s="77" t="str">
        <f t="shared" si="325"/>
        <v/>
      </c>
      <c r="DN252" s="77" t="str">
        <f t="shared" si="325"/>
        <v/>
      </c>
      <c r="DO252" s="77" t="str">
        <f t="shared" si="325"/>
        <v/>
      </c>
      <c r="DP252" s="77" t="str">
        <f t="shared" si="325"/>
        <v/>
      </c>
      <c r="DQ252" s="77" t="str">
        <f t="shared" si="325"/>
        <v/>
      </c>
      <c r="DR252" s="77" t="str">
        <f t="shared" si="325"/>
        <v/>
      </c>
      <c r="DS252" s="77" t="str">
        <f t="shared" si="325"/>
        <v/>
      </c>
      <c r="DT252" s="77" t="str">
        <f t="shared" si="325"/>
        <v/>
      </c>
      <c r="DU252" s="77" t="str">
        <f t="shared" si="325"/>
        <v/>
      </c>
      <c r="DV252" s="77" t="str">
        <f t="shared" si="325"/>
        <v/>
      </c>
      <c r="DW252" s="77"/>
      <c r="DX252" s="77"/>
      <c r="DY252" s="78"/>
    </row>
    <row r="253" spans="2:129" outlineLevel="1" x14ac:dyDescent="0.2">
      <c r="B253" s="16" t="s">
        <v>76</v>
      </c>
      <c r="C253" s="16"/>
      <c r="D253" s="16"/>
      <c r="E253" s="16"/>
      <c r="F253" s="77">
        <f>IF(F250="","",IF($D$165="Equity Multiple",E254*$C251-E254,F252*$C251))</f>
        <v>0</v>
      </c>
      <c r="G253" s="77">
        <f t="shared" ref="G253:BR253" si="326">IF(G250="","",IF($D$165="Equity Multiple",F254*$C251-F254,G252*$C251))</f>
        <v>9175174079.3999996</v>
      </c>
      <c r="H253" s="77">
        <f t="shared" si="326"/>
        <v>2374079.4</v>
      </c>
      <c r="I253" s="77">
        <f t="shared" si="326"/>
        <v>2374079.4</v>
      </c>
      <c r="J253" s="77">
        <f t="shared" si="326"/>
        <v>2374079.4</v>
      </c>
      <c r="K253" s="77">
        <f t="shared" si="326"/>
        <v>2374079.4</v>
      </c>
      <c r="L253" s="77">
        <f t="shared" si="326"/>
        <v>2374079.4</v>
      </c>
      <c r="M253" s="77">
        <f t="shared" si="326"/>
        <v>2374079.4</v>
      </c>
      <c r="N253" s="77">
        <f t="shared" si="326"/>
        <v>2374079.4</v>
      </c>
      <c r="O253" s="77">
        <f t="shared" si="326"/>
        <v>2374079.4</v>
      </c>
      <c r="P253" s="77">
        <f t="shared" si="326"/>
        <v>2374079.4</v>
      </c>
      <c r="Q253" s="77">
        <f t="shared" si="326"/>
        <v>2374079.4</v>
      </c>
      <c r="R253" s="77">
        <f t="shared" si="326"/>
        <v>2374079.4</v>
      </c>
      <c r="S253" s="77">
        <f t="shared" si="326"/>
        <v>2374079.4</v>
      </c>
      <c r="T253" s="77">
        <f t="shared" si="326"/>
        <v>2374079.4</v>
      </c>
      <c r="U253" s="77">
        <f t="shared" si="326"/>
        <v>2374079.4</v>
      </c>
      <c r="V253" s="77">
        <f t="shared" si="326"/>
        <v>2374079.4</v>
      </c>
      <c r="W253" s="77">
        <f t="shared" si="326"/>
        <v>2374079.4</v>
      </c>
      <c r="X253" s="77">
        <f t="shared" si="326"/>
        <v>2374079.4</v>
      </c>
      <c r="Y253" s="77">
        <f t="shared" si="326"/>
        <v>2374079.4</v>
      </c>
      <c r="Z253" s="77">
        <f t="shared" si="326"/>
        <v>2374079.4</v>
      </c>
      <c r="AA253" s="77">
        <f t="shared" si="326"/>
        <v>2374079.4</v>
      </c>
      <c r="AB253" s="77">
        <f t="shared" si="326"/>
        <v>2374079.4</v>
      </c>
      <c r="AC253" s="77">
        <f t="shared" si="326"/>
        <v>2374079.4</v>
      </c>
      <c r="AD253" s="77">
        <f t="shared" si="326"/>
        <v>34098472.800000004</v>
      </c>
      <c r="AE253" s="77">
        <f t="shared" si="326"/>
        <v>82523977.200000003</v>
      </c>
      <c r="AF253" s="77">
        <f t="shared" si="326"/>
        <v>0</v>
      </c>
      <c r="AG253" s="77">
        <f t="shared" si="326"/>
        <v>82523977.200000003</v>
      </c>
      <c r="AH253" s="77">
        <f t="shared" si="326"/>
        <v>82523977.200000003</v>
      </c>
      <c r="AI253" s="77">
        <f t="shared" si="326"/>
        <v>82523977.200000003</v>
      </c>
      <c r="AJ253" s="77">
        <f t="shared" si="326"/>
        <v>82523977.200000003</v>
      </c>
      <c r="AK253" s="77">
        <f t="shared" si="326"/>
        <v>82523977.200000003</v>
      </c>
      <c r="AL253" s="77">
        <f t="shared" si="326"/>
        <v>82523977.200000003</v>
      </c>
      <c r="AM253" s="77">
        <f t="shared" si="326"/>
        <v>82523977.200000003</v>
      </c>
      <c r="AN253" s="77">
        <f t="shared" si="326"/>
        <v>66447057.600000009</v>
      </c>
      <c r="AO253" s="77">
        <f t="shared" si="326"/>
        <v>66447057.600000009</v>
      </c>
      <c r="AP253" s="77">
        <f t="shared" si="326"/>
        <v>86641153.200000003</v>
      </c>
      <c r="AQ253" s="77">
        <f t="shared" si="326"/>
        <v>59640928.200000003</v>
      </c>
      <c r="AR253" s="77">
        <f t="shared" si="326"/>
        <v>59640928.200000003</v>
      </c>
      <c r="AS253" s="77">
        <f t="shared" si="326"/>
        <v>59640928.200000003</v>
      </c>
      <c r="AT253" s="77">
        <f t="shared" si="326"/>
        <v>59640928.200000003</v>
      </c>
      <c r="AU253" s="77">
        <f t="shared" si="326"/>
        <v>59640928.200000003</v>
      </c>
      <c r="AV253" s="77">
        <f t="shared" si="326"/>
        <v>0</v>
      </c>
      <c r="AW253" s="77">
        <f t="shared" si="326"/>
        <v>65742868.799999997</v>
      </c>
      <c r="AX253" s="77">
        <f t="shared" si="326"/>
        <v>65742868.799999997</v>
      </c>
      <c r="AY253" s="77">
        <f t="shared" si="326"/>
        <v>65742868.799999997</v>
      </c>
      <c r="AZ253" s="77">
        <f t="shared" si="326"/>
        <v>65742868.799999997</v>
      </c>
      <c r="BA253" s="77">
        <f t="shared" si="326"/>
        <v>65742868.799999997</v>
      </c>
      <c r="BB253" s="77">
        <f t="shared" si="326"/>
        <v>0</v>
      </c>
      <c r="BC253" s="77">
        <f t="shared" si="326"/>
        <v>49151743.200000003</v>
      </c>
      <c r="BD253" s="77">
        <f t="shared" si="326"/>
        <v>49151743.200000003</v>
      </c>
      <c r="BE253" s="77">
        <f t="shared" si="326"/>
        <v>49151743.200000003</v>
      </c>
      <c r="BF253" s="77">
        <f t="shared" si="326"/>
        <v>49151743.200000003</v>
      </c>
      <c r="BG253" s="77">
        <f t="shared" si="326"/>
        <v>49151743.200000003</v>
      </c>
      <c r="BH253" s="77">
        <f t="shared" si="326"/>
        <v>49151743.200000003</v>
      </c>
      <c r="BI253" s="77">
        <f t="shared" si="326"/>
        <v>49151743.200000003</v>
      </c>
      <c r="BJ253" s="77">
        <f t="shared" si="326"/>
        <v>49151743.200000003</v>
      </c>
      <c r="BK253" s="77">
        <f t="shared" si="326"/>
        <v>49151743.200000003</v>
      </c>
      <c r="BL253" s="77">
        <f t="shared" si="326"/>
        <v>49151743.200000003</v>
      </c>
      <c r="BM253" s="77">
        <f t="shared" si="326"/>
        <v>49151743.200000003</v>
      </c>
      <c r="BN253" s="77">
        <f t="shared" si="326"/>
        <v>36146212.200000003</v>
      </c>
      <c r="BO253" s="77">
        <f t="shared" si="326"/>
        <v>36146212.200000003</v>
      </c>
      <c r="BP253" s="77">
        <f t="shared" si="326"/>
        <v>36146212.200000003</v>
      </c>
      <c r="BQ253" s="77">
        <f t="shared" si="326"/>
        <v>22321920.600000001</v>
      </c>
      <c r="BR253" s="77">
        <f t="shared" si="326"/>
        <v>22321920.600000001</v>
      </c>
      <c r="BS253" s="77">
        <f t="shared" ref="BS253:DV253" si="327">IF(BS250="","",IF($D$165="Equity Multiple",BR254*$C251-BR254,BS252*$C251))</f>
        <v>22321920.600000001</v>
      </c>
      <c r="BT253" s="77">
        <f t="shared" si="327"/>
        <v>22321920.600000001</v>
      </c>
      <c r="BU253" s="77">
        <f t="shared" si="327"/>
        <v>22321920.600000001</v>
      </c>
      <c r="BV253" s="77">
        <f t="shared" si="327"/>
        <v>22321920.600000001</v>
      </c>
      <c r="BW253" s="77">
        <f t="shared" si="327"/>
        <v>22321920.600000001</v>
      </c>
      <c r="BX253" s="77">
        <f t="shared" si="327"/>
        <v>22321920.600000001</v>
      </c>
      <c r="BY253" s="77">
        <f t="shared" si="327"/>
        <v>22321920.600000001</v>
      </c>
      <c r="BZ253" s="77">
        <f t="shared" si="327"/>
        <v>0</v>
      </c>
      <c r="CA253" s="77">
        <f t="shared" si="327"/>
        <v>0</v>
      </c>
      <c r="CB253" s="77">
        <f t="shared" si="327"/>
        <v>22321920.600000001</v>
      </c>
      <c r="CC253" s="77">
        <f t="shared" si="327"/>
        <v>22321920.600000001</v>
      </c>
      <c r="CD253" s="77">
        <f t="shared" si="327"/>
        <v>22321920.600000001</v>
      </c>
      <c r="CE253" s="77">
        <f t="shared" si="327"/>
        <v>22321920.600000001</v>
      </c>
      <c r="CF253" s="77">
        <f t="shared" si="327"/>
        <v>0</v>
      </c>
      <c r="CG253" s="77">
        <f t="shared" si="327"/>
        <v>0</v>
      </c>
      <c r="CH253" s="77">
        <f t="shared" si="327"/>
        <v>0</v>
      </c>
      <c r="CI253" s="77">
        <f t="shared" si="327"/>
        <v>0</v>
      </c>
      <c r="CJ253" s="77">
        <f t="shared" si="327"/>
        <v>0</v>
      </c>
      <c r="CK253" s="77">
        <f t="shared" si="327"/>
        <v>0</v>
      </c>
      <c r="CL253" s="77">
        <f t="shared" si="327"/>
        <v>51295620.600000001</v>
      </c>
      <c r="CM253" s="77">
        <f t="shared" si="327"/>
        <v>51295620.600000001</v>
      </c>
      <c r="CN253" s="77">
        <f t="shared" si="327"/>
        <v>51295620.600000001</v>
      </c>
      <c r="CO253" s="77">
        <f t="shared" si="327"/>
        <v>51295620.600000001</v>
      </c>
      <c r="CP253" s="77">
        <f t="shared" si="327"/>
        <v>51295620.600000001</v>
      </c>
      <c r="CQ253" s="77">
        <f t="shared" si="327"/>
        <v>51295620.600000001</v>
      </c>
      <c r="CR253" s="77">
        <f t="shared" si="327"/>
        <v>51295620.600000001</v>
      </c>
      <c r="CS253" s="77">
        <f t="shared" si="327"/>
        <v>51295620.600000001</v>
      </c>
      <c r="CT253" s="77">
        <f t="shared" si="327"/>
        <v>51295620.600000001</v>
      </c>
      <c r="CU253" s="77">
        <f t="shared" si="327"/>
        <v>51295620.600000001</v>
      </c>
      <c r="CV253" s="77">
        <f t="shared" si="327"/>
        <v>51295620.600000001</v>
      </c>
      <c r="CW253" s="77">
        <f t="shared" si="327"/>
        <v>51295620.600000001</v>
      </c>
      <c r="CX253" s="77" t="str">
        <f t="shared" si="327"/>
        <v/>
      </c>
      <c r="CY253" s="77" t="str">
        <f t="shared" si="327"/>
        <v/>
      </c>
      <c r="CZ253" s="77" t="str">
        <f t="shared" si="327"/>
        <v/>
      </c>
      <c r="DA253" s="77" t="str">
        <f t="shared" si="327"/>
        <v/>
      </c>
      <c r="DB253" s="77" t="str">
        <f t="shared" si="327"/>
        <v/>
      </c>
      <c r="DC253" s="77" t="str">
        <f t="shared" si="327"/>
        <v/>
      </c>
      <c r="DD253" s="77" t="str">
        <f t="shared" si="327"/>
        <v/>
      </c>
      <c r="DE253" s="77" t="str">
        <f t="shared" si="327"/>
        <v/>
      </c>
      <c r="DF253" s="77" t="str">
        <f t="shared" si="327"/>
        <v/>
      </c>
      <c r="DG253" s="77" t="str">
        <f t="shared" si="327"/>
        <v/>
      </c>
      <c r="DH253" s="77" t="str">
        <f t="shared" si="327"/>
        <v/>
      </c>
      <c r="DI253" s="77" t="str">
        <f t="shared" si="327"/>
        <v/>
      </c>
      <c r="DJ253" s="77" t="str">
        <f t="shared" si="327"/>
        <v/>
      </c>
      <c r="DK253" s="77" t="str">
        <f t="shared" si="327"/>
        <v/>
      </c>
      <c r="DL253" s="77" t="str">
        <f t="shared" si="327"/>
        <v/>
      </c>
      <c r="DM253" s="77" t="str">
        <f t="shared" si="327"/>
        <v/>
      </c>
      <c r="DN253" s="77" t="str">
        <f t="shared" si="327"/>
        <v/>
      </c>
      <c r="DO253" s="77" t="str">
        <f t="shared" si="327"/>
        <v/>
      </c>
      <c r="DP253" s="77" t="str">
        <f t="shared" si="327"/>
        <v/>
      </c>
      <c r="DQ253" s="77" t="str">
        <f t="shared" si="327"/>
        <v/>
      </c>
      <c r="DR253" s="77" t="str">
        <f t="shared" si="327"/>
        <v/>
      </c>
      <c r="DS253" s="77" t="str">
        <f t="shared" si="327"/>
        <v/>
      </c>
      <c r="DT253" s="77" t="str">
        <f t="shared" si="327"/>
        <v/>
      </c>
      <c r="DU253" s="77" t="str">
        <f t="shared" si="327"/>
        <v/>
      </c>
      <c r="DV253" s="77" t="str">
        <f t="shared" si="327"/>
        <v/>
      </c>
      <c r="DW253" s="77"/>
      <c r="DX253" s="77"/>
      <c r="DY253" s="78"/>
    </row>
    <row r="254" spans="2:129" outlineLevel="1" x14ac:dyDescent="0.2">
      <c r="B254" s="16" t="s">
        <v>60</v>
      </c>
      <c r="C254" s="16"/>
      <c r="D254" s="16"/>
      <c r="E254" s="16"/>
      <c r="F254" s="77">
        <f t="shared" ref="F254:AK254" si="328">IF(F250="","",-MIN(0,F$51*Equity_Share_LP))</f>
        <v>93624225.299999997</v>
      </c>
      <c r="G254" s="77">
        <f t="shared" si="328"/>
        <v>24225.3</v>
      </c>
      <c r="H254" s="77">
        <f t="shared" si="328"/>
        <v>24225.3</v>
      </c>
      <c r="I254" s="77">
        <f t="shared" si="328"/>
        <v>24225.3</v>
      </c>
      <c r="J254" s="77">
        <f t="shared" si="328"/>
        <v>24225.3</v>
      </c>
      <c r="K254" s="77">
        <f t="shared" si="328"/>
        <v>24225.3</v>
      </c>
      <c r="L254" s="77">
        <f t="shared" si="328"/>
        <v>24225.3</v>
      </c>
      <c r="M254" s="77">
        <f t="shared" si="328"/>
        <v>24225.3</v>
      </c>
      <c r="N254" s="77">
        <f t="shared" si="328"/>
        <v>24225.3</v>
      </c>
      <c r="O254" s="77">
        <f t="shared" si="328"/>
        <v>24225.3</v>
      </c>
      <c r="P254" s="77">
        <f t="shared" si="328"/>
        <v>24225.3</v>
      </c>
      <c r="Q254" s="77">
        <f t="shared" si="328"/>
        <v>24225.3</v>
      </c>
      <c r="R254" s="77">
        <f t="shared" si="328"/>
        <v>24225.3</v>
      </c>
      <c r="S254" s="77">
        <f t="shared" si="328"/>
        <v>24225.3</v>
      </c>
      <c r="T254" s="77">
        <f t="shared" si="328"/>
        <v>24225.3</v>
      </c>
      <c r="U254" s="77">
        <f t="shared" si="328"/>
        <v>24225.3</v>
      </c>
      <c r="V254" s="77">
        <f t="shared" si="328"/>
        <v>24225.3</v>
      </c>
      <c r="W254" s="77">
        <f t="shared" si="328"/>
        <v>24225.3</v>
      </c>
      <c r="X254" s="77">
        <f t="shared" si="328"/>
        <v>24225.3</v>
      </c>
      <c r="Y254" s="77">
        <f t="shared" si="328"/>
        <v>24225.3</v>
      </c>
      <c r="Z254" s="77">
        <f t="shared" si="328"/>
        <v>24225.3</v>
      </c>
      <c r="AA254" s="77">
        <f t="shared" si="328"/>
        <v>24225.3</v>
      </c>
      <c r="AB254" s="77">
        <f t="shared" si="328"/>
        <v>24225.3</v>
      </c>
      <c r="AC254" s="77">
        <f t="shared" si="328"/>
        <v>347943.60000000003</v>
      </c>
      <c r="AD254" s="77">
        <f t="shared" si="328"/>
        <v>842081.4</v>
      </c>
      <c r="AE254" s="77">
        <f t="shared" si="328"/>
        <v>0</v>
      </c>
      <c r="AF254" s="77">
        <f t="shared" si="328"/>
        <v>842081.4</v>
      </c>
      <c r="AG254" s="77">
        <f t="shared" si="328"/>
        <v>842081.4</v>
      </c>
      <c r="AH254" s="77">
        <f t="shared" si="328"/>
        <v>842081.4</v>
      </c>
      <c r="AI254" s="77">
        <f t="shared" si="328"/>
        <v>842081.4</v>
      </c>
      <c r="AJ254" s="77">
        <f t="shared" si="328"/>
        <v>842081.4</v>
      </c>
      <c r="AK254" s="77">
        <f t="shared" si="328"/>
        <v>842081.4</v>
      </c>
      <c r="AL254" s="77">
        <f t="shared" ref="AL254:BQ254" si="329">IF(AL250="","",-MIN(0,AL$51*Equity_Share_LP))</f>
        <v>842081.4</v>
      </c>
      <c r="AM254" s="77">
        <f t="shared" si="329"/>
        <v>678031.20000000007</v>
      </c>
      <c r="AN254" s="77">
        <f t="shared" si="329"/>
        <v>678031.20000000007</v>
      </c>
      <c r="AO254" s="77">
        <f t="shared" si="329"/>
        <v>884093.4</v>
      </c>
      <c r="AP254" s="77">
        <f t="shared" si="329"/>
        <v>608580.9</v>
      </c>
      <c r="AQ254" s="77">
        <f t="shared" si="329"/>
        <v>608580.9</v>
      </c>
      <c r="AR254" s="77">
        <f t="shared" si="329"/>
        <v>608580.9</v>
      </c>
      <c r="AS254" s="77">
        <f t="shared" si="329"/>
        <v>608580.9</v>
      </c>
      <c r="AT254" s="77">
        <f t="shared" si="329"/>
        <v>608580.9</v>
      </c>
      <c r="AU254" s="77">
        <f t="shared" si="329"/>
        <v>0</v>
      </c>
      <c r="AV254" s="77">
        <f t="shared" si="329"/>
        <v>670845.6</v>
      </c>
      <c r="AW254" s="77">
        <f t="shared" si="329"/>
        <v>670845.6</v>
      </c>
      <c r="AX254" s="77">
        <f t="shared" si="329"/>
        <v>670845.6</v>
      </c>
      <c r="AY254" s="77">
        <f t="shared" si="329"/>
        <v>670845.6</v>
      </c>
      <c r="AZ254" s="77">
        <f t="shared" si="329"/>
        <v>670845.6</v>
      </c>
      <c r="BA254" s="77">
        <f t="shared" si="329"/>
        <v>0</v>
      </c>
      <c r="BB254" s="77">
        <f t="shared" si="329"/>
        <v>501548.4</v>
      </c>
      <c r="BC254" s="77">
        <f t="shared" si="329"/>
        <v>501548.4</v>
      </c>
      <c r="BD254" s="77">
        <f t="shared" si="329"/>
        <v>501548.4</v>
      </c>
      <c r="BE254" s="77">
        <f t="shared" si="329"/>
        <v>501548.4</v>
      </c>
      <c r="BF254" s="77">
        <f t="shared" si="329"/>
        <v>501548.4</v>
      </c>
      <c r="BG254" s="77">
        <f t="shared" si="329"/>
        <v>501548.4</v>
      </c>
      <c r="BH254" s="77">
        <f t="shared" si="329"/>
        <v>501548.4</v>
      </c>
      <c r="BI254" s="77">
        <f t="shared" si="329"/>
        <v>501548.4</v>
      </c>
      <c r="BJ254" s="77">
        <f t="shared" si="329"/>
        <v>501548.4</v>
      </c>
      <c r="BK254" s="77">
        <f t="shared" si="329"/>
        <v>501548.4</v>
      </c>
      <c r="BL254" s="77">
        <f t="shared" si="329"/>
        <v>501548.4</v>
      </c>
      <c r="BM254" s="77">
        <f t="shared" si="329"/>
        <v>368838.9</v>
      </c>
      <c r="BN254" s="77">
        <f t="shared" si="329"/>
        <v>368838.9</v>
      </c>
      <c r="BO254" s="77">
        <f t="shared" si="329"/>
        <v>368838.9</v>
      </c>
      <c r="BP254" s="77">
        <f t="shared" si="329"/>
        <v>227774.7</v>
      </c>
      <c r="BQ254" s="77">
        <f t="shared" si="329"/>
        <v>227774.7</v>
      </c>
      <c r="BR254" s="77">
        <f t="shared" ref="BR254:CW254" si="330">IF(BR250="","",-MIN(0,BR$51*Equity_Share_LP))</f>
        <v>227774.7</v>
      </c>
      <c r="BS254" s="77">
        <f t="shared" si="330"/>
        <v>227774.7</v>
      </c>
      <c r="BT254" s="77">
        <f t="shared" si="330"/>
        <v>227774.7</v>
      </c>
      <c r="BU254" s="77">
        <f t="shared" si="330"/>
        <v>227774.7</v>
      </c>
      <c r="BV254" s="77">
        <f t="shared" si="330"/>
        <v>227774.7</v>
      </c>
      <c r="BW254" s="77">
        <f t="shared" si="330"/>
        <v>227774.7</v>
      </c>
      <c r="BX254" s="77">
        <f t="shared" si="330"/>
        <v>227774.7</v>
      </c>
      <c r="BY254" s="77">
        <f t="shared" si="330"/>
        <v>0</v>
      </c>
      <c r="BZ254" s="77">
        <f t="shared" si="330"/>
        <v>0</v>
      </c>
      <c r="CA254" s="77">
        <f t="shared" si="330"/>
        <v>227774.7</v>
      </c>
      <c r="CB254" s="77">
        <f t="shared" si="330"/>
        <v>227774.7</v>
      </c>
      <c r="CC254" s="77">
        <f t="shared" si="330"/>
        <v>227774.7</v>
      </c>
      <c r="CD254" s="77">
        <f t="shared" si="330"/>
        <v>227774.7</v>
      </c>
      <c r="CE254" s="77">
        <f t="shared" si="330"/>
        <v>0</v>
      </c>
      <c r="CF254" s="77">
        <f t="shared" si="330"/>
        <v>0</v>
      </c>
      <c r="CG254" s="77">
        <f t="shared" si="330"/>
        <v>0</v>
      </c>
      <c r="CH254" s="77">
        <f t="shared" si="330"/>
        <v>0</v>
      </c>
      <c r="CI254" s="77">
        <f t="shared" si="330"/>
        <v>0</v>
      </c>
      <c r="CJ254" s="77">
        <f t="shared" si="330"/>
        <v>0</v>
      </c>
      <c r="CK254" s="77">
        <f t="shared" si="330"/>
        <v>523424.7</v>
      </c>
      <c r="CL254" s="77">
        <f t="shared" si="330"/>
        <v>523424.7</v>
      </c>
      <c r="CM254" s="77">
        <f t="shared" si="330"/>
        <v>523424.7</v>
      </c>
      <c r="CN254" s="77">
        <f t="shared" si="330"/>
        <v>523424.7</v>
      </c>
      <c r="CO254" s="77">
        <f t="shared" si="330"/>
        <v>523424.7</v>
      </c>
      <c r="CP254" s="77">
        <f t="shared" si="330"/>
        <v>523424.7</v>
      </c>
      <c r="CQ254" s="77">
        <f t="shared" si="330"/>
        <v>523424.7</v>
      </c>
      <c r="CR254" s="77">
        <f t="shared" si="330"/>
        <v>523424.7</v>
      </c>
      <c r="CS254" s="77">
        <f t="shared" si="330"/>
        <v>523424.7</v>
      </c>
      <c r="CT254" s="77">
        <f t="shared" si="330"/>
        <v>523424.7</v>
      </c>
      <c r="CU254" s="77">
        <f t="shared" si="330"/>
        <v>523424.7</v>
      </c>
      <c r="CV254" s="77">
        <f t="shared" si="330"/>
        <v>523424.7</v>
      </c>
      <c r="CW254" s="77">
        <f t="shared" si="330"/>
        <v>0</v>
      </c>
      <c r="CX254" s="77" t="str">
        <f t="shared" ref="CX254:DV254" si="331">IF(CX250="","",-MIN(0,CX$51*Equity_Share_LP))</f>
        <v/>
      </c>
      <c r="CY254" s="77" t="str">
        <f t="shared" si="331"/>
        <v/>
      </c>
      <c r="CZ254" s="77" t="str">
        <f t="shared" si="331"/>
        <v/>
      </c>
      <c r="DA254" s="77" t="str">
        <f t="shared" si="331"/>
        <v/>
      </c>
      <c r="DB254" s="77" t="str">
        <f t="shared" si="331"/>
        <v/>
      </c>
      <c r="DC254" s="77" t="str">
        <f t="shared" si="331"/>
        <v/>
      </c>
      <c r="DD254" s="77" t="str">
        <f t="shared" si="331"/>
        <v/>
      </c>
      <c r="DE254" s="77" t="str">
        <f t="shared" si="331"/>
        <v/>
      </c>
      <c r="DF254" s="77" t="str">
        <f t="shared" si="331"/>
        <v/>
      </c>
      <c r="DG254" s="77" t="str">
        <f t="shared" si="331"/>
        <v/>
      </c>
      <c r="DH254" s="77" t="str">
        <f t="shared" si="331"/>
        <v/>
      </c>
      <c r="DI254" s="77" t="str">
        <f t="shared" si="331"/>
        <v/>
      </c>
      <c r="DJ254" s="77" t="str">
        <f t="shared" si="331"/>
        <v/>
      </c>
      <c r="DK254" s="77" t="str">
        <f t="shared" si="331"/>
        <v/>
      </c>
      <c r="DL254" s="77" t="str">
        <f t="shared" si="331"/>
        <v/>
      </c>
      <c r="DM254" s="77" t="str">
        <f t="shared" si="331"/>
        <v/>
      </c>
      <c r="DN254" s="77" t="str">
        <f t="shared" si="331"/>
        <v/>
      </c>
      <c r="DO254" s="77" t="str">
        <f t="shared" si="331"/>
        <v/>
      </c>
      <c r="DP254" s="77" t="str">
        <f t="shared" si="331"/>
        <v/>
      </c>
      <c r="DQ254" s="77" t="str">
        <f t="shared" si="331"/>
        <v/>
      </c>
      <c r="DR254" s="77" t="str">
        <f t="shared" si="331"/>
        <v/>
      </c>
      <c r="DS254" s="77" t="str">
        <f t="shared" si="331"/>
        <v/>
      </c>
      <c r="DT254" s="77" t="str">
        <f t="shared" si="331"/>
        <v/>
      </c>
      <c r="DU254" s="77" t="str">
        <f t="shared" si="331"/>
        <v/>
      </c>
      <c r="DV254" s="77" t="str">
        <f t="shared" si="331"/>
        <v/>
      </c>
      <c r="DW254" s="77"/>
      <c r="DX254" s="77"/>
      <c r="DY254" s="78"/>
    </row>
    <row r="255" spans="2:129" outlineLevel="1" x14ac:dyDescent="0.2">
      <c r="B255" s="16" t="s">
        <v>72</v>
      </c>
      <c r="C255" s="16"/>
      <c r="D255" s="16"/>
      <c r="E255" s="16"/>
      <c r="F255" s="77">
        <f>IF(F250="","",F230+F208+F245)</f>
        <v>0</v>
      </c>
      <c r="G255" s="77">
        <f t="shared" ref="G255:BR255" si="332">IF(G250="","",G230+G208+G245)</f>
        <v>0</v>
      </c>
      <c r="H255" s="77">
        <f t="shared" si="332"/>
        <v>0</v>
      </c>
      <c r="I255" s="77">
        <f t="shared" si="332"/>
        <v>0</v>
      </c>
      <c r="J255" s="77">
        <f t="shared" si="332"/>
        <v>0</v>
      </c>
      <c r="K255" s="77">
        <f t="shared" si="332"/>
        <v>0</v>
      </c>
      <c r="L255" s="77">
        <f t="shared" si="332"/>
        <v>0</v>
      </c>
      <c r="M255" s="77">
        <f t="shared" si="332"/>
        <v>0</v>
      </c>
      <c r="N255" s="77">
        <f t="shared" si="332"/>
        <v>0</v>
      </c>
      <c r="O255" s="77">
        <f t="shared" si="332"/>
        <v>0</v>
      </c>
      <c r="P255" s="77">
        <f t="shared" si="332"/>
        <v>0</v>
      </c>
      <c r="Q255" s="77">
        <f t="shared" si="332"/>
        <v>0</v>
      </c>
      <c r="R255" s="77">
        <f t="shared" si="332"/>
        <v>0</v>
      </c>
      <c r="S255" s="77">
        <f t="shared" si="332"/>
        <v>0</v>
      </c>
      <c r="T255" s="77">
        <f t="shared" si="332"/>
        <v>0</v>
      </c>
      <c r="U255" s="77">
        <f t="shared" si="332"/>
        <v>0</v>
      </c>
      <c r="V255" s="77">
        <f t="shared" si="332"/>
        <v>0</v>
      </c>
      <c r="W255" s="77">
        <f t="shared" si="332"/>
        <v>0</v>
      </c>
      <c r="X255" s="77">
        <f t="shared" si="332"/>
        <v>0</v>
      </c>
      <c r="Y255" s="77">
        <f t="shared" si="332"/>
        <v>0</v>
      </c>
      <c r="Z255" s="77">
        <f t="shared" si="332"/>
        <v>0</v>
      </c>
      <c r="AA255" s="77">
        <f t="shared" si="332"/>
        <v>0</v>
      </c>
      <c r="AB255" s="77">
        <f t="shared" si="332"/>
        <v>0</v>
      </c>
      <c r="AC255" s="77">
        <f t="shared" si="332"/>
        <v>0</v>
      </c>
      <c r="AD255" s="77">
        <f t="shared" si="332"/>
        <v>0</v>
      </c>
      <c r="AE255" s="77">
        <f t="shared" si="332"/>
        <v>25591908.600000001</v>
      </c>
      <c r="AF255" s="77">
        <f t="shared" si="332"/>
        <v>0</v>
      </c>
      <c r="AG255" s="77">
        <f t="shared" si="332"/>
        <v>0</v>
      </c>
      <c r="AH255" s="77">
        <f t="shared" si="332"/>
        <v>0</v>
      </c>
      <c r="AI255" s="77">
        <f t="shared" si="332"/>
        <v>0</v>
      </c>
      <c r="AJ255" s="77">
        <f t="shared" si="332"/>
        <v>0</v>
      </c>
      <c r="AK255" s="77">
        <f t="shared" si="332"/>
        <v>0</v>
      </c>
      <c r="AL255" s="77">
        <f t="shared" si="332"/>
        <v>0</v>
      </c>
      <c r="AM255" s="77">
        <f t="shared" si="332"/>
        <v>0</v>
      </c>
      <c r="AN255" s="77">
        <f t="shared" si="332"/>
        <v>0</v>
      </c>
      <c r="AO255" s="77">
        <f t="shared" si="332"/>
        <v>0</v>
      </c>
      <c r="AP255" s="77">
        <f t="shared" si="332"/>
        <v>0</v>
      </c>
      <c r="AQ255" s="77">
        <f t="shared" si="332"/>
        <v>0</v>
      </c>
      <c r="AR255" s="77">
        <f t="shared" si="332"/>
        <v>0</v>
      </c>
      <c r="AS255" s="77">
        <f t="shared" si="332"/>
        <v>0</v>
      </c>
      <c r="AT255" s="77">
        <f t="shared" si="332"/>
        <v>0</v>
      </c>
      <c r="AU255" s="77">
        <f t="shared" si="332"/>
        <v>37257084.899999999</v>
      </c>
      <c r="AV255" s="77">
        <f t="shared" si="332"/>
        <v>0</v>
      </c>
      <c r="AW255" s="77">
        <f t="shared" si="332"/>
        <v>0</v>
      </c>
      <c r="AX255" s="77">
        <f t="shared" si="332"/>
        <v>0</v>
      </c>
      <c r="AY255" s="77">
        <f t="shared" si="332"/>
        <v>0</v>
      </c>
      <c r="AZ255" s="77">
        <f t="shared" si="332"/>
        <v>0</v>
      </c>
      <c r="BA255" s="77">
        <f t="shared" si="332"/>
        <v>121944826.23750018</v>
      </c>
      <c r="BB255" s="77">
        <f t="shared" si="332"/>
        <v>0</v>
      </c>
      <c r="BC255" s="77">
        <f t="shared" si="332"/>
        <v>0</v>
      </c>
      <c r="BD255" s="77">
        <f t="shared" si="332"/>
        <v>0</v>
      </c>
      <c r="BE255" s="77">
        <f t="shared" si="332"/>
        <v>0</v>
      </c>
      <c r="BF255" s="77">
        <f t="shared" si="332"/>
        <v>0</v>
      </c>
      <c r="BG255" s="77">
        <f t="shared" si="332"/>
        <v>0</v>
      </c>
      <c r="BH255" s="77">
        <f t="shared" si="332"/>
        <v>0</v>
      </c>
      <c r="BI255" s="77">
        <f t="shared" si="332"/>
        <v>0</v>
      </c>
      <c r="BJ255" s="77">
        <f t="shared" si="332"/>
        <v>0</v>
      </c>
      <c r="BK255" s="77">
        <f t="shared" si="332"/>
        <v>0</v>
      </c>
      <c r="BL255" s="77">
        <f t="shared" si="332"/>
        <v>0</v>
      </c>
      <c r="BM255" s="77">
        <f t="shared" si="332"/>
        <v>0</v>
      </c>
      <c r="BN255" s="77">
        <f t="shared" si="332"/>
        <v>0</v>
      </c>
      <c r="BO255" s="77">
        <f t="shared" si="332"/>
        <v>0</v>
      </c>
      <c r="BP255" s="77">
        <f t="shared" si="332"/>
        <v>0</v>
      </c>
      <c r="BQ255" s="77">
        <f t="shared" si="332"/>
        <v>0</v>
      </c>
      <c r="BR255" s="77">
        <f t="shared" si="332"/>
        <v>0</v>
      </c>
      <c r="BS255" s="77">
        <f t="shared" ref="BS255:DV255" si="333">IF(BS250="","",BS230+BS208+BS245)</f>
        <v>0</v>
      </c>
      <c r="BT255" s="77">
        <f t="shared" si="333"/>
        <v>0</v>
      </c>
      <c r="BU255" s="77">
        <f t="shared" si="333"/>
        <v>0</v>
      </c>
      <c r="BV255" s="77">
        <f t="shared" si="333"/>
        <v>0</v>
      </c>
      <c r="BW255" s="77">
        <f t="shared" si="333"/>
        <v>0</v>
      </c>
      <c r="BX255" s="77">
        <f t="shared" si="333"/>
        <v>0</v>
      </c>
      <c r="BY255" s="77">
        <f t="shared" si="333"/>
        <v>5316225.3</v>
      </c>
      <c r="BZ255" s="77">
        <f t="shared" si="333"/>
        <v>3756239.4600000004</v>
      </c>
      <c r="CA255" s="77">
        <f t="shared" si="333"/>
        <v>0</v>
      </c>
      <c r="CB255" s="77">
        <f t="shared" si="333"/>
        <v>0</v>
      </c>
      <c r="CC255" s="77">
        <f t="shared" si="333"/>
        <v>0</v>
      </c>
      <c r="CD255" s="77">
        <f t="shared" si="333"/>
        <v>0</v>
      </c>
      <c r="CE255" s="77">
        <f t="shared" si="333"/>
        <v>8758336.9274999965</v>
      </c>
      <c r="CF255" s="77">
        <f t="shared" si="333"/>
        <v>0</v>
      </c>
      <c r="CG255" s="77">
        <f t="shared" si="333"/>
        <v>0</v>
      </c>
      <c r="CH255" s="77">
        <f t="shared" si="333"/>
        <v>0</v>
      </c>
      <c r="CI255" s="77">
        <f t="shared" si="333"/>
        <v>0</v>
      </c>
      <c r="CJ255" s="77">
        <f t="shared" si="333"/>
        <v>0</v>
      </c>
      <c r="CK255" s="77">
        <f t="shared" si="333"/>
        <v>0</v>
      </c>
      <c r="CL255" s="77">
        <f t="shared" si="333"/>
        <v>0</v>
      </c>
      <c r="CM255" s="77">
        <f t="shared" si="333"/>
        <v>0</v>
      </c>
      <c r="CN255" s="77">
        <f t="shared" si="333"/>
        <v>0</v>
      </c>
      <c r="CO255" s="77">
        <f t="shared" si="333"/>
        <v>0</v>
      </c>
      <c r="CP255" s="77">
        <f t="shared" si="333"/>
        <v>0</v>
      </c>
      <c r="CQ255" s="77">
        <f t="shared" si="333"/>
        <v>0</v>
      </c>
      <c r="CR255" s="77">
        <f t="shared" si="333"/>
        <v>0</v>
      </c>
      <c r="CS255" s="77">
        <f t="shared" si="333"/>
        <v>0</v>
      </c>
      <c r="CT255" s="77">
        <f t="shared" si="333"/>
        <v>0</v>
      </c>
      <c r="CU255" s="77">
        <f t="shared" si="333"/>
        <v>0</v>
      </c>
      <c r="CV255" s="77">
        <f t="shared" si="333"/>
        <v>0</v>
      </c>
      <c r="CW255" s="77">
        <f t="shared" si="333"/>
        <v>16493363.774999999</v>
      </c>
      <c r="CX255" s="77" t="str">
        <f t="shared" si="333"/>
        <v/>
      </c>
      <c r="CY255" s="77" t="str">
        <f t="shared" si="333"/>
        <v/>
      </c>
      <c r="CZ255" s="77" t="str">
        <f t="shared" si="333"/>
        <v/>
      </c>
      <c r="DA255" s="77" t="str">
        <f t="shared" si="333"/>
        <v/>
      </c>
      <c r="DB255" s="77" t="str">
        <f t="shared" si="333"/>
        <v/>
      </c>
      <c r="DC255" s="77" t="str">
        <f t="shared" si="333"/>
        <v/>
      </c>
      <c r="DD255" s="77" t="str">
        <f t="shared" si="333"/>
        <v/>
      </c>
      <c r="DE255" s="77" t="str">
        <f t="shared" si="333"/>
        <v/>
      </c>
      <c r="DF255" s="77" t="str">
        <f t="shared" si="333"/>
        <v/>
      </c>
      <c r="DG255" s="77" t="str">
        <f t="shared" si="333"/>
        <v/>
      </c>
      <c r="DH255" s="77" t="str">
        <f t="shared" si="333"/>
        <v/>
      </c>
      <c r="DI255" s="77" t="str">
        <f t="shared" si="333"/>
        <v/>
      </c>
      <c r="DJ255" s="77" t="str">
        <f t="shared" si="333"/>
        <v/>
      </c>
      <c r="DK255" s="77" t="str">
        <f t="shared" si="333"/>
        <v/>
      </c>
      <c r="DL255" s="77" t="str">
        <f t="shared" si="333"/>
        <v/>
      </c>
      <c r="DM255" s="77" t="str">
        <f t="shared" si="333"/>
        <v/>
      </c>
      <c r="DN255" s="77" t="str">
        <f t="shared" si="333"/>
        <v/>
      </c>
      <c r="DO255" s="77" t="str">
        <f t="shared" si="333"/>
        <v/>
      </c>
      <c r="DP255" s="77" t="str">
        <f t="shared" si="333"/>
        <v/>
      </c>
      <c r="DQ255" s="77" t="str">
        <f t="shared" si="333"/>
        <v/>
      </c>
      <c r="DR255" s="77" t="str">
        <f t="shared" si="333"/>
        <v/>
      </c>
      <c r="DS255" s="77" t="str">
        <f t="shared" si="333"/>
        <v/>
      </c>
      <c r="DT255" s="77" t="str">
        <f t="shared" si="333"/>
        <v/>
      </c>
      <c r="DU255" s="77" t="str">
        <f t="shared" si="333"/>
        <v/>
      </c>
      <c r="DV255" s="77" t="str">
        <f t="shared" si="333"/>
        <v/>
      </c>
      <c r="DW255" s="77"/>
      <c r="DX255" s="77"/>
      <c r="DY255" s="78"/>
    </row>
    <row r="256" spans="2:129" outlineLevel="1" x14ac:dyDescent="0.2">
      <c r="B256" s="16" t="str">
        <f>"Distributions to LP "&amp;B250</f>
        <v>Distributions to LP Tier 4</v>
      </c>
      <c r="C256" s="16"/>
      <c r="D256" s="16"/>
      <c r="E256" s="16"/>
      <c r="F256" s="77">
        <f>IF(F250="","",MIN(F252+F253-F255,F248*$I$18))</f>
        <v>0</v>
      </c>
      <c r="G256" s="77">
        <f t="shared" ref="G256:BR256" si="334">IF(G250="","",MIN(G252+G253-G255,G248*$I$18))</f>
        <v>0</v>
      </c>
      <c r="H256" s="77">
        <f t="shared" si="334"/>
        <v>0</v>
      </c>
      <c r="I256" s="77">
        <f t="shared" si="334"/>
        <v>0</v>
      </c>
      <c r="J256" s="77">
        <f t="shared" si="334"/>
        <v>0</v>
      </c>
      <c r="K256" s="77">
        <f t="shared" si="334"/>
        <v>0</v>
      </c>
      <c r="L256" s="77">
        <f t="shared" si="334"/>
        <v>0</v>
      </c>
      <c r="M256" s="77">
        <f t="shared" si="334"/>
        <v>0</v>
      </c>
      <c r="N256" s="77">
        <f t="shared" si="334"/>
        <v>0</v>
      </c>
      <c r="O256" s="77">
        <f t="shared" si="334"/>
        <v>0</v>
      </c>
      <c r="P256" s="77">
        <f t="shared" si="334"/>
        <v>0</v>
      </c>
      <c r="Q256" s="77">
        <f t="shared" si="334"/>
        <v>0</v>
      </c>
      <c r="R256" s="77">
        <f t="shared" si="334"/>
        <v>0</v>
      </c>
      <c r="S256" s="77">
        <f t="shared" si="334"/>
        <v>0</v>
      </c>
      <c r="T256" s="77">
        <f t="shared" si="334"/>
        <v>0</v>
      </c>
      <c r="U256" s="77">
        <f t="shared" si="334"/>
        <v>0</v>
      </c>
      <c r="V256" s="77">
        <f t="shared" si="334"/>
        <v>0</v>
      </c>
      <c r="W256" s="77">
        <f t="shared" si="334"/>
        <v>0</v>
      </c>
      <c r="X256" s="77">
        <f t="shared" si="334"/>
        <v>0</v>
      </c>
      <c r="Y256" s="77">
        <f t="shared" si="334"/>
        <v>0</v>
      </c>
      <c r="Z256" s="77">
        <f t="shared" si="334"/>
        <v>0</v>
      </c>
      <c r="AA256" s="77">
        <f t="shared" si="334"/>
        <v>0</v>
      </c>
      <c r="AB256" s="77">
        <f t="shared" si="334"/>
        <v>0</v>
      </c>
      <c r="AC256" s="77">
        <f t="shared" si="334"/>
        <v>0</v>
      </c>
      <c r="AD256" s="77">
        <f t="shared" si="334"/>
        <v>0</v>
      </c>
      <c r="AE256" s="77">
        <f t="shared" si="334"/>
        <v>0</v>
      </c>
      <c r="AF256" s="77">
        <f t="shared" si="334"/>
        <v>0</v>
      </c>
      <c r="AG256" s="77">
        <f t="shared" si="334"/>
        <v>0</v>
      </c>
      <c r="AH256" s="77">
        <f t="shared" si="334"/>
        <v>0</v>
      </c>
      <c r="AI256" s="77">
        <f t="shared" si="334"/>
        <v>0</v>
      </c>
      <c r="AJ256" s="77">
        <f t="shared" si="334"/>
        <v>0</v>
      </c>
      <c r="AK256" s="77">
        <f t="shared" si="334"/>
        <v>0</v>
      </c>
      <c r="AL256" s="77">
        <f t="shared" si="334"/>
        <v>0</v>
      </c>
      <c r="AM256" s="77">
        <f t="shared" si="334"/>
        <v>0</v>
      </c>
      <c r="AN256" s="77">
        <f t="shared" si="334"/>
        <v>0</v>
      </c>
      <c r="AO256" s="77">
        <f t="shared" si="334"/>
        <v>0</v>
      </c>
      <c r="AP256" s="77">
        <f t="shared" si="334"/>
        <v>0</v>
      </c>
      <c r="AQ256" s="77">
        <f t="shared" si="334"/>
        <v>0</v>
      </c>
      <c r="AR256" s="77">
        <f t="shared" si="334"/>
        <v>0</v>
      </c>
      <c r="AS256" s="77">
        <f t="shared" si="334"/>
        <v>0</v>
      </c>
      <c r="AT256" s="77">
        <f t="shared" si="334"/>
        <v>0</v>
      </c>
      <c r="AU256" s="77">
        <f t="shared" si="334"/>
        <v>0</v>
      </c>
      <c r="AV256" s="77">
        <f t="shared" si="334"/>
        <v>0</v>
      </c>
      <c r="AW256" s="77">
        <f t="shared" si="334"/>
        <v>0</v>
      </c>
      <c r="AX256" s="77">
        <f t="shared" si="334"/>
        <v>0</v>
      </c>
      <c r="AY256" s="77">
        <f t="shared" si="334"/>
        <v>0</v>
      </c>
      <c r="AZ256" s="77">
        <f t="shared" si="334"/>
        <v>0</v>
      </c>
      <c r="BA256" s="77">
        <f t="shared" si="334"/>
        <v>0</v>
      </c>
      <c r="BB256" s="77">
        <f t="shared" si="334"/>
        <v>0</v>
      </c>
      <c r="BC256" s="77">
        <f t="shared" si="334"/>
        <v>0</v>
      </c>
      <c r="BD256" s="77">
        <f t="shared" si="334"/>
        <v>0</v>
      </c>
      <c r="BE256" s="77">
        <f t="shared" si="334"/>
        <v>0</v>
      </c>
      <c r="BF256" s="77">
        <f t="shared" si="334"/>
        <v>0</v>
      </c>
      <c r="BG256" s="77">
        <f t="shared" si="334"/>
        <v>0</v>
      </c>
      <c r="BH256" s="77">
        <f t="shared" si="334"/>
        <v>0</v>
      </c>
      <c r="BI256" s="77">
        <f t="shared" si="334"/>
        <v>0</v>
      </c>
      <c r="BJ256" s="77">
        <f t="shared" si="334"/>
        <v>0</v>
      </c>
      <c r="BK256" s="77">
        <f t="shared" si="334"/>
        <v>0</v>
      </c>
      <c r="BL256" s="77">
        <f t="shared" si="334"/>
        <v>0</v>
      </c>
      <c r="BM256" s="77">
        <f t="shared" si="334"/>
        <v>0</v>
      </c>
      <c r="BN256" s="77">
        <f t="shared" si="334"/>
        <v>0</v>
      </c>
      <c r="BO256" s="77">
        <f t="shared" si="334"/>
        <v>0</v>
      </c>
      <c r="BP256" s="77">
        <f t="shared" si="334"/>
        <v>0</v>
      </c>
      <c r="BQ256" s="77">
        <f t="shared" si="334"/>
        <v>0</v>
      </c>
      <c r="BR256" s="77">
        <f t="shared" si="334"/>
        <v>0</v>
      </c>
      <c r="BS256" s="77">
        <f t="shared" ref="BS256:DV256" si="335">IF(BS250="","",MIN(BS252+BS253-BS255,BS248*$I$18))</f>
        <v>0</v>
      </c>
      <c r="BT256" s="77">
        <f t="shared" si="335"/>
        <v>0</v>
      </c>
      <c r="BU256" s="77">
        <f t="shared" si="335"/>
        <v>0</v>
      </c>
      <c r="BV256" s="77">
        <f t="shared" si="335"/>
        <v>0</v>
      </c>
      <c r="BW256" s="77">
        <f t="shared" si="335"/>
        <v>0</v>
      </c>
      <c r="BX256" s="77">
        <f t="shared" si="335"/>
        <v>0</v>
      </c>
      <c r="BY256" s="77">
        <f t="shared" si="335"/>
        <v>0</v>
      </c>
      <c r="BZ256" s="77">
        <f t="shared" si="335"/>
        <v>0</v>
      </c>
      <c r="CA256" s="77">
        <f t="shared" si="335"/>
        <v>0</v>
      </c>
      <c r="CB256" s="77">
        <f t="shared" si="335"/>
        <v>0</v>
      </c>
      <c r="CC256" s="77">
        <f t="shared" si="335"/>
        <v>0</v>
      </c>
      <c r="CD256" s="77">
        <f t="shared" si="335"/>
        <v>0</v>
      </c>
      <c r="CE256" s="77">
        <f t="shared" si="335"/>
        <v>0</v>
      </c>
      <c r="CF256" s="77">
        <f t="shared" si="335"/>
        <v>0</v>
      </c>
      <c r="CG256" s="77">
        <f t="shared" si="335"/>
        <v>0</v>
      </c>
      <c r="CH256" s="77">
        <f t="shared" si="335"/>
        <v>0</v>
      </c>
      <c r="CI256" s="77">
        <f t="shared" si="335"/>
        <v>0</v>
      </c>
      <c r="CJ256" s="77">
        <f t="shared" si="335"/>
        <v>0</v>
      </c>
      <c r="CK256" s="77">
        <f t="shared" si="335"/>
        <v>0</v>
      </c>
      <c r="CL256" s="77">
        <f t="shared" si="335"/>
        <v>0</v>
      </c>
      <c r="CM256" s="77">
        <f t="shared" si="335"/>
        <v>0</v>
      </c>
      <c r="CN256" s="77">
        <f t="shared" si="335"/>
        <v>0</v>
      </c>
      <c r="CO256" s="77">
        <f t="shared" si="335"/>
        <v>0</v>
      </c>
      <c r="CP256" s="77">
        <f t="shared" si="335"/>
        <v>0</v>
      </c>
      <c r="CQ256" s="77">
        <f t="shared" si="335"/>
        <v>0</v>
      </c>
      <c r="CR256" s="77">
        <f t="shared" si="335"/>
        <v>0</v>
      </c>
      <c r="CS256" s="77">
        <f t="shared" si="335"/>
        <v>0</v>
      </c>
      <c r="CT256" s="77">
        <f t="shared" si="335"/>
        <v>0</v>
      </c>
      <c r="CU256" s="77">
        <f t="shared" si="335"/>
        <v>0</v>
      </c>
      <c r="CV256" s="77">
        <f t="shared" si="335"/>
        <v>0</v>
      </c>
      <c r="CW256" s="77">
        <f t="shared" si="335"/>
        <v>1.6763806343078614E-9</v>
      </c>
      <c r="CX256" s="77" t="str">
        <f t="shared" si="335"/>
        <v/>
      </c>
      <c r="CY256" s="77" t="str">
        <f t="shared" si="335"/>
        <v/>
      </c>
      <c r="CZ256" s="77" t="str">
        <f t="shared" si="335"/>
        <v/>
      </c>
      <c r="DA256" s="77" t="str">
        <f t="shared" si="335"/>
        <v/>
      </c>
      <c r="DB256" s="77" t="str">
        <f t="shared" si="335"/>
        <v/>
      </c>
      <c r="DC256" s="77" t="str">
        <f t="shared" si="335"/>
        <v/>
      </c>
      <c r="DD256" s="77" t="str">
        <f t="shared" si="335"/>
        <v/>
      </c>
      <c r="DE256" s="77" t="str">
        <f t="shared" si="335"/>
        <v/>
      </c>
      <c r="DF256" s="77" t="str">
        <f t="shared" si="335"/>
        <v/>
      </c>
      <c r="DG256" s="77" t="str">
        <f t="shared" si="335"/>
        <v/>
      </c>
      <c r="DH256" s="77" t="str">
        <f t="shared" si="335"/>
        <v/>
      </c>
      <c r="DI256" s="77" t="str">
        <f t="shared" si="335"/>
        <v/>
      </c>
      <c r="DJ256" s="77" t="str">
        <f t="shared" si="335"/>
        <v/>
      </c>
      <c r="DK256" s="77" t="str">
        <f t="shared" si="335"/>
        <v/>
      </c>
      <c r="DL256" s="77" t="str">
        <f t="shared" si="335"/>
        <v/>
      </c>
      <c r="DM256" s="77" t="str">
        <f t="shared" si="335"/>
        <v/>
      </c>
      <c r="DN256" s="77" t="str">
        <f t="shared" si="335"/>
        <v/>
      </c>
      <c r="DO256" s="77" t="str">
        <f t="shared" si="335"/>
        <v/>
      </c>
      <c r="DP256" s="77" t="str">
        <f t="shared" si="335"/>
        <v/>
      </c>
      <c r="DQ256" s="77" t="str">
        <f t="shared" si="335"/>
        <v/>
      </c>
      <c r="DR256" s="77" t="str">
        <f t="shared" si="335"/>
        <v/>
      </c>
      <c r="DS256" s="77" t="str">
        <f t="shared" si="335"/>
        <v/>
      </c>
      <c r="DT256" s="77" t="str">
        <f t="shared" si="335"/>
        <v/>
      </c>
      <c r="DU256" s="77" t="str">
        <f t="shared" si="335"/>
        <v/>
      </c>
      <c r="DV256" s="77" t="str">
        <f t="shared" si="335"/>
        <v/>
      </c>
      <c r="DW256" s="77"/>
      <c r="DX256" s="77"/>
      <c r="DY256" s="78"/>
    </row>
    <row r="257" spans="2:129" outlineLevel="1" x14ac:dyDescent="0.2">
      <c r="B257" s="16" t="s">
        <v>62</v>
      </c>
      <c r="C257" s="16"/>
      <c r="D257" s="16"/>
      <c r="E257" s="16"/>
      <c r="F257" s="77">
        <f>IF(F250="","",F252+F253+F254-F255-F256)</f>
        <v>93624225.299999997</v>
      </c>
      <c r="G257" s="77">
        <f t="shared" ref="G257:BR257" si="336">IF(G250="","",G252+G253+G254-G255-G256)</f>
        <v>9268822529.9999981</v>
      </c>
      <c r="H257" s="77">
        <f t="shared" si="336"/>
        <v>9271220834.6999969</v>
      </c>
      <c r="I257" s="77">
        <f t="shared" si="336"/>
        <v>9273619139.3999958</v>
      </c>
      <c r="J257" s="77">
        <f t="shared" si="336"/>
        <v>9276017444.0999947</v>
      </c>
      <c r="K257" s="77">
        <f t="shared" si="336"/>
        <v>9278415748.7999935</v>
      </c>
      <c r="L257" s="77">
        <f t="shared" si="336"/>
        <v>9280814053.4999924</v>
      </c>
      <c r="M257" s="77">
        <f t="shared" si="336"/>
        <v>9283212358.1999912</v>
      </c>
      <c r="N257" s="77">
        <f t="shared" si="336"/>
        <v>9285610662.8999901</v>
      </c>
      <c r="O257" s="77">
        <f t="shared" si="336"/>
        <v>9288008967.5999889</v>
      </c>
      <c r="P257" s="77">
        <f t="shared" si="336"/>
        <v>9290407272.2999878</v>
      </c>
      <c r="Q257" s="77">
        <f t="shared" si="336"/>
        <v>9292805576.9999866</v>
      </c>
      <c r="R257" s="77">
        <f t="shared" si="336"/>
        <v>9295203881.6999855</v>
      </c>
      <c r="S257" s="77">
        <f t="shared" si="336"/>
        <v>9297602186.3999844</v>
      </c>
      <c r="T257" s="77">
        <f t="shared" si="336"/>
        <v>9300000491.0999832</v>
      </c>
      <c r="U257" s="77">
        <f t="shared" si="336"/>
        <v>9302398795.7999821</v>
      </c>
      <c r="V257" s="77">
        <f t="shared" si="336"/>
        <v>9304797100.4999809</v>
      </c>
      <c r="W257" s="77">
        <f t="shared" si="336"/>
        <v>9307195405.1999798</v>
      </c>
      <c r="X257" s="77">
        <f t="shared" si="336"/>
        <v>9309593709.8999786</v>
      </c>
      <c r="Y257" s="77">
        <f t="shared" si="336"/>
        <v>9311992014.5999775</v>
      </c>
      <c r="Z257" s="77">
        <f t="shared" si="336"/>
        <v>9314390319.2999763</v>
      </c>
      <c r="AA257" s="77">
        <f t="shared" si="336"/>
        <v>9316788623.9999752</v>
      </c>
      <c r="AB257" s="77">
        <f t="shared" si="336"/>
        <v>9319186928.6999741</v>
      </c>
      <c r="AC257" s="77">
        <f t="shared" si="336"/>
        <v>9321908951.6999741</v>
      </c>
      <c r="AD257" s="77">
        <f t="shared" si="336"/>
        <v>9356849505.8999729</v>
      </c>
      <c r="AE257" s="77">
        <f t="shared" si="336"/>
        <v>9413781574.4999733</v>
      </c>
      <c r="AF257" s="77">
        <f t="shared" si="336"/>
        <v>9414623655.8999729</v>
      </c>
      <c r="AG257" s="77">
        <f t="shared" si="336"/>
        <v>9497989714.4999733</v>
      </c>
      <c r="AH257" s="77">
        <f t="shared" si="336"/>
        <v>9581355773.0999737</v>
      </c>
      <c r="AI257" s="77">
        <f t="shared" si="336"/>
        <v>9664721831.6999741</v>
      </c>
      <c r="AJ257" s="77">
        <f t="shared" si="336"/>
        <v>9748087890.2999744</v>
      </c>
      <c r="AK257" s="77">
        <f t="shared" si="336"/>
        <v>9831453948.8999748</v>
      </c>
      <c r="AL257" s="77">
        <f t="shared" si="336"/>
        <v>9914820007.4999752</v>
      </c>
      <c r="AM257" s="77">
        <f t="shared" si="336"/>
        <v>9998022015.8999767</v>
      </c>
      <c r="AN257" s="77">
        <f t="shared" si="336"/>
        <v>10065147104.699978</v>
      </c>
      <c r="AO257" s="77">
        <f t="shared" si="336"/>
        <v>10132478255.699978</v>
      </c>
      <c r="AP257" s="77">
        <f t="shared" si="336"/>
        <v>10219727989.799978</v>
      </c>
      <c r="AQ257" s="77">
        <f t="shared" si="336"/>
        <v>10279977498.899979</v>
      </c>
      <c r="AR257" s="77">
        <f t="shared" si="336"/>
        <v>10340227007.999979</v>
      </c>
      <c r="AS257" s="77">
        <f t="shared" si="336"/>
        <v>10400476517.099979</v>
      </c>
      <c r="AT257" s="77">
        <f t="shared" si="336"/>
        <v>10460726026.19998</v>
      </c>
      <c r="AU257" s="77">
        <f t="shared" si="336"/>
        <v>10483109869.499981</v>
      </c>
      <c r="AV257" s="77">
        <f t="shared" si="336"/>
        <v>10483780715.099981</v>
      </c>
      <c r="AW257" s="77">
        <f t="shared" si="336"/>
        <v>10550194429.499981</v>
      </c>
      <c r="AX257" s="77">
        <f t="shared" si="336"/>
        <v>10616608143.899981</v>
      </c>
      <c r="AY257" s="77">
        <f t="shared" si="336"/>
        <v>10683021858.29998</v>
      </c>
      <c r="AZ257" s="77">
        <f t="shared" si="336"/>
        <v>10749435572.69998</v>
      </c>
      <c r="BA257" s="77">
        <f t="shared" si="336"/>
        <v>10693233615.26248</v>
      </c>
      <c r="BB257" s="77">
        <f t="shared" si="336"/>
        <v>10693735163.662479</v>
      </c>
      <c r="BC257" s="77">
        <f t="shared" si="336"/>
        <v>10743388455.26248</v>
      </c>
      <c r="BD257" s="77">
        <f t="shared" si="336"/>
        <v>10793041746.86248</v>
      </c>
      <c r="BE257" s="77">
        <f t="shared" si="336"/>
        <v>10842695038.462481</v>
      </c>
      <c r="BF257" s="77">
        <f t="shared" si="336"/>
        <v>10892348330.062481</v>
      </c>
      <c r="BG257" s="77">
        <f t="shared" si="336"/>
        <v>10942001621.662481</v>
      </c>
      <c r="BH257" s="77">
        <f t="shared" si="336"/>
        <v>10991654913.262482</v>
      </c>
      <c r="BI257" s="77">
        <f t="shared" si="336"/>
        <v>11041308204.862482</v>
      </c>
      <c r="BJ257" s="77">
        <f t="shared" si="336"/>
        <v>11090961496.462482</v>
      </c>
      <c r="BK257" s="77">
        <f t="shared" si="336"/>
        <v>11140614788.062483</v>
      </c>
      <c r="BL257" s="77">
        <f t="shared" si="336"/>
        <v>11190268079.662483</v>
      </c>
      <c r="BM257" s="77">
        <f t="shared" si="336"/>
        <v>11239788661.762484</v>
      </c>
      <c r="BN257" s="77">
        <f t="shared" si="336"/>
        <v>11276303712.862484</v>
      </c>
      <c r="BO257" s="77">
        <f t="shared" si="336"/>
        <v>11312818763.962484</v>
      </c>
      <c r="BP257" s="77">
        <f t="shared" si="336"/>
        <v>11349192750.862486</v>
      </c>
      <c r="BQ257" s="77">
        <f t="shared" si="336"/>
        <v>11371742446.162487</v>
      </c>
      <c r="BR257" s="77">
        <f t="shared" si="336"/>
        <v>11394292141.462488</v>
      </c>
      <c r="BS257" s="77">
        <f t="shared" ref="BS257:DV257" si="337">IF(BS250="","",BS252+BS253+BS254-BS255-BS256)</f>
        <v>11416841836.762489</v>
      </c>
      <c r="BT257" s="77">
        <f t="shared" si="337"/>
        <v>11439391532.06249</v>
      </c>
      <c r="BU257" s="77">
        <f t="shared" si="337"/>
        <v>11461941227.362492</v>
      </c>
      <c r="BV257" s="77">
        <f t="shared" si="337"/>
        <v>11484490922.662493</v>
      </c>
      <c r="BW257" s="77">
        <f t="shared" si="337"/>
        <v>11507040617.962494</v>
      </c>
      <c r="BX257" s="77">
        <f t="shared" si="337"/>
        <v>11529590313.262495</v>
      </c>
      <c r="BY257" s="77">
        <f t="shared" si="337"/>
        <v>11546596008.562496</v>
      </c>
      <c r="BZ257" s="77">
        <f t="shared" si="337"/>
        <v>11542839769.102497</v>
      </c>
      <c r="CA257" s="77">
        <f t="shared" si="337"/>
        <v>11543067543.802498</v>
      </c>
      <c r="CB257" s="77">
        <f t="shared" si="337"/>
        <v>11565617239.102499</v>
      </c>
      <c r="CC257" s="77">
        <f t="shared" si="337"/>
        <v>11588166934.4025</v>
      </c>
      <c r="CD257" s="77">
        <f t="shared" si="337"/>
        <v>11610716629.702501</v>
      </c>
      <c r="CE257" s="77">
        <f t="shared" si="337"/>
        <v>11624280213.375002</v>
      </c>
      <c r="CF257" s="77">
        <f t="shared" si="337"/>
        <v>11624280213.375002</v>
      </c>
      <c r="CG257" s="77">
        <f t="shared" si="337"/>
        <v>11624280213.375002</v>
      </c>
      <c r="CH257" s="77">
        <f t="shared" si="337"/>
        <v>11624280213.375002</v>
      </c>
      <c r="CI257" s="77">
        <f t="shared" si="337"/>
        <v>11624280213.375002</v>
      </c>
      <c r="CJ257" s="77">
        <f t="shared" si="337"/>
        <v>11624280213.375002</v>
      </c>
      <c r="CK257" s="77">
        <f t="shared" si="337"/>
        <v>11624803638.075003</v>
      </c>
      <c r="CL257" s="77">
        <f t="shared" si="337"/>
        <v>11676622683.375004</v>
      </c>
      <c r="CM257" s="77">
        <f t="shared" si="337"/>
        <v>11728441728.675005</v>
      </c>
      <c r="CN257" s="77">
        <f t="shared" si="337"/>
        <v>11780260773.975006</v>
      </c>
      <c r="CO257" s="77">
        <f t="shared" si="337"/>
        <v>11832079819.275007</v>
      </c>
      <c r="CP257" s="77">
        <f t="shared" si="337"/>
        <v>11883898864.575008</v>
      </c>
      <c r="CQ257" s="77">
        <f t="shared" si="337"/>
        <v>11935717909.87501</v>
      </c>
      <c r="CR257" s="77">
        <f t="shared" si="337"/>
        <v>11987536955.175011</v>
      </c>
      <c r="CS257" s="77">
        <f t="shared" si="337"/>
        <v>12039356000.475012</v>
      </c>
      <c r="CT257" s="77">
        <f t="shared" si="337"/>
        <v>12091175045.775013</v>
      </c>
      <c r="CU257" s="77">
        <f t="shared" si="337"/>
        <v>12142994091.075014</v>
      </c>
      <c r="CV257" s="77">
        <f t="shared" si="337"/>
        <v>12194813136.375015</v>
      </c>
      <c r="CW257" s="77">
        <f t="shared" si="337"/>
        <v>12229615393.200016</v>
      </c>
      <c r="CX257" s="77" t="str">
        <f t="shared" si="337"/>
        <v/>
      </c>
      <c r="CY257" s="77" t="str">
        <f t="shared" si="337"/>
        <v/>
      </c>
      <c r="CZ257" s="77" t="str">
        <f t="shared" si="337"/>
        <v/>
      </c>
      <c r="DA257" s="77" t="str">
        <f t="shared" si="337"/>
        <v/>
      </c>
      <c r="DB257" s="77" t="str">
        <f t="shared" si="337"/>
        <v/>
      </c>
      <c r="DC257" s="77" t="str">
        <f t="shared" si="337"/>
        <v/>
      </c>
      <c r="DD257" s="77" t="str">
        <f t="shared" si="337"/>
        <v/>
      </c>
      <c r="DE257" s="77" t="str">
        <f t="shared" si="337"/>
        <v/>
      </c>
      <c r="DF257" s="77" t="str">
        <f t="shared" si="337"/>
        <v/>
      </c>
      <c r="DG257" s="77" t="str">
        <f t="shared" si="337"/>
        <v/>
      </c>
      <c r="DH257" s="77" t="str">
        <f t="shared" si="337"/>
        <v/>
      </c>
      <c r="DI257" s="77" t="str">
        <f t="shared" si="337"/>
        <v/>
      </c>
      <c r="DJ257" s="77" t="str">
        <f t="shared" si="337"/>
        <v/>
      </c>
      <c r="DK257" s="77" t="str">
        <f t="shared" si="337"/>
        <v/>
      </c>
      <c r="DL257" s="77" t="str">
        <f t="shared" si="337"/>
        <v/>
      </c>
      <c r="DM257" s="77" t="str">
        <f t="shared" si="337"/>
        <v/>
      </c>
      <c r="DN257" s="77" t="str">
        <f t="shared" si="337"/>
        <v/>
      </c>
      <c r="DO257" s="77" t="str">
        <f t="shared" si="337"/>
        <v/>
      </c>
      <c r="DP257" s="77" t="str">
        <f t="shared" si="337"/>
        <v/>
      </c>
      <c r="DQ257" s="77" t="str">
        <f t="shared" si="337"/>
        <v/>
      </c>
      <c r="DR257" s="77" t="str">
        <f t="shared" si="337"/>
        <v/>
      </c>
      <c r="DS257" s="77" t="str">
        <f t="shared" si="337"/>
        <v/>
      </c>
      <c r="DT257" s="77" t="str">
        <f t="shared" si="337"/>
        <v/>
      </c>
      <c r="DU257" s="77" t="str">
        <f t="shared" si="337"/>
        <v/>
      </c>
      <c r="DV257" s="77" t="str">
        <f t="shared" si="337"/>
        <v/>
      </c>
      <c r="DW257" s="77"/>
      <c r="DX257" s="77"/>
      <c r="DY257" s="78"/>
    </row>
    <row r="258" spans="2:129" outlineLevel="1" x14ac:dyDescent="0.2">
      <c r="B258" s="128">
        <f>C251</f>
        <v>99</v>
      </c>
      <c r="C258" s="16"/>
      <c r="D258" s="16"/>
      <c r="E258" s="137">
        <f>SUMIF(F258:DY258,"&gt;0")/-SUMIF(F258:DY258,"&lt;0")</f>
        <v>1.742561261086957</v>
      </c>
      <c r="F258" s="77">
        <f>IF(F250="","",-F254+F255+F256)</f>
        <v>-93624225.299999997</v>
      </c>
      <c r="G258" s="77">
        <f t="shared" ref="G258:BR258" si="338">IF(G250="","",-G254+G255+G256)</f>
        <v>-24225.3</v>
      </c>
      <c r="H258" s="77">
        <f t="shared" si="338"/>
        <v>-24225.3</v>
      </c>
      <c r="I258" s="77">
        <f t="shared" si="338"/>
        <v>-24225.3</v>
      </c>
      <c r="J258" s="77">
        <f t="shared" si="338"/>
        <v>-24225.3</v>
      </c>
      <c r="K258" s="77">
        <f t="shared" si="338"/>
        <v>-24225.3</v>
      </c>
      <c r="L258" s="77">
        <f t="shared" si="338"/>
        <v>-24225.3</v>
      </c>
      <c r="M258" s="77">
        <f t="shared" si="338"/>
        <v>-24225.3</v>
      </c>
      <c r="N258" s="77">
        <f t="shared" si="338"/>
        <v>-24225.3</v>
      </c>
      <c r="O258" s="77">
        <f t="shared" si="338"/>
        <v>-24225.3</v>
      </c>
      <c r="P258" s="77">
        <f t="shared" si="338"/>
        <v>-24225.3</v>
      </c>
      <c r="Q258" s="77">
        <f t="shared" si="338"/>
        <v>-24225.3</v>
      </c>
      <c r="R258" s="77">
        <f t="shared" si="338"/>
        <v>-24225.3</v>
      </c>
      <c r="S258" s="77">
        <f t="shared" si="338"/>
        <v>-24225.3</v>
      </c>
      <c r="T258" s="77">
        <f t="shared" si="338"/>
        <v>-24225.3</v>
      </c>
      <c r="U258" s="77">
        <f t="shared" si="338"/>
        <v>-24225.3</v>
      </c>
      <c r="V258" s="77">
        <f t="shared" si="338"/>
        <v>-24225.3</v>
      </c>
      <c r="W258" s="77">
        <f t="shared" si="338"/>
        <v>-24225.3</v>
      </c>
      <c r="X258" s="77">
        <f t="shared" si="338"/>
        <v>-24225.3</v>
      </c>
      <c r="Y258" s="77">
        <f t="shared" si="338"/>
        <v>-24225.3</v>
      </c>
      <c r="Z258" s="77">
        <f t="shared" si="338"/>
        <v>-24225.3</v>
      </c>
      <c r="AA258" s="77">
        <f t="shared" si="338"/>
        <v>-24225.3</v>
      </c>
      <c r="AB258" s="77">
        <f t="shared" si="338"/>
        <v>-24225.3</v>
      </c>
      <c r="AC258" s="77">
        <f t="shared" si="338"/>
        <v>-347943.60000000003</v>
      </c>
      <c r="AD258" s="77">
        <f t="shared" si="338"/>
        <v>-842081.4</v>
      </c>
      <c r="AE258" s="77">
        <f t="shared" si="338"/>
        <v>25591908.600000001</v>
      </c>
      <c r="AF258" s="77">
        <f t="shared" si="338"/>
        <v>-842081.4</v>
      </c>
      <c r="AG258" s="77">
        <f t="shared" si="338"/>
        <v>-842081.4</v>
      </c>
      <c r="AH258" s="77">
        <f t="shared" si="338"/>
        <v>-842081.4</v>
      </c>
      <c r="AI258" s="77">
        <f t="shared" si="338"/>
        <v>-842081.4</v>
      </c>
      <c r="AJ258" s="77">
        <f t="shared" si="338"/>
        <v>-842081.4</v>
      </c>
      <c r="AK258" s="77">
        <f t="shared" si="338"/>
        <v>-842081.4</v>
      </c>
      <c r="AL258" s="77">
        <f t="shared" si="338"/>
        <v>-842081.4</v>
      </c>
      <c r="AM258" s="77">
        <f t="shared" si="338"/>
        <v>-678031.20000000007</v>
      </c>
      <c r="AN258" s="77">
        <f t="shared" si="338"/>
        <v>-678031.20000000007</v>
      </c>
      <c r="AO258" s="77">
        <f t="shared" si="338"/>
        <v>-884093.4</v>
      </c>
      <c r="AP258" s="77">
        <f t="shared" si="338"/>
        <v>-608580.9</v>
      </c>
      <c r="AQ258" s="77">
        <f t="shared" si="338"/>
        <v>-608580.9</v>
      </c>
      <c r="AR258" s="77">
        <f t="shared" si="338"/>
        <v>-608580.9</v>
      </c>
      <c r="AS258" s="77">
        <f t="shared" si="338"/>
        <v>-608580.9</v>
      </c>
      <c r="AT258" s="77">
        <f t="shared" si="338"/>
        <v>-608580.9</v>
      </c>
      <c r="AU258" s="77">
        <f t="shared" si="338"/>
        <v>37257084.899999999</v>
      </c>
      <c r="AV258" s="77">
        <f t="shared" si="338"/>
        <v>-670845.6</v>
      </c>
      <c r="AW258" s="77">
        <f t="shared" si="338"/>
        <v>-670845.6</v>
      </c>
      <c r="AX258" s="77">
        <f t="shared" si="338"/>
        <v>-670845.6</v>
      </c>
      <c r="AY258" s="77">
        <f t="shared" si="338"/>
        <v>-670845.6</v>
      </c>
      <c r="AZ258" s="77">
        <f t="shared" si="338"/>
        <v>-670845.6</v>
      </c>
      <c r="BA258" s="77">
        <f t="shared" si="338"/>
        <v>121944826.23750018</v>
      </c>
      <c r="BB258" s="77">
        <f t="shared" si="338"/>
        <v>-501548.4</v>
      </c>
      <c r="BC258" s="77">
        <f t="shared" si="338"/>
        <v>-501548.4</v>
      </c>
      <c r="BD258" s="77">
        <f t="shared" si="338"/>
        <v>-501548.4</v>
      </c>
      <c r="BE258" s="77">
        <f t="shared" si="338"/>
        <v>-501548.4</v>
      </c>
      <c r="BF258" s="77">
        <f t="shared" si="338"/>
        <v>-501548.4</v>
      </c>
      <c r="BG258" s="77">
        <f t="shared" si="338"/>
        <v>-501548.4</v>
      </c>
      <c r="BH258" s="77">
        <f t="shared" si="338"/>
        <v>-501548.4</v>
      </c>
      <c r="BI258" s="77">
        <f t="shared" si="338"/>
        <v>-501548.4</v>
      </c>
      <c r="BJ258" s="77">
        <f t="shared" si="338"/>
        <v>-501548.4</v>
      </c>
      <c r="BK258" s="77">
        <f t="shared" si="338"/>
        <v>-501548.4</v>
      </c>
      <c r="BL258" s="77">
        <f t="shared" si="338"/>
        <v>-501548.4</v>
      </c>
      <c r="BM258" s="77">
        <f t="shared" si="338"/>
        <v>-368838.9</v>
      </c>
      <c r="BN258" s="77">
        <f t="shared" si="338"/>
        <v>-368838.9</v>
      </c>
      <c r="BO258" s="77">
        <f t="shared" si="338"/>
        <v>-368838.9</v>
      </c>
      <c r="BP258" s="77">
        <f t="shared" si="338"/>
        <v>-227774.7</v>
      </c>
      <c r="BQ258" s="77">
        <f t="shared" si="338"/>
        <v>-227774.7</v>
      </c>
      <c r="BR258" s="77">
        <f t="shared" si="338"/>
        <v>-227774.7</v>
      </c>
      <c r="BS258" s="77">
        <f t="shared" ref="BS258:DV258" si="339">IF(BS250="","",-BS254+BS255+BS256)</f>
        <v>-227774.7</v>
      </c>
      <c r="BT258" s="77">
        <f t="shared" si="339"/>
        <v>-227774.7</v>
      </c>
      <c r="BU258" s="77">
        <f t="shared" si="339"/>
        <v>-227774.7</v>
      </c>
      <c r="BV258" s="77">
        <f t="shared" si="339"/>
        <v>-227774.7</v>
      </c>
      <c r="BW258" s="77">
        <f t="shared" si="339"/>
        <v>-227774.7</v>
      </c>
      <c r="BX258" s="77">
        <f t="shared" si="339"/>
        <v>-227774.7</v>
      </c>
      <c r="BY258" s="77">
        <f t="shared" si="339"/>
        <v>5316225.3</v>
      </c>
      <c r="BZ258" s="77">
        <f t="shared" si="339"/>
        <v>3756239.4600000004</v>
      </c>
      <c r="CA258" s="77">
        <f t="shared" si="339"/>
        <v>-227774.7</v>
      </c>
      <c r="CB258" s="77">
        <f t="shared" si="339"/>
        <v>-227774.7</v>
      </c>
      <c r="CC258" s="77">
        <f t="shared" si="339"/>
        <v>-227774.7</v>
      </c>
      <c r="CD258" s="77">
        <f t="shared" si="339"/>
        <v>-227774.7</v>
      </c>
      <c r="CE258" s="77">
        <f t="shared" si="339"/>
        <v>8758336.9274999965</v>
      </c>
      <c r="CF258" s="77">
        <f t="shared" si="339"/>
        <v>0</v>
      </c>
      <c r="CG258" s="77">
        <f t="shared" si="339"/>
        <v>0</v>
      </c>
      <c r="CH258" s="77">
        <f t="shared" si="339"/>
        <v>0</v>
      </c>
      <c r="CI258" s="77">
        <f t="shared" si="339"/>
        <v>0</v>
      </c>
      <c r="CJ258" s="77">
        <f t="shared" si="339"/>
        <v>0</v>
      </c>
      <c r="CK258" s="77">
        <f t="shared" si="339"/>
        <v>-523424.7</v>
      </c>
      <c r="CL258" s="77">
        <f t="shared" si="339"/>
        <v>-523424.7</v>
      </c>
      <c r="CM258" s="77">
        <f t="shared" si="339"/>
        <v>-523424.7</v>
      </c>
      <c r="CN258" s="77">
        <f t="shared" si="339"/>
        <v>-523424.7</v>
      </c>
      <c r="CO258" s="77">
        <f t="shared" si="339"/>
        <v>-523424.7</v>
      </c>
      <c r="CP258" s="77">
        <f t="shared" si="339"/>
        <v>-523424.7</v>
      </c>
      <c r="CQ258" s="77">
        <f t="shared" si="339"/>
        <v>-523424.7</v>
      </c>
      <c r="CR258" s="77">
        <f t="shared" si="339"/>
        <v>-523424.7</v>
      </c>
      <c r="CS258" s="77">
        <f t="shared" si="339"/>
        <v>-523424.7</v>
      </c>
      <c r="CT258" s="77">
        <f t="shared" si="339"/>
        <v>-523424.7</v>
      </c>
      <c r="CU258" s="77">
        <f t="shared" si="339"/>
        <v>-523424.7</v>
      </c>
      <c r="CV258" s="77">
        <f t="shared" si="339"/>
        <v>-523424.7</v>
      </c>
      <c r="CW258" s="77">
        <f t="shared" si="339"/>
        <v>16493363.775</v>
      </c>
      <c r="CX258" s="77" t="str">
        <f t="shared" si="339"/>
        <v/>
      </c>
      <c r="CY258" s="77" t="str">
        <f t="shared" si="339"/>
        <v/>
      </c>
      <c r="CZ258" s="77" t="str">
        <f t="shared" si="339"/>
        <v/>
      </c>
      <c r="DA258" s="77" t="str">
        <f t="shared" si="339"/>
        <v/>
      </c>
      <c r="DB258" s="77" t="str">
        <f t="shared" si="339"/>
        <v/>
      </c>
      <c r="DC258" s="77" t="str">
        <f t="shared" si="339"/>
        <v/>
      </c>
      <c r="DD258" s="77" t="str">
        <f t="shared" si="339"/>
        <v/>
      </c>
      <c r="DE258" s="77" t="str">
        <f t="shared" si="339"/>
        <v/>
      </c>
      <c r="DF258" s="77" t="str">
        <f t="shared" si="339"/>
        <v/>
      </c>
      <c r="DG258" s="77" t="str">
        <f t="shared" si="339"/>
        <v/>
      </c>
      <c r="DH258" s="77" t="str">
        <f t="shared" si="339"/>
        <v/>
      </c>
      <c r="DI258" s="77" t="str">
        <f t="shared" si="339"/>
        <v/>
      </c>
      <c r="DJ258" s="77" t="str">
        <f t="shared" si="339"/>
        <v/>
      </c>
      <c r="DK258" s="77" t="str">
        <f t="shared" si="339"/>
        <v/>
      </c>
      <c r="DL258" s="77" t="str">
        <f t="shared" si="339"/>
        <v/>
      </c>
      <c r="DM258" s="77" t="str">
        <f t="shared" si="339"/>
        <v/>
      </c>
      <c r="DN258" s="77" t="str">
        <f t="shared" si="339"/>
        <v/>
      </c>
      <c r="DO258" s="77" t="str">
        <f t="shared" si="339"/>
        <v/>
      </c>
      <c r="DP258" s="77" t="str">
        <f t="shared" si="339"/>
        <v/>
      </c>
      <c r="DQ258" s="77" t="str">
        <f t="shared" si="339"/>
        <v/>
      </c>
      <c r="DR258" s="77" t="str">
        <f t="shared" si="339"/>
        <v/>
      </c>
      <c r="DS258" s="77" t="str">
        <f t="shared" si="339"/>
        <v/>
      </c>
      <c r="DT258" s="77" t="str">
        <f t="shared" si="339"/>
        <v/>
      </c>
      <c r="DU258" s="77" t="str">
        <f t="shared" si="339"/>
        <v/>
      </c>
      <c r="DV258" s="77" t="str">
        <f t="shared" si="339"/>
        <v/>
      </c>
      <c r="DW258" s="77"/>
      <c r="DX258" s="77"/>
      <c r="DY258" s="78"/>
    </row>
    <row r="259" spans="2:129" outlineLevel="1" x14ac:dyDescent="0.2">
      <c r="B259" s="9"/>
      <c r="C259" s="9"/>
      <c r="D259" s="9"/>
      <c r="E259" s="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  <c r="AS259" s="129"/>
      <c r="AT259" s="129"/>
      <c r="AU259" s="129"/>
      <c r="AV259" s="129"/>
      <c r="AW259" s="129"/>
      <c r="AX259" s="129"/>
      <c r="AY259" s="129"/>
      <c r="AZ259" s="129"/>
      <c r="BA259" s="129"/>
      <c r="BB259" s="129"/>
      <c r="BC259" s="129"/>
      <c r="BD259" s="129"/>
      <c r="BE259" s="129"/>
      <c r="BF259" s="129"/>
      <c r="BG259" s="129"/>
      <c r="BH259" s="129"/>
      <c r="BI259" s="129"/>
      <c r="BJ259" s="129"/>
      <c r="BK259" s="129"/>
      <c r="BL259" s="129"/>
      <c r="BM259" s="129"/>
      <c r="BN259" s="129"/>
      <c r="BO259" s="129"/>
      <c r="BP259" s="129"/>
      <c r="BQ259" s="129"/>
      <c r="BR259" s="129"/>
      <c r="BS259" s="129"/>
      <c r="BT259" s="129"/>
      <c r="BU259" s="129"/>
      <c r="BV259" s="129"/>
      <c r="BW259" s="129"/>
      <c r="BX259" s="129"/>
      <c r="BY259" s="129"/>
      <c r="BZ259" s="129"/>
      <c r="CA259" s="129"/>
      <c r="CB259" s="129"/>
      <c r="CC259" s="129"/>
      <c r="CD259" s="129"/>
      <c r="CE259" s="129"/>
      <c r="CF259" s="129"/>
      <c r="CG259" s="129"/>
      <c r="CH259" s="129"/>
      <c r="CI259" s="129"/>
      <c r="CJ259" s="129"/>
      <c r="CK259" s="129"/>
      <c r="CL259" s="129"/>
      <c r="CM259" s="129"/>
      <c r="CN259" s="129"/>
      <c r="CO259" s="129"/>
      <c r="CP259" s="129"/>
      <c r="CQ259" s="129"/>
      <c r="CR259" s="129"/>
      <c r="CS259" s="129"/>
      <c r="CT259" s="129"/>
      <c r="CU259" s="129"/>
      <c r="CV259" s="129"/>
      <c r="CW259" s="129"/>
      <c r="CX259" s="129"/>
      <c r="CY259" s="129"/>
      <c r="CZ259" s="129"/>
      <c r="DA259" s="129"/>
      <c r="DB259" s="129"/>
      <c r="DC259" s="129"/>
      <c r="DD259" s="129"/>
      <c r="DE259" s="129"/>
      <c r="DF259" s="129"/>
      <c r="DG259" s="129"/>
      <c r="DH259" s="129"/>
      <c r="DI259" s="129"/>
      <c r="DJ259" s="129"/>
      <c r="DK259" s="129"/>
      <c r="DL259" s="129"/>
      <c r="DM259" s="129"/>
      <c r="DN259" s="129"/>
      <c r="DO259" s="129"/>
      <c r="DP259" s="129"/>
      <c r="DQ259" s="129"/>
      <c r="DR259" s="129"/>
      <c r="DS259" s="129"/>
      <c r="DT259" s="129"/>
      <c r="DU259" s="129"/>
      <c r="DV259" s="129"/>
      <c r="DW259" s="129"/>
      <c r="DX259" s="129"/>
      <c r="DY259" s="130"/>
    </row>
    <row r="260" spans="2:129" outlineLevel="1" x14ac:dyDescent="0.2">
      <c r="B260" s="16" t="s">
        <v>63</v>
      </c>
      <c r="C260" s="16"/>
      <c r="D260" s="16"/>
      <c r="E260" s="16"/>
      <c r="F260" s="77">
        <f>IF(F250="","",F256)</f>
        <v>0</v>
      </c>
      <c r="G260" s="77">
        <f t="shared" ref="G260:BR260" si="340">IF(G250="","",G256)</f>
        <v>0</v>
      </c>
      <c r="H260" s="77">
        <f t="shared" si="340"/>
        <v>0</v>
      </c>
      <c r="I260" s="77">
        <f t="shared" si="340"/>
        <v>0</v>
      </c>
      <c r="J260" s="77">
        <f t="shared" si="340"/>
        <v>0</v>
      </c>
      <c r="K260" s="77">
        <f t="shared" si="340"/>
        <v>0</v>
      </c>
      <c r="L260" s="77">
        <f t="shared" si="340"/>
        <v>0</v>
      </c>
      <c r="M260" s="77">
        <f t="shared" si="340"/>
        <v>0</v>
      </c>
      <c r="N260" s="77">
        <f t="shared" si="340"/>
        <v>0</v>
      </c>
      <c r="O260" s="77">
        <f t="shared" si="340"/>
        <v>0</v>
      </c>
      <c r="P260" s="77">
        <f t="shared" si="340"/>
        <v>0</v>
      </c>
      <c r="Q260" s="77">
        <f t="shared" si="340"/>
        <v>0</v>
      </c>
      <c r="R260" s="77">
        <f t="shared" si="340"/>
        <v>0</v>
      </c>
      <c r="S260" s="77">
        <f t="shared" si="340"/>
        <v>0</v>
      </c>
      <c r="T260" s="77">
        <f t="shared" si="340"/>
        <v>0</v>
      </c>
      <c r="U260" s="77">
        <f t="shared" si="340"/>
        <v>0</v>
      </c>
      <c r="V260" s="77">
        <f t="shared" si="340"/>
        <v>0</v>
      </c>
      <c r="W260" s="77">
        <f t="shared" si="340"/>
        <v>0</v>
      </c>
      <c r="X260" s="77">
        <f t="shared" si="340"/>
        <v>0</v>
      </c>
      <c r="Y260" s="77">
        <f t="shared" si="340"/>
        <v>0</v>
      </c>
      <c r="Z260" s="77">
        <f t="shared" si="340"/>
        <v>0</v>
      </c>
      <c r="AA260" s="77">
        <f t="shared" si="340"/>
        <v>0</v>
      </c>
      <c r="AB260" s="77">
        <f t="shared" si="340"/>
        <v>0</v>
      </c>
      <c r="AC260" s="77">
        <f t="shared" si="340"/>
        <v>0</v>
      </c>
      <c r="AD260" s="77">
        <f t="shared" si="340"/>
        <v>0</v>
      </c>
      <c r="AE260" s="77">
        <f t="shared" si="340"/>
        <v>0</v>
      </c>
      <c r="AF260" s="77">
        <f t="shared" si="340"/>
        <v>0</v>
      </c>
      <c r="AG260" s="77">
        <f t="shared" si="340"/>
        <v>0</v>
      </c>
      <c r="AH260" s="77">
        <f t="shared" si="340"/>
        <v>0</v>
      </c>
      <c r="AI260" s="77">
        <f t="shared" si="340"/>
        <v>0</v>
      </c>
      <c r="AJ260" s="77">
        <f t="shared" si="340"/>
        <v>0</v>
      </c>
      <c r="AK260" s="77">
        <f t="shared" si="340"/>
        <v>0</v>
      </c>
      <c r="AL260" s="77">
        <f t="shared" si="340"/>
        <v>0</v>
      </c>
      <c r="AM260" s="77">
        <f t="shared" si="340"/>
        <v>0</v>
      </c>
      <c r="AN260" s="77">
        <f t="shared" si="340"/>
        <v>0</v>
      </c>
      <c r="AO260" s="77">
        <f t="shared" si="340"/>
        <v>0</v>
      </c>
      <c r="AP260" s="77">
        <f t="shared" si="340"/>
        <v>0</v>
      </c>
      <c r="AQ260" s="77">
        <f t="shared" si="340"/>
        <v>0</v>
      </c>
      <c r="AR260" s="77">
        <f t="shared" si="340"/>
        <v>0</v>
      </c>
      <c r="AS260" s="77">
        <f t="shared" si="340"/>
        <v>0</v>
      </c>
      <c r="AT260" s="77">
        <f t="shared" si="340"/>
        <v>0</v>
      </c>
      <c r="AU260" s="77">
        <f t="shared" si="340"/>
        <v>0</v>
      </c>
      <c r="AV260" s="77">
        <f t="shared" si="340"/>
        <v>0</v>
      </c>
      <c r="AW260" s="77">
        <f t="shared" si="340"/>
        <v>0</v>
      </c>
      <c r="AX260" s="77">
        <f t="shared" si="340"/>
        <v>0</v>
      </c>
      <c r="AY260" s="77">
        <f t="shared" si="340"/>
        <v>0</v>
      </c>
      <c r="AZ260" s="77">
        <f t="shared" si="340"/>
        <v>0</v>
      </c>
      <c r="BA260" s="77">
        <f t="shared" si="340"/>
        <v>0</v>
      </c>
      <c r="BB260" s="77">
        <f t="shared" si="340"/>
        <v>0</v>
      </c>
      <c r="BC260" s="77">
        <f t="shared" si="340"/>
        <v>0</v>
      </c>
      <c r="BD260" s="77">
        <f t="shared" si="340"/>
        <v>0</v>
      </c>
      <c r="BE260" s="77">
        <f t="shared" si="340"/>
        <v>0</v>
      </c>
      <c r="BF260" s="77">
        <f t="shared" si="340"/>
        <v>0</v>
      </c>
      <c r="BG260" s="77">
        <f t="shared" si="340"/>
        <v>0</v>
      </c>
      <c r="BH260" s="77">
        <f t="shared" si="340"/>
        <v>0</v>
      </c>
      <c r="BI260" s="77">
        <f t="shared" si="340"/>
        <v>0</v>
      </c>
      <c r="BJ260" s="77">
        <f t="shared" si="340"/>
        <v>0</v>
      </c>
      <c r="BK260" s="77">
        <f t="shared" si="340"/>
        <v>0</v>
      </c>
      <c r="BL260" s="77">
        <f t="shared" si="340"/>
        <v>0</v>
      </c>
      <c r="BM260" s="77">
        <f t="shared" si="340"/>
        <v>0</v>
      </c>
      <c r="BN260" s="77">
        <f t="shared" si="340"/>
        <v>0</v>
      </c>
      <c r="BO260" s="77">
        <f t="shared" si="340"/>
        <v>0</v>
      </c>
      <c r="BP260" s="77">
        <f t="shared" si="340"/>
        <v>0</v>
      </c>
      <c r="BQ260" s="77">
        <f t="shared" si="340"/>
        <v>0</v>
      </c>
      <c r="BR260" s="77">
        <f t="shared" si="340"/>
        <v>0</v>
      </c>
      <c r="BS260" s="77">
        <f t="shared" ref="BS260:DV260" si="341">IF(BS250="","",BS256)</f>
        <v>0</v>
      </c>
      <c r="BT260" s="77">
        <f t="shared" si="341"/>
        <v>0</v>
      </c>
      <c r="BU260" s="77">
        <f t="shared" si="341"/>
        <v>0</v>
      </c>
      <c r="BV260" s="77">
        <f t="shared" si="341"/>
        <v>0</v>
      </c>
      <c r="BW260" s="77">
        <f t="shared" si="341"/>
        <v>0</v>
      </c>
      <c r="BX260" s="77">
        <f t="shared" si="341"/>
        <v>0</v>
      </c>
      <c r="BY260" s="77">
        <f t="shared" si="341"/>
        <v>0</v>
      </c>
      <c r="BZ260" s="77">
        <f t="shared" si="341"/>
        <v>0</v>
      </c>
      <c r="CA260" s="77">
        <f t="shared" si="341"/>
        <v>0</v>
      </c>
      <c r="CB260" s="77">
        <f t="shared" si="341"/>
        <v>0</v>
      </c>
      <c r="CC260" s="77">
        <f t="shared" si="341"/>
        <v>0</v>
      </c>
      <c r="CD260" s="77">
        <f t="shared" si="341"/>
        <v>0</v>
      </c>
      <c r="CE260" s="77">
        <f t="shared" si="341"/>
        <v>0</v>
      </c>
      <c r="CF260" s="77">
        <f t="shared" si="341"/>
        <v>0</v>
      </c>
      <c r="CG260" s="77">
        <f t="shared" si="341"/>
        <v>0</v>
      </c>
      <c r="CH260" s="77">
        <f t="shared" si="341"/>
        <v>0</v>
      </c>
      <c r="CI260" s="77">
        <f t="shared" si="341"/>
        <v>0</v>
      </c>
      <c r="CJ260" s="77">
        <f t="shared" si="341"/>
        <v>0</v>
      </c>
      <c r="CK260" s="77">
        <f t="shared" si="341"/>
        <v>0</v>
      </c>
      <c r="CL260" s="77">
        <f t="shared" si="341"/>
        <v>0</v>
      </c>
      <c r="CM260" s="77">
        <f t="shared" si="341"/>
        <v>0</v>
      </c>
      <c r="CN260" s="77">
        <f t="shared" si="341"/>
        <v>0</v>
      </c>
      <c r="CO260" s="77">
        <f t="shared" si="341"/>
        <v>0</v>
      </c>
      <c r="CP260" s="77">
        <f t="shared" si="341"/>
        <v>0</v>
      </c>
      <c r="CQ260" s="77">
        <f t="shared" si="341"/>
        <v>0</v>
      </c>
      <c r="CR260" s="77">
        <f t="shared" si="341"/>
        <v>0</v>
      </c>
      <c r="CS260" s="77">
        <f t="shared" si="341"/>
        <v>0</v>
      </c>
      <c r="CT260" s="77">
        <f t="shared" si="341"/>
        <v>0</v>
      </c>
      <c r="CU260" s="77">
        <f t="shared" si="341"/>
        <v>0</v>
      </c>
      <c r="CV260" s="77">
        <f t="shared" si="341"/>
        <v>0</v>
      </c>
      <c r="CW260" s="77">
        <f t="shared" si="341"/>
        <v>1.6763806343078614E-9</v>
      </c>
      <c r="CX260" s="77" t="str">
        <f t="shared" si="341"/>
        <v/>
      </c>
      <c r="CY260" s="77" t="str">
        <f t="shared" si="341"/>
        <v/>
      </c>
      <c r="CZ260" s="77" t="str">
        <f t="shared" si="341"/>
        <v/>
      </c>
      <c r="DA260" s="77" t="str">
        <f t="shared" si="341"/>
        <v/>
      </c>
      <c r="DB260" s="77" t="str">
        <f t="shared" si="341"/>
        <v/>
      </c>
      <c r="DC260" s="77" t="str">
        <f t="shared" si="341"/>
        <v/>
      </c>
      <c r="DD260" s="77" t="str">
        <f t="shared" si="341"/>
        <v/>
      </c>
      <c r="DE260" s="77" t="str">
        <f t="shared" si="341"/>
        <v/>
      </c>
      <c r="DF260" s="77" t="str">
        <f t="shared" si="341"/>
        <v/>
      </c>
      <c r="DG260" s="77" t="str">
        <f t="shared" si="341"/>
        <v/>
      </c>
      <c r="DH260" s="77" t="str">
        <f t="shared" si="341"/>
        <v/>
      </c>
      <c r="DI260" s="77" t="str">
        <f t="shared" si="341"/>
        <v/>
      </c>
      <c r="DJ260" s="77" t="str">
        <f t="shared" si="341"/>
        <v/>
      </c>
      <c r="DK260" s="77" t="str">
        <f t="shared" si="341"/>
        <v/>
      </c>
      <c r="DL260" s="77" t="str">
        <f t="shared" si="341"/>
        <v/>
      </c>
      <c r="DM260" s="77" t="str">
        <f t="shared" si="341"/>
        <v/>
      </c>
      <c r="DN260" s="77" t="str">
        <f t="shared" si="341"/>
        <v/>
      </c>
      <c r="DO260" s="77" t="str">
        <f t="shared" si="341"/>
        <v/>
      </c>
      <c r="DP260" s="77" t="str">
        <f t="shared" si="341"/>
        <v/>
      </c>
      <c r="DQ260" s="77" t="str">
        <f t="shared" si="341"/>
        <v/>
      </c>
      <c r="DR260" s="77" t="str">
        <f t="shared" si="341"/>
        <v/>
      </c>
      <c r="DS260" s="77" t="str">
        <f t="shared" si="341"/>
        <v/>
      </c>
      <c r="DT260" s="77" t="str">
        <f t="shared" si="341"/>
        <v/>
      </c>
      <c r="DU260" s="77" t="str">
        <f t="shared" si="341"/>
        <v/>
      </c>
      <c r="DV260" s="77" t="str">
        <f t="shared" si="341"/>
        <v/>
      </c>
      <c r="DW260" s="77"/>
      <c r="DX260" s="77"/>
      <c r="DY260" s="78"/>
    </row>
    <row r="261" spans="2:129" outlineLevel="1" x14ac:dyDescent="0.2">
      <c r="B261" s="16" t="s">
        <v>67</v>
      </c>
      <c r="C261" s="16"/>
      <c r="D261" s="16"/>
      <c r="E261" s="16"/>
      <c r="F261" s="77">
        <f>IF(F250="","",F260/$I$18*$H$18)</f>
        <v>0</v>
      </c>
      <c r="G261" s="77">
        <f t="shared" ref="G261:BR261" si="342">IF(G250="","",G260/$I$18*$H$18)</f>
        <v>0</v>
      </c>
      <c r="H261" s="77">
        <f t="shared" si="342"/>
        <v>0</v>
      </c>
      <c r="I261" s="77">
        <f t="shared" si="342"/>
        <v>0</v>
      </c>
      <c r="J261" s="77">
        <f t="shared" si="342"/>
        <v>0</v>
      </c>
      <c r="K261" s="77">
        <f t="shared" si="342"/>
        <v>0</v>
      </c>
      <c r="L261" s="77">
        <f t="shared" si="342"/>
        <v>0</v>
      </c>
      <c r="M261" s="77">
        <f t="shared" si="342"/>
        <v>0</v>
      </c>
      <c r="N261" s="77">
        <f t="shared" si="342"/>
        <v>0</v>
      </c>
      <c r="O261" s="77">
        <f t="shared" si="342"/>
        <v>0</v>
      </c>
      <c r="P261" s="77">
        <f t="shared" si="342"/>
        <v>0</v>
      </c>
      <c r="Q261" s="77">
        <f t="shared" si="342"/>
        <v>0</v>
      </c>
      <c r="R261" s="77">
        <f t="shared" si="342"/>
        <v>0</v>
      </c>
      <c r="S261" s="77">
        <f t="shared" si="342"/>
        <v>0</v>
      </c>
      <c r="T261" s="77">
        <f t="shared" si="342"/>
        <v>0</v>
      </c>
      <c r="U261" s="77">
        <f t="shared" si="342"/>
        <v>0</v>
      </c>
      <c r="V261" s="77">
        <f t="shared" si="342"/>
        <v>0</v>
      </c>
      <c r="W261" s="77">
        <f t="shared" si="342"/>
        <v>0</v>
      </c>
      <c r="X261" s="77">
        <f t="shared" si="342"/>
        <v>0</v>
      </c>
      <c r="Y261" s="77">
        <f t="shared" si="342"/>
        <v>0</v>
      </c>
      <c r="Z261" s="77">
        <f t="shared" si="342"/>
        <v>0</v>
      </c>
      <c r="AA261" s="77">
        <f t="shared" si="342"/>
        <v>0</v>
      </c>
      <c r="AB261" s="77">
        <f t="shared" si="342"/>
        <v>0</v>
      </c>
      <c r="AC261" s="77">
        <f t="shared" si="342"/>
        <v>0</v>
      </c>
      <c r="AD261" s="77">
        <f t="shared" si="342"/>
        <v>0</v>
      </c>
      <c r="AE261" s="77">
        <f t="shared" si="342"/>
        <v>0</v>
      </c>
      <c r="AF261" s="77">
        <f t="shared" si="342"/>
        <v>0</v>
      </c>
      <c r="AG261" s="77">
        <f t="shared" si="342"/>
        <v>0</v>
      </c>
      <c r="AH261" s="77">
        <f t="shared" si="342"/>
        <v>0</v>
      </c>
      <c r="AI261" s="77">
        <f t="shared" si="342"/>
        <v>0</v>
      </c>
      <c r="AJ261" s="77">
        <f t="shared" si="342"/>
        <v>0</v>
      </c>
      <c r="AK261" s="77">
        <f t="shared" si="342"/>
        <v>0</v>
      </c>
      <c r="AL261" s="77">
        <f t="shared" si="342"/>
        <v>0</v>
      </c>
      <c r="AM261" s="77">
        <f t="shared" si="342"/>
        <v>0</v>
      </c>
      <c r="AN261" s="77">
        <f t="shared" si="342"/>
        <v>0</v>
      </c>
      <c r="AO261" s="77">
        <f t="shared" si="342"/>
        <v>0</v>
      </c>
      <c r="AP261" s="77">
        <f t="shared" si="342"/>
        <v>0</v>
      </c>
      <c r="AQ261" s="77">
        <f t="shared" si="342"/>
        <v>0</v>
      </c>
      <c r="AR261" s="77">
        <f t="shared" si="342"/>
        <v>0</v>
      </c>
      <c r="AS261" s="77">
        <f t="shared" si="342"/>
        <v>0</v>
      </c>
      <c r="AT261" s="77">
        <f t="shared" si="342"/>
        <v>0</v>
      </c>
      <c r="AU261" s="77">
        <f t="shared" si="342"/>
        <v>0</v>
      </c>
      <c r="AV261" s="77">
        <f t="shared" si="342"/>
        <v>0</v>
      </c>
      <c r="AW261" s="77">
        <f t="shared" si="342"/>
        <v>0</v>
      </c>
      <c r="AX261" s="77">
        <f t="shared" si="342"/>
        <v>0</v>
      </c>
      <c r="AY261" s="77">
        <f t="shared" si="342"/>
        <v>0</v>
      </c>
      <c r="AZ261" s="77">
        <f t="shared" si="342"/>
        <v>0</v>
      </c>
      <c r="BA261" s="77">
        <f t="shared" si="342"/>
        <v>0</v>
      </c>
      <c r="BB261" s="77">
        <f t="shared" si="342"/>
        <v>0</v>
      </c>
      <c r="BC261" s="77">
        <f t="shared" si="342"/>
        <v>0</v>
      </c>
      <c r="BD261" s="77">
        <f t="shared" si="342"/>
        <v>0</v>
      </c>
      <c r="BE261" s="77">
        <f t="shared" si="342"/>
        <v>0</v>
      </c>
      <c r="BF261" s="77">
        <f t="shared" si="342"/>
        <v>0</v>
      </c>
      <c r="BG261" s="77">
        <f t="shared" si="342"/>
        <v>0</v>
      </c>
      <c r="BH261" s="77">
        <f t="shared" si="342"/>
        <v>0</v>
      </c>
      <c r="BI261" s="77">
        <f t="shared" si="342"/>
        <v>0</v>
      </c>
      <c r="BJ261" s="77">
        <f t="shared" si="342"/>
        <v>0</v>
      </c>
      <c r="BK261" s="77">
        <f t="shared" si="342"/>
        <v>0</v>
      </c>
      <c r="BL261" s="77">
        <f t="shared" si="342"/>
        <v>0</v>
      </c>
      <c r="BM261" s="77">
        <f t="shared" si="342"/>
        <v>0</v>
      </c>
      <c r="BN261" s="77">
        <f t="shared" si="342"/>
        <v>0</v>
      </c>
      <c r="BO261" s="77">
        <f t="shared" si="342"/>
        <v>0</v>
      </c>
      <c r="BP261" s="77">
        <f t="shared" si="342"/>
        <v>0</v>
      </c>
      <c r="BQ261" s="77">
        <f t="shared" si="342"/>
        <v>0</v>
      </c>
      <c r="BR261" s="77">
        <f t="shared" si="342"/>
        <v>0</v>
      </c>
      <c r="BS261" s="77">
        <f t="shared" ref="BS261:DV261" si="343">IF(BS250="","",BS260/$I$18*$H$18)</f>
        <v>0</v>
      </c>
      <c r="BT261" s="77">
        <f t="shared" si="343"/>
        <v>0</v>
      </c>
      <c r="BU261" s="77">
        <f t="shared" si="343"/>
        <v>0</v>
      </c>
      <c r="BV261" s="77">
        <f t="shared" si="343"/>
        <v>0</v>
      </c>
      <c r="BW261" s="77">
        <f t="shared" si="343"/>
        <v>0</v>
      </c>
      <c r="BX261" s="77">
        <f t="shared" si="343"/>
        <v>0</v>
      </c>
      <c r="BY261" s="77">
        <f t="shared" si="343"/>
        <v>0</v>
      </c>
      <c r="BZ261" s="77">
        <f t="shared" si="343"/>
        <v>0</v>
      </c>
      <c r="CA261" s="77">
        <f t="shared" si="343"/>
        <v>0</v>
      </c>
      <c r="CB261" s="77">
        <f t="shared" si="343"/>
        <v>0</v>
      </c>
      <c r="CC261" s="77">
        <f t="shared" si="343"/>
        <v>0</v>
      </c>
      <c r="CD261" s="77">
        <f t="shared" si="343"/>
        <v>0</v>
      </c>
      <c r="CE261" s="77">
        <f t="shared" si="343"/>
        <v>0</v>
      </c>
      <c r="CF261" s="77">
        <f t="shared" si="343"/>
        <v>0</v>
      </c>
      <c r="CG261" s="77">
        <f t="shared" si="343"/>
        <v>0</v>
      </c>
      <c r="CH261" s="77">
        <f t="shared" si="343"/>
        <v>0</v>
      </c>
      <c r="CI261" s="77">
        <f t="shared" si="343"/>
        <v>0</v>
      </c>
      <c r="CJ261" s="77">
        <f t="shared" si="343"/>
        <v>0</v>
      </c>
      <c r="CK261" s="77">
        <f t="shared" si="343"/>
        <v>0</v>
      </c>
      <c r="CL261" s="77">
        <f t="shared" si="343"/>
        <v>0</v>
      </c>
      <c r="CM261" s="77">
        <f t="shared" si="343"/>
        <v>0</v>
      </c>
      <c r="CN261" s="77">
        <f t="shared" si="343"/>
        <v>0</v>
      </c>
      <c r="CO261" s="77">
        <f t="shared" si="343"/>
        <v>0</v>
      </c>
      <c r="CP261" s="77">
        <f t="shared" si="343"/>
        <v>0</v>
      </c>
      <c r="CQ261" s="77">
        <f t="shared" si="343"/>
        <v>0</v>
      </c>
      <c r="CR261" s="77">
        <f t="shared" si="343"/>
        <v>0</v>
      </c>
      <c r="CS261" s="77">
        <f t="shared" si="343"/>
        <v>0</v>
      </c>
      <c r="CT261" s="77">
        <f t="shared" si="343"/>
        <v>0</v>
      </c>
      <c r="CU261" s="77">
        <f t="shared" si="343"/>
        <v>0</v>
      </c>
      <c r="CV261" s="77">
        <f t="shared" si="343"/>
        <v>0</v>
      </c>
      <c r="CW261" s="77">
        <f t="shared" si="343"/>
        <v>1.8626451492309566E-10</v>
      </c>
      <c r="CX261" s="77" t="str">
        <f t="shared" si="343"/>
        <v/>
      </c>
      <c r="CY261" s="77" t="str">
        <f t="shared" si="343"/>
        <v/>
      </c>
      <c r="CZ261" s="77" t="str">
        <f t="shared" si="343"/>
        <v/>
      </c>
      <c r="DA261" s="77" t="str">
        <f t="shared" si="343"/>
        <v/>
      </c>
      <c r="DB261" s="77" t="str">
        <f t="shared" si="343"/>
        <v/>
      </c>
      <c r="DC261" s="77" t="str">
        <f t="shared" si="343"/>
        <v/>
      </c>
      <c r="DD261" s="77" t="str">
        <f t="shared" si="343"/>
        <v/>
      </c>
      <c r="DE261" s="77" t="str">
        <f t="shared" si="343"/>
        <v/>
      </c>
      <c r="DF261" s="77" t="str">
        <f t="shared" si="343"/>
        <v/>
      </c>
      <c r="DG261" s="77" t="str">
        <f t="shared" si="343"/>
        <v/>
      </c>
      <c r="DH261" s="77" t="str">
        <f t="shared" si="343"/>
        <v/>
      </c>
      <c r="DI261" s="77" t="str">
        <f t="shared" si="343"/>
        <v/>
      </c>
      <c r="DJ261" s="77" t="str">
        <f t="shared" si="343"/>
        <v/>
      </c>
      <c r="DK261" s="77" t="str">
        <f t="shared" si="343"/>
        <v/>
      </c>
      <c r="DL261" s="77" t="str">
        <f t="shared" si="343"/>
        <v/>
      </c>
      <c r="DM261" s="77" t="str">
        <f t="shared" si="343"/>
        <v/>
      </c>
      <c r="DN261" s="77" t="str">
        <f t="shared" si="343"/>
        <v/>
      </c>
      <c r="DO261" s="77" t="str">
        <f t="shared" si="343"/>
        <v/>
      </c>
      <c r="DP261" s="77" t="str">
        <f t="shared" si="343"/>
        <v/>
      </c>
      <c r="DQ261" s="77" t="str">
        <f t="shared" si="343"/>
        <v/>
      </c>
      <c r="DR261" s="77" t="str">
        <f t="shared" si="343"/>
        <v/>
      </c>
      <c r="DS261" s="77" t="str">
        <f t="shared" si="343"/>
        <v/>
      </c>
      <c r="DT261" s="77" t="str">
        <f t="shared" si="343"/>
        <v/>
      </c>
      <c r="DU261" s="77" t="str">
        <f t="shared" si="343"/>
        <v/>
      </c>
      <c r="DV261" s="77" t="str">
        <f t="shared" si="343"/>
        <v/>
      </c>
      <c r="DW261" s="77"/>
      <c r="DX261" s="77"/>
      <c r="DY261" s="78"/>
    </row>
    <row r="262" spans="2:129" outlineLevel="1" x14ac:dyDescent="0.2">
      <c r="B262" s="16" t="str">
        <f>"Total Distributions ("&amp;B250&amp;")"</f>
        <v>Total Distributions (Tier 4)</v>
      </c>
      <c r="C262" s="16"/>
      <c r="D262" s="16"/>
      <c r="E262" s="16"/>
      <c r="F262" s="77">
        <f>IF(F250="","",F260+F261)</f>
        <v>0</v>
      </c>
      <c r="G262" s="77">
        <f t="shared" ref="G262:BR262" si="344">IF(G250="","",G260+G261)</f>
        <v>0</v>
      </c>
      <c r="H262" s="77">
        <f t="shared" si="344"/>
        <v>0</v>
      </c>
      <c r="I262" s="77">
        <f t="shared" si="344"/>
        <v>0</v>
      </c>
      <c r="J262" s="77">
        <f t="shared" si="344"/>
        <v>0</v>
      </c>
      <c r="K262" s="77">
        <f t="shared" si="344"/>
        <v>0</v>
      </c>
      <c r="L262" s="77">
        <f t="shared" si="344"/>
        <v>0</v>
      </c>
      <c r="M262" s="77">
        <f t="shared" si="344"/>
        <v>0</v>
      </c>
      <c r="N262" s="77">
        <f t="shared" si="344"/>
        <v>0</v>
      </c>
      <c r="O262" s="77">
        <f t="shared" si="344"/>
        <v>0</v>
      </c>
      <c r="P262" s="77">
        <f t="shared" si="344"/>
        <v>0</v>
      </c>
      <c r="Q262" s="77">
        <f t="shared" si="344"/>
        <v>0</v>
      </c>
      <c r="R262" s="77">
        <f t="shared" si="344"/>
        <v>0</v>
      </c>
      <c r="S262" s="77">
        <f t="shared" si="344"/>
        <v>0</v>
      </c>
      <c r="T262" s="77">
        <f t="shared" si="344"/>
        <v>0</v>
      </c>
      <c r="U262" s="77">
        <f t="shared" si="344"/>
        <v>0</v>
      </c>
      <c r="V262" s="77">
        <f t="shared" si="344"/>
        <v>0</v>
      </c>
      <c r="W262" s="77">
        <f t="shared" si="344"/>
        <v>0</v>
      </c>
      <c r="X262" s="77">
        <f t="shared" si="344"/>
        <v>0</v>
      </c>
      <c r="Y262" s="77">
        <f t="shared" si="344"/>
        <v>0</v>
      </c>
      <c r="Z262" s="77">
        <f t="shared" si="344"/>
        <v>0</v>
      </c>
      <c r="AA262" s="77">
        <f t="shared" si="344"/>
        <v>0</v>
      </c>
      <c r="AB262" s="77">
        <f t="shared" si="344"/>
        <v>0</v>
      </c>
      <c r="AC262" s="77">
        <f t="shared" si="344"/>
        <v>0</v>
      </c>
      <c r="AD262" s="77">
        <f t="shared" si="344"/>
        <v>0</v>
      </c>
      <c r="AE262" s="77">
        <f t="shared" si="344"/>
        <v>0</v>
      </c>
      <c r="AF262" s="77">
        <f t="shared" si="344"/>
        <v>0</v>
      </c>
      <c r="AG262" s="77">
        <f t="shared" si="344"/>
        <v>0</v>
      </c>
      <c r="AH262" s="77">
        <f t="shared" si="344"/>
        <v>0</v>
      </c>
      <c r="AI262" s="77">
        <f t="shared" si="344"/>
        <v>0</v>
      </c>
      <c r="AJ262" s="77">
        <f t="shared" si="344"/>
        <v>0</v>
      </c>
      <c r="AK262" s="77">
        <f t="shared" si="344"/>
        <v>0</v>
      </c>
      <c r="AL262" s="77">
        <f t="shared" si="344"/>
        <v>0</v>
      </c>
      <c r="AM262" s="77">
        <f t="shared" si="344"/>
        <v>0</v>
      </c>
      <c r="AN262" s="77">
        <f t="shared" si="344"/>
        <v>0</v>
      </c>
      <c r="AO262" s="77">
        <f t="shared" si="344"/>
        <v>0</v>
      </c>
      <c r="AP262" s="77">
        <f t="shared" si="344"/>
        <v>0</v>
      </c>
      <c r="AQ262" s="77">
        <f t="shared" si="344"/>
        <v>0</v>
      </c>
      <c r="AR262" s="77">
        <f t="shared" si="344"/>
        <v>0</v>
      </c>
      <c r="AS262" s="77">
        <f t="shared" si="344"/>
        <v>0</v>
      </c>
      <c r="AT262" s="77">
        <f t="shared" si="344"/>
        <v>0</v>
      </c>
      <c r="AU262" s="77">
        <f t="shared" si="344"/>
        <v>0</v>
      </c>
      <c r="AV262" s="77">
        <f t="shared" si="344"/>
        <v>0</v>
      </c>
      <c r="AW262" s="77">
        <f t="shared" si="344"/>
        <v>0</v>
      </c>
      <c r="AX262" s="77">
        <f t="shared" si="344"/>
        <v>0</v>
      </c>
      <c r="AY262" s="77">
        <f t="shared" si="344"/>
        <v>0</v>
      </c>
      <c r="AZ262" s="77">
        <f t="shared" si="344"/>
        <v>0</v>
      </c>
      <c r="BA262" s="77">
        <f t="shared" si="344"/>
        <v>0</v>
      </c>
      <c r="BB262" s="77">
        <f t="shared" si="344"/>
        <v>0</v>
      </c>
      <c r="BC262" s="77">
        <f t="shared" si="344"/>
        <v>0</v>
      </c>
      <c r="BD262" s="77">
        <f t="shared" si="344"/>
        <v>0</v>
      </c>
      <c r="BE262" s="77">
        <f t="shared" si="344"/>
        <v>0</v>
      </c>
      <c r="BF262" s="77">
        <f t="shared" si="344"/>
        <v>0</v>
      </c>
      <c r="BG262" s="77">
        <f t="shared" si="344"/>
        <v>0</v>
      </c>
      <c r="BH262" s="77">
        <f t="shared" si="344"/>
        <v>0</v>
      </c>
      <c r="BI262" s="77">
        <f t="shared" si="344"/>
        <v>0</v>
      </c>
      <c r="BJ262" s="77">
        <f t="shared" si="344"/>
        <v>0</v>
      </c>
      <c r="BK262" s="77">
        <f t="shared" si="344"/>
        <v>0</v>
      </c>
      <c r="BL262" s="77">
        <f t="shared" si="344"/>
        <v>0</v>
      </c>
      <c r="BM262" s="77">
        <f t="shared" si="344"/>
        <v>0</v>
      </c>
      <c r="BN262" s="77">
        <f t="shared" si="344"/>
        <v>0</v>
      </c>
      <c r="BO262" s="77">
        <f t="shared" si="344"/>
        <v>0</v>
      </c>
      <c r="BP262" s="77">
        <f t="shared" si="344"/>
        <v>0</v>
      </c>
      <c r="BQ262" s="77">
        <f t="shared" si="344"/>
        <v>0</v>
      </c>
      <c r="BR262" s="77">
        <f t="shared" si="344"/>
        <v>0</v>
      </c>
      <c r="BS262" s="77">
        <f t="shared" ref="BS262:DV262" si="345">IF(BS250="","",BS260+BS261)</f>
        <v>0</v>
      </c>
      <c r="BT262" s="77">
        <f t="shared" si="345"/>
        <v>0</v>
      </c>
      <c r="BU262" s="77">
        <f t="shared" si="345"/>
        <v>0</v>
      </c>
      <c r="BV262" s="77">
        <f t="shared" si="345"/>
        <v>0</v>
      </c>
      <c r="BW262" s="77">
        <f t="shared" si="345"/>
        <v>0</v>
      </c>
      <c r="BX262" s="77">
        <f t="shared" si="345"/>
        <v>0</v>
      </c>
      <c r="BY262" s="77">
        <f t="shared" si="345"/>
        <v>0</v>
      </c>
      <c r="BZ262" s="77">
        <f t="shared" si="345"/>
        <v>0</v>
      </c>
      <c r="CA262" s="77">
        <f t="shared" si="345"/>
        <v>0</v>
      </c>
      <c r="CB262" s="77">
        <f t="shared" si="345"/>
        <v>0</v>
      </c>
      <c r="CC262" s="77">
        <f t="shared" si="345"/>
        <v>0</v>
      </c>
      <c r="CD262" s="77">
        <f t="shared" si="345"/>
        <v>0</v>
      </c>
      <c r="CE262" s="77">
        <f t="shared" si="345"/>
        <v>0</v>
      </c>
      <c r="CF262" s="77">
        <f t="shared" si="345"/>
        <v>0</v>
      </c>
      <c r="CG262" s="77">
        <f t="shared" si="345"/>
        <v>0</v>
      </c>
      <c r="CH262" s="77">
        <f t="shared" si="345"/>
        <v>0</v>
      </c>
      <c r="CI262" s="77">
        <f t="shared" si="345"/>
        <v>0</v>
      </c>
      <c r="CJ262" s="77">
        <f t="shared" si="345"/>
        <v>0</v>
      </c>
      <c r="CK262" s="77">
        <f t="shared" si="345"/>
        <v>0</v>
      </c>
      <c r="CL262" s="77">
        <f t="shared" si="345"/>
        <v>0</v>
      </c>
      <c r="CM262" s="77">
        <f t="shared" si="345"/>
        <v>0</v>
      </c>
      <c r="CN262" s="77">
        <f t="shared" si="345"/>
        <v>0</v>
      </c>
      <c r="CO262" s="77">
        <f t="shared" si="345"/>
        <v>0</v>
      </c>
      <c r="CP262" s="77">
        <f t="shared" si="345"/>
        <v>0</v>
      </c>
      <c r="CQ262" s="77">
        <f t="shared" si="345"/>
        <v>0</v>
      </c>
      <c r="CR262" s="77">
        <f t="shared" si="345"/>
        <v>0</v>
      </c>
      <c r="CS262" s="77">
        <f t="shared" si="345"/>
        <v>0</v>
      </c>
      <c r="CT262" s="77">
        <f t="shared" si="345"/>
        <v>0</v>
      </c>
      <c r="CU262" s="77">
        <f t="shared" si="345"/>
        <v>0</v>
      </c>
      <c r="CV262" s="77">
        <f t="shared" si="345"/>
        <v>0</v>
      </c>
      <c r="CW262" s="77">
        <f t="shared" si="345"/>
        <v>1.862645149230957E-9</v>
      </c>
      <c r="CX262" s="77" t="str">
        <f t="shared" si="345"/>
        <v/>
      </c>
      <c r="CY262" s="77" t="str">
        <f t="shared" si="345"/>
        <v/>
      </c>
      <c r="CZ262" s="77" t="str">
        <f t="shared" si="345"/>
        <v/>
      </c>
      <c r="DA262" s="77" t="str">
        <f t="shared" si="345"/>
        <v/>
      </c>
      <c r="DB262" s="77" t="str">
        <f t="shared" si="345"/>
        <v/>
      </c>
      <c r="DC262" s="77" t="str">
        <f t="shared" si="345"/>
        <v/>
      </c>
      <c r="DD262" s="77" t="str">
        <f t="shared" si="345"/>
        <v/>
      </c>
      <c r="DE262" s="77" t="str">
        <f t="shared" si="345"/>
        <v/>
      </c>
      <c r="DF262" s="77" t="str">
        <f t="shared" si="345"/>
        <v/>
      </c>
      <c r="DG262" s="77" t="str">
        <f t="shared" si="345"/>
        <v/>
      </c>
      <c r="DH262" s="77" t="str">
        <f t="shared" si="345"/>
        <v/>
      </c>
      <c r="DI262" s="77" t="str">
        <f t="shared" si="345"/>
        <v/>
      </c>
      <c r="DJ262" s="77" t="str">
        <f t="shared" si="345"/>
        <v/>
      </c>
      <c r="DK262" s="77" t="str">
        <f t="shared" si="345"/>
        <v/>
      </c>
      <c r="DL262" s="77" t="str">
        <f t="shared" si="345"/>
        <v/>
      </c>
      <c r="DM262" s="77" t="str">
        <f t="shared" si="345"/>
        <v/>
      </c>
      <c r="DN262" s="77" t="str">
        <f t="shared" si="345"/>
        <v/>
      </c>
      <c r="DO262" s="77" t="str">
        <f t="shared" si="345"/>
        <v/>
      </c>
      <c r="DP262" s="77" t="str">
        <f t="shared" si="345"/>
        <v/>
      </c>
      <c r="DQ262" s="77" t="str">
        <f t="shared" si="345"/>
        <v/>
      </c>
      <c r="DR262" s="77" t="str">
        <f t="shared" si="345"/>
        <v/>
      </c>
      <c r="DS262" s="77" t="str">
        <f t="shared" si="345"/>
        <v/>
      </c>
      <c r="DT262" s="77" t="str">
        <f t="shared" si="345"/>
        <v/>
      </c>
      <c r="DU262" s="77" t="str">
        <f t="shared" si="345"/>
        <v/>
      </c>
      <c r="DV262" s="77" t="str">
        <f t="shared" si="345"/>
        <v/>
      </c>
      <c r="DW262" s="77"/>
      <c r="DX262" s="77"/>
      <c r="DY262" s="78"/>
    </row>
    <row r="263" spans="2:129" outlineLevel="1" x14ac:dyDescent="0.2">
      <c r="B263" s="16" t="s">
        <v>69</v>
      </c>
      <c r="C263" s="16"/>
      <c r="D263" s="16"/>
      <c r="E263" s="16"/>
      <c r="F263" s="77">
        <f>IF(F250="","",MAX(F$51-F217-F232-F247-F262,0))</f>
        <v>0</v>
      </c>
      <c r="G263" s="77">
        <f t="shared" ref="G263:BR263" si="346">IF(G250="","",MAX(G$51-G217-G232-G247-G262,0))</f>
        <v>0</v>
      </c>
      <c r="H263" s="77">
        <f t="shared" si="346"/>
        <v>0</v>
      </c>
      <c r="I263" s="77">
        <f t="shared" si="346"/>
        <v>0</v>
      </c>
      <c r="J263" s="77">
        <f t="shared" si="346"/>
        <v>0</v>
      </c>
      <c r="K263" s="77">
        <f t="shared" si="346"/>
        <v>0</v>
      </c>
      <c r="L263" s="77">
        <f t="shared" si="346"/>
        <v>0</v>
      </c>
      <c r="M263" s="77">
        <f t="shared" si="346"/>
        <v>0</v>
      </c>
      <c r="N263" s="77">
        <f t="shared" si="346"/>
        <v>0</v>
      </c>
      <c r="O263" s="77">
        <f t="shared" si="346"/>
        <v>0</v>
      </c>
      <c r="P263" s="77">
        <f t="shared" si="346"/>
        <v>0</v>
      </c>
      <c r="Q263" s="77">
        <f t="shared" si="346"/>
        <v>0</v>
      </c>
      <c r="R263" s="77">
        <f t="shared" si="346"/>
        <v>0</v>
      </c>
      <c r="S263" s="77">
        <f t="shared" si="346"/>
        <v>0</v>
      </c>
      <c r="T263" s="77">
        <f t="shared" si="346"/>
        <v>0</v>
      </c>
      <c r="U263" s="77">
        <f t="shared" si="346"/>
        <v>0</v>
      </c>
      <c r="V263" s="77">
        <f t="shared" si="346"/>
        <v>0</v>
      </c>
      <c r="W263" s="77">
        <f t="shared" si="346"/>
        <v>0</v>
      </c>
      <c r="X263" s="77">
        <f t="shared" si="346"/>
        <v>0</v>
      </c>
      <c r="Y263" s="77">
        <f t="shared" si="346"/>
        <v>0</v>
      </c>
      <c r="Z263" s="77">
        <f t="shared" si="346"/>
        <v>0</v>
      </c>
      <c r="AA263" s="77">
        <f t="shared" si="346"/>
        <v>0</v>
      </c>
      <c r="AB263" s="77">
        <f t="shared" si="346"/>
        <v>0</v>
      </c>
      <c r="AC263" s="77">
        <f t="shared" si="346"/>
        <v>0</v>
      </c>
      <c r="AD263" s="77">
        <f t="shared" si="346"/>
        <v>0</v>
      </c>
      <c r="AE263" s="77">
        <f t="shared" si="346"/>
        <v>0</v>
      </c>
      <c r="AF263" s="77">
        <f t="shared" si="346"/>
        <v>0</v>
      </c>
      <c r="AG263" s="77">
        <f t="shared" si="346"/>
        <v>0</v>
      </c>
      <c r="AH263" s="77">
        <f t="shared" si="346"/>
        <v>0</v>
      </c>
      <c r="AI263" s="77">
        <f t="shared" si="346"/>
        <v>0</v>
      </c>
      <c r="AJ263" s="77">
        <f t="shared" si="346"/>
        <v>0</v>
      </c>
      <c r="AK263" s="77">
        <f t="shared" si="346"/>
        <v>0</v>
      </c>
      <c r="AL263" s="77">
        <f t="shared" si="346"/>
        <v>0</v>
      </c>
      <c r="AM263" s="77">
        <f t="shared" si="346"/>
        <v>0</v>
      </c>
      <c r="AN263" s="77">
        <f t="shared" si="346"/>
        <v>0</v>
      </c>
      <c r="AO263" s="77">
        <f t="shared" si="346"/>
        <v>0</v>
      </c>
      <c r="AP263" s="77">
        <f t="shared" si="346"/>
        <v>0</v>
      </c>
      <c r="AQ263" s="77">
        <f t="shared" si="346"/>
        <v>0</v>
      </c>
      <c r="AR263" s="77">
        <f t="shared" si="346"/>
        <v>0</v>
      </c>
      <c r="AS263" s="77">
        <f t="shared" si="346"/>
        <v>0</v>
      </c>
      <c r="AT263" s="77">
        <f t="shared" si="346"/>
        <v>0</v>
      </c>
      <c r="AU263" s="77">
        <f t="shared" si="346"/>
        <v>0</v>
      </c>
      <c r="AV263" s="77">
        <f t="shared" si="346"/>
        <v>0</v>
      </c>
      <c r="AW263" s="77">
        <f t="shared" si="346"/>
        <v>0</v>
      </c>
      <c r="AX263" s="77">
        <f t="shared" si="346"/>
        <v>0</v>
      </c>
      <c r="AY263" s="77">
        <f t="shared" si="346"/>
        <v>0</v>
      </c>
      <c r="AZ263" s="77">
        <f t="shared" si="346"/>
        <v>0</v>
      </c>
      <c r="BA263" s="77">
        <f t="shared" si="346"/>
        <v>0</v>
      </c>
      <c r="BB263" s="77">
        <f t="shared" si="346"/>
        <v>0</v>
      </c>
      <c r="BC263" s="77">
        <f t="shared" si="346"/>
        <v>0</v>
      </c>
      <c r="BD263" s="77">
        <f t="shared" si="346"/>
        <v>0</v>
      </c>
      <c r="BE263" s="77">
        <f t="shared" si="346"/>
        <v>0</v>
      </c>
      <c r="BF263" s="77">
        <f t="shared" si="346"/>
        <v>0</v>
      </c>
      <c r="BG263" s="77">
        <f t="shared" si="346"/>
        <v>0</v>
      </c>
      <c r="BH263" s="77">
        <f t="shared" si="346"/>
        <v>0</v>
      </c>
      <c r="BI263" s="77">
        <f t="shared" si="346"/>
        <v>0</v>
      </c>
      <c r="BJ263" s="77">
        <f t="shared" si="346"/>
        <v>0</v>
      </c>
      <c r="BK263" s="77">
        <f t="shared" si="346"/>
        <v>0</v>
      </c>
      <c r="BL263" s="77">
        <f t="shared" si="346"/>
        <v>0</v>
      </c>
      <c r="BM263" s="77">
        <f t="shared" si="346"/>
        <v>0</v>
      </c>
      <c r="BN263" s="77">
        <f t="shared" si="346"/>
        <v>0</v>
      </c>
      <c r="BO263" s="77">
        <f t="shared" si="346"/>
        <v>0</v>
      </c>
      <c r="BP263" s="77">
        <f t="shared" si="346"/>
        <v>0</v>
      </c>
      <c r="BQ263" s="77">
        <f t="shared" si="346"/>
        <v>0</v>
      </c>
      <c r="BR263" s="77">
        <f t="shared" si="346"/>
        <v>0</v>
      </c>
      <c r="BS263" s="77">
        <f t="shared" ref="BS263:DV263" si="347">IF(BS250="","",MAX(BS$51-BS217-BS232-BS247-BS262,0))</f>
        <v>0</v>
      </c>
      <c r="BT263" s="77">
        <f t="shared" si="347"/>
        <v>0</v>
      </c>
      <c r="BU263" s="77">
        <f t="shared" si="347"/>
        <v>0</v>
      </c>
      <c r="BV263" s="77">
        <f t="shared" si="347"/>
        <v>0</v>
      </c>
      <c r="BW263" s="77">
        <f t="shared" si="347"/>
        <v>0</v>
      </c>
      <c r="BX263" s="77">
        <f t="shared" si="347"/>
        <v>0</v>
      </c>
      <c r="BY263" s="77">
        <f t="shared" si="347"/>
        <v>0</v>
      </c>
      <c r="BZ263" s="77">
        <f t="shared" si="347"/>
        <v>0</v>
      </c>
      <c r="CA263" s="77">
        <f t="shared" si="347"/>
        <v>0</v>
      </c>
      <c r="CB263" s="77">
        <f t="shared" si="347"/>
        <v>0</v>
      </c>
      <c r="CC263" s="77">
        <f t="shared" si="347"/>
        <v>0</v>
      </c>
      <c r="CD263" s="77">
        <f t="shared" si="347"/>
        <v>0</v>
      </c>
      <c r="CE263" s="77">
        <f t="shared" si="347"/>
        <v>0</v>
      </c>
      <c r="CF263" s="77">
        <f t="shared" si="347"/>
        <v>0</v>
      </c>
      <c r="CG263" s="77">
        <f t="shared" si="347"/>
        <v>0</v>
      </c>
      <c r="CH263" s="77">
        <f t="shared" si="347"/>
        <v>0</v>
      </c>
      <c r="CI263" s="77">
        <f t="shared" si="347"/>
        <v>0</v>
      </c>
      <c r="CJ263" s="77">
        <f t="shared" si="347"/>
        <v>0</v>
      </c>
      <c r="CK263" s="77">
        <f t="shared" si="347"/>
        <v>0</v>
      </c>
      <c r="CL263" s="77">
        <f t="shared" si="347"/>
        <v>0</v>
      </c>
      <c r="CM263" s="77">
        <f t="shared" si="347"/>
        <v>0</v>
      </c>
      <c r="CN263" s="77">
        <f t="shared" si="347"/>
        <v>0</v>
      </c>
      <c r="CO263" s="77">
        <f t="shared" si="347"/>
        <v>0</v>
      </c>
      <c r="CP263" s="77">
        <f t="shared" si="347"/>
        <v>0</v>
      </c>
      <c r="CQ263" s="77">
        <f t="shared" si="347"/>
        <v>0</v>
      </c>
      <c r="CR263" s="77">
        <f t="shared" si="347"/>
        <v>0</v>
      </c>
      <c r="CS263" s="77">
        <f t="shared" si="347"/>
        <v>0</v>
      </c>
      <c r="CT263" s="77">
        <f t="shared" si="347"/>
        <v>0</v>
      </c>
      <c r="CU263" s="77">
        <f t="shared" si="347"/>
        <v>0</v>
      </c>
      <c r="CV263" s="77">
        <f t="shared" si="347"/>
        <v>0</v>
      </c>
      <c r="CW263" s="77">
        <f t="shared" si="347"/>
        <v>0</v>
      </c>
      <c r="CX263" s="77" t="str">
        <f t="shared" si="347"/>
        <v/>
      </c>
      <c r="CY263" s="77" t="str">
        <f t="shared" si="347"/>
        <v/>
      </c>
      <c r="CZ263" s="77" t="str">
        <f t="shared" si="347"/>
        <v/>
      </c>
      <c r="DA263" s="77" t="str">
        <f t="shared" si="347"/>
        <v/>
      </c>
      <c r="DB263" s="77" t="str">
        <f t="shared" si="347"/>
        <v/>
      </c>
      <c r="DC263" s="77" t="str">
        <f t="shared" si="347"/>
        <v/>
      </c>
      <c r="DD263" s="77" t="str">
        <f t="shared" si="347"/>
        <v/>
      </c>
      <c r="DE263" s="77" t="str">
        <f t="shared" si="347"/>
        <v/>
      </c>
      <c r="DF263" s="77" t="str">
        <f t="shared" si="347"/>
        <v/>
      </c>
      <c r="DG263" s="77" t="str">
        <f t="shared" si="347"/>
        <v/>
      </c>
      <c r="DH263" s="77" t="str">
        <f t="shared" si="347"/>
        <v/>
      </c>
      <c r="DI263" s="77" t="str">
        <f t="shared" si="347"/>
        <v/>
      </c>
      <c r="DJ263" s="77" t="str">
        <f t="shared" si="347"/>
        <v/>
      </c>
      <c r="DK263" s="77" t="str">
        <f t="shared" si="347"/>
        <v/>
      </c>
      <c r="DL263" s="77" t="str">
        <f t="shared" si="347"/>
        <v/>
      </c>
      <c r="DM263" s="77" t="str">
        <f t="shared" si="347"/>
        <v/>
      </c>
      <c r="DN263" s="77" t="str">
        <f t="shared" si="347"/>
        <v/>
      </c>
      <c r="DO263" s="77" t="str">
        <f t="shared" si="347"/>
        <v/>
      </c>
      <c r="DP263" s="77" t="str">
        <f t="shared" si="347"/>
        <v/>
      </c>
      <c r="DQ263" s="77" t="str">
        <f t="shared" si="347"/>
        <v/>
      </c>
      <c r="DR263" s="77" t="str">
        <f t="shared" si="347"/>
        <v/>
      </c>
      <c r="DS263" s="77" t="str">
        <f t="shared" si="347"/>
        <v/>
      </c>
      <c r="DT263" s="77" t="str">
        <f t="shared" si="347"/>
        <v/>
      </c>
      <c r="DU263" s="77" t="str">
        <f t="shared" si="347"/>
        <v/>
      </c>
      <c r="DV263" s="77" t="str">
        <f t="shared" si="347"/>
        <v/>
      </c>
      <c r="DW263" s="77"/>
      <c r="DX263" s="77"/>
      <c r="DY263" s="78"/>
    </row>
    <row r="264" spans="2:129" outlineLevel="1" x14ac:dyDescent="0.2">
      <c r="B264" s="16"/>
      <c r="C264" s="16"/>
      <c r="D264" s="16"/>
      <c r="E264" s="1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66"/>
      <c r="BP264" s="66"/>
      <c r="BQ264" s="66"/>
      <c r="BR264" s="66"/>
      <c r="BS264" s="66"/>
      <c r="BT264" s="66"/>
      <c r="BU264" s="66"/>
      <c r="BV264" s="66"/>
      <c r="BW264" s="66"/>
      <c r="BX264" s="66"/>
      <c r="BY264" s="66"/>
      <c r="BZ264" s="66"/>
      <c r="CA264" s="66"/>
      <c r="CB264" s="66"/>
      <c r="CC264" s="66"/>
      <c r="CD264" s="66"/>
      <c r="CE264" s="66"/>
      <c r="CF264" s="66"/>
      <c r="CG264" s="66"/>
      <c r="CH264" s="66"/>
      <c r="CI264" s="66"/>
      <c r="CJ264" s="66"/>
      <c r="CK264" s="66"/>
      <c r="CL264" s="66"/>
      <c r="CM264" s="66"/>
      <c r="CN264" s="66"/>
      <c r="CO264" s="66"/>
      <c r="CP264" s="66"/>
      <c r="CQ264" s="66"/>
      <c r="CR264" s="66"/>
      <c r="CS264" s="66"/>
      <c r="CT264" s="66"/>
      <c r="CU264" s="66"/>
      <c r="CV264" s="66"/>
      <c r="CW264" s="66"/>
      <c r="CX264" s="66"/>
      <c r="CY264" s="66"/>
      <c r="CZ264" s="66"/>
      <c r="DA264" s="66"/>
      <c r="DB264" s="66"/>
      <c r="DC264" s="66"/>
      <c r="DD264" s="66"/>
      <c r="DE264" s="66"/>
      <c r="DF264" s="66"/>
      <c r="DG264" s="66"/>
      <c r="DH264" s="66"/>
      <c r="DI264" s="66"/>
      <c r="DJ264" s="66"/>
      <c r="DK264" s="66"/>
      <c r="DL264" s="66"/>
      <c r="DM264" s="66"/>
      <c r="DN264" s="66"/>
      <c r="DO264" s="66"/>
      <c r="DP264" s="66"/>
      <c r="DQ264" s="66"/>
      <c r="DR264" s="66"/>
      <c r="DS264" s="66"/>
      <c r="DT264" s="66"/>
      <c r="DU264" s="66"/>
      <c r="DV264" s="66"/>
      <c r="DW264" s="66"/>
      <c r="DX264" s="66"/>
      <c r="DY264" s="17"/>
    </row>
    <row r="265" spans="2:129" ht="16" outlineLevel="1" x14ac:dyDescent="0.2">
      <c r="B265" s="105" t="s">
        <v>77</v>
      </c>
      <c r="C265" s="100"/>
      <c r="D265" s="100"/>
      <c r="E265" s="100"/>
      <c r="F265" s="113">
        <f>F$21</f>
        <v>0</v>
      </c>
      <c r="G265" s="113">
        <f t="shared" ref="G265:BR265" si="348">G$21</f>
        <v>1</v>
      </c>
      <c r="H265" s="113">
        <f t="shared" si="348"/>
        <v>2</v>
      </c>
      <c r="I265" s="113">
        <f t="shared" si="348"/>
        <v>3</v>
      </c>
      <c r="J265" s="113">
        <f t="shared" si="348"/>
        <v>4</v>
      </c>
      <c r="K265" s="113">
        <f t="shared" si="348"/>
        <v>5</v>
      </c>
      <c r="L265" s="113">
        <f t="shared" si="348"/>
        <v>6</v>
      </c>
      <c r="M265" s="113">
        <f t="shared" si="348"/>
        <v>7</v>
      </c>
      <c r="N265" s="113">
        <f t="shared" si="348"/>
        <v>8</v>
      </c>
      <c r="O265" s="113">
        <f t="shared" si="348"/>
        <v>9</v>
      </c>
      <c r="P265" s="113">
        <f t="shared" si="348"/>
        <v>10</v>
      </c>
      <c r="Q265" s="113">
        <f t="shared" si="348"/>
        <v>11</v>
      </c>
      <c r="R265" s="113">
        <f t="shared" si="348"/>
        <v>12</v>
      </c>
      <c r="S265" s="113">
        <f t="shared" si="348"/>
        <v>13</v>
      </c>
      <c r="T265" s="113">
        <f t="shared" si="348"/>
        <v>14</v>
      </c>
      <c r="U265" s="113">
        <f t="shared" si="348"/>
        <v>15</v>
      </c>
      <c r="V265" s="113">
        <f t="shared" si="348"/>
        <v>16</v>
      </c>
      <c r="W265" s="113">
        <f t="shared" si="348"/>
        <v>17</v>
      </c>
      <c r="X265" s="113">
        <f t="shared" si="348"/>
        <v>18</v>
      </c>
      <c r="Y265" s="113">
        <f t="shared" si="348"/>
        <v>19</v>
      </c>
      <c r="Z265" s="113">
        <f t="shared" si="348"/>
        <v>20</v>
      </c>
      <c r="AA265" s="113">
        <f t="shared" si="348"/>
        <v>21</v>
      </c>
      <c r="AB265" s="113">
        <f t="shared" si="348"/>
        <v>22</v>
      </c>
      <c r="AC265" s="113">
        <f t="shared" si="348"/>
        <v>23</v>
      </c>
      <c r="AD265" s="113">
        <f t="shared" si="348"/>
        <v>24</v>
      </c>
      <c r="AE265" s="113">
        <f t="shared" si="348"/>
        <v>25</v>
      </c>
      <c r="AF265" s="113">
        <f t="shared" si="348"/>
        <v>26</v>
      </c>
      <c r="AG265" s="113">
        <f t="shared" si="348"/>
        <v>27</v>
      </c>
      <c r="AH265" s="113">
        <f t="shared" si="348"/>
        <v>28</v>
      </c>
      <c r="AI265" s="113">
        <f t="shared" si="348"/>
        <v>29</v>
      </c>
      <c r="AJ265" s="113">
        <f t="shared" si="348"/>
        <v>30</v>
      </c>
      <c r="AK265" s="113">
        <f t="shared" si="348"/>
        <v>31</v>
      </c>
      <c r="AL265" s="113">
        <f t="shared" si="348"/>
        <v>32</v>
      </c>
      <c r="AM265" s="113">
        <f t="shared" si="348"/>
        <v>33</v>
      </c>
      <c r="AN265" s="113">
        <f t="shared" si="348"/>
        <v>34</v>
      </c>
      <c r="AO265" s="113">
        <f t="shared" si="348"/>
        <v>35</v>
      </c>
      <c r="AP265" s="113">
        <f t="shared" si="348"/>
        <v>36</v>
      </c>
      <c r="AQ265" s="113">
        <f t="shared" si="348"/>
        <v>37</v>
      </c>
      <c r="AR265" s="113">
        <f t="shared" si="348"/>
        <v>38</v>
      </c>
      <c r="AS265" s="113">
        <f t="shared" si="348"/>
        <v>39</v>
      </c>
      <c r="AT265" s="113">
        <f t="shared" si="348"/>
        <v>40</v>
      </c>
      <c r="AU265" s="113">
        <f t="shared" si="348"/>
        <v>41</v>
      </c>
      <c r="AV265" s="113">
        <f t="shared" si="348"/>
        <v>42</v>
      </c>
      <c r="AW265" s="113">
        <f t="shared" si="348"/>
        <v>43</v>
      </c>
      <c r="AX265" s="113">
        <f t="shared" si="348"/>
        <v>44</v>
      </c>
      <c r="AY265" s="113">
        <f t="shared" si="348"/>
        <v>45</v>
      </c>
      <c r="AZ265" s="113">
        <f t="shared" si="348"/>
        <v>46</v>
      </c>
      <c r="BA265" s="113">
        <f t="shared" si="348"/>
        <v>47</v>
      </c>
      <c r="BB265" s="113">
        <f t="shared" si="348"/>
        <v>48</v>
      </c>
      <c r="BC265" s="113">
        <f t="shared" si="348"/>
        <v>49</v>
      </c>
      <c r="BD265" s="113">
        <f t="shared" si="348"/>
        <v>50</v>
      </c>
      <c r="BE265" s="113">
        <f t="shared" si="348"/>
        <v>51</v>
      </c>
      <c r="BF265" s="113">
        <f t="shared" si="348"/>
        <v>52</v>
      </c>
      <c r="BG265" s="113">
        <f t="shared" si="348"/>
        <v>53</v>
      </c>
      <c r="BH265" s="113">
        <f t="shared" si="348"/>
        <v>54</v>
      </c>
      <c r="BI265" s="113">
        <f t="shared" si="348"/>
        <v>55</v>
      </c>
      <c r="BJ265" s="113">
        <f t="shared" si="348"/>
        <v>56</v>
      </c>
      <c r="BK265" s="113">
        <f t="shared" si="348"/>
        <v>57</v>
      </c>
      <c r="BL265" s="113">
        <f t="shared" si="348"/>
        <v>58</v>
      </c>
      <c r="BM265" s="113">
        <f t="shared" si="348"/>
        <v>59</v>
      </c>
      <c r="BN265" s="113">
        <f t="shared" si="348"/>
        <v>60</v>
      </c>
      <c r="BO265" s="113">
        <f t="shared" si="348"/>
        <v>61</v>
      </c>
      <c r="BP265" s="113">
        <f t="shared" si="348"/>
        <v>62</v>
      </c>
      <c r="BQ265" s="113">
        <f t="shared" si="348"/>
        <v>63</v>
      </c>
      <c r="BR265" s="113">
        <f t="shared" si="348"/>
        <v>64</v>
      </c>
      <c r="BS265" s="113">
        <f t="shared" ref="BS265:DV265" si="349">BS$21</f>
        <v>65</v>
      </c>
      <c r="BT265" s="113">
        <f t="shared" si="349"/>
        <v>66</v>
      </c>
      <c r="BU265" s="113">
        <f t="shared" si="349"/>
        <v>67</v>
      </c>
      <c r="BV265" s="113">
        <f t="shared" si="349"/>
        <v>68</v>
      </c>
      <c r="BW265" s="113">
        <f t="shared" si="349"/>
        <v>69</v>
      </c>
      <c r="BX265" s="113">
        <f t="shared" si="349"/>
        <v>70</v>
      </c>
      <c r="BY265" s="113">
        <f t="shared" si="349"/>
        <v>71</v>
      </c>
      <c r="BZ265" s="113">
        <f t="shared" si="349"/>
        <v>72</v>
      </c>
      <c r="CA265" s="113">
        <f t="shared" si="349"/>
        <v>73</v>
      </c>
      <c r="CB265" s="113">
        <f t="shared" si="349"/>
        <v>74</v>
      </c>
      <c r="CC265" s="113">
        <f t="shared" si="349"/>
        <v>75</v>
      </c>
      <c r="CD265" s="113">
        <f t="shared" si="349"/>
        <v>76</v>
      </c>
      <c r="CE265" s="113">
        <f t="shared" si="349"/>
        <v>77</v>
      </c>
      <c r="CF265" s="113">
        <f t="shared" si="349"/>
        <v>78</v>
      </c>
      <c r="CG265" s="113">
        <f t="shared" si="349"/>
        <v>79</v>
      </c>
      <c r="CH265" s="113">
        <f t="shared" si="349"/>
        <v>80</v>
      </c>
      <c r="CI265" s="113">
        <f t="shared" si="349"/>
        <v>81</v>
      </c>
      <c r="CJ265" s="113">
        <f t="shared" si="349"/>
        <v>82</v>
      </c>
      <c r="CK265" s="113">
        <f t="shared" si="349"/>
        <v>83</v>
      </c>
      <c r="CL265" s="113">
        <f t="shared" si="349"/>
        <v>84</v>
      </c>
      <c r="CM265" s="113">
        <f t="shared" si="349"/>
        <v>85</v>
      </c>
      <c r="CN265" s="113">
        <f t="shared" si="349"/>
        <v>86</v>
      </c>
      <c r="CO265" s="113">
        <f t="shared" si="349"/>
        <v>87</v>
      </c>
      <c r="CP265" s="113">
        <f t="shared" si="349"/>
        <v>88</v>
      </c>
      <c r="CQ265" s="113">
        <f t="shared" si="349"/>
        <v>89</v>
      </c>
      <c r="CR265" s="113">
        <f t="shared" si="349"/>
        <v>90</v>
      </c>
      <c r="CS265" s="113">
        <f t="shared" si="349"/>
        <v>91</v>
      </c>
      <c r="CT265" s="113">
        <f t="shared" si="349"/>
        <v>92</v>
      </c>
      <c r="CU265" s="113">
        <f t="shared" si="349"/>
        <v>93</v>
      </c>
      <c r="CV265" s="113">
        <f t="shared" si="349"/>
        <v>94</v>
      </c>
      <c r="CW265" s="113">
        <f t="shared" si="349"/>
        <v>95</v>
      </c>
      <c r="CX265" s="113" t="str">
        <f t="shared" si="349"/>
        <v/>
      </c>
      <c r="CY265" s="113" t="str">
        <f t="shared" si="349"/>
        <v/>
      </c>
      <c r="CZ265" s="113" t="str">
        <f t="shared" si="349"/>
        <v/>
      </c>
      <c r="DA265" s="113" t="str">
        <f t="shared" si="349"/>
        <v/>
      </c>
      <c r="DB265" s="113" t="str">
        <f t="shared" si="349"/>
        <v/>
      </c>
      <c r="DC265" s="113" t="str">
        <f t="shared" si="349"/>
        <v/>
      </c>
      <c r="DD265" s="113" t="str">
        <f t="shared" si="349"/>
        <v/>
      </c>
      <c r="DE265" s="113" t="str">
        <f t="shared" si="349"/>
        <v/>
      </c>
      <c r="DF265" s="113" t="str">
        <f t="shared" si="349"/>
        <v/>
      </c>
      <c r="DG265" s="113" t="str">
        <f t="shared" si="349"/>
        <v/>
      </c>
      <c r="DH265" s="113" t="str">
        <f t="shared" si="349"/>
        <v/>
      </c>
      <c r="DI265" s="113" t="str">
        <f t="shared" si="349"/>
        <v/>
      </c>
      <c r="DJ265" s="113" t="str">
        <f t="shared" si="349"/>
        <v/>
      </c>
      <c r="DK265" s="113" t="str">
        <f t="shared" si="349"/>
        <v/>
      </c>
      <c r="DL265" s="113" t="str">
        <f t="shared" si="349"/>
        <v/>
      </c>
      <c r="DM265" s="113" t="str">
        <f t="shared" si="349"/>
        <v/>
      </c>
      <c r="DN265" s="113" t="str">
        <f t="shared" si="349"/>
        <v/>
      </c>
      <c r="DO265" s="113" t="str">
        <f t="shared" si="349"/>
        <v/>
      </c>
      <c r="DP265" s="113" t="str">
        <f t="shared" si="349"/>
        <v/>
      </c>
      <c r="DQ265" s="113" t="str">
        <f t="shared" si="349"/>
        <v/>
      </c>
      <c r="DR265" s="113" t="str">
        <f t="shared" si="349"/>
        <v/>
      </c>
      <c r="DS265" s="113" t="str">
        <f t="shared" si="349"/>
        <v/>
      </c>
      <c r="DT265" s="113" t="str">
        <f t="shared" si="349"/>
        <v/>
      </c>
      <c r="DU265" s="113" t="str">
        <f t="shared" si="349"/>
        <v/>
      </c>
      <c r="DV265" s="113" t="str">
        <f t="shared" si="349"/>
        <v/>
      </c>
      <c r="DW265" s="114"/>
      <c r="DX265" s="114"/>
      <c r="DY265" s="115"/>
    </row>
    <row r="266" spans="2:129" outlineLevel="1" x14ac:dyDescent="0.2">
      <c r="B266" s="125" t="s">
        <v>78</v>
      </c>
      <c r="C266" s="138">
        <f>C251</f>
        <v>99</v>
      </c>
      <c r="D266" s="16"/>
      <c r="E266" s="16"/>
      <c r="F266" s="66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27"/>
      <c r="Z266" s="127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127"/>
      <c r="AO266" s="127"/>
      <c r="AP266" s="127"/>
      <c r="AQ266" s="127"/>
      <c r="AR266" s="127"/>
      <c r="AS266" s="127"/>
      <c r="AT266" s="127"/>
      <c r="AU266" s="127"/>
      <c r="AV266" s="127"/>
      <c r="AW266" s="127"/>
      <c r="AX266" s="127"/>
      <c r="AY266" s="127"/>
      <c r="AZ266" s="127"/>
      <c r="BA266" s="127"/>
      <c r="BB266" s="127"/>
      <c r="BC266" s="127"/>
      <c r="BD266" s="127"/>
      <c r="BE266" s="127"/>
      <c r="BF266" s="127"/>
      <c r="BG266" s="127"/>
      <c r="BH266" s="127"/>
      <c r="BI266" s="127"/>
      <c r="BJ266" s="127"/>
      <c r="BK266" s="127"/>
      <c r="BL266" s="127"/>
      <c r="BM266" s="127"/>
      <c r="BN266" s="127"/>
      <c r="BO266" s="127"/>
      <c r="BP266" s="127"/>
      <c r="BQ266" s="127"/>
      <c r="BR266" s="127"/>
      <c r="BS266" s="127"/>
      <c r="BT266" s="127"/>
      <c r="BU266" s="127"/>
      <c r="BV266" s="127"/>
      <c r="BW266" s="127"/>
      <c r="BX266" s="127"/>
      <c r="BY266" s="127"/>
      <c r="BZ266" s="127"/>
      <c r="CA266" s="127"/>
      <c r="CB266" s="127"/>
      <c r="CC266" s="127"/>
      <c r="CD266" s="127"/>
      <c r="CE266" s="127"/>
      <c r="CF266" s="127"/>
      <c r="CG266" s="127"/>
      <c r="CH266" s="127"/>
      <c r="CI266" s="127"/>
      <c r="CJ266" s="127"/>
      <c r="CK266" s="127"/>
      <c r="CL266" s="127"/>
      <c r="CM266" s="127"/>
      <c r="CN266" s="127"/>
      <c r="CO266" s="127"/>
      <c r="CP266" s="127"/>
      <c r="CQ266" s="127"/>
      <c r="CR266" s="127"/>
      <c r="CS266" s="127"/>
      <c r="CT266" s="127"/>
      <c r="CU266" s="127"/>
      <c r="CV266" s="127"/>
      <c r="CW266" s="127"/>
      <c r="CX266" s="127"/>
      <c r="CY266" s="127"/>
      <c r="CZ266" s="127"/>
      <c r="DA266" s="127"/>
      <c r="DB266" s="127"/>
      <c r="DC266" s="127"/>
      <c r="DD266" s="127"/>
      <c r="DE266" s="127"/>
      <c r="DF266" s="127"/>
      <c r="DG266" s="127"/>
      <c r="DH266" s="127"/>
      <c r="DI266" s="127"/>
      <c r="DJ266" s="127"/>
      <c r="DK266" s="127"/>
      <c r="DL266" s="127"/>
      <c r="DM266" s="127"/>
      <c r="DN266" s="127"/>
      <c r="DO266" s="127"/>
      <c r="DP266" s="127"/>
      <c r="DQ266" s="127"/>
      <c r="DR266" s="127"/>
      <c r="DS266" s="127"/>
      <c r="DT266" s="127"/>
      <c r="DU266" s="127"/>
      <c r="DV266" s="127"/>
      <c r="DW266" s="127"/>
      <c r="DX266" s="127"/>
      <c r="DY266" s="115"/>
    </row>
    <row r="267" spans="2:129" outlineLevel="1" x14ac:dyDescent="0.2">
      <c r="B267" s="16" t="s">
        <v>63</v>
      </c>
      <c r="C267" s="16"/>
      <c r="D267" s="16"/>
      <c r="E267" s="16"/>
      <c r="F267" s="77">
        <f>IF(F265="","",F263*$I$19)</f>
        <v>0</v>
      </c>
      <c r="G267" s="77">
        <f t="shared" ref="G267:BR267" si="350">IF(G265="","",G263*$I$19)</f>
        <v>0</v>
      </c>
      <c r="H267" s="77">
        <f t="shared" si="350"/>
        <v>0</v>
      </c>
      <c r="I267" s="77">
        <f t="shared" si="350"/>
        <v>0</v>
      </c>
      <c r="J267" s="77">
        <f t="shared" si="350"/>
        <v>0</v>
      </c>
      <c r="K267" s="77">
        <f t="shared" si="350"/>
        <v>0</v>
      </c>
      <c r="L267" s="77">
        <f t="shared" si="350"/>
        <v>0</v>
      </c>
      <c r="M267" s="77">
        <f t="shared" si="350"/>
        <v>0</v>
      </c>
      <c r="N267" s="77">
        <f t="shared" si="350"/>
        <v>0</v>
      </c>
      <c r="O267" s="77">
        <f t="shared" si="350"/>
        <v>0</v>
      </c>
      <c r="P267" s="77">
        <f t="shared" si="350"/>
        <v>0</v>
      </c>
      <c r="Q267" s="77">
        <f t="shared" si="350"/>
        <v>0</v>
      </c>
      <c r="R267" s="77">
        <f t="shared" si="350"/>
        <v>0</v>
      </c>
      <c r="S267" s="77">
        <f t="shared" si="350"/>
        <v>0</v>
      </c>
      <c r="T267" s="77">
        <f t="shared" si="350"/>
        <v>0</v>
      </c>
      <c r="U267" s="77">
        <f t="shared" si="350"/>
        <v>0</v>
      </c>
      <c r="V267" s="77">
        <f t="shared" si="350"/>
        <v>0</v>
      </c>
      <c r="W267" s="77">
        <f t="shared" si="350"/>
        <v>0</v>
      </c>
      <c r="X267" s="77">
        <f t="shared" si="350"/>
        <v>0</v>
      </c>
      <c r="Y267" s="77">
        <f t="shared" si="350"/>
        <v>0</v>
      </c>
      <c r="Z267" s="77">
        <f t="shared" si="350"/>
        <v>0</v>
      </c>
      <c r="AA267" s="77">
        <f t="shared" si="350"/>
        <v>0</v>
      </c>
      <c r="AB267" s="77">
        <f t="shared" si="350"/>
        <v>0</v>
      </c>
      <c r="AC267" s="77">
        <f t="shared" si="350"/>
        <v>0</v>
      </c>
      <c r="AD267" s="77">
        <f t="shared" si="350"/>
        <v>0</v>
      </c>
      <c r="AE267" s="77">
        <f t="shared" si="350"/>
        <v>0</v>
      </c>
      <c r="AF267" s="77">
        <f t="shared" si="350"/>
        <v>0</v>
      </c>
      <c r="AG267" s="77">
        <f t="shared" si="350"/>
        <v>0</v>
      </c>
      <c r="AH267" s="77">
        <f t="shared" si="350"/>
        <v>0</v>
      </c>
      <c r="AI267" s="77">
        <f t="shared" si="350"/>
        <v>0</v>
      </c>
      <c r="AJ267" s="77">
        <f t="shared" si="350"/>
        <v>0</v>
      </c>
      <c r="AK267" s="77">
        <f t="shared" si="350"/>
        <v>0</v>
      </c>
      <c r="AL267" s="77">
        <f t="shared" si="350"/>
        <v>0</v>
      </c>
      <c r="AM267" s="77">
        <f t="shared" si="350"/>
        <v>0</v>
      </c>
      <c r="AN267" s="77">
        <f t="shared" si="350"/>
        <v>0</v>
      </c>
      <c r="AO267" s="77">
        <f t="shared" si="350"/>
        <v>0</v>
      </c>
      <c r="AP267" s="77">
        <f t="shared" si="350"/>
        <v>0</v>
      </c>
      <c r="AQ267" s="77">
        <f t="shared" si="350"/>
        <v>0</v>
      </c>
      <c r="AR267" s="77">
        <f t="shared" si="350"/>
        <v>0</v>
      </c>
      <c r="AS267" s="77">
        <f t="shared" si="350"/>
        <v>0</v>
      </c>
      <c r="AT267" s="77">
        <f t="shared" si="350"/>
        <v>0</v>
      </c>
      <c r="AU267" s="77">
        <f t="shared" si="350"/>
        <v>0</v>
      </c>
      <c r="AV267" s="77">
        <f t="shared" si="350"/>
        <v>0</v>
      </c>
      <c r="AW267" s="77">
        <f t="shared" si="350"/>
        <v>0</v>
      </c>
      <c r="AX267" s="77">
        <f t="shared" si="350"/>
        <v>0</v>
      </c>
      <c r="AY267" s="77">
        <f t="shared" si="350"/>
        <v>0</v>
      </c>
      <c r="AZ267" s="77">
        <f t="shared" si="350"/>
        <v>0</v>
      </c>
      <c r="BA267" s="77">
        <f t="shared" si="350"/>
        <v>0</v>
      </c>
      <c r="BB267" s="77">
        <f t="shared" si="350"/>
        <v>0</v>
      </c>
      <c r="BC267" s="77">
        <f t="shared" si="350"/>
        <v>0</v>
      </c>
      <c r="BD267" s="77">
        <f t="shared" si="350"/>
        <v>0</v>
      </c>
      <c r="BE267" s="77">
        <f t="shared" si="350"/>
        <v>0</v>
      </c>
      <c r="BF267" s="77">
        <f t="shared" si="350"/>
        <v>0</v>
      </c>
      <c r="BG267" s="77">
        <f t="shared" si="350"/>
        <v>0</v>
      </c>
      <c r="BH267" s="77">
        <f t="shared" si="350"/>
        <v>0</v>
      </c>
      <c r="BI267" s="77">
        <f t="shared" si="350"/>
        <v>0</v>
      </c>
      <c r="BJ267" s="77">
        <f t="shared" si="350"/>
        <v>0</v>
      </c>
      <c r="BK267" s="77">
        <f t="shared" si="350"/>
        <v>0</v>
      </c>
      <c r="BL267" s="77">
        <f t="shared" si="350"/>
        <v>0</v>
      </c>
      <c r="BM267" s="77">
        <f t="shared" si="350"/>
        <v>0</v>
      </c>
      <c r="BN267" s="77">
        <f t="shared" si="350"/>
        <v>0</v>
      </c>
      <c r="BO267" s="77">
        <f t="shared" si="350"/>
        <v>0</v>
      </c>
      <c r="BP267" s="77">
        <f t="shared" si="350"/>
        <v>0</v>
      </c>
      <c r="BQ267" s="77">
        <f t="shared" si="350"/>
        <v>0</v>
      </c>
      <c r="BR267" s="77">
        <f t="shared" si="350"/>
        <v>0</v>
      </c>
      <c r="BS267" s="77">
        <f t="shared" ref="BS267:DV267" si="351">IF(BS265="","",BS263*$I$19)</f>
        <v>0</v>
      </c>
      <c r="BT267" s="77">
        <f t="shared" si="351"/>
        <v>0</v>
      </c>
      <c r="BU267" s="77">
        <f t="shared" si="351"/>
        <v>0</v>
      </c>
      <c r="BV267" s="77">
        <f t="shared" si="351"/>
        <v>0</v>
      </c>
      <c r="BW267" s="77">
        <f t="shared" si="351"/>
        <v>0</v>
      </c>
      <c r="BX267" s="77">
        <f t="shared" si="351"/>
        <v>0</v>
      </c>
      <c r="BY267" s="77">
        <f t="shared" si="351"/>
        <v>0</v>
      </c>
      <c r="BZ267" s="77">
        <f t="shared" si="351"/>
        <v>0</v>
      </c>
      <c r="CA267" s="77">
        <f t="shared" si="351"/>
        <v>0</v>
      </c>
      <c r="CB267" s="77">
        <f t="shared" si="351"/>
        <v>0</v>
      </c>
      <c r="CC267" s="77">
        <f t="shared" si="351"/>
        <v>0</v>
      </c>
      <c r="CD267" s="77">
        <f t="shared" si="351"/>
        <v>0</v>
      </c>
      <c r="CE267" s="77">
        <f t="shared" si="351"/>
        <v>0</v>
      </c>
      <c r="CF267" s="77">
        <f t="shared" si="351"/>
        <v>0</v>
      </c>
      <c r="CG267" s="77">
        <f t="shared" si="351"/>
        <v>0</v>
      </c>
      <c r="CH267" s="77">
        <f t="shared" si="351"/>
        <v>0</v>
      </c>
      <c r="CI267" s="77">
        <f t="shared" si="351"/>
        <v>0</v>
      </c>
      <c r="CJ267" s="77">
        <f t="shared" si="351"/>
        <v>0</v>
      </c>
      <c r="CK267" s="77">
        <f t="shared" si="351"/>
        <v>0</v>
      </c>
      <c r="CL267" s="77">
        <f t="shared" si="351"/>
        <v>0</v>
      </c>
      <c r="CM267" s="77">
        <f t="shared" si="351"/>
        <v>0</v>
      </c>
      <c r="CN267" s="77">
        <f t="shared" si="351"/>
        <v>0</v>
      </c>
      <c r="CO267" s="77">
        <f t="shared" si="351"/>
        <v>0</v>
      </c>
      <c r="CP267" s="77">
        <f t="shared" si="351"/>
        <v>0</v>
      </c>
      <c r="CQ267" s="77">
        <f t="shared" si="351"/>
        <v>0</v>
      </c>
      <c r="CR267" s="77">
        <f t="shared" si="351"/>
        <v>0</v>
      </c>
      <c r="CS267" s="77">
        <f t="shared" si="351"/>
        <v>0</v>
      </c>
      <c r="CT267" s="77">
        <f t="shared" si="351"/>
        <v>0</v>
      </c>
      <c r="CU267" s="77">
        <f t="shared" si="351"/>
        <v>0</v>
      </c>
      <c r="CV267" s="77">
        <f t="shared" si="351"/>
        <v>0</v>
      </c>
      <c r="CW267" s="77">
        <f t="shared" si="351"/>
        <v>0</v>
      </c>
      <c r="CX267" s="77" t="str">
        <f t="shared" si="351"/>
        <v/>
      </c>
      <c r="CY267" s="77" t="str">
        <f t="shared" si="351"/>
        <v/>
      </c>
      <c r="CZ267" s="77" t="str">
        <f t="shared" si="351"/>
        <v/>
      </c>
      <c r="DA267" s="77" t="str">
        <f t="shared" si="351"/>
        <v/>
      </c>
      <c r="DB267" s="77" t="str">
        <f t="shared" si="351"/>
        <v/>
      </c>
      <c r="DC267" s="77" t="str">
        <f t="shared" si="351"/>
        <v/>
      </c>
      <c r="DD267" s="77" t="str">
        <f t="shared" si="351"/>
        <v/>
      </c>
      <c r="DE267" s="77" t="str">
        <f t="shared" si="351"/>
        <v/>
      </c>
      <c r="DF267" s="77" t="str">
        <f t="shared" si="351"/>
        <v/>
      </c>
      <c r="DG267" s="77" t="str">
        <f t="shared" si="351"/>
        <v/>
      </c>
      <c r="DH267" s="77" t="str">
        <f t="shared" si="351"/>
        <v/>
      </c>
      <c r="DI267" s="77" t="str">
        <f t="shared" si="351"/>
        <v/>
      </c>
      <c r="DJ267" s="77" t="str">
        <f t="shared" si="351"/>
        <v/>
      </c>
      <c r="DK267" s="77" t="str">
        <f t="shared" si="351"/>
        <v/>
      </c>
      <c r="DL267" s="77" t="str">
        <f t="shared" si="351"/>
        <v/>
      </c>
      <c r="DM267" s="77" t="str">
        <f t="shared" si="351"/>
        <v/>
      </c>
      <c r="DN267" s="77" t="str">
        <f t="shared" si="351"/>
        <v/>
      </c>
      <c r="DO267" s="77" t="str">
        <f t="shared" si="351"/>
        <v/>
      </c>
      <c r="DP267" s="77" t="str">
        <f t="shared" si="351"/>
        <v/>
      </c>
      <c r="DQ267" s="77" t="str">
        <f t="shared" si="351"/>
        <v/>
      </c>
      <c r="DR267" s="77" t="str">
        <f t="shared" si="351"/>
        <v/>
      </c>
      <c r="DS267" s="77" t="str">
        <f t="shared" si="351"/>
        <v/>
      </c>
      <c r="DT267" s="77" t="str">
        <f t="shared" si="351"/>
        <v/>
      </c>
      <c r="DU267" s="77" t="str">
        <f t="shared" si="351"/>
        <v/>
      </c>
      <c r="DV267" s="77" t="str">
        <f t="shared" si="351"/>
        <v/>
      </c>
      <c r="DW267" s="77"/>
      <c r="DX267" s="77"/>
      <c r="DY267" s="78"/>
    </row>
    <row r="268" spans="2:129" outlineLevel="1" x14ac:dyDescent="0.2">
      <c r="B268" s="16" t="s">
        <v>67</v>
      </c>
      <c r="C268" s="16"/>
      <c r="D268" s="16"/>
      <c r="E268" s="16"/>
      <c r="F268" s="77">
        <f>IF(F265="","",F263-F267)</f>
        <v>0</v>
      </c>
      <c r="G268" s="77">
        <f t="shared" ref="G268:BR268" si="352">IF(G265="","",G263-G267)</f>
        <v>0</v>
      </c>
      <c r="H268" s="77">
        <f t="shared" si="352"/>
        <v>0</v>
      </c>
      <c r="I268" s="77">
        <f t="shared" si="352"/>
        <v>0</v>
      </c>
      <c r="J268" s="77">
        <f t="shared" si="352"/>
        <v>0</v>
      </c>
      <c r="K268" s="77">
        <f t="shared" si="352"/>
        <v>0</v>
      </c>
      <c r="L268" s="77">
        <f t="shared" si="352"/>
        <v>0</v>
      </c>
      <c r="M268" s="77">
        <f t="shared" si="352"/>
        <v>0</v>
      </c>
      <c r="N268" s="77">
        <f t="shared" si="352"/>
        <v>0</v>
      </c>
      <c r="O268" s="77">
        <f t="shared" si="352"/>
        <v>0</v>
      </c>
      <c r="P268" s="77">
        <f t="shared" si="352"/>
        <v>0</v>
      </c>
      <c r="Q268" s="77">
        <f t="shared" si="352"/>
        <v>0</v>
      </c>
      <c r="R268" s="77">
        <f t="shared" si="352"/>
        <v>0</v>
      </c>
      <c r="S268" s="77">
        <f t="shared" si="352"/>
        <v>0</v>
      </c>
      <c r="T268" s="77">
        <f t="shared" si="352"/>
        <v>0</v>
      </c>
      <c r="U268" s="77">
        <f t="shared" si="352"/>
        <v>0</v>
      </c>
      <c r="V268" s="77">
        <f t="shared" si="352"/>
        <v>0</v>
      </c>
      <c r="W268" s="77">
        <f t="shared" si="352"/>
        <v>0</v>
      </c>
      <c r="X268" s="77">
        <f t="shared" si="352"/>
        <v>0</v>
      </c>
      <c r="Y268" s="77">
        <f t="shared" si="352"/>
        <v>0</v>
      </c>
      <c r="Z268" s="77">
        <f t="shared" si="352"/>
        <v>0</v>
      </c>
      <c r="AA268" s="77">
        <f t="shared" si="352"/>
        <v>0</v>
      </c>
      <c r="AB268" s="77">
        <f t="shared" si="352"/>
        <v>0</v>
      </c>
      <c r="AC268" s="77">
        <f t="shared" si="352"/>
        <v>0</v>
      </c>
      <c r="AD268" s="77">
        <f t="shared" si="352"/>
        <v>0</v>
      </c>
      <c r="AE268" s="77">
        <f t="shared" si="352"/>
        <v>0</v>
      </c>
      <c r="AF268" s="77">
        <f t="shared" si="352"/>
        <v>0</v>
      </c>
      <c r="AG268" s="77">
        <f t="shared" si="352"/>
        <v>0</v>
      </c>
      <c r="AH268" s="77">
        <f t="shared" si="352"/>
        <v>0</v>
      </c>
      <c r="AI268" s="77">
        <f t="shared" si="352"/>
        <v>0</v>
      </c>
      <c r="AJ268" s="77">
        <f t="shared" si="352"/>
        <v>0</v>
      </c>
      <c r="AK268" s="77">
        <f t="shared" si="352"/>
        <v>0</v>
      </c>
      <c r="AL268" s="77">
        <f t="shared" si="352"/>
        <v>0</v>
      </c>
      <c r="AM268" s="77">
        <f t="shared" si="352"/>
        <v>0</v>
      </c>
      <c r="AN268" s="77">
        <f t="shared" si="352"/>
        <v>0</v>
      </c>
      <c r="AO268" s="77">
        <f t="shared" si="352"/>
        <v>0</v>
      </c>
      <c r="AP268" s="77">
        <f t="shared" si="352"/>
        <v>0</v>
      </c>
      <c r="AQ268" s="77">
        <f t="shared" si="352"/>
        <v>0</v>
      </c>
      <c r="AR268" s="77">
        <f t="shared" si="352"/>
        <v>0</v>
      </c>
      <c r="AS268" s="77">
        <f t="shared" si="352"/>
        <v>0</v>
      </c>
      <c r="AT268" s="77">
        <f t="shared" si="352"/>
        <v>0</v>
      </c>
      <c r="AU268" s="77">
        <f t="shared" si="352"/>
        <v>0</v>
      </c>
      <c r="AV268" s="77">
        <f t="shared" si="352"/>
        <v>0</v>
      </c>
      <c r="AW268" s="77">
        <f t="shared" si="352"/>
        <v>0</v>
      </c>
      <c r="AX268" s="77">
        <f t="shared" si="352"/>
        <v>0</v>
      </c>
      <c r="AY268" s="77">
        <f t="shared" si="352"/>
        <v>0</v>
      </c>
      <c r="AZ268" s="77">
        <f t="shared" si="352"/>
        <v>0</v>
      </c>
      <c r="BA268" s="77">
        <f t="shared" si="352"/>
        <v>0</v>
      </c>
      <c r="BB268" s="77">
        <f t="shared" si="352"/>
        <v>0</v>
      </c>
      <c r="BC268" s="77">
        <f t="shared" si="352"/>
        <v>0</v>
      </c>
      <c r="BD268" s="77">
        <f t="shared" si="352"/>
        <v>0</v>
      </c>
      <c r="BE268" s="77">
        <f t="shared" si="352"/>
        <v>0</v>
      </c>
      <c r="BF268" s="77">
        <f t="shared" si="352"/>
        <v>0</v>
      </c>
      <c r="BG268" s="77">
        <f t="shared" si="352"/>
        <v>0</v>
      </c>
      <c r="BH268" s="77">
        <f t="shared" si="352"/>
        <v>0</v>
      </c>
      <c r="BI268" s="77">
        <f t="shared" si="352"/>
        <v>0</v>
      </c>
      <c r="BJ268" s="77">
        <f t="shared" si="352"/>
        <v>0</v>
      </c>
      <c r="BK268" s="77">
        <f t="shared" si="352"/>
        <v>0</v>
      </c>
      <c r="BL268" s="77">
        <f t="shared" si="352"/>
        <v>0</v>
      </c>
      <c r="BM268" s="77">
        <f t="shared" si="352"/>
        <v>0</v>
      </c>
      <c r="BN268" s="77">
        <f t="shared" si="352"/>
        <v>0</v>
      </c>
      <c r="BO268" s="77">
        <f t="shared" si="352"/>
        <v>0</v>
      </c>
      <c r="BP268" s="77">
        <f t="shared" si="352"/>
        <v>0</v>
      </c>
      <c r="BQ268" s="77">
        <f t="shared" si="352"/>
        <v>0</v>
      </c>
      <c r="BR268" s="77">
        <f t="shared" si="352"/>
        <v>0</v>
      </c>
      <c r="BS268" s="77">
        <f t="shared" ref="BS268:DV268" si="353">IF(BS265="","",BS263-BS267)</f>
        <v>0</v>
      </c>
      <c r="BT268" s="77">
        <f t="shared" si="353"/>
        <v>0</v>
      </c>
      <c r="BU268" s="77">
        <f t="shared" si="353"/>
        <v>0</v>
      </c>
      <c r="BV268" s="77">
        <f t="shared" si="353"/>
        <v>0</v>
      </c>
      <c r="BW268" s="77">
        <f t="shared" si="353"/>
        <v>0</v>
      </c>
      <c r="BX268" s="77">
        <f t="shared" si="353"/>
        <v>0</v>
      </c>
      <c r="BY268" s="77">
        <f t="shared" si="353"/>
        <v>0</v>
      </c>
      <c r="BZ268" s="77">
        <f t="shared" si="353"/>
        <v>0</v>
      </c>
      <c r="CA268" s="77">
        <f t="shared" si="353"/>
        <v>0</v>
      </c>
      <c r="CB268" s="77">
        <f t="shared" si="353"/>
        <v>0</v>
      </c>
      <c r="CC268" s="77">
        <f t="shared" si="353"/>
        <v>0</v>
      </c>
      <c r="CD268" s="77">
        <f t="shared" si="353"/>
        <v>0</v>
      </c>
      <c r="CE268" s="77">
        <f t="shared" si="353"/>
        <v>0</v>
      </c>
      <c r="CF268" s="77">
        <f t="shared" si="353"/>
        <v>0</v>
      </c>
      <c r="CG268" s="77">
        <f t="shared" si="353"/>
        <v>0</v>
      </c>
      <c r="CH268" s="77">
        <f t="shared" si="353"/>
        <v>0</v>
      </c>
      <c r="CI268" s="77">
        <f t="shared" si="353"/>
        <v>0</v>
      </c>
      <c r="CJ268" s="77">
        <f t="shared" si="353"/>
        <v>0</v>
      </c>
      <c r="CK268" s="77">
        <f t="shared" si="353"/>
        <v>0</v>
      </c>
      <c r="CL268" s="77">
        <f t="shared" si="353"/>
        <v>0</v>
      </c>
      <c r="CM268" s="77">
        <f t="shared" si="353"/>
        <v>0</v>
      </c>
      <c r="CN268" s="77">
        <f t="shared" si="353"/>
        <v>0</v>
      </c>
      <c r="CO268" s="77">
        <f t="shared" si="353"/>
        <v>0</v>
      </c>
      <c r="CP268" s="77">
        <f t="shared" si="353"/>
        <v>0</v>
      </c>
      <c r="CQ268" s="77">
        <f t="shared" si="353"/>
        <v>0</v>
      </c>
      <c r="CR268" s="77">
        <f t="shared" si="353"/>
        <v>0</v>
      </c>
      <c r="CS268" s="77">
        <f t="shared" si="353"/>
        <v>0</v>
      </c>
      <c r="CT268" s="77">
        <f t="shared" si="353"/>
        <v>0</v>
      </c>
      <c r="CU268" s="77">
        <f t="shared" si="353"/>
        <v>0</v>
      </c>
      <c r="CV268" s="77">
        <f t="shared" si="353"/>
        <v>0</v>
      </c>
      <c r="CW268" s="77">
        <f t="shared" si="353"/>
        <v>0</v>
      </c>
      <c r="CX268" s="77" t="str">
        <f t="shared" si="353"/>
        <v/>
      </c>
      <c r="CY268" s="77" t="str">
        <f t="shared" si="353"/>
        <v/>
      </c>
      <c r="CZ268" s="77" t="str">
        <f t="shared" si="353"/>
        <v/>
      </c>
      <c r="DA268" s="77" t="str">
        <f t="shared" si="353"/>
        <v/>
      </c>
      <c r="DB268" s="77" t="str">
        <f t="shared" si="353"/>
        <v/>
      </c>
      <c r="DC268" s="77" t="str">
        <f t="shared" si="353"/>
        <v/>
      </c>
      <c r="DD268" s="77" t="str">
        <f t="shared" si="353"/>
        <v/>
      </c>
      <c r="DE268" s="77" t="str">
        <f t="shared" si="353"/>
        <v/>
      </c>
      <c r="DF268" s="77" t="str">
        <f t="shared" si="353"/>
        <v/>
      </c>
      <c r="DG268" s="77" t="str">
        <f t="shared" si="353"/>
        <v/>
      </c>
      <c r="DH268" s="77" t="str">
        <f t="shared" si="353"/>
        <v/>
      </c>
      <c r="DI268" s="77" t="str">
        <f t="shared" si="353"/>
        <v/>
      </c>
      <c r="DJ268" s="77" t="str">
        <f t="shared" si="353"/>
        <v/>
      </c>
      <c r="DK268" s="77" t="str">
        <f t="shared" si="353"/>
        <v/>
      </c>
      <c r="DL268" s="77" t="str">
        <f t="shared" si="353"/>
        <v/>
      </c>
      <c r="DM268" s="77" t="str">
        <f t="shared" si="353"/>
        <v/>
      </c>
      <c r="DN268" s="77" t="str">
        <f t="shared" si="353"/>
        <v/>
      </c>
      <c r="DO268" s="77" t="str">
        <f t="shared" si="353"/>
        <v/>
      </c>
      <c r="DP268" s="77" t="str">
        <f t="shared" si="353"/>
        <v/>
      </c>
      <c r="DQ268" s="77" t="str">
        <f t="shared" si="353"/>
        <v/>
      </c>
      <c r="DR268" s="77" t="str">
        <f t="shared" si="353"/>
        <v/>
      </c>
      <c r="DS268" s="77" t="str">
        <f t="shared" si="353"/>
        <v/>
      </c>
      <c r="DT268" s="77" t="str">
        <f t="shared" si="353"/>
        <v/>
      </c>
      <c r="DU268" s="77" t="str">
        <f t="shared" si="353"/>
        <v/>
      </c>
      <c r="DV268" s="77" t="str">
        <f t="shared" si="353"/>
        <v/>
      </c>
      <c r="DW268" s="77"/>
      <c r="DX268" s="77"/>
      <c r="DY268" s="78"/>
    </row>
    <row r="269" spans="2:129" outlineLevel="1" x14ac:dyDescent="0.2">
      <c r="B269" s="16" t="str">
        <f>"Total Distributions ("&amp;B265&amp;")"</f>
        <v>Total Distributions (Tier 5)</v>
      </c>
      <c r="C269" s="16"/>
      <c r="D269" s="16"/>
      <c r="E269" s="16"/>
      <c r="F269" s="77">
        <f>IF(F265="","",F267+F268)</f>
        <v>0</v>
      </c>
      <c r="G269" s="77">
        <f t="shared" ref="G269:BR269" si="354">IF(G265="","",G267+G268)</f>
        <v>0</v>
      </c>
      <c r="H269" s="77">
        <f t="shared" si="354"/>
        <v>0</v>
      </c>
      <c r="I269" s="77">
        <f t="shared" si="354"/>
        <v>0</v>
      </c>
      <c r="J269" s="77">
        <f t="shared" si="354"/>
        <v>0</v>
      </c>
      <c r="K269" s="77">
        <f t="shared" si="354"/>
        <v>0</v>
      </c>
      <c r="L269" s="77">
        <f t="shared" si="354"/>
        <v>0</v>
      </c>
      <c r="M269" s="77">
        <f t="shared" si="354"/>
        <v>0</v>
      </c>
      <c r="N269" s="77">
        <f t="shared" si="354"/>
        <v>0</v>
      </c>
      <c r="O269" s="77">
        <f t="shared" si="354"/>
        <v>0</v>
      </c>
      <c r="P269" s="77">
        <f t="shared" si="354"/>
        <v>0</v>
      </c>
      <c r="Q269" s="77">
        <f t="shared" si="354"/>
        <v>0</v>
      </c>
      <c r="R269" s="77">
        <f t="shared" si="354"/>
        <v>0</v>
      </c>
      <c r="S269" s="77">
        <f t="shared" si="354"/>
        <v>0</v>
      </c>
      <c r="T269" s="77">
        <f t="shared" si="354"/>
        <v>0</v>
      </c>
      <c r="U269" s="77">
        <f t="shared" si="354"/>
        <v>0</v>
      </c>
      <c r="V269" s="77">
        <f t="shared" si="354"/>
        <v>0</v>
      </c>
      <c r="W269" s="77">
        <f t="shared" si="354"/>
        <v>0</v>
      </c>
      <c r="X269" s="77">
        <f t="shared" si="354"/>
        <v>0</v>
      </c>
      <c r="Y269" s="77">
        <f t="shared" si="354"/>
        <v>0</v>
      </c>
      <c r="Z269" s="77">
        <f t="shared" si="354"/>
        <v>0</v>
      </c>
      <c r="AA269" s="77">
        <f t="shared" si="354"/>
        <v>0</v>
      </c>
      <c r="AB269" s="77">
        <f t="shared" si="354"/>
        <v>0</v>
      </c>
      <c r="AC269" s="77">
        <f t="shared" si="354"/>
        <v>0</v>
      </c>
      <c r="AD269" s="77">
        <f t="shared" si="354"/>
        <v>0</v>
      </c>
      <c r="AE269" s="77">
        <f t="shared" si="354"/>
        <v>0</v>
      </c>
      <c r="AF269" s="77">
        <f t="shared" si="354"/>
        <v>0</v>
      </c>
      <c r="AG269" s="77">
        <f t="shared" si="354"/>
        <v>0</v>
      </c>
      <c r="AH269" s="77">
        <f t="shared" si="354"/>
        <v>0</v>
      </c>
      <c r="AI269" s="77">
        <f t="shared" si="354"/>
        <v>0</v>
      </c>
      <c r="AJ269" s="77">
        <f t="shared" si="354"/>
        <v>0</v>
      </c>
      <c r="AK269" s="77">
        <f t="shared" si="354"/>
        <v>0</v>
      </c>
      <c r="AL269" s="77">
        <f t="shared" si="354"/>
        <v>0</v>
      </c>
      <c r="AM269" s="77">
        <f t="shared" si="354"/>
        <v>0</v>
      </c>
      <c r="AN269" s="77">
        <f t="shared" si="354"/>
        <v>0</v>
      </c>
      <c r="AO269" s="77">
        <f t="shared" si="354"/>
        <v>0</v>
      </c>
      <c r="AP269" s="77">
        <f t="shared" si="354"/>
        <v>0</v>
      </c>
      <c r="AQ269" s="77">
        <f t="shared" si="354"/>
        <v>0</v>
      </c>
      <c r="AR269" s="77">
        <f t="shared" si="354"/>
        <v>0</v>
      </c>
      <c r="AS269" s="77">
        <f t="shared" si="354"/>
        <v>0</v>
      </c>
      <c r="AT269" s="77">
        <f t="shared" si="354"/>
        <v>0</v>
      </c>
      <c r="AU269" s="77">
        <f t="shared" si="354"/>
        <v>0</v>
      </c>
      <c r="AV269" s="77">
        <f t="shared" si="354"/>
        <v>0</v>
      </c>
      <c r="AW269" s="77">
        <f t="shared" si="354"/>
        <v>0</v>
      </c>
      <c r="AX269" s="77">
        <f t="shared" si="354"/>
        <v>0</v>
      </c>
      <c r="AY269" s="77">
        <f t="shared" si="354"/>
        <v>0</v>
      </c>
      <c r="AZ269" s="77">
        <f t="shared" si="354"/>
        <v>0</v>
      </c>
      <c r="BA269" s="77">
        <f t="shared" si="354"/>
        <v>0</v>
      </c>
      <c r="BB269" s="77">
        <f t="shared" si="354"/>
        <v>0</v>
      </c>
      <c r="BC269" s="77">
        <f t="shared" si="354"/>
        <v>0</v>
      </c>
      <c r="BD269" s="77">
        <f t="shared" si="354"/>
        <v>0</v>
      </c>
      <c r="BE269" s="77">
        <f t="shared" si="354"/>
        <v>0</v>
      </c>
      <c r="BF269" s="77">
        <f t="shared" si="354"/>
        <v>0</v>
      </c>
      <c r="BG269" s="77">
        <f t="shared" si="354"/>
        <v>0</v>
      </c>
      <c r="BH269" s="77">
        <f t="shared" si="354"/>
        <v>0</v>
      </c>
      <c r="BI269" s="77">
        <f t="shared" si="354"/>
        <v>0</v>
      </c>
      <c r="BJ269" s="77">
        <f t="shared" si="354"/>
        <v>0</v>
      </c>
      <c r="BK269" s="77">
        <f t="shared" si="354"/>
        <v>0</v>
      </c>
      <c r="BL269" s="77">
        <f t="shared" si="354"/>
        <v>0</v>
      </c>
      <c r="BM269" s="77">
        <f t="shared" si="354"/>
        <v>0</v>
      </c>
      <c r="BN269" s="77">
        <f t="shared" si="354"/>
        <v>0</v>
      </c>
      <c r="BO269" s="77">
        <f t="shared" si="354"/>
        <v>0</v>
      </c>
      <c r="BP269" s="77">
        <f t="shared" si="354"/>
        <v>0</v>
      </c>
      <c r="BQ269" s="77">
        <f t="shared" si="354"/>
        <v>0</v>
      </c>
      <c r="BR269" s="77">
        <f t="shared" si="354"/>
        <v>0</v>
      </c>
      <c r="BS269" s="77">
        <f t="shared" ref="BS269:DV269" si="355">IF(BS265="","",BS267+BS268)</f>
        <v>0</v>
      </c>
      <c r="BT269" s="77">
        <f t="shared" si="355"/>
        <v>0</v>
      </c>
      <c r="BU269" s="77">
        <f t="shared" si="355"/>
        <v>0</v>
      </c>
      <c r="BV269" s="77">
        <f t="shared" si="355"/>
        <v>0</v>
      </c>
      <c r="BW269" s="77">
        <f t="shared" si="355"/>
        <v>0</v>
      </c>
      <c r="BX269" s="77">
        <f t="shared" si="355"/>
        <v>0</v>
      </c>
      <c r="BY269" s="77">
        <f t="shared" si="355"/>
        <v>0</v>
      </c>
      <c r="BZ269" s="77">
        <f t="shared" si="355"/>
        <v>0</v>
      </c>
      <c r="CA269" s="77">
        <f t="shared" si="355"/>
        <v>0</v>
      </c>
      <c r="CB269" s="77">
        <f t="shared" si="355"/>
        <v>0</v>
      </c>
      <c r="CC269" s="77">
        <f t="shared" si="355"/>
        <v>0</v>
      </c>
      <c r="CD269" s="77">
        <f t="shared" si="355"/>
        <v>0</v>
      </c>
      <c r="CE269" s="77">
        <f t="shared" si="355"/>
        <v>0</v>
      </c>
      <c r="CF269" s="77">
        <f t="shared" si="355"/>
        <v>0</v>
      </c>
      <c r="CG269" s="77">
        <f t="shared" si="355"/>
        <v>0</v>
      </c>
      <c r="CH269" s="77">
        <f t="shared" si="355"/>
        <v>0</v>
      </c>
      <c r="CI269" s="77">
        <f t="shared" si="355"/>
        <v>0</v>
      </c>
      <c r="CJ269" s="77">
        <f t="shared" si="355"/>
        <v>0</v>
      </c>
      <c r="CK269" s="77">
        <f t="shared" si="355"/>
        <v>0</v>
      </c>
      <c r="CL269" s="77">
        <f t="shared" si="355"/>
        <v>0</v>
      </c>
      <c r="CM269" s="77">
        <f t="shared" si="355"/>
        <v>0</v>
      </c>
      <c r="CN269" s="77">
        <f t="shared" si="355"/>
        <v>0</v>
      </c>
      <c r="CO269" s="77">
        <f t="shared" si="355"/>
        <v>0</v>
      </c>
      <c r="CP269" s="77">
        <f t="shared" si="355"/>
        <v>0</v>
      </c>
      <c r="CQ269" s="77">
        <f t="shared" si="355"/>
        <v>0</v>
      </c>
      <c r="CR269" s="77">
        <f t="shared" si="355"/>
        <v>0</v>
      </c>
      <c r="CS269" s="77">
        <f t="shared" si="355"/>
        <v>0</v>
      </c>
      <c r="CT269" s="77">
        <f t="shared" si="355"/>
        <v>0</v>
      </c>
      <c r="CU269" s="77">
        <f t="shared" si="355"/>
        <v>0</v>
      </c>
      <c r="CV269" s="77">
        <f t="shared" si="355"/>
        <v>0</v>
      </c>
      <c r="CW269" s="77">
        <f t="shared" si="355"/>
        <v>0</v>
      </c>
      <c r="CX269" s="77" t="str">
        <f t="shared" si="355"/>
        <v/>
      </c>
      <c r="CY269" s="77" t="str">
        <f t="shared" si="355"/>
        <v/>
      </c>
      <c r="CZ269" s="77" t="str">
        <f t="shared" si="355"/>
        <v/>
      </c>
      <c r="DA269" s="77" t="str">
        <f t="shared" si="355"/>
        <v/>
      </c>
      <c r="DB269" s="77" t="str">
        <f t="shared" si="355"/>
        <v/>
      </c>
      <c r="DC269" s="77" t="str">
        <f t="shared" si="355"/>
        <v/>
      </c>
      <c r="DD269" s="77" t="str">
        <f t="shared" si="355"/>
        <v/>
      </c>
      <c r="DE269" s="77" t="str">
        <f t="shared" si="355"/>
        <v/>
      </c>
      <c r="DF269" s="77" t="str">
        <f t="shared" si="355"/>
        <v/>
      </c>
      <c r="DG269" s="77" t="str">
        <f t="shared" si="355"/>
        <v/>
      </c>
      <c r="DH269" s="77" t="str">
        <f t="shared" si="355"/>
        <v/>
      </c>
      <c r="DI269" s="77" t="str">
        <f t="shared" si="355"/>
        <v/>
      </c>
      <c r="DJ269" s="77" t="str">
        <f t="shared" si="355"/>
        <v/>
      </c>
      <c r="DK269" s="77" t="str">
        <f t="shared" si="355"/>
        <v/>
      </c>
      <c r="DL269" s="77" t="str">
        <f t="shared" si="355"/>
        <v/>
      </c>
      <c r="DM269" s="77" t="str">
        <f t="shared" si="355"/>
        <v/>
      </c>
      <c r="DN269" s="77" t="str">
        <f t="shared" si="355"/>
        <v/>
      </c>
      <c r="DO269" s="77" t="str">
        <f t="shared" si="355"/>
        <v/>
      </c>
      <c r="DP269" s="77" t="str">
        <f t="shared" si="355"/>
        <v/>
      </c>
      <c r="DQ269" s="77" t="str">
        <f t="shared" si="355"/>
        <v/>
      </c>
      <c r="DR269" s="77" t="str">
        <f t="shared" si="355"/>
        <v/>
      </c>
      <c r="DS269" s="77" t="str">
        <f t="shared" si="355"/>
        <v/>
      </c>
      <c r="DT269" s="77" t="str">
        <f t="shared" si="355"/>
        <v/>
      </c>
      <c r="DU269" s="77" t="str">
        <f t="shared" si="355"/>
        <v/>
      </c>
      <c r="DV269" s="77" t="str">
        <f t="shared" si="355"/>
        <v/>
      </c>
      <c r="DW269" s="77"/>
      <c r="DX269" s="77"/>
      <c r="DY269" s="78"/>
    </row>
    <row r="270" spans="2:129" outlineLevel="1" x14ac:dyDescent="0.2">
      <c r="B270" s="16" t="s">
        <v>69</v>
      </c>
      <c r="C270" s="16"/>
      <c r="D270" s="16"/>
      <c r="E270" s="16"/>
      <c r="F270" s="77">
        <f>IF(F265="","",F263-F269)</f>
        <v>0</v>
      </c>
      <c r="G270" s="77">
        <f t="shared" ref="G270:BR270" si="356">IF(G265="","",G263-G269)</f>
        <v>0</v>
      </c>
      <c r="H270" s="77">
        <f t="shared" si="356"/>
        <v>0</v>
      </c>
      <c r="I270" s="77">
        <f t="shared" si="356"/>
        <v>0</v>
      </c>
      <c r="J270" s="77">
        <f t="shared" si="356"/>
        <v>0</v>
      </c>
      <c r="K270" s="77">
        <f t="shared" si="356"/>
        <v>0</v>
      </c>
      <c r="L270" s="77">
        <f t="shared" si="356"/>
        <v>0</v>
      </c>
      <c r="M270" s="77">
        <f t="shared" si="356"/>
        <v>0</v>
      </c>
      <c r="N270" s="77">
        <f t="shared" si="356"/>
        <v>0</v>
      </c>
      <c r="O270" s="77">
        <f t="shared" si="356"/>
        <v>0</v>
      </c>
      <c r="P270" s="77">
        <f t="shared" si="356"/>
        <v>0</v>
      </c>
      <c r="Q270" s="77">
        <f t="shared" si="356"/>
        <v>0</v>
      </c>
      <c r="R270" s="77">
        <f t="shared" si="356"/>
        <v>0</v>
      </c>
      <c r="S270" s="77">
        <f t="shared" si="356"/>
        <v>0</v>
      </c>
      <c r="T270" s="77">
        <f t="shared" si="356"/>
        <v>0</v>
      </c>
      <c r="U270" s="77">
        <f t="shared" si="356"/>
        <v>0</v>
      </c>
      <c r="V270" s="77">
        <f t="shared" si="356"/>
        <v>0</v>
      </c>
      <c r="W270" s="77">
        <f t="shared" si="356"/>
        <v>0</v>
      </c>
      <c r="X270" s="77">
        <f t="shared" si="356"/>
        <v>0</v>
      </c>
      <c r="Y270" s="77">
        <f t="shared" si="356"/>
        <v>0</v>
      </c>
      <c r="Z270" s="77">
        <f t="shared" si="356"/>
        <v>0</v>
      </c>
      <c r="AA270" s="77">
        <f t="shared" si="356"/>
        <v>0</v>
      </c>
      <c r="AB270" s="77">
        <f t="shared" si="356"/>
        <v>0</v>
      </c>
      <c r="AC270" s="77">
        <f t="shared" si="356"/>
        <v>0</v>
      </c>
      <c r="AD270" s="77">
        <f t="shared" si="356"/>
        <v>0</v>
      </c>
      <c r="AE270" s="77">
        <f t="shared" si="356"/>
        <v>0</v>
      </c>
      <c r="AF270" s="77">
        <f t="shared" si="356"/>
        <v>0</v>
      </c>
      <c r="AG270" s="77">
        <f t="shared" si="356"/>
        <v>0</v>
      </c>
      <c r="AH270" s="77">
        <f t="shared" si="356"/>
        <v>0</v>
      </c>
      <c r="AI270" s="77">
        <f t="shared" si="356"/>
        <v>0</v>
      </c>
      <c r="AJ270" s="77">
        <f t="shared" si="356"/>
        <v>0</v>
      </c>
      <c r="AK270" s="77">
        <f t="shared" si="356"/>
        <v>0</v>
      </c>
      <c r="AL270" s="77">
        <f t="shared" si="356"/>
        <v>0</v>
      </c>
      <c r="AM270" s="77">
        <f t="shared" si="356"/>
        <v>0</v>
      </c>
      <c r="AN270" s="77">
        <f t="shared" si="356"/>
        <v>0</v>
      </c>
      <c r="AO270" s="77">
        <f t="shared" si="356"/>
        <v>0</v>
      </c>
      <c r="AP270" s="77">
        <f t="shared" si="356"/>
        <v>0</v>
      </c>
      <c r="AQ270" s="77">
        <f t="shared" si="356"/>
        <v>0</v>
      </c>
      <c r="AR270" s="77">
        <f t="shared" si="356"/>
        <v>0</v>
      </c>
      <c r="AS270" s="77">
        <f t="shared" si="356"/>
        <v>0</v>
      </c>
      <c r="AT270" s="77">
        <f t="shared" si="356"/>
        <v>0</v>
      </c>
      <c r="AU270" s="77">
        <f t="shared" si="356"/>
        <v>0</v>
      </c>
      <c r="AV270" s="77">
        <f t="shared" si="356"/>
        <v>0</v>
      </c>
      <c r="AW270" s="77">
        <f t="shared" si="356"/>
        <v>0</v>
      </c>
      <c r="AX270" s="77">
        <f t="shared" si="356"/>
        <v>0</v>
      </c>
      <c r="AY270" s="77">
        <f t="shared" si="356"/>
        <v>0</v>
      </c>
      <c r="AZ270" s="77">
        <f t="shared" si="356"/>
        <v>0</v>
      </c>
      <c r="BA270" s="77">
        <f t="shared" si="356"/>
        <v>0</v>
      </c>
      <c r="BB270" s="77">
        <f t="shared" si="356"/>
        <v>0</v>
      </c>
      <c r="BC270" s="77">
        <f t="shared" si="356"/>
        <v>0</v>
      </c>
      <c r="BD270" s="77">
        <f t="shared" si="356"/>
        <v>0</v>
      </c>
      <c r="BE270" s="77">
        <f t="shared" si="356"/>
        <v>0</v>
      </c>
      <c r="BF270" s="77">
        <f t="shared" si="356"/>
        <v>0</v>
      </c>
      <c r="BG270" s="77">
        <f t="shared" si="356"/>
        <v>0</v>
      </c>
      <c r="BH270" s="77">
        <f t="shared" si="356"/>
        <v>0</v>
      </c>
      <c r="BI270" s="77">
        <f t="shared" si="356"/>
        <v>0</v>
      </c>
      <c r="BJ270" s="77">
        <f t="shared" si="356"/>
        <v>0</v>
      </c>
      <c r="BK270" s="77">
        <f t="shared" si="356"/>
        <v>0</v>
      </c>
      <c r="BL270" s="77">
        <f t="shared" si="356"/>
        <v>0</v>
      </c>
      <c r="BM270" s="77">
        <f t="shared" si="356"/>
        <v>0</v>
      </c>
      <c r="BN270" s="77">
        <f t="shared" si="356"/>
        <v>0</v>
      </c>
      <c r="BO270" s="77">
        <f t="shared" si="356"/>
        <v>0</v>
      </c>
      <c r="BP270" s="77">
        <f t="shared" si="356"/>
        <v>0</v>
      </c>
      <c r="BQ270" s="77">
        <f t="shared" si="356"/>
        <v>0</v>
      </c>
      <c r="BR270" s="77">
        <f t="shared" si="356"/>
        <v>0</v>
      </c>
      <c r="BS270" s="77">
        <f t="shared" ref="BS270:DV270" si="357">IF(BS265="","",BS263-BS269)</f>
        <v>0</v>
      </c>
      <c r="BT270" s="77">
        <f t="shared" si="357"/>
        <v>0</v>
      </c>
      <c r="BU270" s="77">
        <f t="shared" si="357"/>
        <v>0</v>
      </c>
      <c r="BV270" s="77">
        <f t="shared" si="357"/>
        <v>0</v>
      </c>
      <c r="BW270" s="77">
        <f t="shared" si="357"/>
        <v>0</v>
      </c>
      <c r="BX270" s="77">
        <f t="shared" si="357"/>
        <v>0</v>
      </c>
      <c r="BY270" s="77">
        <f t="shared" si="357"/>
        <v>0</v>
      </c>
      <c r="BZ270" s="77">
        <f t="shared" si="357"/>
        <v>0</v>
      </c>
      <c r="CA270" s="77">
        <f t="shared" si="357"/>
        <v>0</v>
      </c>
      <c r="CB270" s="77">
        <f t="shared" si="357"/>
        <v>0</v>
      </c>
      <c r="CC270" s="77">
        <f t="shared" si="357"/>
        <v>0</v>
      </c>
      <c r="CD270" s="77">
        <f t="shared" si="357"/>
        <v>0</v>
      </c>
      <c r="CE270" s="77">
        <f t="shared" si="357"/>
        <v>0</v>
      </c>
      <c r="CF270" s="77">
        <f t="shared" si="357"/>
        <v>0</v>
      </c>
      <c r="CG270" s="77">
        <f t="shared" si="357"/>
        <v>0</v>
      </c>
      <c r="CH270" s="77">
        <f t="shared" si="357"/>
        <v>0</v>
      </c>
      <c r="CI270" s="77">
        <f t="shared" si="357"/>
        <v>0</v>
      </c>
      <c r="CJ270" s="77">
        <f t="shared" si="357"/>
        <v>0</v>
      </c>
      <c r="CK270" s="77">
        <f t="shared" si="357"/>
        <v>0</v>
      </c>
      <c r="CL270" s="77">
        <f t="shared" si="357"/>
        <v>0</v>
      </c>
      <c r="CM270" s="77">
        <f t="shared" si="357"/>
        <v>0</v>
      </c>
      <c r="CN270" s="77">
        <f t="shared" si="357"/>
        <v>0</v>
      </c>
      <c r="CO270" s="77">
        <f t="shared" si="357"/>
        <v>0</v>
      </c>
      <c r="CP270" s="77">
        <f t="shared" si="357"/>
        <v>0</v>
      </c>
      <c r="CQ270" s="77">
        <f t="shared" si="357"/>
        <v>0</v>
      </c>
      <c r="CR270" s="77">
        <f t="shared" si="357"/>
        <v>0</v>
      </c>
      <c r="CS270" s="77">
        <f t="shared" si="357"/>
        <v>0</v>
      </c>
      <c r="CT270" s="77">
        <f t="shared" si="357"/>
        <v>0</v>
      </c>
      <c r="CU270" s="77">
        <f t="shared" si="357"/>
        <v>0</v>
      </c>
      <c r="CV270" s="77">
        <f t="shared" si="357"/>
        <v>0</v>
      </c>
      <c r="CW270" s="77">
        <f t="shared" si="357"/>
        <v>0</v>
      </c>
      <c r="CX270" s="77" t="str">
        <f t="shared" si="357"/>
        <v/>
      </c>
      <c r="CY270" s="77" t="str">
        <f t="shared" si="357"/>
        <v/>
      </c>
      <c r="CZ270" s="77" t="str">
        <f t="shared" si="357"/>
        <v/>
      </c>
      <c r="DA270" s="77" t="str">
        <f t="shared" si="357"/>
        <v/>
      </c>
      <c r="DB270" s="77" t="str">
        <f t="shared" si="357"/>
        <v/>
      </c>
      <c r="DC270" s="77" t="str">
        <f t="shared" si="357"/>
        <v/>
      </c>
      <c r="DD270" s="77" t="str">
        <f t="shared" si="357"/>
        <v/>
      </c>
      <c r="DE270" s="77" t="str">
        <f t="shared" si="357"/>
        <v/>
      </c>
      <c r="DF270" s="77" t="str">
        <f t="shared" si="357"/>
        <v/>
      </c>
      <c r="DG270" s="77" t="str">
        <f t="shared" si="357"/>
        <v/>
      </c>
      <c r="DH270" s="77" t="str">
        <f t="shared" si="357"/>
        <v/>
      </c>
      <c r="DI270" s="77" t="str">
        <f t="shared" si="357"/>
        <v/>
      </c>
      <c r="DJ270" s="77" t="str">
        <f t="shared" si="357"/>
        <v/>
      </c>
      <c r="DK270" s="77" t="str">
        <f t="shared" si="357"/>
        <v/>
      </c>
      <c r="DL270" s="77" t="str">
        <f t="shared" si="357"/>
        <v/>
      </c>
      <c r="DM270" s="77" t="str">
        <f t="shared" si="357"/>
        <v/>
      </c>
      <c r="DN270" s="77" t="str">
        <f t="shared" si="357"/>
        <v/>
      </c>
      <c r="DO270" s="77" t="str">
        <f t="shared" si="357"/>
        <v/>
      </c>
      <c r="DP270" s="77" t="str">
        <f t="shared" si="357"/>
        <v/>
      </c>
      <c r="DQ270" s="77" t="str">
        <f t="shared" si="357"/>
        <v/>
      </c>
      <c r="DR270" s="77" t="str">
        <f t="shared" si="357"/>
        <v/>
      </c>
      <c r="DS270" s="77" t="str">
        <f t="shared" si="357"/>
        <v/>
      </c>
      <c r="DT270" s="77" t="str">
        <f t="shared" si="357"/>
        <v/>
      </c>
      <c r="DU270" s="77" t="str">
        <f t="shared" si="357"/>
        <v/>
      </c>
      <c r="DV270" s="77" t="str">
        <f t="shared" si="357"/>
        <v/>
      </c>
      <c r="DW270" s="77"/>
      <c r="DX270" s="77"/>
      <c r="DY270" s="78"/>
    </row>
    <row r="271" spans="2:129" x14ac:dyDescent="0.2"/>
    <row r="272" spans="2:129" x14ac:dyDescent="0.2"/>
    <row r="273" spans="2:22" ht="16" x14ac:dyDescent="0.2">
      <c r="B273" s="139" t="s">
        <v>80</v>
      </c>
      <c r="G273" s="140">
        <v>1</v>
      </c>
      <c r="H273" s="141">
        <v>45627</v>
      </c>
      <c r="I273" s="142">
        <v>-104026917</v>
      </c>
      <c r="J273" s="142"/>
      <c r="K273" s="142"/>
      <c r="L273" s="142"/>
      <c r="M273" s="143"/>
      <c r="N273" s="140"/>
      <c r="O273" s="140"/>
      <c r="P273" s="143"/>
      <c r="Q273" s="140"/>
      <c r="R273" s="140"/>
      <c r="S273" s="140"/>
      <c r="T273" s="140"/>
      <c r="U273" s="140"/>
      <c r="V273" s="140"/>
    </row>
    <row r="274" spans="2:22" ht="16" x14ac:dyDescent="0.2">
      <c r="B274" s="139" t="s">
        <v>81</v>
      </c>
      <c r="G274" s="140">
        <v>2</v>
      </c>
      <c r="H274" s="141">
        <v>45658</v>
      </c>
      <c r="I274" s="144">
        <v>-26917</v>
      </c>
      <c r="J274" s="144"/>
      <c r="K274" s="144"/>
      <c r="L274" s="144"/>
      <c r="M274" s="143"/>
      <c r="N274" s="140"/>
      <c r="O274" s="140"/>
      <c r="P274" s="143"/>
      <c r="Q274" s="140"/>
      <c r="R274" s="140"/>
      <c r="S274" s="140"/>
      <c r="T274" s="140"/>
      <c r="U274" s="140"/>
      <c r="V274" s="140"/>
    </row>
    <row r="275" spans="2:22" ht="16" x14ac:dyDescent="0.2">
      <c r="B275" s="139" t="s">
        <v>82</v>
      </c>
      <c r="G275" s="140">
        <v>3</v>
      </c>
      <c r="H275" s="141">
        <v>45689</v>
      </c>
      <c r="I275" s="144">
        <v>-26917</v>
      </c>
      <c r="J275" s="144"/>
      <c r="K275" s="144"/>
      <c r="L275" s="144"/>
      <c r="M275" s="143"/>
      <c r="N275" s="140"/>
      <c r="O275" s="140"/>
      <c r="P275" s="143"/>
      <c r="Q275" s="140"/>
      <c r="R275" s="140"/>
      <c r="S275" s="140"/>
      <c r="T275" s="140"/>
      <c r="U275" s="140"/>
      <c r="V275" s="140"/>
    </row>
    <row r="276" spans="2:22" ht="16" x14ac:dyDescent="0.2">
      <c r="B276" s="139" t="s">
        <v>4</v>
      </c>
      <c r="G276" s="140">
        <v>4</v>
      </c>
      <c r="H276" s="141">
        <v>45717</v>
      </c>
      <c r="I276" s="144">
        <v>-26917</v>
      </c>
      <c r="J276" s="144"/>
      <c r="K276" s="144"/>
      <c r="L276" s="144"/>
      <c r="M276" s="143"/>
      <c r="N276" s="140"/>
      <c r="O276" s="140"/>
      <c r="P276" s="143"/>
      <c r="Q276" s="140"/>
      <c r="R276" s="140"/>
      <c r="S276" s="140"/>
      <c r="T276" s="140"/>
      <c r="U276" s="140"/>
      <c r="V276" s="140"/>
    </row>
    <row r="277" spans="2:22" ht="16" x14ac:dyDescent="0.2">
      <c r="B277" s="1">
        <f>MATCH(D5,B273:B276)+1</f>
        <v>3</v>
      </c>
      <c r="G277" s="140">
        <v>5</v>
      </c>
      <c r="H277" s="141">
        <v>45748</v>
      </c>
      <c r="I277" s="144">
        <v>-26917</v>
      </c>
      <c r="J277" s="144"/>
      <c r="K277" s="144"/>
      <c r="L277" s="144"/>
      <c r="M277" s="143"/>
      <c r="N277" s="140"/>
      <c r="O277" s="140"/>
      <c r="P277" s="143"/>
      <c r="Q277" s="140"/>
      <c r="R277" s="140"/>
      <c r="S277" s="140"/>
      <c r="T277" s="140"/>
      <c r="U277" s="140"/>
      <c r="V277" s="140"/>
    </row>
    <row r="278" spans="2:22" ht="16" x14ac:dyDescent="0.2">
      <c r="G278" s="140">
        <v>6</v>
      </c>
      <c r="H278" s="141">
        <v>45778</v>
      </c>
      <c r="I278" s="144">
        <v>-26917</v>
      </c>
      <c r="J278" s="144"/>
      <c r="K278" s="144"/>
      <c r="L278" s="144"/>
      <c r="M278" s="143"/>
      <c r="N278" s="140"/>
      <c r="O278" s="140"/>
      <c r="P278" s="143"/>
      <c r="Q278" s="140"/>
      <c r="R278" s="140"/>
      <c r="S278" s="140"/>
      <c r="T278" s="140"/>
      <c r="U278" s="140"/>
      <c r="V278" s="140"/>
    </row>
    <row r="279" spans="2:22" ht="16" x14ac:dyDescent="0.2">
      <c r="G279" s="140">
        <v>7</v>
      </c>
      <c r="H279" s="141">
        <v>45809</v>
      </c>
      <c r="I279" s="144">
        <v>-26917</v>
      </c>
      <c r="J279" s="144"/>
      <c r="K279" s="144"/>
      <c r="L279" s="144"/>
      <c r="M279" s="143"/>
      <c r="N279" s="140"/>
      <c r="O279" s="140"/>
      <c r="P279" s="143"/>
      <c r="Q279" s="140"/>
      <c r="R279" s="140"/>
      <c r="S279" s="140"/>
      <c r="T279" s="140"/>
      <c r="U279" s="140"/>
      <c r="V279" s="140"/>
    </row>
    <row r="280" spans="2:22" ht="16" x14ac:dyDescent="0.2">
      <c r="G280" s="140">
        <v>8</v>
      </c>
      <c r="H280" s="141">
        <v>45839</v>
      </c>
      <c r="I280" s="144">
        <v>-26917</v>
      </c>
      <c r="J280" s="144"/>
      <c r="K280" s="144"/>
      <c r="L280" s="144"/>
      <c r="M280" s="143"/>
      <c r="N280" s="140"/>
      <c r="O280" s="140"/>
      <c r="P280" s="143"/>
      <c r="Q280" s="140"/>
      <c r="R280" s="140"/>
      <c r="S280" s="140"/>
      <c r="T280" s="140"/>
      <c r="U280" s="140"/>
      <c r="V280" s="140"/>
    </row>
    <row r="281" spans="2:22" ht="16" x14ac:dyDescent="0.2">
      <c r="G281" s="140">
        <v>9</v>
      </c>
      <c r="H281" s="141">
        <v>45870</v>
      </c>
      <c r="I281" s="144">
        <v>-26917</v>
      </c>
      <c r="J281" s="144"/>
      <c r="K281" s="144"/>
      <c r="L281" s="144"/>
      <c r="M281" s="143"/>
      <c r="N281" s="140"/>
      <c r="O281" s="140"/>
      <c r="P281" s="143"/>
      <c r="Q281" s="140"/>
      <c r="R281" s="140"/>
      <c r="S281" s="140"/>
      <c r="T281" s="140"/>
      <c r="U281" s="140"/>
      <c r="V281" s="140"/>
    </row>
    <row r="282" spans="2:22" ht="16" x14ac:dyDescent="0.2">
      <c r="G282" s="140">
        <v>10</v>
      </c>
      <c r="H282" s="141">
        <v>45901</v>
      </c>
      <c r="I282" s="144">
        <v>-26917</v>
      </c>
      <c r="J282" s="144"/>
      <c r="K282" s="144"/>
      <c r="L282" s="144"/>
      <c r="M282" s="143"/>
      <c r="N282" s="140"/>
      <c r="O282" s="140"/>
      <c r="P282" s="143"/>
      <c r="Q282" s="140"/>
      <c r="R282" s="140"/>
      <c r="S282" s="140"/>
      <c r="T282" s="140"/>
      <c r="U282" s="140"/>
      <c r="V282" s="140"/>
    </row>
    <row r="283" spans="2:22" ht="16" x14ac:dyDescent="0.2">
      <c r="G283" s="140">
        <v>11</v>
      </c>
      <c r="H283" s="141">
        <v>45931</v>
      </c>
      <c r="I283" s="144">
        <v>-26917</v>
      </c>
      <c r="J283" s="144"/>
      <c r="K283" s="144"/>
      <c r="L283" s="144"/>
      <c r="M283" s="143"/>
      <c r="N283" s="140"/>
      <c r="O283" s="140"/>
      <c r="P283" s="143"/>
      <c r="Q283" s="140"/>
      <c r="R283" s="140"/>
      <c r="S283" s="140"/>
      <c r="T283" s="140"/>
      <c r="U283" s="140"/>
      <c r="V283" s="140"/>
    </row>
    <row r="284" spans="2:22" ht="16" x14ac:dyDescent="0.2">
      <c r="G284" s="140">
        <v>12</v>
      </c>
      <c r="H284" s="141">
        <v>45962</v>
      </c>
      <c r="I284" s="144">
        <v>-26917</v>
      </c>
      <c r="J284" s="144"/>
      <c r="K284" s="144"/>
      <c r="L284" s="144"/>
      <c r="M284" s="143"/>
      <c r="N284" s="140"/>
      <c r="O284" s="140"/>
      <c r="P284" s="143"/>
      <c r="Q284" s="140"/>
      <c r="R284" s="140"/>
      <c r="S284" s="140"/>
      <c r="T284" s="140"/>
      <c r="U284" s="140"/>
      <c r="V284" s="140"/>
    </row>
    <row r="285" spans="2:22" ht="16" x14ac:dyDescent="0.2">
      <c r="G285" s="140">
        <v>13</v>
      </c>
      <c r="H285" s="141">
        <v>45992</v>
      </c>
      <c r="I285" s="144">
        <v>-26917</v>
      </c>
      <c r="J285" s="144"/>
      <c r="K285" s="144"/>
      <c r="L285" s="144"/>
      <c r="M285" s="143"/>
      <c r="N285" s="140"/>
      <c r="O285" s="140"/>
      <c r="P285" s="143"/>
      <c r="Q285" s="140"/>
      <c r="R285" s="140"/>
      <c r="S285" s="140"/>
      <c r="T285" s="140"/>
      <c r="U285" s="140"/>
      <c r="V285" s="140"/>
    </row>
    <row r="286" spans="2:22" ht="16" x14ac:dyDescent="0.2">
      <c r="G286" s="140">
        <v>14</v>
      </c>
      <c r="H286" s="141">
        <v>46023</v>
      </c>
      <c r="I286" s="144">
        <v>-26917</v>
      </c>
      <c r="J286" s="144"/>
      <c r="K286" s="144"/>
      <c r="L286" s="144"/>
      <c r="M286" s="143"/>
      <c r="N286" s="140"/>
      <c r="O286" s="140"/>
      <c r="P286" s="143"/>
      <c r="Q286" s="140"/>
      <c r="R286" s="140"/>
      <c r="S286" s="140"/>
      <c r="T286" s="140"/>
      <c r="U286" s="140"/>
      <c r="V286" s="140"/>
    </row>
    <row r="287" spans="2:22" ht="16" x14ac:dyDescent="0.2">
      <c r="G287" s="140">
        <v>15</v>
      </c>
      <c r="H287" s="141">
        <v>46054</v>
      </c>
      <c r="I287" s="144">
        <v>-26917</v>
      </c>
      <c r="J287" s="144"/>
      <c r="K287" s="144"/>
      <c r="L287" s="144"/>
      <c r="M287" s="143"/>
      <c r="N287" s="140"/>
      <c r="O287" s="140"/>
      <c r="P287" s="143"/>
      <c r="Q287" s="140"/>
      <c r="R287" s="140"/>
      <c r="S287" s="140"/>
      <c r="T287" s="140"/>
      <c r="U287" s="140"/>
      <c r="V287" s="140"/>
    </row>
    <row r="288" spans="2:22" ht="16" x14ac:dyDescent="0.2">
      <c r="G288" s="140">
        <v>16</v>
      </c>
      <c r="H288" s="141">
        <v>46082</v>
      </c>
      <c r="I288" s="144">
        <v>-26917</v>
      </c>
      <c r="J288" s="144"/>
      <c r="K288" s="144"/>
      <c r="L288" s="144"/>
      <c r="M288" s="143"/>
      <c r="N288" s="140"/>
      <c r="O288" s="140"/>
      <c r="P288" s="143"/>
      <c r="Q288" s="140"/>
      <c r="R288" s="140"/>
      <c r="S288" s="140"/>
      <c r="T288" s="140"/>
      <c r="U288" s="140"/>
      <c r="V288" s="140"/>
    </row>
    <row r="289" spans="7:22" ht="16" x14ac:dyDescent="0.2">
      <c r="G289" s="140">
        <v>17</v>
      </c>
      <c r="H289" s="141">
        <v>46113</v>
      </c>
      <c r="I289" s="144">
        <v>-26917</v>
      </c>
      <c r="J289" s="144"/>
      <c r="K289" s="144"/>
      <c r="L289" s="144"/>
      <c r="M289" s="143"/>
      <c r="N289" s="140"/>
      <c r="O289" s="140"/>
      <c r="P289" s="143"/>
      <c r="Q289" s="140"/>
      <c r="R289" s="140"/>
      <c r="S289" s="140"/>
      <c r="T289" s="140"/>
      <c r="U289" s="140"/>
      <c r="V289" s="140"/>
    </row>
    <row r="290" spans="7:22" ht="16" x14ac:dyDescent="0.2">
      <c r="G290" s="140">
        <v>18</v>
      </c>
      <c r="H290" s="141">
        <v>46143</v>
      </c>
      <c r="I290" s="144">
        <v>-26917</v>
      </c>
      <c r="J290" s="144"/>
      <c r="K290" s="144"/>
      <c r="L290" s="144"/>
      <c r="M290" s="143"/>
      <c r="N290" s="140"/>
      <c r="O290" s="140"/>
      <c r="P290" s="143"/>
      <c r="Q290" s="140"/>
      <c r="R290" s="140"/>
      <c r="S290" s="140"/>
      <c r="T290" s="140"/>
      <c r="U290" s="140"/>
      <c r="V290" s="140"/>
    </row>
    <row r="291" spans="7:22" ht="16" x14ac:dyDescent="0.2">
      <c r="G291" s="140">
        <v>19</v>
      </c>
      <c r="H291" s="141">
        <v>46174</v>
      </c>
      <c r="I291" s="144">
        <v>-26917</v>
      </c>
      <c r="J291" s="144"/>
      <c r="K291" s="144"/>
      <c r="L291" s="144"/>
      <c r="M291" s="143"/>
      <c r="N291" s="140"/>
      <c r="O291" s="140"/>
      <c r="P291" s="143"/>
      <c r="Q291" s="140"/>
      <c r="R291" s="140"/>
      <c r="S291" s="140"/>
      <c r="T291" s="140"/>
      <c r="U291" s="140"/>
      <c r="V291" s="140"/>
    </row>
    <row r="292" spans="7:22" ht="16" x14ac:dyDescent="0.2">
      <c r="G292" s="140">
        <v>20</v>
      </c>
      <c r="H292" s="141">
        <v>46204</v>
      </c>
      <c r="I292" s="144">
        <v>-26917</v>
      </c>
      <c r="J292" s="144"/>
      <c r="K292" s="144"/>
      <c r="L292" s="144"/>
      <c r="M292" s="143"/>
      <c r="N292" s="140"/>
      <c r="O292" s="140"/>
      <c r="P292" s="143"/>
      <c r="Q292" s="140"/>
      <c r="R292" s="140"/>
      <c r="S292" s="140"/>
      <c r="T292" s="140"/>
      <c r="U292" s="140"/>
      <c r="V292" s="140"/>
    </row>
    <row r="293" spans="7:22" ht="16" x14ac:dyDescent="0.2">
      <c r="G293" s="140">
        <v>21</v>
      </c>
      <c r="H293" s="141">
        <v>46235</v>
      </c>
      <c r="I293" s="144">
        <v>-26917</v>
      </c>
      <c r="J293" s="144"/>
      <c r="K293" s="144"/>
      <c r="L293" s="144"/>
      <c r="M293" s="143"/>
      <c r="N293" s="140"/>
      <c r="O293" s="140"/>
      <c r="P293" s="143"/>
      <c r="Q293" s="140"/>
      <c r="R293" s="140"/>
      <c r="S293" s="140"/>
      <c r="T293" s="140"/>
      <c r="U293" s="140"/>
      <c r="V293" s="140"/>
    </row>
    <row r="294" spans="7:22" ht="16" x14ac:dyDescent="0.2">
      <c r="G294" s="140">
        <v>22</v>
      </c>
      <c r="H294" s="141">
        <v>46266</v>
      </c>
      <c r="I294" s="144">
        <v>-26917</v>
      </c>
      <c r="J294" s="144"/>
      <c r="K294" s="144"/>
      <c r="L294" s="144"/>
      <c r="M294" s="143"/>
      <c r="N294" s="140"/>
      <c r="O294" s="140"/>
      <c r="P294" s="143"/>
      <c r="Q294" s="140"/>
      <c r="R294" s="140"/>
      <c r="S294" s="140"/>
      <c r="T294" s="140"/>
      <c r="U294" s="140"/>
      <c r="V294" s="140"/>
    </row>
    <row r="295" spans="7:22" ht="16" x14ac:dyDescent="0.2">
      <c r="G295" s="140">
        <v>23</v>
      </c>
      <c r="H295" s="141">
        <v>46296</v>
      </c>
      <c r="I295" s="144">
        <v>-26917</v>
      </c>
      <c r="J295" s="144"/>
      <c r="K295" s="144"/>
      <c r="L295" s="144"/>
      <c r="M295" s="143"/>
      <c r="N295" s="140"/>
      <c r="O295" s="140"/>
      <c r="P295" s="143"/>
      <c r="Q295" s="140"/>
      <c r="R295" s="140"/>
      <c r="S295" s="140"/>
      <c r="T295" s="140"/>
      <c r="U295" s="140"/>
      <c r="V295" s="140"/>
    </row>
    <row r="296" spans="7:22" ht="16" x14ac:dyDescent="0.2">
      <c r="G296" s="140">
        <v>24</v>
      </c>
      <c r="H296" s="141">
        <v>46327</v>
      </c>
      <c r="I296" s="144">
        <v>-386604</v>
      </c>
      <c r="J296" s="144"/>
      <c r="K296" s="144"/>
      <c r="L296" s="144"/>
      <c r="M296" s="143"/>
      <c r="N296" s="140"/>
      <c r="O296" s="140"/>
      <c r="P296" s="143"/>
      <c r="Q296" s="140"/>
      <c r="R296" s="140"/>
      <c r="S296" s="140"/>
      <c r="T296" s="140"/>
      <c r="U296" s="140"/>
      <c r="V296" s="140"/>
    </row>
    <row r="297" spans="7:22" ht="16" x14ac:dyDescent="0.2">
      <c r="G297" s="140">
        <v>25</v>
      </c>
      <c r="H297" s="141">
        <v>46357</v>
      </c>
      <c r="I297" s="144">
        <v>-935646</v>
      </c>
      <c r="J297" s="144"/>
      <c r="K297" s="144"/>
      <c r="L297" s="144"/>
      <c r="M297" s="143"/>
      <c r="N297" s="140"/>
      <c r="O297" s="140"/>
      <c r="P297" s="143"/>
      <c r="Q297" s="140"/>
      <c r="R297" s="140"/>
      <c r="S297" s="140"/>
      <c r="T297" s="140"/>
      <c r="U297" s="140"/>
      <c r="V297" s="140"/>
    </row>
    <row r="298" spans="7:22" ht="16" x14ac:dyDescent="0.2">
      <c r="G298" s="140">
        <v>26</v>
      </c>
      <c r="H298" s="141">
        <v>46388</v>
      </c>
      <c r="I298" s="144">
        <v>28435454</v>
      </c>
      <c r="J298" s="144"/>
      <c r="K298" s="140"/>
      <c r="L298" s="140"/>
      <c r="M298" s="143"/>
      <c r="N298" s="144"/>
      <c r="O298" s="144"/>
      <c r="P298" s="143"/>
      <c r="Q298" s="140"/>
      <c r="R298" s="140"/>
      <c r="S298" s="140"/>
      <c r="T298" s="140"/>
      <c r="U298" s="145"/>
      <c r="V298" s="145"/>
    </row>
    <row r="299" spans="7:22" ht="16" x14ac:dyDescent="0.2">
      <c r="G299" s="140">
        <v>27</v>
      </c>
      <c r="H299" s="141">
        <v>46419</v>
      </c>
      <c r="I299" s="144">
        <v>-935646</v>
      </c>
      <c r="J299" s="144"/>
      <c r="K299" s="144"/>
      <c r="L299" s="144"/>
      <c r="M299" s="143"/>
      <c r="N299" s="140"/>
      <c r="O299" s="140"/>
      <c r="P299" s="143"/>
      <c r="Q299" s="140"/>
      <c r="R299" s="140"/>
      <c r="S299" s="140"/>
      <c r="T299" s="140"/>
      <c r="U299" s="140"/>
      <c r="V299" s="140"/>
    </row>
    <row r="300" spans="7:22" ht="16" x14ac:dyDescent="0.2">
      <c r="G300" s="140">
        <v>28</v>
      </c>
      <c r="H300" s="141">
        <v>46447</v>
      </c>
      <c r="I300" s="144">
        <v>-935646</v>
      </c>
      <c r="J300" s="144"/>
      <c r="K300" s="144"/>
      <c r="L300" s="144"/>
      <c r="M300" s="143"/>
      <c r="N300" s="140"/>
      <c r="O300" s="140"/>
      <c r="P300" s="143"/>
      <c r="Q300" s="140"/>
      <c r="R300" s="140"/>
      <c r="S300" s="140"/>
      <c r="T300" s="140"/>
      <c r="U300" s="140"/>
      <c r="V300" s="140"/>
    </row>
    <row r="301" spans="7:22" ht="16" x14ac:dyDescent="0.2">
      <c r="G301" s="140">
        <v>29</v>
      </c>
      <c r="H301" s="141">
        <v>46478</v>
      </c>
      <c r="I301" s="144">
        <v>-935646</v>
      </c>
      <c r="J301" s="144"/>
      <c r="K301" s="144"/>
      <c r="L301" s="144"/>
      <c r="M301" s="143"/>
      <c r="N301" s="140"/>
      <c r="O301" s="140"/>
      <c r="P301" s="143"/>
      <c r="Q301" s="140"/>
      <c r="R301" s="140"/>
      <c r="S301" s="140"/>
      <c r="T301" s="140"/>
      <c r="U301" s="140"/>
      <c r="V301" s="140"/>
    </row>
    <row r="302" spans="7:22" ht="16" x14ac:dyDescent="0.2">
      <c r="G302" s="140">
        <v>30</v>
      </c>
      <c r="H302" s="141">
        <v>46508</v>
      </c>
      <c r="I302" s="144">
        <v>-935646</v>
      </c>
      <c r="J302" s="144"/>
      <c r="K302" s="144"/>
      <c r="L302" s="144"/>
      <c r="M302" s="143"/>
      <c r="N302" s="140"/>
      <c r="O302" s="140"/>
      <c r="P302" s="143"/>
      <c r="Q302" s="140"/>
      <c r="R302" s="140"/>
      <c r="S302" s="140"/>
      <c r="T302" s="140"/>
      <c r="U302" s="140"/>
      <c r="V302" s="140"/>
    </row>
    <row r="303" spans="7:22" ht="16" x14ac:dyDescent="0.2">
      <c r="G303" s="140">
        <v>31</v>
      </c>
      <c r="H303" s="141">
        <v>46539</v>
      </c>
      <c r="I303" s="144">
        <v>-935646</v>
      </c>
      <c r="J303" s="144"/>
      <c r="K303" s="144"/>
      <c r="L303" s="144"/>
      <c r="M303" s="143"/>
      <c r="N303" s="140"/>
      <c r="O303" s="140"/>
      <c r="P303" s="143"/>
      <c r="Q303" s="140"/>
      <c r="R303" s="140"/>
      <c r="S303" s="140"/>
      <c r="T303" s="140"/>
      <c r="U303" s="140"/>
      <c r="V303" s="140"/>
    </row>
    <row r="304" spans="7:22" ht="16" x14ac:dyDescent="0.2">
      <c r="G304" s="140">
        <v>32</v>
      </c>
      <c r="H304" s="141">
        <v>46569</v>
      </c>
      <c r="I304" s="144">
        <v>-935646</v>
      </c>
      <c r="J304" s="144"/>
      <c r="K304" s="144"/>
      <c r="L304" s="144"/>
      <c r="M304" s="143"/>
      <c r="N304" s="140"/>
      <c r="O304" s="140"/>
      <c r="P304" s="143"/>
      <c r="Q304" s="140"/>
      <c r="R304" s="140"/>
      <c r="S304" s="140"/>
      <c r="T304" s="140"/>
      <c r="U304" s="140"/>
      <c r="V304" s="140"/>
    </row>
    <row r="305" spans="7:22" ht="16" x14ac:dyDescent="0.2">
      <c r="G305" s="140">
        <v>33</v>
      </c>
      <c r="H305" s="141">
        <v>46600</v>
      </c>
      <c r="I305" s="144">
        <v>-935646</v>
      </c>
      <c r="J305" s="144"/>
      <c r="K305" s="144"/>
      <c r="L305" s="144"/>
      <c r="M305" s="143"/>
      <c r="N305" s="140"/>
      <c r="O305" s="140"/>
      <c r="P305" s="143"/>
      <c r="Q305" s="140"/>
      <c r="R305" s="140"/>
      <c r="S305" s="140"/>
      <c r="T305" s="140"/>
      <c r="U305" s="140"/>
      <c r="V305" s="140"/>
    </row>
    <row r="306" spans="7:22" ht="16" x14ac:dyDescent="0.2">
      <c r="G306" s="140">
        <v>34</v>
      </c>
      <c r="H306" s="141">
        <v>46631</v>
      </c>
      <c r="I306" s="144">
        <v>-753368</v>
      </c>
      <c r="J306" s="144"/>
      <c r="K306" s="144"/>
      <c r="L306" s="144"/>
      <c r="M306" s="143"/>
      <c r="N306" s="140"/>
      <c r="O306" s="140"/>
      <c r="P306" s="143"/>
      <c r="Q306" s="140"/>
      <c r="R306" s="140"/>
      <c r="S306" s="140"/>
      <c r="T306" s="140"/>
      <c r="U306" s="140"/>
      <c r="V306" s="140"/>
    </row>
    <row r="307" spans="7:22" ht="16" x14ac:dyDescent="0.2">
      <c r="G307" s="140">
        <v>35</v>
      </c>
      <c r="H307" s="141">
        <v>46661</v>
      </c>
      <c r="I307" s="144">
        <v>-753368</v>
      </c>
      <c r="J307" s="144"/>
      <c r="K307" s="144"/>
      <c r="L307" s="144"/>
      <c r="M307" s="143"/>
      <c r="N307" s="140"/>
      <c r="O307" s="140"/>
      <c r="P307" s="143"/>
      <c r="Q307" s="140"/>
      <c r="R307" s="140"/>
      <c r="S307" s="140"/>
      <c r="T307" s="140"/>
      <c r="U307" s="140"/>
      <c r="V307" s="140"/>
    </row>
    <row r="308" spans="7:22" ht="16" x14ac:dyDescent="0.2">
      <c r="G308" s="140">
        <v>36</v>
      </c>
      <c r="H308" s="141">
        <v>46692</v>
      </c>
      <c r="I308" s="144">
        <v>-982326</v>
      </c>
      <c r="J308" s="144"/>
      <c r="K308" s="144"/>
      <c r="L308" s="144"/>
      <c r="M308" s="143"/>
      <c r="N308" s="140"/>
      <c r="O308" s="140"/>
      <c r="P308" s="143"/>
      <c r="Q308" s="140"/>
      <c r="R308" s="140"/>
      <c r="S308" s="140"/>
      <c r="T308" s="140"/>
      <c r="U308" s="140"/>
      <c r="V308" s="140"/>
    </row>
    <row r="309" spans="7:22" ht="16" x14ac:dyDescent="0.2">
      <c r="G309" s="140">
        <v>37</v>
      </c>
      <c r="H309" s="141">
        <v>46722</v>
      </c>
      <c r="I309" s="144">
        <v>-676201</v>
      </c>
      <c r="J309" s="144"/>
      <c r="K309" s="144"/>
      <c r="L309" s="144"/>
      <c r="M309" s="143"/>
      <c r="N309" s="140"/>
      <c r="O309" s="140"/>
      <c r="P309" s="143"/>
      <c r="Q309" s="140"/>
      <c r="R309" s="140"/>
      <c r="S309" s="140"/>
      <c r="T309" s="140"/>
      <c r="U309" s="140"/>
      <c r="V309" s="140"/>
    </row>
    <row r="310" spans="7:22" ht="16" x14ac:dyDescent="0.2">
      <c r="G310" s="140">
        <v>38</v>
      </c>
      <c r="H310" s="141">
        <v>46753</v>
      </c>
      <c r="I310" s="144">
        <v>-676201</v>
      </c>
      <c r="J310" s="144"/>
      <c r="K310" s="144"/>
      <c r="L310" s="144"/>
      <c r="M310" s="143"/>
      <c r="N310" s="140"/>
      <c r="O310" s="140"/>
      <c r="P310" s="143"/>
      <c r="Q310" s="140"/>
      <c r="R310" s="140"/>
      <c r="S310" s="140"/>
      <c r="T310" s="140"/>
      <c r="U310" s="140"/>
      <c r="V310" s="140"/>
    </row>
    <row r="311" spans="7:22" ht="16" x14ac:dyDescent="0.2">
      <c r="G311" s="140">
        <v>39</v>
      </c>
      <c r="H311" s="141">
        <v>46784</v>
      </c>
      <c r="I311" s="144">
        <v>-676201</v>
      </c>
      <c r="J311" s="144"/>
      <c r="K311" s="144"/>
      <c r="L311" s="144"/>
      <c r="M311" s="143"/>
      <c r="N311" s="140"/>
      <c r="O311" s="140"/>
      <c r="P311" s="143"/>
      <c r="Q311" s="140"/>
      <c r="R311" s="140"/>
      <c r="S311" s="140"/>
      <c r="T311" s="140"/>
      <c r="U311" s="140"/>
      <c r="V311" s="140"/>
    </row>
    <row r="312" spans="7:22" ht="16" x14ac:dyDescent="0.2">
      <c r="G312" s="140">
        <v>40</v>
      </c>
      <c r="H312" s="141">
        <v>46813</v>
      </c>
      <c r="I312" s="144">
        <v>-676201</v>
      </c>
      <c r="J312" s="144"/>
      <c r="K312" s="144"/>
      <c r="L312" s="144"/>
      <c r="M312" s="143"/>
      <c r="N312" s="140"/>
      <c r="O312" s="140"/>
      <c r="P312" s="143"/>
      <c r="Q312" s="140"/>
      <c r="R312" s="140"/>
      <c r="S312" s="140"/>
      <c r="T312" s="140"/>
      <c r="U312" s="140"/>
      <c r="V312" s="140"/>
    </row>
    <row r="313" spans="7:22" ht="16" x14ac:dyDescent="0.2">
      <c r="G313" s="140">
        <v>41</v>
      </c>
      <c r="H313" s="141">
        <v>46844</v>
      </c>
      <c r="I313" s="144">
        <v>-676201</v>
      </c>
      <c r="J313" s="144"/>
      <c r="K313" s="144"/>
      <c r="L313" s="144"/>
      <c r="M313" s="143"/>
      <c r="N313" s="140"/>
      <c r="O313" s="140"/>
      <c r="P313" s="143"/>
      <c r="Q313" s="140"/>
      <c r="R313" s="140"/>
      <c r="S313" s="140"/>
      <c r="T313" s="140"/>
      <c r="U313" s="140"/>
      <c r="V313" s="140"/>
    </row>
    <row r="314" spans="7:22" ht="16" x14ac:dyDescent="0.2">
      <c r="G314" s="140">
        <v>42</v>
      </c>
      <c r="H314" s="141">
        <v>46874</v>
      </c>
      <c r="I314" s="144">
        <v>41396761</v>
      </c>
      <c r="J314" s="144"/>
      <c r="K314" s="140"/>
      <c r="L314" s="140"/>
      <c r="M314" s="143"/>
      <c r="N314" s="144"/>
      <c r="O314" s="144"/>
      <c r="P314" s="143"/>
      <c r="Q314" s="140"/>
      <c r="R314" s="140"/>
      <c r="S314" s="140"/>
      <c r="T314" s="140"/>
      <c r="U314" s="145"/>
      <c r="V314" s="145"/>
    </row>
    <row r="315" spans="7:22" ht="16" x14ac:dyDescent="0.2">
      <c r="G315" s="140">
        <v>43</v>
      </c>
      <c r="H315" s="141">
        <v>46905</v>
      </c>
      <c r="I315" s="144">
        <v>-745384</v>
      </c>
      <c r="J315" s="144"/>
      <c r="K315" s="144"/>
      <c r="L315" s="144"/>
      <c r="M315" s="143"/>
      <c r="N315" s="140"/>
      <c r="O315" s="140"/>
      <c r="P315" s="143"/>
      <c r="Q315" s="140"/>
      <c r="R315" s="140"/>
      <c r="S315" s="140"/>
      <c r="T315" s="140"/>
      <c r="U315" s="140"/>
      <c r="V315" s="140"/>
    </row>
    <row r="316" spans="7:22" ht="16" x14ac:dyDescent="0.2">
      <c r="G316" s="140">
        <v>44</v>
      </c>
      <c r="H316" s="141">
        <v>46935</v>
      </c>
      <c r="I316" s="144">
        <v>-745384</v>
      </c>
      <c r="J316" s="144"/>
      <c r="K316" s="144"/>
      <c r="L316" s="144"/>
      <c r="M316" s="143"/>
      <c r="N316" s="140"/>
      <c r="O316" s="140"/>
      <c r="P316" s="143"/>
      <c r="Q316" s="140"/>
      <c r="R316" s="140"/>
      <c r="S316" s="140"/>
      <c r="T316" s="140"/>
      <c r="U316" s="140"/>
      <c r="V316" s="140"/>
    </row>
    <row r="317" spans="7:22" ht="16" x14ac:dyDescent="0.2">
      <c r="G317" s="140">
        <v>45</v>
      </c>
      <c r="H317" s="141">
        <v>46966</v>
      </c>
      <c r="I317" s="144">
        <v>-745384</v>
      </c>
      <c r="J317" s="144"/>
      <c r="K317" s="144"/>
      <c r="L317" s="144"/>
      <c r="M317" s="143"/>
      <c r="N317" s="140"/>
      <c r="O317" s="140"/>
      <c r="P317" s="143"/>
      <c r="Q317" s="140"/>
      <c r="R317" s="140"/>
      <c r="S317" s="140"/>
      <c r="T317" s="140"/>
      <c r="U317" s="140"/>
      <c r="V317" s="140"/>
    </row>
    <row r="318" spans="7:22" ht="16" x14ac:dyDescent="0.2">
      <c r="G318" s="140">
        <v>46</v>
      </c>
      <c r="H318" s="141">
        <v>46997</v>
      </c>
      <c r="I318" s="144">
        <v>-745384</v>
      </c>
      <c r="J318" s="144"/>
      <c r="K318" s="144"/>
      <c r="L318" s="144"/>
      <c r="M318" s="143"/>
      <c r="N318" s="140"/>
      <c r="O318" s="140"/>
      <c r="P318" s="143"/>
      <c r="Q318" s="140"/>
      <c r="R318" s="140"/>
      <c r="S318" s="140"/>
      <c r="T318" s="140"/>
      <c r="U318" s="140"/>
      <c r="V318" s="140"/>
    </row>
    <row r="319" spans="7:22" ht="16" x14ac:dyDescent="0.2">
      <c r="G319" s="140">
        <v>47</v>
      </c>
      <c r="H319" s="141">
        <v>47027</v>
      </c>
      <c r="I319" s="144">
        <v>-745384</v>
      </c>
      <c r="J319" s="144"/>
      <c r="K319" s="144"/>
      <c r="L319" s="144"/>
      <c r="M319" s="143"/>
      <c r="N319" s="140"/>
      <c r="O319" s="140"/>
      <c r="P319" s="143"/>
      <c r="Q319" s="140"/>
      <c r="R319" s="140"/>
      <c r="S319" s="140"/>
      <c r="T319" s="140"/>
      <c r="U319" s="140"/>
      <c r="V319" s="140"/>
    </row>
    <row r="320" spans="7:22" ht="16" x14ac:dyDescent="0.2">
      <c r="G320" s="140">
        <v>48</v>
      </c>
      <c r="H320" s="141">
        <v>47058</v>
      </c>
      <c r="I320" s="144">
        <v>172949924</v>
      </c>
      <c r="J320" s="144"/>
      <c r="K320" s="140"/>
      <c r="L320" s="140"/>
      <c r="M320" s="143"/>
      <c r="N320" s="144"/>
      <c r="O320" s="144"/>
      <c r="P320" s="143"/>
      <c r="Q320" s="144"/>
      <c r="R320" s="144"/>
      <c r="S320" s="144"/>
      <c r="T320" s="144"/>
      <c r="U320" s="145"/>
      <c r="V320" s="145"/>
    </row>
    <row r="321" spans="7:22" ht="16" x14ac:dyDescent="0.2">
      <c r="G321" s="140">
        <v>49</v>
      </c>
      <c r="H321" s="141">
        <v>47088</v>
      </c>
      <c r="I321" s="144">
        <v>-557276</v>
      </c>
      <c r="J321" s="144"/>
      <c r="K321" s="144"/>
      <c r="L321" s="144"/>
      <c r="M321" s="143"/>
      <c r="N321" s="140"/>
      <c r="O321" s="140"/>
      <c r="P321" s="143"/>
      <c r="Q321" s="140"/>
      <c r="R321" s="140"/>
      <c r="S321" s="140"/>
      <c r="T321" s="140"/>
      <c r="U321" s="140"/>
      <c r="V321" s="140"/>
    </row>
    <row r="322" spans="7:22" ht="16" x14ac:dyDescent="0.2">
      <c r="G322" s="140">
        <v>50</v>
      </c>
      <c r="H322" s="141">
        <v>47119</v>
      </c>
      <c r="I322" s="144">
        <v>-557276</v>
      </c>
      <c r="J322" s="144"/>
      <c r="K322" s="144"/>
      <c r="L322" s="144"/>
      <c r="M322" s="143"/>
      <c r="N322" s="140"/>
      <c r="O322" s="140"/>
      <c r="P322" s="143"/>
      <c r="Q322" s="140"/>
      <c r="R322" s="140"/>
      <c r="S322" s="140"/>
      <c r="T322" s="140"/>
      <c r="U322" s="140"/>
      <c r="V322" s="140"/>
    </row>
    <row r="323" spans="7:22" ht="16" x14ac:dyDescent="0.2">
      <c r="G323" s="140">
        <v>51</v>
      </c>
      <c r="H323" s="141">
        <v>47150</v>
      </c>
      <c r="I323" s="144">
        <v>-557276</v>
      </c>
      <c r="J323" s="144"/>
      <c r="K323" s="144"/>
      <c r="L323" s="144"/>
      <c r="M323" s="143"/>
      <c r="N323" s="140"/>
      <c r="O323" s="140"/>
      <c r="P323" s="143"/>
      <c r="Q323" s="140"/>
      <c r="R323" s="140"/>
      <c r="S323" s="140"/>
      <c r="T323" s="140"/>
      <c r="U323" s="140"/>
      <c r="V323" s="140"/>
    </row>
    <row r="324" spans="7:22" ht="16" x14ac:dyDescent="0.2">
      <c r="G324" s="140">
        <v>52</v>
      </c>
      <c r="H324" s="141">
        <v>47178</v>
      </c>
      <c r="I324" s="144">
        <v>-557276</v>
      </c>
      <c r="J324" s="144"/>
      <c r="K324" s="144"/>
      <c r="L324" s="144"/>
      <c r="M324" s="143"/>
      <c r="N324" s="140"/>
      <c r="O324" s="140"/>
      <c r="P324" s="143"/>
      <c r="Q324" s="140"/>
      <c r="R324" s="140"/>
      <c r="S324" s="140"/>
      <c r="T324" s="140"/>
      <c r="U324" s="140"/>
      <c r="V324" s="140"/>
    </row>
    <row r="325" spans="7:22" ht="16" x14ac:dyDescent="0.2">
      <c r="G325" s="140">
        <v>53</v>
      </c>
      <c r="H325" s="141">
        <v>47209</v>
      </c>
      <c r="I325" s="144">
        <v>-557276</v>
      </c>
      <c r="J325" s="144"/>
      <c r="K325" s="144"/>
      <c r="L325" s="144"/>
      <c r="M325" s="143"/>
      <c r="N325" s="140"/>
      <c r="O325" s="140"/>
      <c r="P325" s="143"/>
      <c r="Q325" s="140"/>
      <c r="R325" s="140"/>
      <c r="S325" s="140"/>
      <c r="T325" s="140"/>
      <c r="U325" s="140"/>
      <c r="V325" s="140"/>
    </row>
    <row r="326" spans="7:22" ht="16" x14ac:dyDescent="0.2">
      <c r="G326" s="140">
        <v>54</v>
      </c>
      <c r="H326" s="141">
        <v>47239</v>
      </c>
      <c r="I326" s="144">
        <v>-557276</v>
      </c>
      <c r="J326" s="144"/>
      <c r="K326" s="144"/>
      <c r="L326" s="144"/>
      <c r="M326" s="143"/>
      <c r="N326" s="140"/>
      <c r="O326" s="140"/>
      <c r="P326" s="143"/>
      <c r="Q326" s="140"/>
      <c r="R326" s="140"/>
      <c r="S326" s="140"/>
      <c r="T326" s="140"/>
      <c r="U326" s="140"/>
      <c r="V326" s="140"/>
    </row>
    <row r="327" spans="7:22" ht="16" x14ac:dyDescent="0.2">
      <c r="G327" s="140">
        <v>55</v>
      </c>
      <c r="H327" s="141">
        <v>47270</v>
      </c>
      <c r="I327" s="144">
        <v>-557276</v>
      </c>
      <c r="J327" s="144"/>
      <c r="K327" s="144"/>
      <c r="L327" s="144"/>
      <c r="M327" s="143"/>
      <c r="N327" s="140"/>
      <c r="O327" s="140"/>
      <c r="P327" s="143"/>
      <c r="Q327" s="140"/>
      <c r="R327" s="140"/>
      <c r="S327" s="140"/>
      <c r="T327" s="140"/>
      <c r="U327" s="140"/>
      <c r="V327" s="140"/>
    </row>
    <row r="328" spans="7:22" ht="16" x14ac:dyDescent="0.2">
      <c r="G328" s="140">
        <v>56</v>
      </c>
      <c r="H328" s="141">
        <v>47300</v>
      </c>
      <c r="I328" s="144">
        <v>-557276</v>
      </c>
      <c r="J328" s="144"/>
      <c r="K328" s="144"/>
      <c r="L328" s="144"/>
      <c r="M328" s="143"/>
      <c r="N328" s="140"/>
      <c r="O328" s="140"/>
      <c r="P328" s="143"/>
      <c r="Q328" s="140"/>
      <c r="R328" s="140"/>
      <c r="S328" s="140"/>
      <c r="T328" s="140"/>
      <c r="U328" s="140"/>
      <c r="V328" s="140"/>
    </row>
    <row r="329" spans="7:22" ht="16" x14ac:dyDescent="0.2">
      <c r="G329" s="140">
        <v>57</v>
      </c>
      <c r="H329" s="141">
        <v>47331</v>
      </c>
      <c r="I329" s="144">
        <v>-557276</v>
      </c>
      <c r="J329" s="144"/>
      <c r="K329" s="144"/>
      <c r="L329" s="144"/>
      <c r="M329" s="143"/>
      <c r="N329" s="140"/>
      <c r="O329" s="140"/>
      <c r="P329" s="143"/>
      <c r="Q329" s="140"/>
      <c r="R329" s="140"/>
      <c r="S329" s="140"/>
      <c r="T329" s="140"/>
      <c r="U329" s="140"/>
      <c r="V329" s="140"/>
    </row>
    <row r="330" spans="7:22" ht="16" x14ac:dyDescent="0.2">
      <c r="G330" s="140">
        <v>58</v>
      </c>
      <c r="H330" s="141">
        <v>47362</v>
      </c>
      <c r="I330" s="144">
        <v>-557276</v>
      </c>
      <c r="J330" s="144"/>
      <c r="K330" s="144"/>
      <c r="L330" s="144"/>
      <c r="M330" s="143"/>
      <c r="N330" s="140"/>
      <c r="O330" s="140"/>
      <c r="P330" s="143"/>
      <c r="Q330" s="140"/>
      <c r="R330" s="140"/>
      <c r="S330" s="140"/>
      <c r="T330" s="140"/>
      <c r="U330" s="140"/>
      <c r="V330" s="140"/>
    </row>
    <row r="331" spans="7:22" ht="16" x14ac:dyDescent="0.2">
      <c r="G331" s="140">
        <v>59</v>
      </c>
      <c r="H331" s="141">
        <v>47392</v>
      </c>
      <c r="I331" s="144">
        <v>-557276</v>
      </c>
      <c r="J331" s="144"/>
      <c r="K331" s="144"/>
      <c r="L331" s="144"/>
      <c r="M331" s="143"/>
      <c r="N331" s="140"/>
      <c r="O331" s="140"/>
      <c r="P331" s="143"/>
      <c r="Q331" s="140"/>
      <c r="R331" s="140"/>
      <c r="S331" s="140"/>
      <c r="T331" s="140"/>
      <c r="U331" s="140"/>
      <c r="V331" s="140"/>
    </row>
    <row r="332" spans="7:22" ht="16" x14ac:dyDescent="0.2">
      <c r="G332" s="140">
        <v>60</v>
      </c>
      <c r="H332" s="141">
        <v>47423</v>
      </c>
      <c r="I332" s="144">
        <v>-409821</v>
      </c>
      <c r="J332" s="144"/>
      <c r="K332" s="144"/>
      <c r="L332" s="144"/>
      <c r="M332" s="143"/>
      <c r="N332" s="140"/>
      <c r="O332" s="140"/>
      <c r="P332" s="143"/>
      <c r="Q332" s="140"/>
      <c r="R332" s="140"/>
      <c r="S332" s="140"/>
      <c r="T332" s="140"/>
      <c r="U332" s="140"/>
      <c r="V332" s="140"/>
    </row>
    <row r="333" spans="7:22" ht="16" x14ac:dyDescent="0.2">
      <c r="G333" s="140">
        <v>61</v>
      </c>
      <c r="H333" s="141">
        <v>47453</v>
      </c>
      <c r="I333" s="144">
        <v>-409821</v>
      </c>
      <c r="J333" s="144"/>
      <c r="K333" s="144"/>
      <c r="L333" s="144"/>
      <c r="M333" s="143"/>
      <c r="N333" s="140"/>
      <c r="O333" s="140"/>
      <c r="P333" s="143"/>
      <c r="Q333" s="140"/>
      <c r="R333" s="140"/>
      <c r="S333" s="140"/>
      <c r="T333" s="140"/>
      <c r="U333" s="140"/>
      <c r="V333" s="140"/>
    </row>
    <row r="334" spans="7:22" ht="16" x14ac:dyDescent="0.2">
      <c r="G334" s="140">
        <v>62</v>
      </c>
      <c r="H334" s="141">
        <v>47484</v>
      </c>
      <c r="I334" s="144">
        <v>-409821</v>
      </c>
      <c r="J334" s="144"/>
      <c r="K334" s="144"/>
      <c r="L334" s="144"/>
      <c r="M334" s="143"/>
      <c r="N334" s="140"/>
      <c r="O334" s="140"/>
      <c r="P334" s="143"/>
      <c r="Q334" s="140"/>
      <c r="R334" s="140"/>
      <c r="S334" s="140"/>
      <c r="T334" s="140"/>
      <c r="U334" s="140"/>
      <c r="V334" s="140"/>
    </row>
    <row r="335" spans="7:22" ht="16" x14ac:dyDescent="0.2">
      <c r="G335" s="140">
        <v>63</v>
      </c>
      <c r="H335" s="141">
        <v>47515</v>
      </c>
      <c r="I335" s="144">
        <v>-253083</v>
      </c>
      <c r="J335" s="144"/>
      <c r="K335" s="144"/>
      <c r="L335" s="144"/>
      <c r="M335" s="143"/>
      <c r="N335" s="140"/>
      <c r="O335" s="140"/>
      <c r="P335" s="143"/>
      <c r="Q335" s="140"/>
      <c r="R335" s="140"/>
      <c r="S335" s="140"/>
      <c r="T335" s="140"/>
      <c r="U335" s="140"/>
      <c r="V335" s="140"/>
    </row>
    <row r="336" spans="7:22" ht="16" x14ac:dyDescent="0.2">
      <c r="G336" s="140">
        <v>64</v>
      </c>
      <c r="H336" s="141">
        <v>47543</v>
      </c>
      <c r="I336" s="144">
        <v>-253083</v>
      </c>
      <c r="J336" s="144"/>
      <c r="K336" s="144"/>
      <c r="L336" s="144"/>
      <c r="M336" s="143"/>
      <c r="N336" s="140"/>
      <c r="O336" s="140"/>
      <c r="P336" s="143"/>
      <c r="Q336" s="140"/>
      <c r="R336" s="140"/>
      <c r="S336" s="140"/>
      <c r="T336" s="140"/>
      <c r="U336" s="140"/>
      <c r="V336" s="140"/>
    </row>
    <row r="337" spans="7:22" ht="16" x14ac:dyDescent="0.2">
      <c r="G337" s="140">
        <v>65</v>
      </c>
      <c r="H337" s="141">
        <v>47574</v>
      </c>
      <c r="I337" s="144">
        <v>-253083</v>
      </c>
      <c r="J337" s="144"/>
      <c r="K337" s="144"/>
      <c r="L337" s="144"/>
      <c r="M337" s="143"/>
      <c r="N337" s="140"/>
      <c r="O337" s="140"/>
      <c r="P337" s="143"/>
      <c r="Q337" s="140"/>
      <c r="R337" s="140"/>
      <c r="S337" s="140"/>
      <c r="T337" s="140"/>
      <c r="U337" s="140"/>
      <c r="V337" s="140"/>
    </row>
    <row r="338" spans="7:22" ht="16" x14ac:dyDescent="0.2">
      <c r="G338" s="140">
        <v>66</v>
      </c>
      <c r="H338" s="141">
        <v>47604</v>
      </c>
      <c r="I338" s="144">
        <v>-253083</v>
      </c>
      <c r="J338" s="144"/>
      <c r="K338" s="144"/>
      <c r="L338" s="144"/>
      <c r="M338" s="143"/>
      <c r="N338" s="140"/>
      <c r="O338" s="140"/>
      <c r="P338" s="143"/>
      <c r="Q338" s="140"/>
      <c r="R338" s="140"/>
      <c r="S338" s="140"/>
      <c r="T338" s="140"/>
      <c r="U338" s="140"/>
      <c r="V338" s="140"/>
    </row>
    <row r="339" spans="7:22" ht="16" x14ac:dyDescent="0.2">
      <c r="G339" s="140">
        <v>67</v>
      </c>
      <c r="H339" s="141">
        <v>47635</v>
      </c>
      <c r="I339" s="144">
        <v>-253083</v>
      </c>
      <c r="J339" s="144"/>
      <c r="K339" s="144"/>
      <c r="L339" s="144"/>
      <c r="M339" s="143"/>
      <c r="N339" s="140"/>
      <c r="O339" s="140"/>
      <c r="P339" s="143"/>
      <c r="Q339" s="140"/>
      <c r="R339" s="140"/>
      <c r="S339" s="140"/>
      <c r="T339" s="140"/>
      <c r="U339" s="140"/>
      <c r="V339" s="140"/>
    </row>
    <row r="340" spans="7:22" ht="16" x14ac:dyDescent="0.2">
      <c r="G340" s="140">
        <v>68</v>
      </c>
      <c r="H340" s="141">
        <v>47665</v>
      </c>
      <c r="I340" s="144">
        <v>-253083</v>
      </c>
      <c r="J340" s="144"/>
      <c r="K340" s="144"/>
      <c r="L340" s="144"/>
      <c r="M340" s="143"/>
      <c r="N340" s="140"/>
      <c r="O340" s="140"/>
      <c r="P340" s="143"/>
      <c r="Q340" s="140"/>
      <c r="R340" s="140"/>
      <c r="S340" s="140"/>
      <c r="T340" s="140"/>
      <c r="U340" s="140"/>
      <c r="V340" s="140"/>
    </row>
    <row r="341" spans="7:22" ht="16" x14ac:dyDescent="0.2">
      <c r="G341" s="140">
        <v>69</v>
      </c>
      <c r="H341" s="141">
        <v>47696</v>
      </c>
      <c r="I341" s="144">
        <v>-253083</v>
      </c>
      <c r="J341" s="144"/>
      <c r="K341" s="144"/>
      <c r="L341" s="144"/>
      <c r="M341" s="143"/>
      <c r="N341" s="140"/>
      <c r="O341" s="140"/>
      <c r="P341" s="143"/>
      <c r="Q341" s="140"/>
      <c r="R341" s="140"/>
      <c r="S341" s="140"/>
      <c r="T341" s="140"/>
      <c r="U341" s="140"/>
      <c r="V341" s="140"/>
    </row>
    <row r="342" spans="7:22" ht="16" x14ac:dyDescent="0.2">
      <c r="G342" s="140">
        <v>70</v>
      </c>
      <c r="H342" s="141">
        <v>47727</v>
      </c>
      <c r="I342" s="144">
        <v>-253083</v>
      </c>
      <c r="J342" s="144"/>
      <c r="K342" s="144"/>
      <c r="L342" s="144"/>
      <c r="M342" s="143"/>
      <c r="N342" s="140"/>
      <c r="O342" s="140"/>
      <c r="P342" s="143"/>
      <c r="Q342" s="140"/>
      <c r="R342" s="140"/>
      <c r="S342" s="140"/>
      <c r="T342" s="140"/>
      <c r="U342" s="140"/>
      <c r="V342" s="140"/>
    </row>
    <row r="343" spans="7:22" ht="16" x14ac:dyDescent="0.2">
      <c r="G343" s="140">
        <v>71</v>
      </c>
      <c r="H343" s="141">
        <v>47757</v>
      </c>
      <c r="I343" s="144">
        <v>-253083</v>
      </c>
      <c r="J343" s="144"/>
      <c r="K343" s="144"/>
      <c r="L343" s="144"/>
      <c r="M343" s="143"/>
      <c r="N343" s="140"/>
      <c r="O343" s="140"/>
      <c r="P343" s="143"/>
      <c r="Q343" s="140"/>
      <c r="R343" s="140"/>
      <c r="S343" s="140"/>
      <c r="T343" s="140"/>
      <c r="U343" s="140"/>
      <c r="V343" s="140"/>
    </row>
    <row r="344" spans="7:22" ht="15" customHeight="1" x14ac:dyDescent="0.2">
      <c r="G344" s="140">
        <v>72</v>
      </c>
      <c r="H344" s="141">
        <v>47788</v>
      </c>
      <c r="I344" s="144">
        <v>5906917</v>
      </c>
      <c r="J344" s="144"/>
      <c r="K344" s="140"/>
      <c r="L344" s="140"/>
      <c r="M344" s="143"/>
      <c r="N344" s="144"/>
      <c r="O344" s="144"/>
      <c r="P344" s="143"/>
      <c r="Q344" s="140"/>
      <c r="R344" s="140"/>
      <c r="S344" s="140"/>
      <c r="T344" s="140"/>
      <c r="U344" s="145"/>
      <c r="V344" s="145"/>
    </row>
    <row r="345" spans="7:22" ht="15" customHeight="1" x14ac:dyDescent="0.2">
      <c r="G345" s="140">
        <v>73</v>
      </c>
      <c r="H345" s="141">
        <v>47818</v>
      </c>
      <c r="I345" s="144">
        <v>4284417</v>
      </c>
      <c r="J345" s="144"/>
      <c r="K345" s="140"/>
      <c r="L345" s="140"/>
      <c r="M345" s="143"/>
      <c r="N345" s="144"/>
      <c r="O345" s="144"/>
      <c r="P345" s="143"/>
      <c r="Q345" s="140"/>
      <c r="R345" s="140"/>
      <c r="S345" s="140"/>
      <c r="T345" s="140"/>
      <c r="U345" s="145"/>
      <c r="V345" s="145"/>
    </row>
    <row r="346" spans="7:22" ht="16" x14ac:dyDescent="0.2">
      <c r="G346" s="140">
        <v>74</v>
      </c>
      <c r="H346" s="141">
        <v>47849</v>
      </c>
      <c r="I346" s="144">
        <v>-253083</v>
      </c>
      <c r="J346" s="144"/>
      <c r="K346" s="144"/>
      <c r="L346" s="144"/>
      <c r="M346" s="143"/>
      <c r="N346" s="140"/>
      <c r="O346" s="140"/>
      <c r="P346" s="143"/>
      <c r="Q346" s="140"/>
      <c r="R346" s="140"/>
      <c r="S346" s="140"/>
      <c r="T346" s="140"/>
      <c r="U346" s="140"/>
      <c r="V346" s="140"/>
    </row>
    <row r="347" spans="7:22" ht="16" x14ac:dyDescent="0.2">
      <c r="G347" s="140">
        <v>75</v>
      </c>
      <c r="H347" s="141">
        <v>47880</v>
      </c>
      <c r="I347" s="144">
        <v>-253083</v>
      </c>
      <c r="J347" s="144"/>
      <c r="K347" s="144"/>
      <c r="L347" s="144"/>
      <c r="M347" s="143"/>
      <c r="N347" s="140"/>
      <c r="O347" s="140"/>
      <c r="P347" s="143"/>
      <c r="Q347" s="140"/>
      <c r="R347" s="140"/>
      <c r="S347" s="140"/>
      <c r="T347" s="140"/>
      <c r="U347" s="140"/>
      <c r="V347" s="140"/>
    </row>
    <row r="348" spans="7:22" ht="15" customHeight="1" x14ac:dyDescent="0.2">
      <c r="G348" s="140">
        <v>76</v>
      </c>
      <c r="H348" s="141">
        <v>47908</v>
      </c>
      <c r="I348" s="144">
        <v>-253083</v>
      </c>
      <c r="J348" s="144"/>
      <c r="K348" s="144"/>
      <c r="L348" s="144"/>
      <c r="M348" s="143"/>
      <c r="N348" s="140"/>
      <c r="O348" s="140"/>
      <c r="P348" s="143"/>
      <c r="Q348" s="140"/>
      <c r="R348" s="140"/>
      <c r="S348" s="140"/>
      <c r="T348" s="140"/>
      <c r="U348" s="140"/>
      <c r="V348" s="140"/>
    </row>
    <row r="349" spans="7:22" ht="15" customHeight="1" x14ac:dyDescent="0.2">
      <c r="G349" s="140">
        <v>77</v>
      </c>
      <c r="H349" s="141">
        <v>47939</v>
      </c>
      <c r="I349" s="144">
        <v>-253083</v>
      </c>
      <c r="J349" s="144"/>
      <c r="K349" s="144"/>
      <c r="L349" s="144"/>
      <c r="M349" s="143"/>
      <c r="N349" s="140"/>
      <c r="O349" s="140"/>
      <c r="P349" s="143"/>
      <c r="Q349" s="140"/>
      <c r="R349" s="140"/>
      <c r="S349" s="140"/>
      <c r="T349" s="140"/>
      <c r="U349" s="140"/>
      <c r="V349" s="140"/>
    </row>
    <row r="350" spans="7:22" ht="15" customHeight="1" x14ac:dyDescent="0.2">
      <c r="G350" s="140">
        <v>78</v>
      </c>
      <c r="H350" s="141">
        <v>47969</v>
      </c>
      <c r="I350" s="144">
        <v>14789500</v>
      </c>
      <c r="J350" s="144"/>
      <c r="K350" s="140"/>
      <c r="L350" s="140"/>
      <c r="M350" s="143"/>
      <c r="N350" s="144"/>
      <c r="O350" s="144"/>
      <c r="P350" s="143"/>
      <c r="Q350" s="144"/>
      <c r="R350" s="144"/>
      <c r="S350" s="140"/>
      <c r="T350" s="140"/>
      <c r="U350" s="145"/>
      <c r="V350" s="145"/>
    </row>
    <row r="351" spans="7:22" ht="15" customHeight="1" x14ac:dyDescent="0.2">
      <c r="G351" s="140">
        <v>79</v>
      </c>
      <c r="H351" s="141">
        <v>48000</v>
      </c>
      <c r="I351" s="140">
        <v>0</v>
      </c>
      <c r="J351" s="144"/>
      <c r="K351" s="140"/>
      <c r="L351" s="140"/>
      <c r="M351" s="143"/>
      <c r="N351" s="140"/>
      <c r="O351" s="140"/>
      <c r="P351" s="143"/>
      <c r="Q351" s="140"/>
      <c r="R351" s="140"/>
      <c r="S351" s="140"/>
      <c r="T351" s="140"/>
      <c r="U351" s="140"/>
      <c r="V351" s="140"/>
    </row>
    <row r="352" spans="7:22" ht="15" customHeight="1" x14ac:dyDescent="0.2">
      <c r="G352" s="140">
        <v>80</v>
      </c>
      <c r="H352" s="141">
        <v>48030</v>
      </c>
      <c r="I352" s="140">
        <v>0</v>
      </c>
      <c r="J352" s="144"/>
      <c r="K352" s="140"/>
      <c r="L352" s="140"/>
      <c r="M352" s="143"/>
      <c r="N352" s="140"/>
      <c r="O352" s="140"/>
      <c r="P352" s="143"/>
      <c r="Q352" s="140"/>
      <c r="R352" s="140"/>
      <c r="S352" s="140"/>
      <c r="T352" s="140"/>
      <c r="U352" s="140"/>
      <c r="V352" s="140"/>
    </row>
    <row r="353" spans="7:22" ht="15" customHeight="1" x14ac:dyDescent="0.2">
      <c r="G353" s="140">
        <v>81</v>
      </c>
      <c r="H353" s="141">
        <v>48061</v>
      </c>
      <c r="I353" s="140">
        <v>0</v>
      </c>
      <c r="J353" s="144"/>
      <c r="K353" s="140"/>
      <c r="L353" s="140"/>
      <c r="M353" s="143"/>
      <c r="N353" s="140"/>
      <c r="O353" s="140"/>
      <c r="P353" s="143"/>
      <c r="Q353" s="140"/>
      <c r="R353" s="140"/>
      <c r="S353" s="140"/>
      <c r="T353" s="140"/>
      <c r="U353" s="140"/>
      <c r="V353" s="140"/>
    </row>
    <row r="354" spans="7:22" ht="15" customHeight="1" x14ac:dyDescent="0.2">
      <c r="G354" s="140">
        <v>82</v>
      </c>
      <c r="H354" s="141">
        <v>48092</v>
      </c>
      <c r="I354" s="140">
        <v>0</v>
      </c>
      <c r="J354" s="144"/>
      <c r="K354" s="140"/>
      <c r="L354" s="140"/>
      <c r="M354" s="143"/>
      <c r="N354" s="140"/>
      <c r="O354" s="140"/>
      <c r="P354" s="143"/>
      <c r="Q354" s="140"/>
      <c r="R354" s="140"/>
      <c r="S354" s="140"/>
      <c r="T354" s="140"/>
      <c r="U354" s="140"/>
      <c r="V354" s="140"/>
    </row>
    <row r="355" spans="7:22" ht="15" customHeight="1" x14ac:dyDescent="0.2">
      <c r="G355" s="140">
        <v>83</v>
      </c>
      <c r="H355" s="141">
        <v>48122</v>
      </c>
      <c r="I355" s="140">
        <v>0</v>
      </c>
      <c r="J355" s="144"/>
      <c r="K355" s="140"/>
      <c r="L355" s="140"/>
      <c r="M355" s="143"/>
      <c r="N355" s="140"/>
      <c r="O355" s="140"/>
      <c r="P355" s="143"/>
      <c r="Q355" s="140"/>
      <c r="R355" s="140"/>
      <c r="S355" s="140"/>
      <c r="T355" s="140"/>
      <c r="U355" s="140"/>
      <c r="V355" s="140"/>
    </row>
    <row r="356" spans="7:22" ht="15" customHeight="1" x14ac:dyDescent="0.2">
      <c r="G356" s="140">
        <v>84</v>
      </c>
      <c r="H356" s="141">
        <v>48153</v>
      </c>
      <c r="I356" s="144">
        <v>-581583</v>
      </c>
      <c r="J356" s="144"/>
      <c r="K356" s="144"/>
      <c r="L356" s="144"/>
      <c r="M356" s="143"/>
      <c r="N356" s="140"/>
      <c r="O356" s="140"/>
      <c r="P356" s="143"/>
      <c r="Q356" s="140"/>
      <c r="R356" s="140"/>
      <c r="S356" s="140"/>
      <c r="T356" s="140"/>
      <c r="U356" s="140"/>
      <c r="V356" s="140"/>
    </row>
    <row r="357" spans="7:22" ht="15" customHeight="1" x14ac:dyDescent="0.2">
      <c r="G357" s="140">
        <v>85</v>
      </c>
      <c r="H357" s="141">
        <v>48183</v>
      </c>
      <c r="I357" s="144">
        <v>-581583</v>
      </c>
      <c r="J357" s="144"/>
      <c r="K357" s="144"/>
      <c r="L357" s="144"/>
      <c r="M357" s="143"/>
      <c r="N357" s="140"/>
      <c r="O357" s="140"/>
      <c r="P357" s="143"/>
      <c r="Q357" s="140"/>
      <c r="R357" s="140"/>
      <c r="S357" s="140"/>
      <c r="T357" s="140"/>
      <c r="U357" s="140"/>
      <c r="V357" s="140"/>
    </row>
    <row r="358" spans="7:22" ht="15" customHeight="1" x14ac:dyDescent="0.2">
      <c r="G358" s="140">
        <v>86</v>
      </c>
      <c r="H358" s="141">
        <v>48214</v>
      </c>
      <c r="I358" s="144">
        <v>-581583</v>
      </c>
      <c r="J358" s="144"/>
      <c r="K358" s="144"/>
      <c r="L358" s="144"/>
      <c r="M358" s="143"/>
      <c r="N358" s="140"/>
      <c r="O358" s="140"/>
      <c r="P358" s="143"/>
      <c r="Q358" s="140"/>
      <c r="R358" s="140"/>
      <c r="S358" s="140"/>
      <c r="T358" s="140"/>
      <c r="U358" s="140"/>
      <c r="V358" s="140"/>
    </row>
    <row r="359" spans="7:22" ht="15" customHeight="1" x14ac:dyDescent="0.2">
      <c r="G359" s="140">
        <v>87</v>
      </c>
      <c r="H359" s="141">
        <v>48245</v>
      </c>
      <c r="I359" s="144">
        <v>-581583</v>
      </c>
      <c r="J359" s="144"/>
      <c r="K359" s="144"/>
      <c r="L359" s="144"/>
      <c r="M359" s="143"/>
      <c r="N359" s="140"/>
      <c r="O359" s="140"/>
      <c r="P359" s="143"/>
      <c r="Q359" s="140"/>
      <c r="R359" s="140"/>
      <c r="S359" s="140"/>
      <c r="T359" s="140"/>
      <c r="U359" s="140"/>
      <c r="V359" s="140"/>
    </row>
    <row r="360" spans="7:22" ht="15" customHeight="1" x14ac:dyDescent="0.2">
      <c r="G360" s="140">
        <v>88</v>
      </c>
      <c r="H360" s="141">
        <v>48274</v>
      </c>
      <c r="I360" s="144">
        <v>-581583</v>
      </c>
      <c r="J360" s="144"/>
      <c r="K360" s="144"/>
      <c r="L360" s="144"/>
      <c r="M360" s="143"/>
      <c r="N360" s="140"/>
      <c r="O360" s="140"/>
      <c r="P360" s="143"/>
      <c r="Q360" s="140"/>
      <c r="R360" s="140"/>
      <c r="S360" s="140"/>
      <c r="T360" s="140"/>
      <c r="U360" s="140"/>
      <c r="V360" s="140"/>
    </row>
    <row r="361" spans="7:22" ht="15" customHeight="1" x14ac:dyDescent="0.2">
      <c r="G361" s="140">
        <v>89</v>
      </c>
      <c r="H361" s="141">
        <v>48305</v>
      </c>
      <c r="I361" s="144">
        <v>-581583</v>
      </c>
      <c r="J361" s="144"/>
      <c r="K361" s="144"/>
      <c r="L361" s="144"/>
      <c r="M361" s="143"/>
      <c r="N361" s="140"/>
      <c r="O361" s="140"/>
      <c r="P361" s="143"/>
      <c r="Q361" s="140"/>
      <c r="R361" s="140"/>
      <c r="S361" s="140"/>
      <c r="T361" s="140"/>
      <c r="U361" s="140"/>
      <c r="V361" s="140"/>
    </row>
    <row r="362" spans="7:22" ht="15" customHeight="1" x14ac:dyDescent="0.2">
      <c r="G362" s="140">
        <v>90</v>
      </c>
      <c r="H362" s="141">
        <v>48335</v>
      </c>
      <c r="I362" s="144">
        <v>-581583</v>
      </c>
      <c r="J362" s="144"/>
      <c r="K362" s="144"/>
      <c r="L362" s="144"/>
      <c r="M362" s="143"/>
      <c r="N362" s="140"/>
      <c r="O362" s="140"/>
      <c r="P362" s="143"/>
      <c r="Q362" s="140"/>
      <c r="R362" s="140"/>
      <c r="S362" s="140"/>
      <c r="T362" s="140"/>
      <c r="U362" s="140"/>
      <c r="V362" s="140"/>
    </row>
    <row r="363" spans="7:22" ht="15" customHeight="1" x14ac:dyDescent="0.2">
      <c r="G363" s="140">
        <v>91</v>
      </c>
      <c r="H363" s="141">
        <v>48366</v>
      </c>
      <c r="I363" s="144">
        <v>-581583</v>
      </c>
      <c r="J363" s="144"/>
      <c r="K363" s="144"/>
      <c r="L363" s="144"/>
      <c r="M363" s="143"/>
      <c r="N363" s="140"/>
      <c r="O363" s="140"/>
      <c r="P363" s="143"/>
      <c r="Q363" s="140"/>
      <c r="R363" s="140"/>
      <c r="S363" s="140"/>
      <c r="T363" s="140"/>
      <c r="U363" s="140"/>
      <c r="V363" s="140"/>
    </row>
    <row r="364" spans="7:22" ht="15" customHeight="1" x14ac:dyDescent="0.2">
      <c r="G364" s="140">
        <v>92</v>
      </c>
      <c r="H364" s="141">
        <v>48396</v>
      </c>
      <c r="I364" s="144">
        <v>-581583</v>
      </c>
      <c r="J364" s="144"/>
      <c r="K364" s="144"/>
      <c r="L364" s="144"/>
      <c r="M364" s="143"/>
      <c r="N364" s="140"/>
      <c r="O364" s="140"/>
      <c r="P364" s="143"/>
      <c r="Q364" s="140"/>
      <c r="R364" s="140"/>
      <c r="S364" s="140"/>
      <c r="T364" s="140"/>
      <c r="U364" s="140"/>
      <c r="V364" s="140"/>
    </row>
    <row r="365" spans="7:22" ht="15" customHeight="1" x14ac:dyDescent="0.2">
      <c r="G365" s="140">
        <v>93</v>
      </c>
      <c r="H365" s="141">
        <v>48427</v>
      </c>
      <c r="I365" s="144">
        <v>-581583</v>
      </c>
      <c r="J365" s="144"/>
      <c r="K365" s="144"/>
      <c r="L365" s="144"/>
      <c r="M365" s="143"/>
      <c r="N365" s="140"/>
      <c r="O365" s="140"/>
      <c r="P365" s="143"/>
      <c r="Q365" s="140"/>
      <c r="R365" s="140"/>
      <c r="S365" s="140"/>
      <c r="T365" s="140"/>
      <c r="U365" s="140"/>
      <c r="V365" s="140"/>
    </row>
    <row r="366" spans="7:22" ht="15" customHeight="1" x14ac:dyDescent="0.2">
      <c r="G366" s="140">
        <v>94</v>
      </c>
      <c r="H366" s="141">
        <v>48458</v>
      </c>
      <c r="I366" s="144">
        <v>-581583</v>
      </c>
      <c r="J366" s="144"/>
      <c r="K366" s="144"/>
      <c r="L366" s="144"/>
      <c r="M366" s="143"/>
      <c r="N366" s="140"/>
      <c r="O366" s="140"/>
      <c r="P366" s="143"/>
      <c r="Q366" s="140"/>
      <c r="R366" s="140"/>
      <c r="S366" s="140"/>
      <c r="T366" s="140"/>
      <c r="U366" s="140"/>
      <c r="V366" s="140"/>
    </row>
    <row r="367" spans="7:22" ht="15" customHeight="1" x14ac:dyDescent="0.2">
      <c r="G367" s="140">
        <v>95</v>
      </c>
      <c r="H367" s="141">
        <v>48488</v>
      </c>
      <c r="I367" s="144">
        <v>-581583</v>
      </c>
      <c r="J367" s="144"/>
      <c r="K367" s="144"/>
      <c r="L367" s="144"/>
      <c r="M367" s="143"/>
      <c r="N367" s="140"/>
      <c r="O367" s="140"/>
      <c r="P367" s="143"/>
      <c r="Q367" s="140"/>
      <c r="R367" s="140"/>
      <c r="S367" s="140"/>
      <c r="T367" s="140"/>
      <c r="U367" s="140"/>
      <c r="V367" s="140"/>
    </row>
    <row r="368" spans="7:22" ht="15" customHeight="1" x14ac:dyDescent="0.2">
      <c r="G368" s="140">
        <v>96</v>
      </c>
      <c r="H368" s="141">
        <v>48519</v>
      </c>
      <c r="I368" s="144">
        <v>27055800</v>
      </c>
      <c r="J368" s="144"/>
      <c r="K368" s="140"/>
      <c r="L368" s="140"/>
      <c r="M368" s="143"/>
      <c r="N368" s="144"/>
      <c r="O368" s="144"/>
      <c r="P368" s="143"/>
      <c r="Q368" s="144"/>
      <c r="R368" s="144"/>
      <c r="S368" s="140"/>
      <c r="T368" s="140"/>
      <c r="U368" s="145"/>
      <c r="V368" s="145"/>
    </row>
    <row r="369" spans="7:22" ht="15" customHeight="1" x14ac:dyDescent="0.2">
      <c r="G369" s="146" t="s">
        <v>83</v>
      </c>
      <c r="H369" s="147">
        <v>155102351</v>
      </c>
      <c r="I369" s="147">
        <v>155102351</v>
      </c>
      <c r="J369" s="147"/>
      <c r="K369" s="147"/>
      <c r="L369" s="146"/>
      <c r="M369" s="147"/>
      <c r="N369" s="147"/>
      <c r="O369" s="146"/>
      <c r="P369" s="147"/>
      <c r="Q369" s="147"/>
      <c r="R369" s="147"/>
      <c r="S369" s="147"/>
      <c r="T369" s="146"/>
      <c r="U369" s="146"/>
      <c r="V369"/>
    </row>
  </sheetData>
  <sheetProtection selectLockedCells="1"/>
  <mergeCells count="18">
    <mergeCell ref="J19:N19"/>
    <mergeCell ref="F13:G14"/>
    <mergeCell ref="H13:I13"/>
    <mergeCell ref="J15:N15"/>
    <mergeCell ref="J16:N16"/>
    <mergeCell ref="J17:N17"/>
    <mergeCell ref="J172:N172"/>
    <mergeCell ref="F58:G59"/>
    <mergeCell ref="H58:I58"/>
    <mergeCell ref="J60:N60"/>
    <mergeCell ref="J61:N61"/>
    <mergeCell ref="J62:N62"/>
    <mergeCell ref="J64:N64"/>
    <mergeCell ref="F166:G167"/>
    <mergeCell ref="H166:I166"/>
    <mergeCell ref="J168:N168"/>
    <mergeCell ref="J169:N169"/>
    <mergeCell ref="J170:N170"/>
  </mergeCells>
  <conditionalFormatting sqref="C15:C19">
    <cfRule type="expression" dxfId="5" priority="3">
      <formula>$D$4="IRR"</formula>
    </cfRule>
  </conditionalFormatting>
  <conditionalFormatting sqref="D15:D19">
    <cfRule type="expression" dxfId="4" priority="5">
      <formula>$D$4="Equity Multiple"</formula>
    </cfRule>
  </conditionalFormatting>
  <conditionalFormatting sqref="E4:E6">
    <cfRule type="expression" dxfId="3" priority="1">
      <formula>$H$15&gt;=$C$9</formula>
    </cfRule>
  </conditionalFormatting>
  <conditionalFormatting sqref="E15:E18">
    <cfRule type="expression" dxfId="2" priority="4">
      <formula>$D$4="Equity Multiple"</formula>
    </cfRule>
  </conditionalFormatting>
  <conditionalFormatting sqref="E15:E19 J15:N19">
    <cfRule type="expression" dxfId="1" priority="2">
      <formula>$D$4="IRR + Emx"</formula>
    </cfRule>
  </conditionalFormatting>
  <conditionalFormatting sqref="L9 Q58 DK58:DU58 Q166 DK166:DU166">
    <cfRule type="expression" dxfId="0" priority="6">
      <formula>$L$9="OK"</formula>
    </cfRule>
  </conditionalFormatting>
  <dataValidations count="5">
    <dataValidation type="list" allowBlank="1" showInputMessage="1" showErrorMessage="1" sqref="D4" xr:uid="{4FE96386-ECD8-D148-902C-D15955CFD803}">
      <formula1>"IRR, Equity Multiple, IRR + EMx"</formula1>
    </dataValidation>
    <dataValidation type="list" allowBlank="1" showInputMessage="1" showErrorMessage="1" sqref="D57" xr:uid="{6C7D729C-D5A0-AB46-BEB1-22DC2900FC5F}">
      <formula1>"IRR"</formula1>
    </dataValidation>
    <dataValidation type="list" allowBlank="1" showInputMessage="1" showErrorMessage="1" sqref="E6" xr:uid="{039C6CB2-6419-A947-8A1A-F75234F2E053}">
      <formula1>"Yes, No"</formula1>
    </dataValidation>
    <dataValidation type="list" allowBlank="1" showInputMessage="1" showErrorMessage="1" sqref="D165" xr:uid="{7491A7D4-50D0-CA41-A44F-F67723051721}">
      <formula1>"Equity Multiple"</formula1>
    </dataValidation>
    <dataValidation type="list" allowBlank="1" showInputMessage="1" showErrorMessage="1" sqref="D5" xr:uid="{52D49E7F-93E8-654A-91B4-0C36577484FF}">
      <formula1>"2-Tier, 3-Tier, 4-Tier, 5-Tier"</formula1>
    </dataValidation>
  </dataValidations>
  <pageMargins left="0.7" right="0.7" top="0.75" bottom="0.75" header="0.3" footer="0.3"/>
  <pageSetup scale="47" orientation="landscape" horizontalDpi="4294967294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Partnership Returns - Monthly</vt:lpstr>
      <vt:lpstr>'Partnership Returns - Monthly'!CU?</vt:lpstr>
      <vt:lpstr>'Partnership Returns - Monthly'!Equity_Share_GP</vt:lpstr>
      <vt:lpstr>'Partnership Returns - Monthly'!Equity_Share_LP</vt:lpstr>
      <vt:lpstr>'Partnership Returns - Monthly'!Preferred_Return</vt:lpstr>
      <vt:lpstr>'Partnership Returns - Monthly'!Print_Area</vt:lpstr>
      <vt:lpstr>'Partnership Returns - Monthly'!Promote_Structure</vt:lpstr>
      <vt:lpstr>'Partnership Returns - Monthly'!Total_Equity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Gregg Wolin</dc:creator>
  <cp:lastModifiedBy>Gregg Wolin</cp:lastModifiedBy>
  <dcterms:created xsi:type="dcterms:W3CDTF">2025-05-06T19:43:28Z</dcterms:created>
  <dcterms:modified xsi:type="dcterms:W3CDTF">2025-12-08T16:23:32Z</dcterms:modified>
</cp:coreProperties>
</file>